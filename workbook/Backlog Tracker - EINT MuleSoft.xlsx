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ME" sheetId="1" state="visible" r:id="rId1"/>
    <sheet name="Backlog" sheetId="2" state="visible" r:id="rId2"/>
    <sheet name="API Design Planning" sheetId="3" state="visible" r:id="rId3"/>
    <sheet name="RTM" sheetId="4" state="visible" r:id="rId4"/>
    <sheet name="Sprint Planning" sheetId="5" state="visible" r:id="rId5"/>
    <sheet name="Roadmap" sheetId="6" state="visible" r:id="rId6"/>
    <sheet name="Release" sheetId="7" state="visible" r:id="rId7"/>
    <sheet name="PI Governance (ROTB)" sheetId="8" state="visible" r:id="rId8"/>
    <sheet name="Q1 Backlog Report 2026" sheetId="9" state="visible" r:id="rId9"/>
    <sheet name="Q2 Backlog Report 2026" sheetId="10" state="visible" r:id="rId10"/>
    <sheet name="Q3 Backlog Report 2026" sheetId="11" state="visible" r:id="rId11"/>
    <sheet name="Q4 Backlog Report 2026" sheetId="12" state="visible" r:id="rId12"/>
    <sheet name="Workflows" sheetId="13" state="visible" r:id="rId13"/>
    <sheet name="Lists" sheetId="14" state="visible" r:id="rId14"/>
  </sheets>
  <definedNames>
    <definedName name="ReleaseList" hidden="0" function="0" vbProcedure="0">Lists!$G$2:$G$100</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yyyy\-mm\-dd"/>
    <numFmt numFmtId="165" formatCode="mm/yy"/>
    <numFmt numFmtId="166" formatCode="dd/mm/yyyy"/>
    <numFmt numFmtId="167" formatCode="mm/dd/yyyy"/>
  </numFmts>
  <fonts count="29">
    <font>
      <name val="Calibri"/>
      <charset val="1"/>
      <family val="2"/>
      <color theme="1"/>
      <sz val="11"/>
    </font>
    <font>
      <name val="Arial"/>
      <family val="0"/>
      <sz val="10"/>
    </font>
    <font>
      <name val="Arial"/>
      <family val="0"/>
      <sz val="10"/>
    </font>
    <font>
      <name val="Arial"/>
      <family val="0"/>
      <sz val="10"/>
    </font>
    <font>
      <name val="Arial"/>
      <charset val="1"/>
      <family val="2"/>
      <b val="1"/>
      <color rgb="FF1F4E78"/>
      <sz val="16"/>
    </font>
    <font>
      <name val="Cambria"/>
      <charset val="1"/>
      <family val="1"/>
      <b val="1"/>
      <color rgb="FF006100"/>
      <sz val="12"/>
    </font>
    <font>
      <name val="Arial"/>
      <charset val="1"/>
      <family val="2"/>
      <b val="1"/>
      <color rgb="FF000000"/>
      <sz val="10"/>
    </font>
    <font>
      <name val="Arial"/>
      <charset val="1"/>
      <family val="2"/>
      <b val="1"/>
      <color rgb="FF1F4E78"/>
      <sz val="12"/>
    </font>
    <font>
      <name val="Arial"/>
      <charset val="1"/>
      <family val="2"/>
      <color rgb="FF000000"/>
      <sz val="10"/>
    </font>
    <font>
      <name val="Cambria"/>
      <charset val="1"/>
      <family val="1"/>
      <i val="1"/>
      <color rgb="FFC00000"/>
      <sz val="11"/>
    </font>
    <font>
      <name val="Arial"/>
      <charset val="1"/>
      <family val="2"/>
      <sz val="10"/>
    </font>
    <font>
      <name val="Cambria"/>
      <charset val="1"/>
      <family val="1"/>
      <i val="1"/>
      <sz val="11"/>
    </font>
    <font>
      <name val="Arial"/>
      <charset val="1"/>
      <family val="2"/>
      <i val="1"/>
      <sz val="10"/>
    </font>
    <font>
      <name val="Arial"/>
      <charset val="1"/>
      <family val="2"/>
      <b val="1"/>
      <color rgb="FFFFFFFF"/>
      <sz val="10"/>
    </font>
    <font>
      <name val="Arial"/>
      <charset val="1"/>
      <family val="2"/>
      <color rgb="FFFFFFFF"/>
      <sz val="10"/>
    </font>
    <font>
      <name val="Calibri"/>
      <charset val="1"/>
      <family val="2"/>
      <b val="1"/>
      <color theme="1"/>
      <sz val="11"/>
    </font>
    <font>
      <name val="Aptos Narrow"/>
      <charset val="1"/>
      <family val="0"/>
      <color rgb="FF242424"/>
      <sz val="11"/>
    </font>
    <font>
      <name val="Calibri"/>
      <charset val="1"/>
      <family val="2"/>
      <color theme="10"/>
      <sz val="11"/>
      <u val="single"/>
    </font>
    <font>
      <name val="Arial"/>
      <family val="2"/>
      <sz val="10"/>
    </font>
    <font>
      <name val="Cambria"/>
      <charset val="1"/>
      <family val="1"/>
      <b val="1"/>
      <color rgb="FFFFFFFF"/>
      <sz val="11"/>
    </font>
    <font>
      <name val="Arial"/>
      <charset val="1"/>
      <family val="2"/>
      <b val="1"/>
      <sz val="10"/>
    </font>
    <font>
      <name val="Arial"/>
      <charset val="1"/>
      <family val="2"/>
      <b val="1"/>
      <color theme="0"/>
      <sz val="11"/>
    </font>
    <font>
      <name val="Calibri"/>
      <charset val="1"/>
      <family val="2"/>
      <sz val="11"/>
    </font>
    <font>
      <name val="Cambria"/>
      <charset val="1"/>
      <family val="1"/>
      <b val="1"/>
      <color rgb="FFFFFFFF"/>
      <sz val="14"/>
    </font>
    <font>
      <name val="Cambria"/>
      <charset val="1"/>
      <family val="1"/>
      <b val="1"/>
      <sz val="12"/>
    </font>
    <font>
      <name val="Cambria"/>
      <charset val="1"/>
      <family val="1"/>
      <b val="1"/>
      <color rgb="FFC00000"/>
      <sz val="11"/>
    </font>
    <font>
      <name val="Cambria"/>
      <charset val="1"/>
      <family val="1"/>
      <b val="1"/>
      <color rgb="FF1F4E78"/>
      <sz val="11"/>
    </font>
    <font>
      <name val="Cambria"/>
      <charset val="1"/>
      <family val="1"/>
      <b val="1"/>
      <color rgb="FF006100"/>
      <sz val="11"/>
    </font>
    <font>
      <name val="Courier New"/>
      <charset val="1"/>
      <family val="1"/>
      <sz val="9"/>
    </font>
  </fonts>
  <fills count="11">
    <fill>
      <patternFill/>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11">
    <border>
      <left/>
      <right/>
      <top/>
      <bottom/>
      <diagonal/>
    </border>
    <border>
      <left style="thin">
        <color rgb="FFD9D9D9"/>
      </left>
      <right style="thin">
        <color rgb="FFD9D9D9"/>
      </right>
      <top style="thin">
        <color rgb="FFD9D9D9"/>
      </top>
      <bottom style="thin">
        <color rgb="FFD9D9D9"/>
      </bottom>
      <diagonal/>
    </border>
    <border>
      <left style="thin"/>
      <right style="thin"/>
      <top style="thin"/>
      <bottom style="thin"/>
      <diagonal/>
    </border>
    <border>
      <left style="thin">
        <color rgb="FFD9D9D9"/>
      </left>
      <right/>
      <top style="thin">
        <color rgb="FFD9D9D9"/>
      </top>
      <bottom style="thin">
        <color rgb="FFD9D9D9"/>
      </bottom>
      <diagonal/>
    </border>
    <border>
      <left/>
      <right/>
      <top/>
      <bottom style="medium">
        <color rgb="FF1F4E78"/>
      </bottom>
      <diagonal/>
    </border>
    <border>
      <left/>
      <right style="medium"/>
      <top/>
      <bottom/>
      <diagonal/>
    </border>
    <border>
      <left style="medium"/>
      <right/>
      <top/>
      <bottom/>
      <diagonal/>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7" fillId="0" borderId="0" applyAlignment="1">
      <alignment horizontal="general" vertical="bottom"/>
    </xf>
  </cellStyleXfs>
  <cellXfs count="18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10" fillId="2" borderId="0" applyAlignment="1" pivotButton="0" quotePrefix="0" xfId="0">
      <alignment horizontal="general" vertical="bottom"/>
    </xf>
    <xf numFmtId="0" fontId="11" fillId="0" borderId="0" applyAlignment="1" pivotButton="0" quotePrefix="0" xfId="0">
      <alignment horizontal="general" vertical="bottom" wrapText="1"/>
    </xf>
    <xf numFmtId="0" fontId="10" fillId="3" borderId="0" applyAlignment="1" pivotButton="0" quotePrefix="0" xfId="0">
      <alignment horizontal="general" vertical="bottom"/>
    </xf>
    <xf numFmtId="0" fontId="10" fillId="4" borderId="0" applyAlignment="1" pivotButton="0" quotePrefix="0" xfId="0">
      <alignment horizontal="general" vertical="bottom"/>
    </xf>
    <xf numFmtId="0" fontId="10" fillId="5" borderId="0" applyAlignment="1" pivotButton="0" quotePrefix="0" xfId="0">
      <alignment horizontal="general" vertical="bottom"/>
    </xf>
    <xf numFmtId="0" fontId="10" fillId="6" borderId="0" applyAlignment="1" pivotButton="0" quotePrefix="0" xfId="0">
      <alignment horizontal="general" vertical="bottom"/>
    </xf>
    <xf numFmtId="0" fontId="10" fillId="7"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13" fillId="8" borderId="0" applyAlignment="1" pivotButton="0" quotePrefix="0" xfId="0">
      <alignment horizontal="general" vertical="bottom"/>
    </xf>
    <xf numFmtId="0" fontId="10" fillId="0" borderId="1" applyAlignment="1" pivotButton="0" quotePrefix="0" xfId="0">
      <alignment horizontal="general" vertical="top" wrapText="1"/>
    </xf>
    <xf numFmtId="0" fontId="13" fillId="8" borderId="0" applyAlignment="1" pivotButton="0" quotePrefix="0" xfId="0">
      <alignment horizontal="general" vertical="center" wrapText="1"/>
    </xf>
    <xf numFmtId="0" fontId="14" fillId="8" borderId="0" applyAlignment="1" pivotButton="0" quotePrefix="0" xfId="0">
      <alignment horizontal="general" vertical="center" wrapText="1"/>
    </xf>
    <xf numFmtId="0" fontId="0" fillId="0" borderId="0"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applyProtection="1" pivotButton="0" quotePrefix="0" xfId="0">
      <alignment horizontal="general" vertical="bottom"/>
      <protection locked="0" hidden="0"/>
    </xf>
    <xf numFmtId="0" fontId="8" fillId="0" borderId="1" applyAlignment="1" pivotButton="0" quotePrefix="0" xfId="0">
      <alignment horizontal="general" vertical="bottom"/>
    </xf>
    <xf numFmtId="164" fontId="6" fillId="0" borderId="1" applyAlignment="1" applyProtection="1" pivotButton="0" quotePrefix="0" xfId="0">
      <alignment horizontal="general" vertical="bottom"/>
      <protection locked="0" hidden="0"/>
    </xf>
    <xf numFmtId="0" fontId="6" fillId="0" borderId="0" applyAlignment="1" applyProtection="1" pivotButton="0" quotePrefix="0" xfId="0">
      <alignment horizontal="general" vertical="bottom"/>
      <protection locked="0" hidden="0"/>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applyProtection="1" pivotButton="0" quotePrefix="0" xfId="0">
      <alignment horizontal="general" vertical="bottom"/>
      <protection locked="0" hidden="0"/>
    </xf>
    <xf numFmtId="0" fontId="15" fillId="0" borderId="0" applyAlignment="1" pivotButton="0" quotePrefix="0" xfId="0">
      <alignment horizontal="general" vertical="bottom"/>
    </xf>
    <xf numFmtId="0" fontId="15" fillId="0" borderId="0" applyAlignment="1" applyProtection="1" pivotButton="0" quotePrefix="0" xfId="0">
      <alignment horizontal="general" vertical="bottom"/>
      <protection locked="0" hidden="0"/>
    </xf>
    <xf numFmtId="164" fontId="15" fillId="0" borderId="0" applyAlignment="1" applyProtection="1" pivotButton="0" quotePrefix="0" xfId="0">
      <alignment horizontal="general" vertical="bottom"/>
      <protection locked="0" hidden="0"/>
    </xf>
    <xf numFmtId="0" fontId="15" fillId="0" borderId="1" applyAlignment="1" pivotButton="0" quotePrefix="0" xfId="0">
      <alignment horizontal="general" vertical="bottom"/>
    </xf>
    <xf numFmtId="0" fontId="15" fillId="0" borderId="1" applyAlignment="1" applyProtection="1" pivotButton="0" quotePrefix="0" xfId="0">
      <alignment horizontal="general" vertical="bottom"/>
      <protection locked="0" hidden="0"/>
    </xf>
    <xf numFmtId="0" fontId="0" fillId="0" borderId="1" applyAlignment="1" pivotButton="0" quotePrefix="0" xfId="0">
      <alignment horizontal="general" vertical="bottom"/>
    </xf>
    <xf numFmtId="164" fontId="15" fillId="0" borderId="1" applyAlignment="1" applyProtection="1" pivotButton="0" quotePrefix="0" xfId="0">
      <alignment horizontal="general" vertical="bottom"/>
      <protection locked="0" hidden="0"/>
    </xf>
    <xf numFmtId="165" fontId="6" fillId="0" borderId="1" applyAlignment="1" applyProtection="1" pivotButton="0" quotePrefix="0" xfId="0">
      <alignment horizontal="general" vertical="bottom"/>
      <protection locked="0" hidden="0"/>
    </xf>
    <xf numFmtId="0" fontId="16" fillId="0" borderId="0" applyAlignment="1" pivotButton="0" quotePrefix="0" xfId="0">
      <alignment horizontal="general" vertical="bottom"/>
    </xf>
    <xf numFmtId="0" fontId="17" fillId="0" borderId="1" applyAlignment="1" pivotButton="0" quotePrefix="0" xfId="20">
      <alignment horizontal="general" vertical="bottom"/>
    </xf>
    <xf numFmtId="0" fontId="6" fillId="0" borderId="1" applyAlignment="1" applyProtection="1" pivotButton="0" quotePrefix="0" xfId="0">
      <alignment horizontal="general" vertical="bottom" wrapText="1"/>
      <protection locked="0" hidden="0"/>
    </xf>
    <xf numFmtId="166" fontId="15" fillId="0" borderId="0" applyAlignment="1" applyProtection="1" pivotButton="0" quotePrefix="0" xfId="0">
      <alignment horizontal="general" vertical="bottom"/>
      <protection locked="0" hidden="0"/>
    </xf>
    <xf numFmtId="0" fontId="15" fillId="0" borderId="0" applyAlignment="1" applyProtection="1" pivotButton="0" quotePrefix="0" xfId="0">
      <alignment horizontal="general" vertical="bottom" wrapText="1"/>
      <protection locked="0" hidden="0"/>
    </xf>
    <xf numFmtId="0" fontId="0" fillId="0" borderId="0" applyAlignment="1" pivotButton="0" quotePrefix="0" xfId="0">
      <alignment horizontal="general" vertical="bottom" wrapText="1"/>
    </xf>
    <xf numFmtId="0" fontId="0" fillId="0" borderId="0" applyAlignment="1" pivotButton="0" quotePrefix="0" xfId="0">
      <alignment horizontal="center" vertical="bottom"/>
    </xf>
    <xf numFmtId="0" fontId="13" fillId="8" borderId="0" applyAlignment="1" pivotButton="0" quotePrefix="0" xfId="0">
      <alignment horizontal="center" vertical="center" wrapText="1"/>
    </xf>
    <xf numFmtId="0" fontId="8" fillId="0" borderId="1" applyAlignment="1" pivotButton="0" quotePrefix="0" xfId="0">
      <alignment horizontal="general" vertical="bottom" wrapText="1"/>
    </xf>
    <xf numFmtId="0" fontId="6" fillId="0" borderId="1" applyAlignment="1" pivotButton="0" quotePrefix="0" xfId="0">
      <alignment horizontal="center" vertical="bottom"/>
    </xf>
    <xf numFmtId="167" fontId="6" fillId="0" borderId="1" applyAlignment="1" pivotButton="0" quotePrefix="0" xfId="0">
      <alignment horizontal="center" vertical="bottom"/>
    </xf>
    <xf numFmtId="0" fontId="0" fillId="0" borderId="1" applyAlignment="1" pivotButton="0" quotePrefix="0" xfId="0">
      <alignment horizontal="general" vertical="bottom" wrapText="1"/>
    </xf>
    <xf numFmtId="0" fontId="0" fillId="0" borderId="1" applyAlignment="1" pivotButton="0" quotePrefix="0" xfId="0">
      <alignment horizontal="center" vertical="bottom"/>
    </xf>
    <xf numFmtId="167"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general" vertical="bottom"/>
    </xf>
    <xf numFmtId="0" fontId="8" fillId="0" borderId="0" applyAlignment="1" pivotButton="0" quotePrefix="0" xfId="0">
      <alignment horizontal="general" vertical="bottom" wrapText="1"/>
    </xf>
    <xf numFmtId="0" fontId="6" fillId="0" borderId="0" applyAlignment="1" pivotButton="0" quotePrefix="0" xfId="0">
      <alignment horizontal="center" vertical="bottom"/>
    </xf>
    <xf numFmtId="167" fontId="6" fillId="0" borderId="0" applyAlignment="1" pivotButton="0" quotePrefix="0" xfId="0">
      <alignment horizontal="center" vertical="bottom"/>
    </xf>
    <xf numFmtId="167" fontId="0" fillId="0" borderId="0" applyAlignment="1" pivotButton="0" quotePrefix="0" xfId="0">
      <alignment horizontal="center" vertical="bottom"/>
    </xf>
    <xf numFmtId="0" fontId="13" fillId="8" borderId="0" applyAlignment="1" pivotButton="0" quotePrefix="0" xfId="0">
      <alignment horizontal="general" vertical="bottom" wrapText="1"/>
    </xf>
    <xf numFmtId="0" fontId="6" fillId="0" borderId="1" applyAlignment="1" pivotButton="0" quotePrefix="0" xfId="0">
      <alignment horizontal="general" vertical="bottom" wrapText="1"/>
    </xf>
    <xf numFmtId="0" fontId="6" fillId="0" borderId="0" applyAlignment="1" pivotButton="0" quotePrefix="0" xfId="0">
      <alignment horizontal="general" vertical="bottom" wrapText="1"/>
    </xf>
    <xf numFmtId="0" fontId="19" fillId="8" borderId="2" applyAlignment="1" pivotButton="0" quotePrefix="0" xfId="0">
      <alignment horizontal="general" vertical="bottom"/>
    </xf>
    <xf numFmtId="0" fontId="8" fillId="0" borderId="3" applyAlignment="1" pivotButton="0" quotePrefix="0" xfId="0">
      <alignment horizontal="general" vertical="bottom"/>
    </xf>
    <xf numFmtId="0" fontId="10" fillId="0" borderId="2" applyAlignment="1" pivotButton="0" quotePrefix="0" xfId="0">
      <alignment horizontal="general" vertical="bottom"/>
    </xf>
    <xf numFmtId="0" fontId="8" fillId="0" borderId="2" applyAlignment="1" pivotButton="0" quotePrefix="0" xfId="0">
      <alignment horizontal="general" vertical="bottom"/>
    </xf>
    <xf numFmtId="0" fontId="0" fillId="0" borderId="2" applyAlignment="1" pivotButton="0" quotePrefix="0" xfId="0">
      <alignment horizontal="general" vertical="bottom"/>
    </xf>
    <xf numFmtId="0" fontId="7" fillId="0" borderId="0" applyAlignment="1" pivotButton="0" quotePrefix="0" xfId="0">
      <alignment horizontal="general" vertical="bottom"/>
    </xf>
    <xf numFmtId="0" fontId="20" fillId="0" borderId="0" applyAlignment="1" pivotButton="0" quotePrefix="0" xfId="0">
      <alignment horizontal="general" vertical="bottom"/>
    </xf>
    <xf numFmtId="0" fontId="7" fillId="0" borderId="0" applyAlignment="1" pivotButton="0" quotePrefix="0" xfId="0">
      <alignment horizontal="general" vertical="bottom"/>
    </xf>
    <xf numFmtId="0" fontId="21" fillId="9" borderId="4" applyAlignment="1" pivotButton="0" quotePrefix="0" xfId="0">
      <alignment horizontal="general" vertical="bottom"/>
    </xf>
    <xf numFmtId="0" fontId="21" fillId="9" borderId="4" applyAlignment="1" pivotButton="0" quotePrefix="0" xfId="0">
      <alignment horizontal="general" vertical="bottom" wrapText="1"/>
    </xf>
    <xf numFmtId="0" fontId="13" fillId="0" borderId="0" applyAlignment="1" pivotButton="0" quotePrefix="0" xfId="0">
      <alignment horizontal="general" vertical="bottom"/>
    </xf>
    <xf numFmtId="0" fontId="13" fillId="8" borderId="2" applyAlignment="1" pivotButton="0" quotePrefix="0" xfId="0">
      <alignment horizontal="center" vertical="bottom"/>
    </xf>
    <xf numFmtId="0" fontId="20" fillId="0" borderId="2" applyAlignment="1" pivotButton="0" quotePrefix="0" xfId="0">
      <alignment horizontal="general" vertical="bottom"/>
    </xf>
    <xf numFmtId="0" fontId="15" fillId="0" borderId="2" applyAlignment="1" pivotButton="0" quotePrefix="0" xfId="0">
      <alignment horizontal="general" vertical="bottom"/>
    </xf>
    <xf numFmtId="164" fontId="0" fillId="0" borderId="2" applyAlignment="1" pivotButton="0" quotePrefix="0" xfId="0">
      <alignment horizontal="general" vertical="bottom"/>
    </xf>
    <xf numFmtId="0" fontId="0" fillId="0" borderId="2" applyAlignment="1" pivotButton="0" quotePrefix="0" xfId="0">
      <alignment horizontal="general" vertical="bottom"/>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19" fillId="8" borderId="0" applyAlignment="1" pivotButton="0" quotePrefix="0" xfId="0">
      <alignment horizontal="general" vertical="bottom" wrapText="1"/>
    </xf>
    <xf numFmtId="0" fontId="0" fillId="0" borderId="0" applyAlignment="1" pivotButton="0" quotePrefix="0" xfId="0">
      <alignment horizontal="general" vertical="top" wrapText="1"/>
    </xf>
    <xf numFmtId="0" fontId="22" fillId="0" borderId="0" applyAlignment="1" pivotButton="0" quotePrefix="0" xfId="0">
      <alignment horizontal="general" vertical="center" wrapText="1"/>
    </xf>
    <xf numFmtId="0" fontId="23" fillId="8"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wrapText="1"/>
    </xf>
    <xf numFmtId="0" fontId="26" fillId="0" borderId="0" applyAlignment="1" pivotButton="0" quotePrefix="0" xfId="0">
      <alignment horizontal="general" vertical="bottom"/>
    </xf>
    <xf numFmtId="0" fontId="26" fillId="0" borderId="0" applyAlignment="1" pivotButton="0" quotePrefix="0" xfId="0">
      <alignment horizontal="general" vertical="bottom" wrapText="1"/>
    </xf>
    <xf numFmtId="0" fontId="27" fillId="0" borderId="0" applyAlignment="1" pivotButton="0" quotePrefix="0" xfId="0">
      <alignment horizontal="general" vertical="bottom" wrapText="1"/>
    </xf>
    <xf numFmtId="0" fontId="19" fillId="10" borderId="0" applyAlignment="1" pivotButton="0" quotePrefix="0" xfId="0">
      <alignment horizontal="general" vertical="bottom" wrapText="1"/>
    </xf>
    <xf numFmtId="0" fontId="28" fillId="0" borderId="0" applyAlignment="1" pivotButton="0" quotePrefix="0" xfId="0">
      <alignment horizontal="general" vertical="top" wrapText="1"/>
    </xf>
    <xf numFmtId="0" fontId="28" fillId="1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10" fillId="2" borderId="0" applyAlignment="1" pivotButton="0" quotePrefix="0" xfId="0">
      <alignment horizontal="general" vertical="bottom"/>
    </xf>
    <xf numFmtId="0" fontId="11" fillId="0" borderId="0" applyAlignment="1" pivotButton="0" quotePrefix="0" xfId="0">
      <alignment horizontal="general" vertical="bottom" wrapText="1"/>
    </xf>
    <xf numFmtId="0" fontId="10" fillId="3" borderId="0" applyAlignment="1" pivotButton="0" quotePrefix="0" xfId="0">
      <alignment horizontal="general" vertical="bottom"/>
    </xf>
    <xf numFmtId="0" fontId="10" fillId="4" borderId="0" applyAlignment="1" pivotButton="0" quotePrefix="0" xfId="0">
      <alignment horizontal="general" vertical="bottom"/>
    </xf>
    <xf numFmtId="0" fontId="10" fillId="5" borderId="0" applyAlignment="1" pivotButton="0" quotePrefix="0" xfId="0">
      <alignment horizontal="general" vertical="bottom"/>
    </xf>
    <xf numFmtId="0" fontId="10" fillId="6" borderId="0" applyAlignment="1" pivotButton="0" quotePrefix="0" xfId="0">
      <alignment horizontal="general" vertical="bottom"/>
    </xf>
    <xf numFmtId="0" fontId="10" fillId="7" borderId="0" applyAlignment="1" pivotButton="0" quotePrefix="0" xfId="0">
      <alignment horizontal="general" vertical="bottom"/>
    </xf>
    <xf numFmtId="0" fontId="10" fillId="0" borderId="0" applyAlignment="1" pivotButton="0" quotePrefix="0" xfId="0">
      <alignment horizontal="general" vertical="bottom"/>
    </xf>
    <xf numFmtId="0" fontId="12" fillId="0" borderId="0" applyAlignment="1" pivotButton="0" quotePrefix="0" xfId="0">
      <alignment horizontal="general" vertical="bottom"/>
    </xf>
    <xf numFmtId="0" fontId="13" fillId="8" borderId="0" applyAlignment="1" pivotButton="0" quotePrefix="0" xfId="0">
      <alignment horizontal="general" vertical="bottom"/>
    </xf>
    <xf numFmtId="0" fontId="10" fillId="0" borderId="1" applyAlignment="1" pivotButton="0" quotePrefix="0" xfId="0">
      <alignment horizontal="general" vertical="top" wrapText="1"/>
    </xf>
    <xf numFmtId="0" fontId="13" fillId="8" borderId="0" applyAlignment="1" pivotButton="0" quotePrefix="0" xfId="0">
      <alignment horizontal="general" vertical="center" wrapText="1"/>
    </xf>
    <xf numFmtId="0" fontId="14" fillId="8" borderId="0" applyAlignment="1" pivotButton="0" quotePrefix="0" xfId="0">
      <alignment horizontal="general" vertical="center" wrapText="1"/>
    </xf>
    <xf numFmtId="0" fontId="6" fillId="0" borderId="1" applyAlignment="1" pivotButton="0" quotePrefix="0" xfId="0">
      <alignment horizontal="general" vertical="bottom"/>
    </xf>
    <xf numFmtId="0" fontId="6" fillId="0" borderId="1" applyAlignment="1" applyProtection="1" pivotButton="0" quotePrefix="0" xfId="0">
      <alignment horizontal="general" vertical="bottom"/>
      <protection locked="0" hidden="0"/>
    </xf>
    <xf numFmtId="0" fontId="8" fillId="0" borderId="1" applyAlignment="1" pivotButton="0" quotePrefix="0" xfId="0">
      <alignment horizontal="general" vertical="bottom"/>
    </xf>
    <xf numFmtId="164" fontId="6" fillId="0" borderId="1" applyAlignment="1" applyProtection="1" pivotButton="0" quotePrefix="0" xfId="0">
      <alignment horizontal="general" vertical="bottom"/>
      <protection locked="0" hidden="0"/>
    </xf>
    <xf numFmtId="0" fontId="6" fillId="0" borderId="0" applyAlignment="1" applyProtection="1" pivotButton="0" quotePrefix="0" xfId="0">
      <alignment horizontal="general" vertical="bottom"/>
      <protection locked="0" hidden="0"/>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applyProtection="1" pivotButton="0" quotePrefix="0" xfId="0">
      <alignment horizontal="general" vertical="bottom"/>
      <protection locked="0" hidden="0"/>
    </xf>
    <xf numFmtId="0" fontId="15" fillId="0" borderId="0" applyAlignment="1" pivotButton="0" quotePrefix="0" xfId="0">
      <alignment horizontal="general" vertical="bottom"/>
    </xf>
    <xf numFmtId="0" fontId="15" fillId="0" borderId="0" applyAlignment="1" applyProtection="1" pivotButton="0" quotePrefix="0" xfId="0">
      <alignment horizontal="general" vertical="bottom"/>
      <protection locked="0" hidden="0"/>
    </xf>
    <xf numFmtId="164" fontId="15" fillId="0" borderId="0" applyAlignment="1" applyProtection="1" pivotButton="0" quotePrefix="0" xfId="0">
      <alignment horizontal="general" vertical="bottom"/>
      <protection locked="0" hidden="0"/>
    </xf>
    <xf numFmtId="0" fontId="15" fillId="0" borderId="1" applyAlignment="1" pivotButton="0" quotePrefix="0" xfId="0">
      <alignment horizontal="general" vertical="bottom"/>
    </xf>
    <xf numFmtId="0" fontId="15" fillId="0" borderId="1" applyAlignment="1" applyProtection="1" pivotButton="0" quotePrefix="0" xfId="0">
      <alignment horizontal="general" vertical="bottom"/>
      <protection locked="0" hidden="0"/>
    </xf>
    <xf numFmtId="0" fontId="0" fillId="0" borderId="1" applyAlignment="1" pivotButton="0" quotePrefix="0" xfId="0">
      <alignment horizontal="general" vertical="bottom"/>
    </xf>
    <xf numFmtId="164" fontId="15" fillId="0" borderId="1" applyAlignment="1" applyProtection="1" pivotButton="0" quotePrefix="0" xfId="0">
      <alignment horizontal="general" vertical="bottom"/>
      <protection locked="0" hidden="0"/>
    </xf>
    <xf numFmtId="165" fontId="6" fillId="0" borderId="1" applyAlignment="1" applyProtection="1" pivotButton="0" quotePrefix="0" xfId="0">
      <alignment horizontal="general" vertical="bottom"/>
      <protection locked="0" hidden="0"/>
    </xf>
    <xf numFmtId="0" fontId="16" fillId="0" borderId="0" applyAlignment="1" pivotButton="0" quotePrefix="0" xfId="0">
      <alignment horizontal="general" vertical="bottom"/>
    </xf>
    <xf numFmtId="0" fontId="17" fillId="0" borderId="1" applyAlignment="1" pivotButton="0" quotePrefix="0" xfId="20">
      <alignment horizontal="general" vertical="bottom"/>
    </xf>
    <xf numFmtId="0" fontId="6" fillId="0" borderId="1" applyAlignment="1" applyProtection="1" pivotButton="0" quotePrefix="0" xfId="0">
      <alignment horizontal="general" vertical="bottom" wrapText="1"/>
      <protection locked="0" hidden="0"/>
    </xf>
    <xf numFmtId="166" fontId="15" fillId="0" borderId="0" applyAlignment="1" applyProtection="1" pivotButton="0" quotePrefix="0" xfId="0">
      <alignment horizontal="general" vertical="bottom"/>
      <protection locked="0" hidden="0"/>
    </xf>
    <xf numFmtId="0" fontId="0" fillId="0" borderId="0" applyAlignment="1" pivotButton="0" quotePrefix="0" xfId="0">
      <alignment horizontal="center" vertical="bottom"/>
    </xf>
    <xf numFmtId="0" fontId="13" fillId="8" borderId="0" applyAlignment="1" pivotButton="0" quotePrefix="0" xfId="0">
      <alignment horizontal="center" vertical="center" wrapText="1"/>
    </xf>
    <xf numFmtId="0" fontId="8" fillId="0" borderId="1" applyAlignment="1" pivotButton="0" quotePrefix="0" xfId="0">
      <alignment horizontal="general" vertical="bottom" wrapText="1"/>
    </xf>
    <xf numFmtId="0" fontId="6" fillId="0" borderId="1" applyAlignment="1" pivotButton="0" quotePrefix="0" xfId="0">
      <alignment horizontal="center" vertical="bottom"/>
    </xf>
    <xf numFmtId="167" fontId="6" fillId="0" borderId="1" applyAlignment="1" pivotButton="0" quotePrefix="0" xfId="0">
      <alignment horizontal="center" vertical="bottom"/>
    </xf>
    <xf numFmtId="0" fontId="0" fillId="0" borderId="1" applyAlignment="1" pivotButton="0" quotePrefix="0" xfId="0">
      <alignment horizontal="general" vertical="bottom" wrapText="1"/>
    </xf>
    <xf numFmtId="0" fontId="0" fillId="0" borderId="1" applyAlignment="1" pivotButton="0" quotePrefix="0" xfId="0">
      <alignment horizontal="center" vertical="bottom"/>
    </xf>
    <xf numFmtId="167" fontId="0" fillId="0" borderId="1" applyAlignment="1" pivotButton="0" quotePrefix="0" xfId="0">
      <alignment horizontal="center" vertical="bottom"/>
    </xf>
    <xf numFmtId="0" fontId="8" fillId="0" borderId="0" applyAlignment="1" pivotButton="0" quotePrefix="0" xfId="0">
      <alignment horizontal="general" vertical="bottom" wrapText="1"/>
    </xf>
    <xf numFmtId="0" fontId="6" fillId="0" borderId="0" applyAlignment="1" pivotButton="0" quotePrefix="0" xfId="0">
      <alignment horizontal="center" vertical="bottom"/>
    </xf>
    <xf numFmtId="167" fontId="6" fillId="0" borderId="0" applyAlignment="1" pivotButton="0" quotePrefix="0" xfId="0">
      <alignment horizontal="center" vertical="bottom"/>
    </xf>
    <xf numFmtId="167" fontId="0" fillId="0" borderId="0" applyAlignment="1" pivotButton="0" quotePrefix="0" xfId="0">
      <alignment horizontal="center" vertical="bottom"/>
    </xf>
    <xf numFmtId="0" fontId="13" fillId="8" borderId="0" applyAlignment="1" pivotButton="0" quotePrefix="0" xfId="0">
      <alignment horizontal="general" vertical="bottom" wrapText="1"/>
    </xf>
    <xf numFmtId="0" fontId="6" fillId="0" borderId="1" applyAlignment="1" pivotButton="0" quotePrefix="0" xfId="0">
      <alignment horizontal="general" vertical="bottom" wrapText="1"/>
    </xf>
    <xf numFmtId="0" fontId="6" fillId="0" borderId="0" applyAlignment="1" pivotButton="0" quotePrefix="0" xfId="0">
      <alignment horizontal="general" vertical="bottom" wrapText="1"/>
    </xf>
    <xf numFmtId="0" fontId="19" fillId="8" borderId="2" applyAlignment="1" pivotButton="0" quotePrefix="0" xfId="0">
      <alignment horizontal="general" vertical="bottom"/>
    </xf>
    <xf numFmtId="0" fontId="0" fillId="0" borderId="9" pivotButton="0" quotePrefix="0" xfId="0"/>
    <xf numFmtId="0" fontId="8" fillId="0" borderId="3" applyAlignment="1" pivotButton="0" quotePrefix="0" xfId="0">
      <alignment horizontal="general" vertical="bottom"/>
    </xf>
    <xf numFmtId="0" fontId="10" fillId="0" borderId="2" applyAlignment="1" pivotButton="0" quotePrefix="0" xfId="0">
      <alignment horizontal="general" vertical="bottom"/>
    </xf>
    <xf numFmtId="0" fontId="8" fillId="0" borderId="2" applyAlignment="1" pivotButton="0" quotePrefix="0" xfId="0">
      <alignment horizontal="general" vertical="bottom"/>
    </xf>
    <xf numFmtId="0" fontId="0" fillId="0" borderId="2" applyAlignment="1" pivotButton="0" quotePrefix="0" xfId="0">
      <alignment horizontal="general" vertical="bottom"/>
    </xf>
    <xf numFmtId="0" fontId="7" fillId="0" borderId="0" applyAlignment="1" pivotButton="0" quotePrefix="0" xfId="0">
      <alignment horizontal="general" vertical="bottom"/>
    </xf>
    <xf numFmtId="0" fontId="20" fillId="0" borderId="0" applyAlignment="1" pivotButton="0" quotePrefix="0" xfId="0">
      <alignment horizontal="general" vertical="bottom"/>
    </xf>
    <xf numFmtId="0" fontId="21" fillId="9" borderId="4" applyAlignment="1" pivotButton="0" quotePrefix="0" xfId="0">
      <alignment horizontal="general" vertical="bottom"/>
    </xf>
    <xf numFmtId="0" fontId="21" fillId="9" borderId="4" applyAlignment="1" pivotButton="0" quotePrefix="0" xfId="0">
      <alignment horizontal="general" vertical="bottom" wrapText="1"/>
    </xf>
    <xf numFmtId="0" fontId="13" fillId="0" borderId="0" applyAlignment="1" pivotButton="0" quotePrefix="0" xfId="0">
      <alignment horizontal="general" vertical="bottom"/>
    </xf>
    <xf numFmtId="0" fontId="13" fillId="8" borderId="2" applyAlignment="1" pivotButton="0" quotePrefix="0" xfId="0">
      <alignment horizontal="center" vertical="bottom"/>
    </xf>
    <xf numFmtId="0" fontId="0" fillId="0" borderId="10" pivotButton="0" quotePrefix="0" xfId="0"/>
    <xf numFmtId="0" fontId="20" fillId="0" borderId="2" applyAlignment="1" pivotButton="0" quotePrefix="0" xfId="0">
      <alignment horizontal="general" vertical="bottom"/>
    </xf>
    <xf numFmtId="0" fontId="15" fillId="0" borderId="2" applyAlignment="1" pivotButton="0" quotePrefix="0" xfId="0">
      <alignment horizontal="general" vertical="bottom"/>
    </xf>
    <xf numFmtId="164" fontId="0" fillId="0" borderId="2" applyAlignment="1" pivotButton="0" quotePrefix="0" xfId="0">
      <alignment horizontal="general" vertical="bottom"/>
    </xf>
    <xf numFmtId="0" fontId="0" fillId="0" borderId="5" applyAlignment="1" pivotButton="0" quotePrefix="0" xfId="0">
      <alignment horizontal="general" vertical="bottom"/>
    </xf>
    <xf numFmtId="0" fontId="0" fillId="0" borderId="6" applyAlignment="1" pivotButton="0" quotePrefix="0" xfId="0">
      <alignment horizontal="general" vertical="bottom"/>
    </xf>
    <xf numFmtId="0" fontId="19" fillId="8" borderId="0" applyAlignment="1" pivotButton="0" quotePrefix="0" xfId="0">
      <alignment horizontal="general" vertical="bottom" wrapText="1"/>
    </xf>
    <xf numFmtId="0" fontId="0" fillId="0" borderId="0" applyAlignment="1" pivotButton="0" quotePrefix="0" xfId="0">
      <alignment horizontal="general" vertical="top" wrapText="1"/>
    </xf>
    <xf numFmtId="0" fontId="22" fillId="0" borderId="0" applyAlignment="1" pivotButton="0" quotePrefix="0" xfId="0">
      <alignment horizontal="general" vertical="center" wrapText="1"/>
    </xf>
    <xf numFmtId="0" fontId="23" fillId="8"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wrapText="1"/>
    </xf>
    <xf numFmtId="0" fontId="26" fillId="0" borderId="0" applyAlignment="1" pivotButton="0" quotePrefix="0" xfId="0">
      <alignment horizontal="general" vertical="bottom"/>
    </xf>
    <xf numFmtId="0" fontId="26" fillId="0" borderId="0" applyAlignment="1" pivotButton="0" quotePrefix="0" xfId="0">
      <alignment horizontal="general" vertical="bottom" wrapText="1"/>
    </xf>
    <xf numFmtId="0" fontId="27" fillId="0" borderId="0" applyAlignment="1" pivotButton="0" quotePrefix="0" xfId="0">
      <alignment horizontal="general" vertical="bottom" wrapText="1"/>
    </xf>
    <xf numFmtId="0" fontId="19" fillId="10" borderId="0" applyAlignment="1" pivotButton="0" quotePrefix="0" xfId="0">
      <alignment horizontal="general" vertical="bottom" wrapText="1"/>
    </xf>
    <xf numFmtId="0" fontId="28" fillId="0" borderId="0" applyAlignment="1" pivotButton="0" quotePrefix="0" xfId="0">
      <alignment horizontal="general" vertical="top" wrapText="1"/>
    </xf>
    <xf numFmtId="0" fontId="28" fillId="10" borderId="0" applyAlignment="1" pivotButton="0" quotePrefix="0" xfId="0">
      <alignment horizontal="general"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42424"/>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24242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tc={C511EF76-31FB-404E-BEC0-8FC316310768}</author>
  </authors>
  <commentList>
    <comment ref="B75" authorId="0" shapeId="0">
      <text>
        <t>[Threaded comment]
Your version of Excel allows you to read this threaded comment; however, any edits to it will get removed if the file is opened in a newer version of Excel. Learn more: https://go.microsoft.com/fwlink/?linkid=870924
Comment:
    @Sarah Suda AFAIK, this is closed as was taken up via AM team</t>
      </text>
    </comment>
  </commentList>
</comments>
</file>

<file path=xl/tables/table1.xml><?xml version="1.0" encoding="utf-8"?>
<table xmlns="http://schemas.openxmlformats.org/spreadsheetml/2006/main" id="1" name="Backlog" displayName="Backlog" ref="A1:Q325" headerRowCount="1" totalsRowCount="0" totalsRowShown="0">
  <autoFilter ref="A1:Q325"/>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Key"/>
    <tableColumn id="15" name="Jira Link"/>
    <tableColumn id="16" name="ID Number"/>
    <tableColumn id="17" name="Frozen ID"/>
  </tableColumns>
</table>
</file>

<file path=xl/tables/table2.xml><?xml version="1.0" encoding="utf-8"?>
<table xmlns="http://schemas.openxmlformats.org/spreadsheetml/2006/main" id="2" name="APIDesignPlanning" displayName="APIDesignPlanning" ref="A1:M325" headerRowCount="1" totalsRowCount="0" totalsRowShown="0">
  <autoFilter ref="A1:M325">
    <filterColumn colId="5" hiddenButton="0" showButton="1">
      <filters>
        <filter val="Sprint 11"/>
      </filters>
    </filterColumn>
  </autoFilter>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3.xml><?xml version="1.0" encoding="utf-8"?>
<table xmlns="http://schemas.openxmlformats.org/spreadsheetml/2006/main" id="3" name="RTM" displayName="RTM" ref="A1:Q325" headerRowCount="1" totalsRowCount="0" totalsRowShown="0">
  <autoFilter ref="A1:Q325"/>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4.xml><?xml version="1.0" encoding="utf-8"?>
<table xmlns="http://schemas.openxmlformats.org/spreadsheetml/2006/main" id="4" name="SprintPlanning" displayName="SprintPlanning" ref="A1:H325" headerRowCount="1" totalsRowCount="0" totalsRowShown="0">
  <autoFilter ref="A1:H325"/>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ables/table5.xml><?xml version="1.0" encoding="utf-8"?>
<table xmlns="http://schemas.openxmlformats.org/spreadsheetml/2006/main" id="5"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6.xml><?xml version="1.0" encoding="utf-8"?>
<table xmlns="http://schemas.openxmlformats.org/spreadsheetml/2006/main" id="6" name="PIGovernance" displayName="PIGovernance" ref="A1:K30" headerRowCount="1" totalsRowCount="0" totalsRowShown="0">
  <autoFilter ref="A1:K30">
    <filterColumn colId="1" hiddenButton="0" showButton="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smartship.atlassian.net/browse/DTTP25-29399"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hyperlink" Target="https://smartship.atlassian.net/browse/DTTP25-352" TargetMode="External" Id="rId1" /><Relationship Type="http://schemas.openxmlformats.org/officeDocument/2006/relationships/table" Target="/xl/tables/table3.xml" Id="rId2"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E50"/>
  <sheetViews>
    <sheetView showFormulas="0" showGridLines="0" showRowColHeaders="1" showZeros="1" rightToLeft="0" tabSelected="0" showOutlineSymbols="1" defaultGridColor="1" view="normal" topLeftCell="A1" colorId="64" zoomScale="131" zoomScaleNormal="131" zoomScalePageLayoutView="100" workbookViewId="0">
      <selection pane="topLeft" activeCell="A7" activeCellId="0" sqref="A7"/>
    </sheetView>
  </sheetViews>
  <sheetFormatPr baseColWidth="8" defaultColWidth="8.66796875" defaultRowHeight="15" customHeight="0" zeroHeight="0" outlineLevelRow="0"/>
  <cols>
    <col width="53.51" customWidth="1" style="92" min="1" max="1"/>
    <col width="100" customWidth="1" style="92" min="2" max="2"/>
    <col width="20" customWidth="1" style="92" min="3" max="3"/>
    <col width="45" customWidth="1" style="92" min="4" max="5"/>
  </cols>
  <sheetData>
    <row r="1" ht="21" customHeight="1" s="93">
      <c r="B1" s="94" t="inlineStr">
        <is>
          <t>EINT MuleSoft Backlog Tracker — How This Works</t>
        </is>
      </c>
    </row>
    <row r="3" ht="15" customHeight="1" s="93">
      <c r="A3" s="95" t="inlineStr">
        <is>
          <t>Automation: Auto-Archive on DONE</t>
        </is>
      </c>
      <c r="B3" s="96" t="inlineStr">
        <is>
          <t>Replaces: MuleSoft Team - Planning.xlsx and Requirements Traceability Matrix - EINT Mulesoft 2026.xlsx</t>
        </is>
      </c>
    </row>
    <row r="4" ht="30" customHeight="1" s="93">
      <c r="A4" s="97" t="inlineStr">
        <is>
          <t>When an item Status is set to DONE in Backlog with a real Sprint assigned (1-16), the autoArchive automation:</t>
        </is>
      </c>
    </row>
    <row r="5" ht="16.5" customHeight="1" s="93">
      <c r="A5" s="97" t="inlineStr">
        <is>
          <t>1. Appends it to the matching Quarter tab (Sprint 1-4 → Q1 Backlog Report, etc.)</t>
        </is>
      </c>
      <c r="B5" s="98" t="inlineStr">
        <is>
          <t>The golden rule: every field has exactly one home.</t>
        </is>
      </c>
    </row>
    <row r="6" ht="55.5" customHeight="1" s="93">
      <c r="A6" s="97" t="inlineStr">
        <is>
          <t>2. Freezes formula-driven fields in the Release row to literal values</t>
        </is>
      </c>
      <c r="B6" s="99" t="inlineStr">
        <is>
          <t>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is>
      </c>
    </row>
    <row r="7" ht="370.5" customHeight="1" s="93">
      <c r="A7" s="97" t="inlineStr">
        <is>
          <t>3. Removes it from the 5 working sheets (Backlog, Sprint Planning, RTM, API Design Planning, Release)</t>
        </is>
      </c>
    </row>
    <row r="8" ht="16.5" customHeight="1" s="93">
      <c r="B8" s="98" t="inlineStr">
        <is>
          <t>Colour legend</t>
        </is>
      </c>
    </row>
    <row r="9" ht="30" customHeight="1" s="93">
      <c r="A9" s="100" t="inlineStr">
        <is>
          <t>NOTE: Items with Status=DONE but no sprint (or "To Plan") are skipped—they need a real sprint first.</t>
        </is>
      </c>
      <c r="B9" s="101" t="inlineStr">
        <is>
          <t>Text is plain black everywhere. Row shading instead shows which Stream an item belongs to (applied automatically via conditional formatting, so it updates itself as Stream values change):</t>
        </is>
      </c>
    </row>
    <row r="10" ht="15" customHeight="1" s="93">
      <c r="B10" s="102" t="inlineStr">
        <is>
          <t xml:space="preserve">  US</t>
        </is>
      </c>
    </row>
    <row r="11" ht="30" customHeight="1" s="93">
      <c r="A11" s="103" t="inlineStr">
        <is>
          <t>Setup: See the "Workflows" sheet for step-by-step instructions to upload the Office Script and create the Power Automate flow.</t>
        </is>
      </c>
      <c r="B11" s="104" t="inlineStr">
        <is>
          <t xml:space="preserve">  MyMSC</t>
        </is>
      </c>
    </row>
    <row r="12" ht="15" customHeight="1" s="93">
      <c r="B12" s="105" t="inlineStr">
        <is>
          <t xml:space="preserve">  Rollout / MVP Rollout</t>
        </is>
      </c>
    </row>
    <row r="13" ht="16.5" customHeight="1" s="93">
      <c r="B13" s="106" t="inlineStr">
        <is>
          <t xml:space="preserve">  Backlog / Growth</t>
        </is>
      </c>
    </row>
    <row r="14" ht="84" customHeight="1" s="93">
      <c r="B14" s="107" t="inlineStr">
        <is>
          <t xml:space="preserve">  Tech Enhancements</t>
        </is>
      </c>
    </row>
    <row r="15" ht="15" customHeight="1" s="93">
      <c r="B15" s="108" t="inlineStr">
        <is>
          <t xml:space="preserve">  PI11, PI12, or any other PI-specific stream</t>
        </is>
      </c>
    </row>
    <row r="16" ht="16.5" customHeight="1" s="93">
      <c r="B16" s="109" t="inlineStr">
        <is>
          <t xml:space="preserve">  Cross, or any other stream not listed above -- no shading (white/default)</t>
        </is>
      </c>
    </row>
    <row r="17" ht="15" customHeight="1" s="93">
      <c r="B17" s="110" t="inlineStr">
        <is>
          <t>Who's allowed to edit which field is documented in the ownership table below, not by colour anymore.</t>
        </is>
      </c>
    </row>
    <row r="18" ht="27.75" customHeight="1" s="93"/>
    <row r="19" ht="23.25" customHeight="1" s="93">
      <c r="B19" s="98" t="inlineStr">
        <is>
          <t>Requirement ID convention</t>
        </is>
      </c>
    </row>
    <row r="20" ht="27.75" customHeight="1" s="93">
      <c r="B20" s="99" t="inlineStr">
        <is>
          <t>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is>
      </c>
    </row>
    <row r="21" ht="15" customHeight="1" s="93"/>
    <row r="22" ht="15" customHeight="1" s="93">
      <c r="B22" s="98" t="inlineStr">
        <is>
          <t>Tab ownership — who edits what</t>
        </is>
      </c>
    </row>
    <row r="23" ht="27.75" customHeight="1" s="93">
      <c r="B23" s="111" t="inlineStr">
        <is>
          <t>Tab</t>
        </is>
      </c>
      <c r="C23" s="111" t="inlineStr">
        <is>
          <t>Owner</t>
        </is>
      </c>
      <c r="D23" s="111" t="inlineStr">
        <is>
          <t>Types here (input)</t>
        </is>
      </c>
      <c r="E23" s="111" t="inlineStr">
        <is>
          <t>Shown automatically (pulled)</t>
        </is>
      </c>
    </row>
    <row r="24" ht="23.25" customHeight="1" s="93">
      <c r="B24" s="112" t="inlineStr">
        <is>
          <t>Backlog</t>
        </is>
      </c>
      <c r="C24" s="112" t="inlineStr">
        <is>
          <t>Anyone (entry point)</t>
        </is>
      </c>
      <c r="D24" s="112" t="inlineStr">
        <is>
          <t>Requirement Name, Type, Stream, Status, Date Added, Create Jira Ticket?, Jira Key</t>
        </is>
      </c>
      <c r="E24" s="112" t="inlineStr">
        <is>
          <t>Jira Link, Priority, Sprint, Release</t>
        </is>
      </c>
    </row>
    <row r="25" ht="16.5" customHeight="1" s="93">
      <c r="B25" s="112" t="inlineStr">
        <is>
          <t>API Design Planning</t>
        </is>
      </c>
      <c r="C25" s="112" t="inlineStr">
        <is>
          <t>API Design Lead</t>
        </is>
      </c>
      <c r="D25" s="112" t="inlineStr">
        <is>
          <t>RAML Required, RAML Delivery Date, Assignee, Priority, Design Status, Handover</t>
        </is>
      </c>
      <c r="E25" s="112" t="inlineStr">
        <is>
          <t>Requirement Name, Stream, Jira Link, Status, Sprint</t>
        </is>
      </c>
    </row>
    <row r="26" ht="27.75" customHeight="1" s="93">
      <c r="B26" s="112" t="inlineStr">
        <is>
          <t>RTM</t>
        </is>
      </c>
      <c r="C26" s="112" t="inlineStr">
        <is>
          <t>BA</t>
        </is>
      </c>
      <c r="D26" s="112" t="inlineStr">
        <is>
          <t>Predecessor, Successor, Dependency Status, Notes</t>
        </is>
      </c>
      <c r="E26" s="112" t="inlineStr">
        <is>
          <t>Requirement Name, Stream, Jira Link, Status, Priority, Sprint</t>
        </is>
      </c>
    </row>
    <row r="27" ht="15" customHeight="1" s="93">
      <c r="B27" s="112" t="inlineStr">
        <is>
          <t>Sprint Planning</t>
        </is>
      </c>
      <c r="C27" s="112" t="inlineStr">
        <is>
          <t>BA / PO / SM</t>
        </is>
      </c>
      <c r="D27" s="112" t="inlineStr">
        <is>
          <t>Sprint, HLE</t>
        </is>
      </c>
      <c r="E27" s="112" t="inlineStr">
        <is>
          <t>Requirement Name, Stream, Priority, Status</t>
        </is>
      </c>
    </row>
    <row r="28" ht="15" customHeight="1" s="93">
      <c r="B28" s="112" t="inlineStr">
        <is>
          <t>Roadmap</t>
        </is>
      </c>
      <c r="C28" s="112" t="inlineStr">
        <is>
          <t>Nobody — all view</t>
        </is>
      </c>
      <c r="D28" s="112" t="inlineStr">
        <is>
          <t>(fully automatic)</t>
        </is>
      </c>
      <c r="E28" s="112" t="inlineStr">
        <is>
          <t>Stream x Sprint HLE grid</t>
        </is>
      </c>
    </row>
    <row r="29" ht="15" customHeight="1" s="93">
      <c r="B29" s="112" t="inlineStr">
        <is>
          <t>Release</t>
        </is>
      </c>
      <c r="C29" s="112" t="inlineStr">
        <is>
          <t>DM / SM</t>
        </is>
      </c>
      <c r="D29" s="112" t="inlineStr">
        <is>
          <t>Release</t>
        </is>
      </c>
      <c r="E29" s="112" t="inlineStr">
        <is>
          <t>Requirement Name, Stream, Sprint, Status, Priority, HLE</t>
        </is>
      </c>
    </row>
    <row r="30" ht="27.75" customHeight="1" s="93"/>
    <row r="31" ht="15" customHeight="1" s="93">
      <c r="B31" s="98" t="inlineStr">
        <is>
          <t>Current status</t>
        </is>
      </c>
    </row>
    <row r="32" ht="23.25" customHeight="1" s="93">
      <c r="B32" s="99" t="inlineStr">
        <is>
          <t>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is>
      </c>
    </row>
    <row r="33" ht="15" customHeight="1" s="93">
      <c r="B33" s="99" t="inlineStr">
        <is>
          <t xml:space="preserve">  1. Jira (labelled ticket) -&gt; auto-creates a Backlog row with Jira Key/Link filled in.</t>
        </is>
      </c>
    </row>
    <row r="34" ht="15" customHeight="1" s="93">
      <c r="B34" s="99" t="inlineStr">
        <is>
          <t xml:space="preserve">  2. Any new Backlog row (Jira-sourced or typed straight in with no Jira ticket) -&gt; auto-creates a Trello card.</t>
        </is>
      </c>
    </row>
    <row r="35" ht="16.5" customHeight="1" s="93">
      <c r="B35" s="99" t="inlineStr">
        <is>
          <t xml:space="preserve">  3. Sprint changed for an item -&gt; updates the sprint label on its Trello card.</t>
        </is>
      </c>
    </row>
    <row r="36" ht="42" customHeight="1" s="93">
      <c r="B36" s="99" t="inlineStr">
        <is>
          <t xml:space="preserve">  4. 'Create Jira Ticket?' set to Yes on a manually-added row -&gt; creates the Jira issue and writes the key back into Jira Key/Jira Link, then flips the flag to Created.</t>
        </is>
      </c>
    </row>
    <row r="37" ht="15" customHeight="1" s="93">
      <c r="B37" s="99" t="inlineStr">
        <is>
          <t xml:space="preserve">  5. Scheduled refresh of the RTM Dependency Status column from the live status of the Predecessor/Successor Jira key.</t>
        </is>
      </c>
    </row>
    <row r="38" ht="16.5" customHeight="1" s="93"/>
    <row r="39" ht="42" customHeight="1" s="93">
      <c r="B39" s="99" t="inlineStr">
        <is>
          <t>Until items 1–5 are wired up, fill in Jira Key, Predecessor/Successor, and Dependency Status manually.</t>
        </is>
      </c>
    </row>
    <row r="41" ht="15" customHeight="1" s="93">
      <c r="B41" s="98" t="inlineStr">
        <is>
          <t>Sprint Planning sort order</t>
        </is>
      </c>
    </row>
    <row r="42" ht="68.25" customHeight="1" s="93">
      <c r="B42" s="99" t="inlineStr">
        <is>
          <t>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is>
      </c>
    </row>
    <row r="44" ht="15" customHeight="1" s="93">
      <c r="B44" s="98" t="inlineStr">
        <is>
          <t>Release tab population</t>
        </is>
      </c>
    </row>
    <row r="45" ht="57" customHeight="1" s="93">
      <c r="B45" s="99" t="inlineStr">
        <is>
          <t>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is>
      </c>
    </row>
    <row r="47" ht="15" customHeight="1" s="93">
      <c r="B47" s="98" t="inlineStr">
        <is>
          <t>Quarterly archive (automated via Office Script)</t>
        </is>
      </c>
    </row>
    <row r="48" ht="68.25" customHeight="1" s="93">
      <c r="B48" s="99" t="inlineStr">
        <is>
          <t>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is>
      </c>
    </row>
    <row r="49" ht="15" customHeight="1" s="93">
      <c r="B49" s="92" t="inlineStr">
        <is>
          <t>Sprint → Quarter mapping: Sprint 1–4 → Q1 · Sprint 5–8 → Q2 · Sprint 9–12 → Q3 · Sprint 13–16 → Q4. Update the mapping in autoArchive.ts when sprints roll into 2027.</t>
        </is>
      </c>
    </row>
    <row r="50" ht="34.5" customHeight="1" s="93">
      <c r="B50" s="9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2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76" activePane="bottomLeft" state="frozen"/>
      <selection pane="topLeft" activeCell="A1" activeCellId="0" sqref="A1"/>
      <selection pane="bottomLeft" activeCell="F114" activeCellId="0" sqref="F114"/>
    </sheetView>
  </sheetViews>
  <sheetFormatPr baseColWidth="8" defaultColWidth="8.66796875" defaultRowHeight="15" customHeight="0" zeroHeight="0" outlineLevelRow="0"/>
  <cols>
    <col width="16" customWidth="1" style="92" min="1" max="1"/>
    <col width="90.34" customWidth="1" style="92" min="2" max="2"/>
    <col width="12" customWidth="1" style="92" min="3" max="4"/>
    <col width="14" customWidth="1" style="92" min="5" max="6"/>
    <col width="12" customWidth="1" style="92" min="7" max="7"/>
    <col width="16" customWidth="1" style="92" min="8" max="8"/>
    <col width="14" customWidth="1" style="92" min="9" max="9"/>
    <col width="8" customWidth="1" style="92" min="10" max="10"/>
    <col width="14" customWidth="1" style="92" min="11" max="11"/>
    <col width="13" customWidth="1" style="92" min="12" max="12"/>
    <col width="15" customWidth="1" style="92" min="13" max="13"/>
    <col width="14" customWidth="1" style="92" min="14" max="14"/>
    <col width="43.51" customWidth="1" style="92" min="15" max="15"/>
    <col hidden="1" width="13" customWidth="1" style="92" min="16" max="17"/>
  </cols>
  <sheetData>
    <row r="1" ht="30" customHeight="1" s="93">
      <c r="A1" s="113" t="inlineStr">
        <is>
          <t>Requirement ID</t>
        </is>
      </c>
      <c r="B1" s="113" t="inlineStr">
        <is>
          <t>Requirement Name</t>
        </is>
      </c>
      <c r="C1" s="113" t="inlineStr">
        <is>
          <t>Type</t>
        </is>
      </c>
      <c r="D1" s="113" t="inlineStr">
        <is>
          <t>Stream</t>
        </is>
      </c>
      <c r="E1" s="113" t="inlineStr">
        <is>
          <t>Stream Owner</t>
        </is>
      </c>
      <c r="F1" s="113" t="inlineStr">
        <is>
          <t>Status</t>
        </is>
      </c>
      <c r="G1" s="113" t="inlineStr">
        <is>
          <t>Priority</t>
        </is>
      </c>
      <c r="H1" s="113" t="inlineStr">
        <is>
          <t>Planned Delivery</t>
        </is>
      </c>
      <c r="I1" s="114" t="inlineStr">
        <is>
          <t>Sprint</t>
        </is>
      </c>
      <c r="J1" s="113" t="inlineStr">
        <is>
          <t>HLE</t>
        </is>
      </c>
      <c r="K1" s="114" t="inlineStr">
        <is>
          <t>Release</t>
        </is>
      </c>
      <c r="L1" s="113" t="inlineStr">
        <is>
          <t>Date Added</t>
        </is>
      </c>
      <c r="M1" s="113" t="inlineStr">
        <is>
          <t>Create Jira Ticket?</t>
        </is>
      </c>
      <c r="N1" s="113" t="inlineStr">
        <is>
          <t>Jira Key</t>
        </is>
      </c>
      <c r="O1" s="114" t="inlineStr">
        <is>
          <t>Jira Link</t>
        </is>
      </c>
      <c r="P1" s="92" t="inlineStr">
        <is>
          <t>ID Number</t>
        </is>
      </c>
      <c r="Q1" s="92" t="inlineStr">
        <is>
          <t>Frozen ID</t>
        </is>
      </c>
    </row>
    <row r="2" ht="15" customHeight="1" s="93">
      <c r="A2" s="115">
        <f>IF(AND(B2="",C2="",D2="",E2="",F2="",G2="",H2="",J2="",L2="",M2="",N2=""),"",Q2)</f>
        <v/>
      </c>
      <c r="B2" s="116" t="inlineStr">
        <is>
          <t>Outbound leads - Abandoned Cart - Replacement of Salescycle</t>
        </is>
      </c>
      <c r="C2" s="116" t="inlineStr">
        <is>
          <t>TBC</t>
        </is>
      </c>
      <c r="D2" s="116" t="inlineStr">
        <is>
          <t>US</t>
        </is>
      </c>
      <c r="E2" s="116" t="inlineStr">
        <is>
          <t>MA</t>
        </is>
      </c>
      <c r="F2" s="116" t="inlineStr">
        <is>
          <t>ON HOLD</t>
        </is>
      </c>
      <c r="G2" s="116" t="inlineStr">
        <is>
          <t>Medium</t>
        </is>
      </c>
      <c r="H2" s="116" t="n"/>
      <c r="I2" s="117">
        <f>IF($A2="","",IFERROR(IF(ISBLANK(INDEX(SprintPlanning[Sprint],MATCH($A2,SprintPlanning[Requirement ID],0))),"To Plan",INDEX(SprintPlanning[Sprint],MATCH($A2,SprintPlanning[Requirement ID],0))),"To Plan"))</f>
        <v/>
      </c>
      <c r="J2" s="116" t="n"/>
      <c r="K2" s="117">
        <f>IFERROR(IF(ISBLANK(INDEX(Release[Release],MATCH($A2,Release[Requirement ID],0))),"",INDEX(Release[Release],MATCH($A2,Release[Requirement ID],0))),"")</f>
        <v/>
      </c>
      <c r="L2" s="118" t="n">
        <v>46232</v>
      </c>
      <c r="M2" s="116" t="n"/>
      <c r="N2" s="116" t="n"/>
      <c r="O2" s="117">
        <f>IF($N2="","","https://smartship.atlassian.net/browse/"&amp;$N2)</f>
        <v/>
      </c>
      <c r="P2" s="92">
        <f>IFERROR(VALUE(MID($A2,5,4)),0)</f>
        <v/>
      </c>
      <c r="Q2" s="92" t="inlineStr">
        <is>
          <t>NEW-0267</t>
        </is>
      </c>
    </row>
    <row r="3" ht="15" customHeight="1" s="93">
      <c r="A3" s="115">
        <f>IF(AND(B3="",C3="",D3="",E3="",F3="",G3="",H3="",J3="",L3="",M3="",N3=""),"",Q3)</f>
        <v/>
      </c>
      <c r="B3" s="116" t="inlineStr">
        <is>
          <t>API Prod Configurations - Attentive / Webforms</t>
        </is>
      </c>
      <c r="C3" s="116" t="inlineStr">
        <is>
          <t>Config</t>
        </is>
      </c>
      <c r="D3" s="116" t="inlineStr">
        <is>
          <t>US</t>
        </is>
      </c>
      <c r="E3" s="116" t="inlineStr">
        <is>
          <t>B2CW</t>
        </is>
      </c>
      <c r="F3" s="116" t="inlineStr">
        <is>
          <t>IN PROGRESS</t>
        </is>
      </c>
      <c r="G3" s="116" t="inlineStr">
        <is>
          <t>High</t>
        </is>
      </c>
      <c r="H3" s="116" t="n"/>
      <c r="I3" s="117">
        <f>IF($A3="","",IFERROR(IF(ISBLANK(INDEX(SprintPlanning[Sprint],MATCH($A3,SprintPlanning[Requirement ID],0))),"To Plan",INDEX(SprintPlanning[Sprint],MATCH($A3,SprintPlanning[Requirement ID],0))),"To Plan"))</f>
        <v/>
      </c>
      <c r="J3" s="116" t="n">
        <v>8</v>
      </c>
      <c r="K3" s="117">
        <f>IFERROR(IF(ISBLANK(INDEX(Release[Release],MATCH($A3,Release[Requirement ID],0))),"",INDEX(Release[Release],MATCH($A3,Release[Requirement ID],0))),"")</f>
        <v/>
      </c>
      <c r="L3" s="118" t="n">
        <v>46226</v>
      </c>
      <c r="M3" s="116" t="inlineStr">
        <is>
          <t>Created</t>
        </is>
      </c>
      <c r="N3" s="116" t="inlineStr">
        <is>
          <t>MDTTPU-14019</t>
        </is>
      </c>
      <c r="O3" s="117">
        <f>IF($N3="","","https://smartship.atlassian.net/browse/"&amp;$N3)</f>
        <v/>
      </c>
      <c r="P3" s="92">
        <f>IFERROR(VALUE(MID($A3,5,4)),0)</f>
        <v/>
      </c>
      <c r="Q3" s="92" t="inlineStr">
        <is>
          <t>NEW-0057</t>
        </is>
      </c>
    </row>
    <row r="4" ht="15" customHeight="1" s="93">
      <c r="A4" s="115">
        <f>IF(AND(B4="",C4="",D4="",E4="",F4="",G4="",H4="",J4="",L4="",M4="",N4=""),"",Q4)</f>
        <v/>
      </c>
      <c r="B4" s="116" t="inlineStr">
        <is>
          <t>CR - Attentive Error Scenarios INT 175</t>
        </is>
      </c>
      <c r="C4" s="119" t="inlineStr">
        <is>
          <t>CR</t>
        </is>
      </c>
      <c r="D4" s="119" t="inlineStr">
        <is>
          <t>US</t>
        </is>
      </c>
      <c r="E4" s="119" t="inlineStr">
        <is>
          <t>MA</t>
        </is>
      </c>
      <c r="F4" s="119" t="inlineStr">
        <is>
          <t>IN PROGRESS</t>
        </is>
      </c>
      <c r="G4" s="119" t="inlineStr">
        <is>
          <t>Medium</t>
        </is>
      </c>
      <c r="H4" s="119" t="n"/>
      <c r="I4" s="117">
        <f>IF($A4="","",IFERROR(IF(ISBLANK(INDEX(SprintPlanning[Sprint],MATCH($A4,SprintPlanning[Requirement ID],0))),"To Plan",INDEX(SprintPlanning[Sprint],MATCH($A4,SprintPlanning[Requirement ID],0))),"To Plan"))</f>
        <v/>
      </c>
      <c r="J4" s="119" t="n">
        <v>5</v>
      </c>
      <c r="K4" s="120">
        <f>IFERROR(IF(ISBLANK(INDEX(Release[Release],MATCH($A4,Release[Requirement ID],0))),"",INDEX(Release[Release],MATCH($A4,Release[Requirement ID],0))),"")</f>
        <v/>
      </c>
      <c r="L4" s="118" t="n">
        <v>46226</v>
      </c>
      <c r="M4" s="119" t="inlineStr">
        <is>
          <t>Created</t>
        </is>
      </c>
      <c r="N4" s="119" t="inlineStr">
        <is>
          <t>MDTTPU-13413</t>
        </is>
      </c>
      <c r="O4" s="120">
        <f>IF($N4="","","https://smartship.atlassian.net/browse/"&amp;$N4)</f>
        <v/>
      </c>
      <c r="P4" s="92">
        <f>IFERROR(VALUE(MID($A4,5,4)),0)</f>
        <v/>
      </c>
      <c r="Q4" s="92" t="inlineStr">
        <is>
          <t>NEW-0058</t>
        </is>
      </c>
    </row>
    <row r="5" ht="15" customHeight="1" s="93">
      <c r="A5" s="121">
        <f>IF(AND(B5="",C5="",D5="",E5="",F5="",G5="",H5="",J5="",L5="",M5="",N5=""),"",Q5)</f>
        <v/>
      </c>
      <c r="B5" s="119" t="inlineStr">
        <is>
          <t>US Configuration myMSC - Production</t>
        </is>
      </c>
      <c r="C5" s="119" t="inlineStr">
        <is>
          <t>Config</t>
        </is>
      </c>
      <c r="D5" s="119" t="inlineStr">
        <is>
          <t>US</t>
        </is>
      </c>
      <c r="E5" s="119" t="inlineStr">
        <is>
          <t>B2CW</t>
        </is>
      </c>
      <c r="F5" s="119" t="inlineStr">
        <is>
          <t>IN PROGRESS</t>
        </is>
      </c>
      <c r="G5" s="119" t="inlineStr">
        <is>
          <t>High</t>
        </is>
      </c>
      <c r="H5" s="119" t="n"/>
      <c r="I5" s="120">
        <f>IF($A5="","",IFERROR(IF(ISBLANK(INDEX(SprintPlanning[Sprint],MATCH($A5,SprintPlanning[Requirement ID],0))),"To Plan",INDEX(SprintPlanning[Sprint],MATCH($A5,SprintPlanning[Requirement ID],0))),"To Plan"))</f>
        <v/>
      </c>
      <c r="J5" s="119" t="n">
        <v>8</v>
      </c>
      <c r="K5" s="120">
        <f>IFERROR(IF(ISBLANK(INDEX(Release[Release],MATCH($A5,Release[Requirement ID],0))),"",INDEX(Release[Release],MATCH($A5,Release[Requirement ID],0))),"")</f>
        <v/>
      </c>
      <c r="L5" s="122" t="n">
        <v>46226</v>
      </c>
      <c r="M5" s="119" t="inlineStr">
        <is>
          <t>Created</t>
        </is>
      </c>
      <c r="N5" s="119" t="inlineStr">
        <is>
          <t>MDTTPU-14018</t>
        </is>
      </c>
      <c r="O5" s="120">
        <f>IF($N5="","","https://smartship.atlassian.net/browse/"&amp;$N5)</f>
        <v/>
      </c>
      <c r="P5" s="92">
        <f>IFERROR(VALUE(MID($A5,5,4)),0)</f>
        <v/>
      </c>
      <c r="Q5" s="92" t="inlineStr">
        <is>
          <t>NEW-0060</t>
        </is>
      </c>
    </row>
    <row r="6" ht="15" customHeight="1" s="93">
      <c r="A6" s="121">
        <f>IF(AND(B6="",C6="",D6="",E6="",F6="",G6="",H6="",J6="",L6="",M6="",N6=""),"",Q6)</f>
        <v/>
      </c>
      <c r="B6" s="119" t="inlineStr">
        <is>
          <t>Load Test + Performance Enhancements - Part 1</t>
        </is>
      </c>
      <c r="C6" s="119" t="inlineStr">
        <is>
          <t>Tech Task</t>
        </is>
      </c>
      <c r="D6" s="119" t="inlineStr">
        <is>
          <t>US</t>
        </is>
      </c>
      <c r="E6" s="119" t="inlineStr">
        <is>
          <t>ALL</t>
        </is>
      </c>
      <c r="F6" s="119" t="inlineStr">
        <is>
          <t>IN PROGRESS</t>
        </is>
      </c>
      <c r="G6" s="119" t="inlineStr">
        <is>
          <t>High</t>
        </is>
      </c>
      <c r="H6" s="119" t="n"/>
      <c r="I6" s="120">
        <f>IF($A6="","",IFERROR(IF(ISBLANK(INDEX(SprintPlanning[Sprint],MATCH($A6,SprintPlanning[Requirement ID],0))),"To Plan",INDEX(SprintPlanning[Sprint],MATCH($A6,SprintPlanning[Requirement ID],0))),"To Plan"))</f>
        <v/>
      </c>
      <c r="J6" s="119" t="n">
        <v>21</v>
      </c>
      <c r="K6" s="120">
        <f>IFERROR(IF(ISBLANK(INDEX(Release[Release],MATCH($A6,Release[Requirement ID],0))),"",INDEX(Release[Release],MATCH($A6,Release[Requirement ID],0))),"")</f>
        <v/>
      </c>
      <c r="L6" s="122" t="n">
        <v>46226</v>
      </c>
      <c r="M6" s="119" t="inlineStr">
        <is>
          <t>Created</t>
        </is>
      </c>
      <c r="N6" s="119" t="inlineStr">
        <is>
          <t>MDTTPU-15260</t>
        </is>
      </c>
      <c r="O6" s="120">
        <f>IF($N6="","","https://smartship.atlassian.net/browse/"&amp;$N6)</f>
        <v/>
      </c>
      <c r="P6" s="92">
        <f>IFERROR(VALUE(MID($A6,5,4)),0)</f>
        <v/>
      </c>
      <c r="Q6" s="92" t="inlineStr">
        <is>
          <t>NEW-0061</t>
        </is>
      </c>
    </row>
    <row r="7" ht="15" customHeight="1" s="93">
      <c r="A7" s="121">
        <f>IF(AND(B7="",C7="",D7="",E7="",F7="",G7="",H7="",J7="",L7="",M7="",N7=""),"",Q7)</f>
        <v/>
      </c>
      <c r="B7" s="119" t="inlineStr">
        <is>
          <t>E2E Ticket Support - FAT and Canary Tests</t>
        </is>
      </c>
      <c r="C7" s="119" t="inlineStr">
        <is>
          <t>Tech Task</t>
        </is>
      </c>
      <c r="D7" s="119" t="inlineStr">
        <is>
          <t>US</t>
        </is>
      </c>
      <c r="E7" s="119" t="inlineStr">
        <is>
          <t>ALL</t>
        </is>
      </c>
      <c r="F7" s="119" t="inlineStr">
        <is>
          <t>IN PROGRESS</t>
        </is>
      </c>
      <c r="G7" s="119" t="inlineStr">
        <is>
          <t>High</t>
        </is>
      </c>
      <c r="H7" s="119" t="n"/>
      <c r="I7" s="120">
        <f>IF($A7="","",IFERROR(IF(ISBLANK(INDEX(SprintPlanning[Sprint],MATCH($A7,SprintPlanning[Requirement ID],0))),"To Plan",INDEX(SprintPlanning[Sprint],MATCH($A7,SprintPlanning[Requirement ID],0))),"To Plan"))</f>
        <v/>
      </c>
      <c r="J7" s="119" t="n">
        <v>13</v>
      </c>
      <c r="K7" s="120">
        <f>IFERROR(IF(ISBLANK(INDEX(Release[Release],MATCH($A7,Release[Requirement ID],0))),"",INDEX(Release[Release],MATCH($A7,Release[Requirement ID],0))),"")</f>
        <v/>
      </c>
      <c r="L7" s="122" t="n">
        <v>46226</v>
      </c>
      <c r="M7" s="119" t="inlineStr">
        <is>
          <t>Created</t>
        </is>
      </c>
      <c r="N7" s="119" t="inlineStr">
        <is>
          <t>DTTP25-41779</t>
        </is>
      </c>
      <c r="O7" s="120">
        <f>IF($N7="","","https://smartship.atlassian.net/browse/"&amp;$N7)</f>
        <v/>
      </c>
      <c r="P7" s="92">
        <f>IFERROR(VALUE(MID($A7,5,4)),0)</f>
        <v/>
      </c>
      <c r="Q7" s="92" t="inlineStr">
        <is>
          <t>NEW-0071</t>
        </is>
      </c>
    </row>
    <row r="8" ht="15" customHeight="1" s="93">
      <c r="A8" s="121">
        <f>IF(AND(B8="",C8="",D8="",E8="",F8="",G8="",H8="",J8="",L8="",M8="",N8=""),"",Q8)</f>
        <v/>
      </c>
      <c r="B8" s="119" t="inlineStr">
        <is>
          <t>[EINT] [Tech Task] INT172 INT174 - Attentive Error Scenarios</t>
        </is>
      </c>
      <c r="C8" s="119" t="inlineStr">
        <is>
          <t>Tech Task</t>
        </is>
      </c>
      <c r="D8" s="119" t="inlineStr">
        <is>
          <t>US</t>
        </is>
      </c>
      <c r="E8" s="119" t="inlineStr">
        <is>
          <t>MA</t>
        </is>
      </c>
      <c r="F8" s="119" t="inlineStr">
        <is>
          <t>IN PROGRESS</t>
        </is>
      </c>
      <c r="G8" s="119" t="inlineStr">
        <is>
          <t>Medium</t>
        </is>
      </c>
      <c r="H8" s="119" t="n"/>
      <c r="I8" s="120">
        <f>IF($A8="","",IFERROR(IF(ISBLANK(INDEX(SprintPlanning[Sprint],MATCH($A8,SprintPlanning[Requirement ID],0))),"To Plan",INDEX(SprintPlanning[Sprint],MATCH($A8,SprintPlanning[Requirement ID],0))),"To Plan"))</f>
        <v/>
      </c>
      <c r="J8" s="119" t="n">
        <v>5</v>
      </c>
      <c r="K8" s="120">
        <f>IFERROR(IF(ISBLANK(INDEX(Release[Release],MATCH($A8,Release[Requirement ID],0))),"",INDEX(Release[Release],MATCH($A8,Release[Requirement ID],0))),"")</f>
        <v/>
      </c>
      <c r="L8" s="122" t="n">
        <v>46232</v>
      </c>
      <c r="M8" s="119" t="inlineStr">
        <is>
          <t>Created</t>
        </is>
      </c>
      <c r="N8" s="119" t="inlineStr">
        <is>
          <t>MDTTPU-13796</t>
        </is>
      </c>
      <c r="O8" s="120">
        <f>IF($N8="","","https://smartship.atlassian.net/browse/"&amp;$N8)</f>
        <v/>
      </c>
      <c r="P8" s="92">
        <f>IFERROR(VALUE(MID($A8,5,4)),0)</f>
        <v/>
      </c>
      <c r="Q8" s="92" t="inlineStr">
        <is>
          <t>NEW-0275</t>
        </is>
      </c>
    </row>
    <row r="9" ht="15" customHeight="1" s="93">
      <c r="A9" s="121">
        <f>IF(AND(B9="",C9="",D9="",E9="",F9="",G9="",H9="",J9="",L9="",M9="",N9=""),"",Q9)</f>
        <v/>
      </c>
      <c r="B9" s="119" t="inlineStr">
        <is>
          <t>MyMSC US | [INT112][INT137][INT140][INT146][INT153][INT154][INT188] Add per-country/language MyMSC campaign config check to skip optional marketing automation calls</t>
        </is>
      </c>
      <c r="C9" s="119" t="inlineStr">
        <is>
          <t>CR</t>
        </is>
      </c>
      <c r="D9" s="119" t="inlineStr">
        <is>
          <t>Growth</t>
        </is>
      </c>
      <c r="E9" s="119" t="inlineStr">
        <is>
          <t>MA</t>
        </is>
      </c>
      <c r="F9" s="119" t="inlineStr">
        <is>
          <t>IN PROGRESS</t>
        </is>
      </c>
      <c r="G9" s="119" t="inlineStr">
        <is>
          <t>High</t>
        </is>
      </c>
      <c r="H9" s="119" t="n"/>
      <c r="I9" s="120">
        <f>IF($A9="","",IFERROR(IF(ISBLANK(INDEX(SprintPlanning[Sprint],MATCH($A9,SprintPlanning[Requirement ID],0))),"To Plan",INDEX(SprintPlanning[Sprint],MATCH($A9,SprintPlanning[Requirement ID],0))),"To Plan"))</f>
        <v/>
      </c>
      <c r="J9" s="119" t="n">
        <v>8</v>
      </c>
      <c r="K9" s="120">
        <f>IFERROR(IF(ISBLANK(INDEX(Release[Release],MATCH($A9,Release[Requirement ID],0))),"",INDEX(Release[Release],MATCH($A9,Release[Requirement ID],0))),"")</f>
        <v/>
      </c>
      <c r="L9" s="122" t="n">
        <v>46232</v>
      </c>
      <c r="M9" s="119" t="inlineStr">
        <is>
          <t>Created</t>
        </is>
      </c>
      <c r="N9" s="119" t="inlineStr">
        <is>
          <t>MDTTPU-14929</t>
        </is>
      </c>
      <c r="O9" s="120">
        <f>IF($N9="","","https://smartship.atlassian.net/browse/"&amp;$N9)</f>
        <v/>
      </c>
      <c r="P9" s="92">
        <f>IFERROR(VALUE(MID($A9,5,4)),0)</f>
        <v/>
      </c>
      <c r="Q9" s="92" t="inlineStr">
        <is>
          <t>NEW-0368</t>
        </is>
      </c>
    </row>
    <row r="10" ht="15" customHeight="1" s="93">
      <c r="A10" s="121">
        <f>IF(AND(B10="",C10="",D10="",E10="",F10="",G10="",H10="",J10="",L10="",M10="",N10=""),"",Q10)</f>
        <v/>
      </c>
      <c r="B10" s="119" t="inlineStr">
        <is>
          <t>[DTTP] Implementation of Online Post-Cruise Complaint Form – Salesforce Integration_EA</t>
        </is>
      </c>
      <c r="C10" s="119" t="inlineStr">
        <is>
          <t>CR</t>
        </is>
      </c>
      <c r="D10" s="119" t="inlineStr">
        <is>
          <t>PI10</t>
        </is>
      </c>
      <c r="E10" s="119" t="inlineStr">
        <is>
          <t>B2CW</t>
        </is>
      </c>
      <c r="F10" s="119" t="inlineStr">
        <is>
          <t>IN PROGRESS</t>
        </is>
      </c>
      <c r="G10" s="119" t="inlineStr">
        <is>
          <t>Medium</t>
        </is>
      </c>
      <c r="H10" s="119" t="n"/>
      <c r="I10" s="120">
        <f>IF($A10="","",IFERROR(IF(ISBLANK(INDEX(SprintPlanning[Sprint],MATCH($A10,SprintPlanning[Requirement ID],0))),"To Plan",INDEX(SprintPlanning[Sprint],MATCH($A10,SprintPlanning[Requirement ID],0))),"To Plan"))</f>
        <v/>
      </c>
      <c r="J10" s="119" t="n">
        <v>8</v>
      </c>
      <c r="K10" s="120">
        <f>IFERROR(IF(ISBLANK(INDEX(Release[Release],MATCH($A10,Release[Requirement ID],0))),"",INDEX(Release[Release],MATCH($A10,Release[Requirement ID],0))),"")</f>
        <v/>
      </c>
      <c r="L10" s="122" t="n">
        <v>46232</v>
      </c>
      <c r="M10" s="119" t="inlineStr">
        <is>
          <t>Created</t>
        </is>
      </c>
      <c r="N10" s="119" t="inlineStr">
        <is>
          <t>DTTP25-40322</t>
        </is>
      </c>
      <c r="O10" s="120">
        <f>IF($N10="","","https://smartship.atlassian.net/browse/"&amp;$N10)</f>
        <v/>
      </c>
      <c r="P10" s="92">
        <f>IFERROR(VALUE(MID($A10,5,4)),0)</f>
        <v/>
      </c>
      <c r="Q10" s="92" t="inlineStr">
        <is>
          <t>NEW-0389</t>
        </is>
      </c>
    </row>
    <row r="11" ht="15" customHeight="1" s="93">
      <c r="A11" s="123">
        <f>IF(AND(B11="",C11="",D11="",E11="",F11="",G11="",H11="",J11="",L11="",M11="",N11=""),"",Q11)</f>
        <v/>
      </c>
      <c r="B11" s="124" t="inlineStr">
        <is>
          <t>US Growth - B2CW Payment billing data/ US Release ACS Check - Part 1 (Adding the new fields to INT007, INT140, INT146)</t>
        </is>
      </c>
      <c r="C11" s="124" t="inlineStr">
        <is>
          <t>CR</t>
        </is>
      </c>
      <c r="D11" s="124" t="inlineStr">
        <is>
          <t>Growth</t>
        </is>
      </c>
      <c r="E11" s="124" t="inlineStr">
        <is>
          <t>B2CW</t>
        </is>
      </c>
      <c r="F11" s="124" t="inlineStr">
        <is>
          <t>NEW</t>
        </is>
      </c>
      <c r="G11" s="124" t="inlineStr">
        <is>
          <t>High</t>
        </is>
      </c>
      <c r="H11" s="124" t="inlineStr">
        <is>
          <t>Q3 2026</t>
        </is>
      </c>
      <c r="I11" s="117">
        <f>IF($A11="","",IFERROR(IF(ISBLANK(INDEX(SprintPlanning[Sprint],MATCH($A11,SprintPlanning[Requirement ID],0))),"To Plan",INDEX(SprintPlanning[Sprint],MATCH($A11,SprintPlanning[Requirement ID],0))),"To Plan"))</f>
        <v/>
      </c>
      <c r="J11" s="124" t="n">
        <v>5</v>
      </c>
      <c r="K11" s="117">
        <f>IFERROR(IF(ISBLANK(INDEX(Release[Release],MATCH($A11,Release[Requirement ID],0))),"",INDEX(Release[Release],MATCH($A11,Release[Requirement ID],0))),"")</f>
        <v/>
      </c>
      <c r="L11" s="125" t="n">
        <v>46237</v>
      </c>
      <c r="M11" s="124" t="inlineStr">
        <is>
          <t>Created</t>
        </is>
      </c>
      <c r="N11" s="124" t="inlineStr">
        <is>
          <t>MDTTPU-15252</t>
        </is>
      </c>
      <c r="O11" s="117">
        <f>IF($N11="","","https://smartship.atlassian.net/browse/"&amp;$N11)</f>
        <v/>
      </c>
      <c r="P11" s="92">
        <f>IFERROR(VALUE(MID($A11,5,4)),0)</f>
        <v/>
      </c>
      <c r="Q11" s="92" t="inlineStr">
        <is>
          <t>NEW-0408</t>
        </is>
      </c>
    </row>
    <row r="12" ht="15" customHeight="1" s="93">
      <c r="A12" s="123">
        <f>IF(AND(B12="",C12="",D12="",E12="",F12="",G12="",H12="",J12="",L12="",M12="",N12=""),"",Q12)</f>
        <v/>
      </c>
      <c r="B12" s="124" t="inlineStr">
        <is>
          <t>Load Test Perf - Support &amp; Analysis</t>
        </is>
      </c>
      <c r="C12" s="124" t="inlineStr">
        <is>
          <t>Tech Task</t>
        </is>
      </c>
      <c r="D12" s="124" t="inlineStr">
        <is>
          <t>US</t>
        </is>
      </c>
      <c r="E12" s="124" t="inlineStr">
        <is>
          <t>ALL</t>
        </is>
      </c>
      <c r="F12" s="124" t="inlineStr">
        <is>
          <t>IN PROGRESS</t>
        </is>
      </c>
      <c r="G12" s="124" t="inlineStr">
        <is>
          <t>High</t>
        </is>
      </c>
      <c r="H12" s="124" t="n"/>
      <c r="I12" s="117">
        <f>IF($A12="","",IFERROR(IF(ISBLANK(INDEX(SprintPlanning[Sprint],MATCH($A12,SprintPlanning[Requirement ID],0))),"To Plan",INDEX(SprintPlanning[Sprint],MATCH($A12,SprintPlanning[Requirement ID],0))),"To Plan"))</f>
        <v/>
      </c>
      <c r="J12" s="124" t="n">
        <v>21</v>
      </c>
      <c r="K12" s="117">
        <f>IFERROR(IF(ISBLANK(INDEX(Release[Release],MATCH($A12,Release[Requirement ID],0))),"",INDEX(Release[Release],MATCH($A12,Release[Requirement ID],0))),"")</f>
        <v/>
      </c>
      <c r="L12" s="125" t="n">
        <v>46237</v>
      </c>
      <c r="M12" s="124" t="inlineStr">
        <is>
          <t>Created</t>
        </is>
      </c>
      <c r="N12" s="124" t="inlineStr">
        <is>
          <t>MDTTPU-15252</t>
        </is>
      </c>
      <c r="O12" s="117">
        <f>IF($N12="","","https://smartship.atlassian.net/browse/"&amp;$N12)</f>
        <v/>
      </c>
      <c r="P12" s="92">
        <f>IFERROR(VALUE(MID($A12,5,4)),0)</f>
        <v/>
      </c>
      <c r="Q12" s="92" t="inlineStr">
        <is>
          <t>NEW-0411</t>
        </is>
      </c>
    </row>
    <row r="13" ht="15" customHeight="1" s="93">
      <c r="A13" s="123">
        <f>IF(AND(B13="",C13="",D13="",E13="",F13="",G13="",H13="",J13="",L13="",M13="",N13=""),"",Q13)</f>
        <v/>
      </c>
      <c r="B13" s="124" t="inlineStr">
        <is>
          <t>US 0.1 Release Preparation - Aug 24</t>
        </is>
      </c>
      <c r="C13" s="124" t="inlineStr">
        <is>
          <t>Tech Task</t>
        </is>
      </c>
      <c r="D13" s="124" t="inlineStr">
        <is>
          <t>Cross</t>
        </is>
      </c>
      <c r="E13" s="124" t="inlineStr">
        <is>
          <t>ALL</t>
        </is>
      </c>
      <c r="F13" s="124" t="inlineStr">
        <is>
          <t>IN PROGRESS</t>
        </is>
      </c>
      <c r="G13" s="124" t="inlineStr">
        <is>
          <t>High</t>
        </is>
      </c>
      <c r="H13" s="124" t="n"/>
      <c r="I13" s="117">
        <f>IF($A13="","",IFERROR(IF(ISBLANK(INDEX(SprintPlanning[Sprint],MATCH($A13,SprintPlanning[Requirement ID],0))),"To Plan",INDEX(SprintPlanning[Sprint],MATCH($A13,SprintPlanning[Requirement ID],0))),"To Plan"))</f>
        <v/>
      </c>
      <c r="J13" s="124" t="n">
        <v>13</v>
      </c>
      <c r="K13" s="117">
        <f>IFERROR(IF(ISBLANK(INDEX(Release[Release],MATCH($A13,Release[Requirement ID],0))),"",INDEX(Release[Release],MATCH($A13,Release[Requirement ID],0))),"")</f>
        <v/>
      </c>
      <c r="L13" s="125" t="n">
        <v>46237</v>
      </c>
      <c r="M13" s="124" t="inlineStr">
        <is>
          <t>Created</t>
        </is>
      </c>
      <c r="N13" s="124" t="inlineStr">
        <is>
          <t>MDTTPU-15262</t>
        </is>
      </c>
      <c r="O13" s="117">
        <f>IF($N13="","","https://smartship.atlassian.net/browse/"&amp;$N13)</f>
        <v/>
      </c>
      <c r="P13" s="92">
        <f>IFERROR(VALUE(MID($A13,5,4)),0)</f>
        <v/>
      </c>
      <c r="Q13" s="92" t="inlineStr">
        <is>
          <t>NEW-0412</t>
        </is>
      </c>
    </row>
    <row r="14" ht="15" customHeight="1" s="93">
      <c r="A14" s="115">
        <f>IF(AND(B14="",C14="",D14="",E14="",F14="",G14="",H14="",J14="",L14="",M14="",N14=""),"",Q14)</f>
        <v/>
      </c>
      <c r="B14" s="116" t="inlineStr">
        <is>
          <t>ZAF Rollout - Market Configurations in CHAIN1 &amp; CHAIN2 and PROD</t>
        </is>
      </c>
      <c r="C14" s="116" t="inlineStr">
        <is>
          <t>Config</t>
        </is>
      </c>
      <c r="D14" s="116" t="inlineStr">
        <is>
          <t>MVP Rollout</t>
        </is>
      </c>
      <c r="E14" s="116" t="inlineStr">
        <is>
          <t>B2CW</t>
        </is>
      </c>
      <c r="F14" s="116" t="inlineStr">
        <is>
          <t>NEW</t>
        </is>
      </c>
      <c r="G14" s="116" t="inlineStr">
        <is>
          <t>Medium</t>
        </is>
      </c>
      <c r="H14" s="116" t="n"/>
      <c r="I14" s="117">
        <f>IF($A14="","",IFERROR(IF(ISBLANK(INDEX(SprintPlanning[Sprint],MATCH($A14,SprintPlanning[Requirement ID],0))),"To Plan",INDEX(SprintPlanning[Sprint],MATCH($A14,SprintPlanning[Requirement ID],0))),"To Plan"))</f>
        <v/>
      </c>
      <c r="J14" s="116" t="n">
        <v>8</v>
      </c>
      <c r="K14" s="117">
        <f>IFERROR(IF(ISBLANK(INDEX(Release[Release],MATCH($A14,Release[Requirement ID],0))),"",INDEX(Release[Release],MATCH($A14,Release[Requirement ID],0))),"")</f>
        <v/>
      </c>
      <c r="L14" s="118" t="n">
        <v>46226</v>
      </c>
      <c r="M14" s="116" t="inlineStr">
        <is>
          <t>Created</t>
        </is>
      </c>
      <c r="N14" s="116" t="inlineStr">
        <is>
          <t>DTTP25-41351</t>
        </is>
      </c>
      <c r="O14" s="117">
        <f>IF($N14="","","https://smartship.atlassian.net/browse/"&amp;$N14)</f>
        <v/>
      </c>
      <c r="P14" s="92">
        <f>IFERROR(VALUE(MID($A14,5,4)),0)</f>
        <v/>
      </c>
      <c r="Q14" s="92" t="inlineStr">
        <is>
          <t>NEW-0064</t>
        </is>
      </c>
    </row>
    <row r="15" ht="15" customHeight="1" s="93">
      <c r="A15" s="115">
        <f>IF(AND(B15="",C15="",D15="",E15="",F15="",G15="",H15="",J15="",L15="",M15="",N15=""),"",Q15)</f>
        <v/>
      </c>
      <c r="B15" s="116" t="inlineStr">
        <is>
          <t>ZAFRollout - Market Configurations in Production</t>
        </is>
      </c>
      <c r="C15" s="116" t="inlineStr">
        <is>
          <t>Config</t>
        </is>
      </c>
      <c r="D15" s="116" t="inlineStr">
        <is>
          <t>MVP Rollout</t>
        </is>
      </c>
      <c r="E15" s="116" t="inlineStr">
        <is>
          <t>B2CW</t>
        </is>
      </c>
      <c r="F15" s="116" t="inlineStr">
        <is>
          <t>NA</t>
        </is>
      </c>
      <c r="G15" s="116" t="inlineStr">
        <is>
          <t>Medium</t>
        </is>
      </c>
      <c r="H15" s="116" t="n"/>
      <c r="I15" s="117">
        <f>IF($A15="","",IFERROR(IF(ISBLANK(INDEX(SprintPlanning[Sprint],MATCH($A15,SprintPlanning[Requirement ID],0))),"To Plan",INDEX(SprintPlanning[Sprint],MATCH($A15,SprintPlanning[Requirement ID],0))),"To Plan"))</f>
        <v/>
      </c>
      <c r="J15" s="116" t="n">
        <v>8</v>
      </c>
      <c r="K15" s="117">
        <f>IFERROR(IF(ISBLANK(INDEX(Release[Release],MATCH($A15,Release[Requirement ID],0))),"",INDEX(Release[Release],MATCH($A15,Release[Requirement ID],0))),"")</f>
        <v/>
      </c>
      <c r="L15" s="118" t="n">
        <v>46226</v>
      </c>
      <c r="M15" s="116" t="inlineStr">
        <is>
          <t>Created</t>
        </is>
      </c>
      <c r="N15" s="116" t="inlineStr">
        <is>
          <t>DTTP25-41351</t>
        </is>
      </c>
      <c r="O15" s="117">
        <f>IF($N15="","","https://smartship.atlassian.net/browse/"&amp;$N15)</f>
        <v/>
      </c>
      <c r="P15" s="92">
        <f>IFERROR(VALUE(MID($A15,5,4)),0)</f>
        <v/>
      </c>
      <c r="Q15" s="92" t="inlineStr">
        <is>
          <t>NEW-0065</t>
        </is>
      </c>
    </row>
    <row r="16" ht="15" customHeight="1" s="93">
      <c r="A16" s="115">
        <f>IF(AND(B16="",C16="",D16="",E16="",F16="",G16="",H16="",J16="",L16="",M16="",N16=""),"",Q16)</f>
        <v/>
      </c>
      <c r="B16" s="116" t="inlineStr">
        <is>
          <t>PI11-13 [CRM] [INTP-25] CRM Dependency - Marketing Automation - Calculated fields Booking B2B/B2C</t>
        </is>
      </c>
      <c r="C16" s="116" t="inlineStr">
        <is>
          <t>CR</t>
        </is>
      </c>
      <c r="D16" s="116" t="inlineStr">
        <is>
          <t>PI11</t>
        </is>
      </c>
      <c r="E16" s="116" t="inlineStr">
        <is>
          <t>MA</t>
        </is>
      </c>
      <c r="F16" s="116" t="inlineStr">
        <is>
          <t>NEW</t>
        </is>
      </c>
      <c r="G16" s="116" t="inlineStr">
        <is>
          <t>Medium</t>
        </is>
      </c>
      <c r="H16" s="116" t="n"/>
      <c r="I16" s="117">
        <f>IF($A16="","",IFERROR(IF(ISBLANK(INDEX(SprintPlanning[Sprint],MATCH($A16,SprintPlanning[Requirement ID],0))),"To Plan",INDEX(SprintPlanning[Sprint],MATCH($A16,SprintPlanning[Requirement ID],0))),"To Plan"))</f>
        <v/>
      </c>
      <c r="J16" s="116" t="n">
        <v>13</v>
      </c>
      <c r="K16" s="117">
        <f>IFERROR(IF(ISBLANK(INDEX(Release[Release],MATCH($A16,Release[Requirement ID],0))),"",INDEX(Release[Release],MATCH($A16,Release[Requirement ID],0))),"")</f>
        <v/>
      </c>
      <c r="L16" s="118" t="n">
        <v>46226</v>
      </c>
      <c r="M16" s="116" t="inlineStr">
        <is>
          <t>Created</t>
        </is>
      </c>
      <c r="N16" s="116" t="inlineStr">
        <is>
          <t>DTTP25-41935</t>
        </is>
      </c>
      <c r="O16" s="117">
        <f>IF($N16="","","https://smartship.atlassian.net/browse/"&amp;$N16)</f>
        <v/>
      </c>
      <c r="P16" s="92">
        <f>IFERROR(VALUE(MID($A16,5,4)),0)</f>
        <v/>
      </c>
      <c r="Q16" s="92" t="inlineStr">
        <is>
          <t>NEW-0075</t>
        </is>
      </c>
    </row>
    <row r="17" ht="15" customHeight="1" s="93">
      <c r="A17" s="115">
        <f>IF(AND(B17="",C17="",D17="",E17="",F17="",G17="",H17="",J17="",L17="",M17="",N17=""),"",Q17)</f>
        <v/>
      </c>
      <c r="B17" s="116" t="inlineStr">
        <is>
          <t>PI11-15 [CRM] [EA-1662] CRM Dependency - Lead Management - Hold option additional event fields in CDP</t>
        </is>
      </c>
      <c r="C17" s="116" t="inlineStr">
        <is>
          <t>CR</t>
        </is>
      </c>
      <c r="D17" s="116" t="inlineStr">
        <is>
          <t>PI11</t>
        </is>
      </c>
      <c r="E17" s="116" t="inlineStr">
        <is>
          <t>MA</t>
        </is>
      </c>
      <c r="F17" s="116" t="inlineStr">
        <is>
          <t>NEW</t>
        </is>
      </c>
      <c r="G17" s="116" t="inlineStr">
        <is>
          <t>Medium</t>
        </is>
      </c>
      <c r="H17" s="116" t="n"/>
      <c r="I17" s="117">
        <f>IF($A17="","",IFERROR(IF(ISBLANK(INDEX(SprintPlanning[Sprint],MATCH($A17,SprintPlanning[Requirement ID],0))),"To Plan",INDEX(SprintPlanning[Sprint],MATCH($A17,SprintPlanning[Requirement ID],0))),"To Plan"))</f>
        <v/>
      </c>
      <c r="J17" s="116" t="n">
        <v>13</v>
      </c>
      <c r="K17" s="117">
        <f>IFERROR(IF(ISBLANK(INDEX(Release[Release],MATCH($A17,Release[Requirement ID],0))),"",INDEX(Release[Release],MATCH($A17,Release[Requirement ID],0))),"")</f>
        <v/>
      </c>
      <c r="L17" s="118" t="n">
        <v>46226</v>
      </c>
      <c r="M17" s="116" t="inlineStr">
        <is>
          <t>Created</t>
        </is>
      </c>
      <c r="N17" s="116" t="inlineStr">
        <is>
          <t>DTTP25-41936</t>
        </is>
      </c>
      <c r="O17" s="117">
        <f>IF($N17="","","https://smartship.atlassian.net/browse/"&amp;$N17)</f>
        <v/>
      </c>
      <c r="P17" s="92">
        <f>IFERROR(VALUE(MID($A17,5,4)),0)</f>
        <v/>
      </c>
      <c r="Q17" s="92" t="inlineStr">
        <is>
          <t>NEW-0076</t>
        </is>
      </c>
    </row>
    <row r="18" ht="15" customHeight="1" s="93">
      <c r="A18" s="115">
        <f>IF(AND(B18="",C18="",D18="",E18="",F18="",G18="",H18="",J18="",L18="",M18="",N18=""),"",Q18)</f>
        <v/>
      </c>
      <c r="B18" s="116" t="inlineStr">
        <is>
          <t>Nordics SWE, DEN, NOR, FIN Rollout - Market Configurations in CHAIN1 &amp; CHAIN2</t>
        </is>
      </c>
      <c r="C18" s="116" t="inlineStr">
        <is>
          <t>Config</t>
        </is>
      </c>
      <c r="D18" s="116" t="inlineStr">
        <is>
          <t>MVP Rollout</t>
        </is>
      </c>
      <c r="E18" s="116" t="inlineStr">
        <is>
          <t>B2CW</t>
        </is>
      </c>
      <c r="F18" s="116" t="inlineStr">
        <is>
          <t>NEW</t>
        </is>
      </c>
      <c r="G18" s="116" t="inlineStr">
        <is>
          <t>Medium</t>
        </is>
      </c>
      <c r="H18" s="116" t="n"/>
      <c r="I18" s="117">
        <f>IF($A18="","",IFERROR(IF(ISBLANK(INDEX(SprintPlanning[Sprint],MATCH($A18,SprintPlanning[Requirement ID],0))),"To Plan",INDEX(SprintPlanning[Sprint],MATCH($A18,SprintPlanning[Requirement ID],0))),"To Plan"))</f>
        <v/>
      </c>
      <c r="J18" s="116" t="n">
        <v>8</v>
      </c>
      <c r="K18" s="117">
        <f>IFERROR(IF(ISBLANK(INDEX(Release[Release],MATCH($A18,Release[Requirement ID],0))),"",INDEX(Release[Release],MATCH($A18,Release[Requirement ID],0))),"")</f>
        <v/>
      </c>
      <c r="L18" s="118" t="n">
        <v>46226</v>
      </c>
      <c r="M18" s="116" t="inlineStr">
        <is>
          <t>Created</t>
        </is>
      </c>
      <c r="N18" s="116" t="inlineStr">
        <is>
          <t>DTTP25-37831</t>
        </is>
      </c>
      <c r="O18" s="117">
        <f>IF($N18="","","https://smartship.atlassian.net/browse/"&amp;$N18)</f>
        <v/>
      </c>
      <c r="P18" s="92">
        <f>IFERROR(VALUE(MID($A18,5,4)),0)</f>
        <v/>
      </c>
      <c r="Q18" s="92" t="inlineStr">
        <is>
          <t>NEW-0077</t>
        </is>
      </c>
    </row>
    <row r="19" ht="15" customHeight="1" s="93">
      <c r="A19" s="115">
        <f>IF(AND(B19="",C19="",D19="",E19="",F19="",G19="",H19="",J19="",L19="",M19="",N19=""),"",Q19)</f>
        <v/>
      </c>
      <c r="B19" s="116" t="inlineStr">
        <is>
          <t>Nordics SWE, DEN, NOR, FIN Rollout - Market Configurations in Production</t>
        </is>
      </c>
      <c r="C19" s="116" t="inlineStr">
        <is>
          <t>Config</t>
        </is>
      </c>
      <c r="D19" s="116" t="inlineStr">
        <is>
          <t>MVP Rollout</t>
        </is>
      </c>
      <c r="E19" s="116" t="inlineStr">
        <is>
          <t>B2CW</t>
        </is>
      </c>
      <c r="F19" s="116" t="inlineStr">
        <is>
          <t>NEW</t>
        </is>
      </c>
      <c r="G19" s="116" t="inlineStr">
        <is>
          <t>Medium</t>
        </is>
      </c>
      <c r="H19" s="116" t="n"/>
      <c r="I19" s="117">
        <f>IF($A19="","",IFERROR(IF(ISBLANK(INDEX(SprintPlanning[Sprint],MATCH($A19,SprintPlanning[Requirement ID],0))),"To Plan",INDEX(SprintPlanning[Sprint],MATCH($A19,SprintPlanning[Requirement ID],0))),"To Plan"))</f>
        <v/>
      </c>
      <c r="J19" s="116" t="n">
        <v>8</v>
      </c>
      <c r="K19" s="117">
        <f>IFERROR(IF(ISBLANK(INDEX(Release[Release],MATCH($A19,Release[Requirement ID],0))),"",INDEX(Release[Release],MATCH($A19,Release[Requirement ID],0))),"")</f>
        <v/>
      </c>
      <c r="L19" s="118" t="n">
        <v>46226</v>
      </c>
      <c r="M19" s="116" t="inlineStr">
        <is>
          <t>Created</t>
        </is>
      </c>
      <c r="N19" s="116" t="inlineStr">
        <is>
          <t>DTTP25-37831</t>
        </is>
      </c>
      <c r="O19" s="117">
        <f>IF($N19="","","https://smartship.atlassian.net/browse/"&amp;$N19)</f>
        <v/>
      </c>
      <c r="P19" s="92">
        <f>IFERROR(VALUE(MID($A19,5,4)),0)</f>
        <v/>
      </c>
      <c r="Q19" s="92" t="inlineStr">
        <is>
          <t>NEW-0078</t>
        </is>
      </c>
    </row>
    <row r="20" ht="15" customHeight="1" s="93">
      <c r="A20" s="126">
        <f>IF(AND(B20="",C20="",D20="",E20="",F20="",G20="",H20="",J20="",L20="",M20="",N20=""),"",Q20)</f>
        <v/>
      </c>
      <c r="B20" s="127" t="inlineStr">
        <is>
          <t>US Growth - B2CW Payment billing data/ US Release AVS Check - Part 2 (Wiring the new fields to Datatrans in INT007, INT140, INT146)</t>
        </is>
      </c>
      <c r="C20" s="127" t="inlineStr">
        <is>
          <t>CR</t>
        </is>
      </c>
      <c r="D20" s="127" t="inlineStr">
        <is>
          <t>Growth</t>
        </is>
      </c>
      <c r="E20" s="127" t="inlineStr">
        <is>
          <t>B2CW</t>
        </is>
      </c>
      <c r="F20" s="127" t="inlineStr">
        <is>
          <t>NEW</t>
        </is>
      </c>
      <c r="G20" s="127" t="inlineStr">
        <is>
          <t>High</t>
        </is>
      </c>
      <c r="H20" s="127" t="inlineStr">
        <is>
          <t>Q3 2026</t>
        </is>
      </c>
      <c r="I20" s="128">
        <f>IF($A20="","",IFERROR(IF(ISBLANK(INDEX(SprintPlanning[Sprint],MATCH($A20,SprintPlanning[Requirement ID],0))),"To Plan",INDEX(SprintPlanning[Sprint],MATCH($A20,SprintPlanning[Requirement ID],0))),"To Plan"))</f>
        <v/>
      </c>
      <c r="J20" s="127" t="n">
        <v>13</v>
      </c>
      <c r="K20" s="128">
        <f>IFERROR(IF(ISBLANK(INDEX(Release[Release],MATCH($A20,Release[Requirement ID],0))),"",INDEX(Release[Release],MATCH($A20,Release[Requirement ID],0))),"")</f>
        <v/>
      </c>
      <c r="L20" s="129" t="n">
        <v>46237</v>
      </c>
      <c r="M20" s="127" t="inlineStr">
        <is>
          <t>Created</t>
        </is>
      </c>
      <c r="N20" s="127" t="inlineStr">
        <is>
          <t>MDTTPU-15253</t>
        </is>
      </c>
      <c r="O20" s="128">
        <f>IF($N20="","","https://smartship.atlassian.net/browse/"&amp;$N20)</f>
        <v/>
      </c>
      <c r="P20" s="92">
        <f>IFERROR(VALUE(MID($A20,5,4)),0)</f>
        <v/>
      </c>
      <c r="Q20" s="92" t="inlineStr">
        <is>
          <t>NEW-0409</t>
        </is>
      </c>
    </row>
    <row r="21" ht="15" customHeight="1" s="93">
      <c r="A21" s="126">
        <f>IF(AND(B21="",C21="",D21="",E21="",F21="",G21="",H21="",J21="",L21="",M21="",N21=""),"",Q21)</f>
        <v/>
      </c>
      <c r="B21" s="127" t="inlineStr">
        <is>
          <t>US Growth - M4M Payment billing data/ US Release AVS Check (Adding the fields in M4M transaction init)</t>
        </is>
      </c>
      <c r="C21" s="127" t="inlineStr">
        <is>
          <t>CR</t>
        </is>
      </c>
      <c r="D21" s="127" t="inlineStr">
        <is>
          <t>Growth</t>
        </is>
      </c>
      <c r="E21" s="127" t="inlineStr">
        <is>
          <t>B2CW</t>
        </is>
      </c>
      <c r="F21" s="127" t="inlineStr">
        <is>
          <t>ON HOLD</t>
        </is>
      </c>
      <c r="G21" s="127" t="inlineStr">
        <is>
          <t>High</t>
        </is>
      </c>
      <c r="H21" s="127" t="inlineStr">
        <is>
          <t>Q3 2026</t>
        </is>
      </c>
      <c r="I21" s="128">
        <f>IF($A21="","",IFERROR(IF(ISBLANK(INDEX(SprintPlanning[Sprint],MATCH($A21,SprintPlanning[Requirement ID],0))),"To Plan",INDEX(SprintPlanning[Sprint],MATCH($A21,SprintPlanning[Requirement ID],0))),"To Plan"))</f>
        <v/>
      </c>
      <c r="J21" s="127" t="n">
        <v>8</v>
      </c>
      <c r="K21" s="128">
        <f>IFERROR(IF(ISBLANK(INDEX(Release[Release],MATCH($A21,Release[Requirement ID],0))),"",INDEX(Release[Release],MATCH($A21,Release[Requirement ID],0))),"")</f>
        <v/>
      </c>
      <c r="L21" s="129" t="n">
        <v>46237</v>
      </c>
      <c r="M21" s="127" t="inlineStr">
        <is>
          <t>Created</t>
        </is>
      </c>
      <c r="N21" s="127" t="inlineStr">
        <is>
          <t>MDTTPU-15254</t>
        </is>
      </c>
      <c r="O21" s="128">
        <f>IF($N21="","","https://smartship.atlassian.net/browse/"&amp;$N21)</f>
        <v/>
      </c>
      <c r="P21" s="92">
        <f>IFERROR(VALUE(MID($A21,5,4)),0)</f>
        <v/>
      </c>
      <c r="Q21" s="92" t="inlineStr">
        <is>
          <t>NEW-0410</t>
        </is>
      </c>
    </row>
    <row r="22" ht="15" customHeight="1" s="93">
      <c r="A22" s="115">
        <f>IF(AND(B22="",C22="",D22="",E22="",F22="",G22="",H22="",J22="",L22="",M22="",N22=""),"",Q22)</f>
        <v/>
      </c>
      <c r="B22" s="116" t="inlineStr">
        <is>
          <t>Whatsapp Subscription (Phase 1)</t>
        </is>
      </c>
      <c r="C22" s="116" t="inlineStr">
        <is>
          <t>New</t>
        </is>
      </c>
      <c r="D22" s="116" t="inlineStr">
        <is>
          <t>Backlog</t>
        </is>
      </c>
      <c r="E22" s="116" t="inlineStr">
        <is>
          <t>MA</t>
        </is>
      </c>
      <c r="F22" s="116" t="inlineStr">
        <is>
          <t>NEW</t>
        </is>
      </c>
      <c r="G22" s="116" t="inlineStr">
        <is>
          <t>Medium</t>
        </is>
      </c>
      <c r="H22" s="116" t="inlineStr">
        <is>
          <t>Q3 2026</t>
        </is>
      </c>
      <c r="I22" s="117">
        <f>IF($A22="","",IFERROR(IF(ISBLANK(INDEX(SprintPlanning[Sprint],MATCH($A22,SprintPlanning[Requirement ID],0))),"To Plan",INDEX(SprintPlanning[Sprint],MATCH($A22,SprintPlanning[Requirement ID],0))),"To Plan"))</f>
        <v/>
      </c>
      <c r="J22" s="116" t="n">
        <v>13</v>
      </c>
      <c r="K22" s="117">
        <f>IFERROR(IF(ISBLANK(INDEX(Release[Release],MATCH($A22,Release[Requirement ID],0))),"",INDEX(Release[Release],MATCH($A22,Release[Requirement ID],0))),"")</f>
        <v/>
      </c>
      <c r="L22" s="118" t="n">
        <v>46226</v>
      </c>
      <c r="M22" s="116" t="inlineStr">
        <is>
          <t>Created</t>
        </is>
      </c>
      <c r="N22" s="116" t="inlineStr">
        <is>
          <t>DTTP25-36678</t>
        </is>
      </c>
      <c r="O22" s="117">
        <f>IF($N22="","","https://smartship.atlassian.net/browse/"&amp;$N22)</f>
        <v/>
      </c>
      <c r="P22" s="92">
        <f>IFERROR(VALUE(MID($A22,5,4)),0)</f>
        <v/>
      </c>
      <c r="Q22" s="92" t="inlineStr">
        <is>
          <t>NEW-0001</t>
        </is>
      </c>
    </row>
    <row r="23" ht="15" customHeight="1" s="93">
      <c r="A23" s="115">
        <f>IF(AND(B23="",C23="",D23="",E23="",F23="",G23="",H23="",J23="",L23="",M23="",N23=""),"",Q23)</f>
        <v/>
      </c>
      <c r="B23" s="116" t="inlineStr">
        <is>
          <t>Friends and Family INT 157</t>
        </is>
      </c>
      <c r="C23" s="116" t="inlineStr">
        <is>
          <t>New</t>
        </is>
      </c>
      <c r="D23" s="116" t="inlineStr">
        <is>
          <t>Backlog</t>
        </is>
      </c>
      <c r="E23" s="116" t="inlineStr">
        <is>
          <t>S&amp;S</t>
        </is>
      </c>
      <c r="F23" s="116" t="inlineStr">
        <is>
          <t>NEW</t>
        </is>
      </c>
      <c r="G23" s="116" t="inlineStr">
        <is>
          <t>Medium</t>
        </is>
      </c>
      <c r="H23" s="116" t="n"/>
      <c r="I23" s="117">
        <f>IF($A23="","",IFERROR(IF(ISBLANK(INDEX(SprintPlanning[Sprint],MATCH($A23,SprintPlanning[Requirement ID],0))),"To Plan",INDEX(SprintPlanning[Sprint],MATCH($A23,SprintPlanning[Requirement ID],0))),"To Plan"))</f>
        <v/>
      </c>
      <c r="J23" s="116" t="n">
        <v>13</v>
      </c>
      <c r="K23" s="117">
        <f>IFERROR(IF(ISBLANK(INDEX(Release[Release],MATCH($A23,Release[Requirement ID],0))),"",INDEX(Release[Release],MATCH($A23,Release[Requirement ID],0))),"")</f>
        <v/>
      </c>
      <c r="L23" s="118" t="n">
        <v>46226</v>
      </c>
      <c r="M23" s="116" t="inlineStr">
        <is>
          <t>Created</t>
        </is>
      </c>
      <c r="N23" s="116" t="inlineStr">
        <is>
          <t>DTTP25-36959</t>
        </is>
      </c>
      <c r="O23" s="117">
        <f>IF($N23="","","https://smartship.atlassian.net/browse/"&amp;$N23)</f>
        <v/>
      </c>
      <c r="P23" s="92">
        <f>IFERROR(VALUE(MID($A23,5,4)),0)</f>
        <v/>
      </c>
      <c r="Q23" s="92" t="inlineStr">
        <is>
          <t>NEW-0003</t>
        </is>
      </c>
    </row>
    <row r="24" ht="15" customHeight="1" s="93">
      <c r="A24" s="115">
        <f>IF(AND(B24="",C24="",D24="",E24="",F24="",G24="",H24="",J24="",L24="",M24="",N24=""),"",Q24)</f>
        <v/>
      </c>
      <c r="B24" s="116" t="inlineStr">
        <is>
          <t>MYMSC All inc CR remove logic from AEM</t>
        </is>
      </c>
      <c r="C24" s="116" t="inlineStr">
        <is>
          <t>CR</t>
        </is>
      </c>
      <c r="D24" s="116" t="inlineStr">
        <is>
          <t>MyMSC</t>
        </is>
      </c>
      <c r="E24" s="116" t="inlineStr">
        <is>
          <t>B2CW</t>
        </is>
      </c>
      <c r="F24" s="116" t="inlineStr">
        <is>
          <t>NEW</t>
        </is>
      </c>
      <c r="G24" s="116" t="inlineStr">
        <is>
          <t>Medium</t>
        </is>
      </c>
      <c r="H24" s="130" t="n">
        <v>46235</v>
      </c>
      <c r="I24" s="117">
        <f>IF($A24="","",IFERROR(IF(ISBLANK(INDEX(SprintPlanning[Sprint],MATCH($A24,SprintPlanning[Requirement ID],0))),"To Plan",INDEX(SprintPlanning[Sprint],MATCH($A24,SprintPlanning[Requirement ID],0))),"To Plan"))</f>
        <v/>
      </c>
      <c r="J24" s="116" t="n">
        <v>23</v>
      </c>
      <c r="K24" s="117">
        <f>IFERROR(IF(ISBLANK(INDEX(Release[Release],MATCH($A24,Release[Requirement ID],0))),"",INDEX(Release[Release],MATCH($A24,Release[Requirement ID],0))),"")</f>
        <v/>
      </c>
      <c r="L24" s="118" t="n">
        <v>46226</v>
      </c>
      <c r="M24" s="116" t="inlineStr">
        <is>
          <t>Created</t>
        </is>
      </c>
      <c r="N24" s="116" t="inlineStr">
        <is>
          <t>DTTP25-38250</t>
        </is>
      </c>
      <c r="O24" s="117">
        <f>IF($N24="","","https://smartship.atlassian.net/browse/"&amp;$N24)</f>
        <v/>
      </c>
      <c r="P24" s="92">
        <f>IFERROR(VALUE(MID($A24,5,4)),0)</f>
        <v/>
      </c>
      <c r="Q24" s="92" t="inlineStr">
        <is>
          <t>NEW-0029</t>
        </is>
      </c>
    </row>
    <row r="25" ht="15" customHeight="1" s="93">
      <c r="A25" s="115">
        <f>IF(AND(B25="",C25="",D25="",E25="",F25="",G25="",H25="",J25="",L25="",M25="",N25=""),"",Q25)</f>
        <v/>
      </c>
      <c r="B25" s="116" t="inlineStr">
        <is>
          <t>Handling of additional errors INT 139/ INT 140</t>
        </is>
      </c>
      <c r="C25" s="116" t="inlineStr">
        <is>
          <t>CR</t>
        </is>
      </c>
      <c r="D25" s="116" t="inlineStr">
        <is>
          <t>MyMSC</t>
        </is>
      </c>
      <c r="E25" s="116" t="inlineStr">
        <is>
          <t>B2CW</t>
        </is>
      </c>
      <c r="F25" s="116" t="inlineStr">
        <is>
          <t>NEW</t>
        </is>
      </c>
      <c r="G25" s="116" t="inlineStr">
        <is>
          <t>Medium</t>
        </is>
      </c>
      <c r="H25" s="116" t="n"/>
      <c r="I25" s="117">
        <f>IF($A25="","",IFERROR(IF(ISBLANK(INDEX(SprintPlanning[Sprint],MATCH($A25,SprintPlanning[Requirement ID],0))),"To Plan",INDEX(SprintPlanning[Sprint],MATCH($A25,SprintPlanning[Requirement ID],0))),"To Plan"))</f>
        <v/>
      </c>
      <c r="J25" s="116" t="n">
        <v>8</v>
      </c>
      <c r="K25" s="117">
        <f>IFERROR(IF(ISBLANK(INDEX(Release[Release],MATCH($A25,Release[Requirement ID],0))),"",INDEX(Release[Release],MATCH($A25,Release[Requirement ID],0))),"")</f>
        <v/>
      </c>
      <c r="L25" s="118" t="n">
        <v>46226</v>
      </c>
      <c r="M25" s="116" t="inlineStr">
        <is>
          <t>Created</t>
        </is>
      </c>
      <c r="N25" s="116" t="inlineStr">
        <is>
          <t>DTTP25-40357</t>
        </is>
      </c>
      <c r="O25" s="117">
        <f>IF($N25="","","https://smartship.atlassian.net/browse/"&amp;$N25)</f>
        <v/>
      </c>
      <c r="P25" s="92">
        <f>IFERROR(VALUE(MID($A25,5,4)),0)</f>
        <v/>
      </c>
      <c r="Q25" s="92" t="inlineStr">
        <is>
          <t>NEW-0030</t>
        </is>
      </c>
    </row>
    <row r="26" ht="15" customHeight="1" s="93">
      <c r="A26" s="115">
        <f>IF(AND(B26="",C26="",D26="",E26="",F26="",G26="",H26="",J26="",L26="",M26="",N26=""),"",Q26)</f>
        <v/>
      </c>
      <c r="B26" s="116" t="inlineStr">
        <is>
          <t>Hypercare</t>
        </is>
      </c>
      <c r="C26" s="116" t="inlineStr">
        <is>
          <t>Tech Task</t>
        </is>
      </c>
      <c r="D26" s="116" t="inlineStr">
        <is>
          <t>US</t>
        </is>
      </c>
      <c r="E26" s="116" t="inlineStr">
        <is>
          <t>ALL</t>
        </is>
      </c>
      <c r="F26" s="116" t="inlineStr">
        <is>
          <t>NEW</t>
        </is>
      </c>
      <c r="G26" s="116" t="inlineStr">
        <is>
          <t>High</t>
        </is>
      </c>
      <c r="H26" s="116" t="n"/>
      <c r="I26" s="117">
        <f>IF($A26="","",IFERROR(IF(ISBLANK(INDEX(SprintPlanning[Sprint],MATCH($A26,SprintPlanning[Requirement ID],0))),"To Plan",INDEX(SprintPlanning[Sprint],MATCH($A26,SprintPlanning[Requirement ID],0))),"To Plan"))</f>
        <v/>
      </c>
      <c r="J26" s="116" t="n"/>
      <c r="K26" s="117">
        <f>IFERROR(IF(ISBLANK(INDEX(Release[Release],MATCH($A26,Release[Requirement ID],0))),"",INDEX(Release[Release],MATCH($A26,Release[Requirement ID],0))),"")</f>
        <v/>
      </c>
      <c r="L26" s="118" t="n">
        <v>46226</v>
      </c>
      <c r="M26" s="116" t="n"/>
      <c r="N26" s="116" t="n"/>
      <c r="O26" s="117">
        <f>IF($N26="","","https://smartship.atlassian.net/browse/"&amp;$N26)</f>
        <v/>
      </c>
      <c r="P26" s="92">
        <f>IFERROR(VALUE(MID($A26,5,4)),0)</f>
        <v/>
      </c>
      <c r="Q26" s="92" t="inlineStr">
        <is>
          <t>NEW-0080</t>
        </is>
      </c>
    </row>
    <row r="27" ht="15" customHeight="1" s="93">
      <c r="A27" s="115">
        <f>IF(AND(B27="",C27="",D27="",E27="",F27="",G27="",H27="",J27="",L27="",M27="",N27=""),"",Q27)</f>
        <v/>
      </c>
      <c r="B27" s="116" t="inlineStr">
        <is>
          <t>PI11-08 [CDP] [INTP-21] Lead Management - Option event creation in CDP</t>
        </is>
      </c>
      <c r="C27" s="116" t="inlineStr">
        <is>
          <t>CR</t>
        </is>
      </c>
      <c r="D27" s="116" t="inlineStr">
        <is>
          <t>PI11</t>
        </is>
      </c>
      <c r="E27" s="116" t="inlineStr">
        <is>
          <t>MA</t>
        </is>
      </c>
      <c r="F27" s="116" t="inlineStr">
        <is>
          <t>NEW</t>
        </is>
      </c>
      <c r="G27" s="116" t="inlineStr">
        <is>
          <t>Medium</t>
        </is>
      </c>
      <c r="H27" s="116" t="n"/>
      <c r="I27" s="117">
        <f>IF($A27="","",IFERROR(IF(ISBLANK(INDEX(SprintPlanning[Sprint],MATCH($A27,SprintPlanning[Requirement ID],0))),"To Plan",INDEX(SprintPlanning[Sprint],MATCH($A27,SprintPlanning[Requirement ID],0))),"To Plan"))</f>
        <v/>
      </c>
      <c r="J27" s="116" t="n">
        <v>5</v>
      </c>
      <c r="K27" s="117">
        <f>IFERROR(IF(ISBLANK(INDEX(Release[Release],MATCH($A27,Release[Requirement ID],0))),"",INDEX(Release[Release],MATCH($A27,Release[Requirement ID],0))),"")</f>
        <v/>
      </c>
      <c r="L27" s="118" t="n">
        <v>46226</v>
      </c>
      <c r="M27" s="116" t="inlineStr">
        <is>
          <t>Created</t>
        </is>
      </c>
      <c r="N27" s="116" t="inlineStr">
        <is>
          <t>DTTP25-41937</t>
        </is>
      </c>
      <c r="O27" s="117">
        <f>IF($N27="","","https://smartship.atlassian.net/browse/"&amp;$N27)</f>
        <v/>
      </c>
      <c r="P27" s="92">
        <f>IFERROR(VALUE(MID($A27,5,4)),0)</f>
        <v/>
      </c>
      <c r="Q27" s="92" t="inlineStr">
        <is>
          <t>NEW-0085</t>
        </is>
      </c>
    </row>
    <row r="28" ht="15" customHeight="1" s="93">
      <c r="A28" s="115">
        <f>IF(AND(B28="",C28="",D28="",E28="",F28="",G28="",H28="",J28="",L28="",M28="",N28=""),"",Q28)</f>
        <v/>
      </c>
      <c r="B28" s="116" t="inlineStr">
        <is>
          <t>PI11-11 [CRM] [EA-1008] DTTP - Lead Management - FCC new outbound sources</t>
        </is>
      </c>
      <c r="C28" s="116" t="inlineStr">
        <is>
          <t>CR</t>
        </is>
      </c>
      <c r="D28" s="116" t="inlineStr">
        <is>
          <t>PI11</t>
        </is>
      </c>
      <c r="E28" s="116" t="inlineStr">
        <is>
          <t>MA</t>
        </is>
      </c>
      <c r="F28" s="116" t="inlineStr">
        <is>
          <t>NEW</t>
        </is>
      </c>
      <c r="G28" s="116" t="inlineStr">
        <is>
          <t>Medium</t>
        </is>
      </c>
      <c r="H28" s="116" t="n"/>
      <c r="I28" s="117">
        <f>IF($A28="","",IFERROR(IF(ISBLANK(INDEX(SprintPlanning[Sprint],MATCH($A28,SprintPlanning[Requirement ID],0))),"To Plan",INDEX(SprintPlanning[Sprint],MATCH($A28,SprintPlanning[Requirement ID],0))),"To Plan"))</f>
        <v/>
      </c>
      <c r="J28" s="116" t="n">
        <v>8</v>
      </c>
      <c r="K28" s="117">
        <f>IFERROR(IF(ISBLANK(INDEX(Release[Release],MATCH($A28,Release[Requirement ID],0))),"",INDEX(Release[Release],MATCH($A28,Release[Requirement ID],0))),"")</f>
        <v/>
      </c>
      <c r="L28" s="118" t="n">
        <v>46226</v>
      </c>
      <c r="M28" s="116" t="inlineStr">
        <is>
          <t>Created</t>
        </is>
      </c>
      <c r="N28" s="116" t="inlineStr">
        <is>
          <t>DTTP25-41939</t>
        </is>
      </c>
      <c r="O28" s="117">
        <f>IF($N28="","","https://smartship.atlassian.net/browse/"&amp;$N28)</f>
        <v/>
      </c>
      <c r="P28" s="92">
        <f>IFERROR(VALUE(MID($A28,5,4)),0)</f>
        <v/>
      </c>
      <c r="Q28" s="92" t="inlineStr">
        <is>
          <t>NEW-0086</t>
        </is>
      </c>
    </row>
    <row r="29" ht="15" customHeight="1" s="93">
      <c r="A29" s="115">
        <f>IF(AND(B29="",C29="",D29="",E29="",F29="",G29="",H29="",J29="",L29="",M29="",N29=""),"",Q29)</f>
        <v/>
      </c>
      <c r="B29" s="116" t="inlineStr">
        <is>
          <t>PI11-12 [CDP/CRM] CRM2-11097 / [INTP-20] Lead Management - IRL Outbound Sources Activation &amp; Form Creation</t>
        </is>
      </c>
      <c r="C29" s="116" t="inlineStr">
        <is>
          <t>CR</t>
        </is>
      </c>
      <c r="D29" s="116" t="inlineStr">
        <is>
          <t>PI11</t>
        </is>
      </c>
      <c r="E29" s="116" t="inlineStr">
        <is>
          <t>MA</t>
        </is>
      </c>
      <c r="F29" s="116" t="inlineStr">
        <is>
          <t>NEW</t>
        </is>
      </c>
      <c r="G29" s="116" t="inlineStr">
        <is>
          <t>Medium</t>
        </is>
      </c>
      <c r="H29" s="116" t="n"/>
      <c r="I29" s="117">
        <f>IF($A29="","",IFERROR(IF(ISBLANK(INDEX(SprintPlanning[Sprint],MATCH($A29,SprintPlanning[Requirement ID],0))),"To Plan",INDEX(SprintPlanning[Sprint],MATCH($A29,SprintPlanning[Requirement ID],0))),"To Plan"))</f>
        <v/>
      </c>
      <c r="J29" s="116" t="n">
        <v>5</v>
      </c>
      <c r="K29" s="117">
        <f>IFERROR(IF(ISBLANK(INDEX(Release[Release],MATCH($A29,Release[Requirement ID],0))),"",INDEX(Release[Release],MATCH($A29,Release[Requirement ID],0))),"")</f>
        <v/>
      </c>
      <c r="L29" s="118" t="n">
        <v>46226</v>
      </c>
      <c r="M29" s="116" t="inlineStr">
        <is>
          <t>Created</t>
        </is>
      </c>
      <c r="N29" s="116" t="inlineStr">
        <is>
          <t>DTTP25-41940</t>
        </is>
      </c>
      <c r="O29" s="117">
        <f>IF($N29="","","https://smartship.atlassian.net/browse/"&amp;$N29)</f>
        <v/>
      </c>
      <c r="P29" s="92">
        <f>IFERROR(VALUE(MID($A29,5,4)),0)</f>
        <v/>
      </c>
      <c r="Q29" s="92" t="inlineStr">
        <is>
          <t>NEW-0087</t>
        </is>
      </c>
    </row>
    <row r="30" ht="15" customHeight="1" s="93">
      <c r="A30" s="115">
        <f>IF(AND(B30="",C30="",D30="",E30="",F30="",G30="",H30="",J30="",L30="",M30="",N30=""),"",Q30)</f>
        <v/>
      </c>
      <c r="B30" s="116" t="inlineStr">
        <is>
          <t>INT139 / INT140 - speciality restaurants CR to handle dining inventory errors</t>
        </is>
      </c>
      <c r="C30" s="116" t="inlineStr">
        <is>
          <t>CR</t>
        </is>
      </c>
      <c r="D30" s="116" t="inlineStr">
        <is>
          <t>MyMSC</t>
        </is>
      </c>
      <c r="E30" s="116" t="inlineStr">
        <is>
          <t>B2CW</t>
        </is>
      </c>
      <c r="F30" s="116" t="inlineStr">
        <is>
          <t>NEW</t>
        </is>
      </c>
      <c r="G30" s="116" t="inlineStr">
        <is>
          <t>Medium</t>
        </is>
      </c>
      <c r="H30" s="116" t="n"/>
      <c r="I30" s="117">
        <f>IF($A30="","",IFERROR(IF(ISBLANK(INDEX(SprintPlanning[Sprint],MATCH($A30,SprintPlanning[Requirement ID],0))),"To Plan",INDEX(SprintPlanning[Sprint],MATCH($A30,SprintPlanning[Requirement ID],0))),"To Plan"))</f>
        <v/>
      </c>
      <c r="J30" s="116" t="n">
        <v>8</v>
      </c>
      <c r="K30" s="117">
        <f>IFERROR(IF(ISBLANK(INDEX(Release[Release],MATCH($A30,Release[Requirement ID],0))),"",INDEX(Release[Release],MATCH($A30,Release[Requirement ID],0))),"")</f>
        <v/>
      </c>
      <c r="L30" s="118" t="n">
        <v>46232</v>
      </c>
      <c r="M30" s="116" t="inlineStr">
        <is>
          <t>Created</t>
        </is>
      </c>
      <c r="N30" s="116" t="inlineStr">
        <is>
          <t>DTTP25-40356</t>
        </is>
      </c>
      <c r="O30" s="117">
        <f>IF($N30="","","https://smartship.atlassian.net/browse/"&amp;$N30)</f>
        <v/>
      </c>
      <c r="P30" s="92">
        <f>IFERROR(VALUE(MID($A30,5,4)),0)</f>
        <v/>
      </c>
      <c r="Q30" s="92" t="inlineStr">
        <is>
          <t>NEW-0316</t>
        </is>
      </c>
    </row>
    <row r="31" ht="15" customHeight="1" s="93">
      <c r="A31" s="115">
        <f>IF(AND(B31="",C31="",D31="",E31="",F31="",G31="",H31="",J31="",L31="",M31="",N31=""),"",Q31)</f>
        <v/>
      </c>
      <c r="B31" s="116" t="inlineStr">
        <is>
          <t>PI11-03 [B2C] Flight Enhancement - DTTP25-38915</t>
        </is>
      </c>
      <c r="C31" s="116" t="inlineStr">
        <is>
          <t>CR</t>
        </is>
      </c>
      <c r="D31" s="116" t="inlineStr">
        <is>
          <t>PI11</t>
        </is>
      </c>
      <c r="E31" s="116" t="inlineStr">
        <is>
          <t>B2CW</t>
        </is>
      </c>
      <c r="F31" s="116" t="inlineStr">
        <is>
          <t>NEW</t>
        </is>
      </c>
      <c r="G31" s="116" t="inlineStr">
        <is>
          <t>Medium</t>
        </is>
      </c>
      <c r="H31" s="116" t="n"/>
      <c r="I31" s="117">
        <f>IF($A31="","",IFERROR(IF(ISBLANK(INDEX(SprintPlanning[Sprint],MATCH($A31,SprintPlanning[Requirement ID],0))),"To Plan",INDEX(SprintPlanning[Sprint],MATCH($A31,SprintPlanning[Requirement ID],0))),"To Plan"))</f>
        <v/>
      </c>
      <c r="J31" s="116" t="n">
        <v>5</v>
      </c>
      <c r="K31" s="117">
        <f>IFERROR(IF(ISBLANK(INDEX(Release[Release],MATCH($A31,Release[Requirement ID],0))),"",INDEX(Release[Release],MATCH($A31,Release[Requirement ID],0))),"")</f>
        <v/>
      </c>
      <c r="L31" s="118" t="n">
        <v>46226</v>
      </c>
      <c r="M31" s="116" t="inlineStr">
        <is>
          <t>Created</t>
        </is>
      </c>
      <c r="N31" s="116" t="inlineStr">
        <is>
          <t>DTTP25-41930</t>
        </is>
      </c>
      <c r="O31" s="117">
        <f>IF($N31="","","https://smartship.atlassian.net/browse/"&amp;$N31)</f>
        <v/>
      </c>
      <c r="P31" s="92">
        <f>IFERROR(VALUE(MID($A31,5,4)),0)</f>
        <v/>
      </c>
      <c r="Q31" s="92" t="inlineStr">
        <is>
          <t>NEW-0066</t>
        </is>
      </c>
    </row>
    <row r="32" ht="15" customHeight="1" s="93">
      <c r="A32" s="115">
        <f>IF(AND(B32="",C32="",D32="",E32="",F32="",G32="",H32="",J32="",L32="",M32="",N32=""),"",Q32)</f>
        <v/>
      </c>
      <c r="B32" s="116" t="inlineStr">
        <is>
          <t>PI11-14 [CRM] [EA-1722] CRM Dependency - Lead Management - Price Description info in CDP</t>
        </is>
      </c>
      <c r="C32" s="116" t="inlineStr">
        <is>
          <t>CR</t>
        </is>
      </c>
      <c r="D32" s="116" t="inlineStr">
        <is>
          <t>PI11</t>
        </is>
      </c>
      <c r="E32" s="116" t="inlineStr">
        <is>
          <t>MA</t>
        </is>
      </c>
      <c r="F32" s="116" t="inlineStr">
        <is>
          <t>NEW</t>
        </is>
      </c>
      <c r="G32" s="116" t="inlineStr">
        <is>
          <t>Medium</t>
        </is>
      </c>
      <c r="H32" s="116" t="n"/>
      <c r="I32" s="117">
        <f>IF($A32="","",IFERROR(IF(ISBLANK(INDEX(SprintPlanning[Sprint],MATCH($A32,SprintPlanning[Requirement ID],0))),"To Plan",INDEX(SprintPlanning[Sprint],MATCH($A32,SprintPlanning[Requirement ID],0))),"To Plan"))</f>
        <v/>
      </c>
      <c r="J32" s="116" t="n">
        <v>8</v>
      </c>
      <c r="K32" s="117">
        <f>IFERROR(IF(ISBLANK(INDEX(Release[Release],MATCH($A32,Release[Requirement ID],0))),"",INDEX(Release[Release],MATCH($A32,Release[Requirement ID],0))),"")</f>
        <v/>
      </c>
      <c r="L32" s="118" t="n">
        <v>46226</v>
      </c>
      <c r="M32" s="116" t="inlineStr">
        <is>
          <t>Created</t>
        </is>
      </c>
      <c r="N32" s="116" t="inlineStr">
        <is>
          <t>DTTP25-41931</t>
        </is>
      </c>
      <c r="O32" s="117">
        <f>IF($N32="","","https://smartship.atlassian.net/browse/"&amp;$N32)</f>
        <v/>
      </c>
      <c r="P32" s="92">
        <f>IFERROR(VALUE(MID($A32,5,4)),0)</f>
        <v/>
      </c>
      <c r="Q32" s="92" t="inlineStr">
        <is>
          <t>NEW-0067</t>
        </is>
      </c>
    </row>
    <row r="33" ht="15" customHeight="1" s="93">
      <c r="A33" s="115">
        <f>IF(AND(B33="",C33="",D33="",E33="",F33="",G33="",H33="",J33="",L33="",M33="",N33=""),"",Q33)</f>
        <v/>
      </c>
      <c r="B33" s="116" t="inlineStr">
        <is>
          <t>Whatsapp Subscription (Phase 2)</t>
        </is>
      </c>
      <c r="C33" s="116" t="inlineStr">
        <is>
          <t>CR</t>
        </is>
      </c>
      <c r="D33" s="116" t="inlineStr">
        <is>
          <t>Backlog</t>
        </is>
      </c>
      <c r="E33" s="116" t="inlineStr">
        <is>
          <t>MA</t>
        </is>
      </c>
      <c r="F33" s="116" t="inlineStr">
        <is>
          <t>ON HOLD</t>
        </is>
      </c>
      <c r="G33" s="116" t="inlineStr">
        <is>
          <t>Medium</t>
        </is>
      </c>
      <c r="H33" s="116" t="inlineStr">
        <is>
          <t>Q4 2026</t>
        </is>
      </c>
      <c r="I33" s="117">
        <f>IF($A33="","",IFERROR(IF(ISBLANK(INDEX(SprintPlanning[Sprint],MATCH($A33,SprintPlanning[Requirement ID],0))),"To Plan",INDEX(SprintPlanning[Sprint],MATCH($A33,SprintPlanning[Requirement ID],0))),"To Plan"))</f>
        <v/>
      </c>
      <c r="J33" s="116" t="n"/>
      <c r="K33" s="117">
        <f>IFERROR(IF(ISBLANK(INDEX(Release[Release],MATCH($A33,Release[Requirement ID],0))),"",INDEX(Release[Release],MATCH($A33,Release[Requirement ID],0))),"")</f>
        <v/>
      </c>
      <c r="L33" s="118" t="n">
        <v>46226</v>
      </c>
      <c r="M33" s="116" t="n"/>
      <c r="N33" s="116" t="n"/>
      <c r="O33" s="117">
        <f>IF($N33="","","https://smartship.atlassian.net/browse/"&amp;$N33)</f>
        <v/>
      </c>
      <c r="P33" s="92">
        <f>IFERROR(VALUE(MID($A33,5,4)),0)</f>
        <v/>
      </c>
      <c r="Q33" s="92" t="inlineStr">
        <is>
          <t>NEW-0002</t>
        </is>
      </c>
    </row>
    <row r="34" ht="15" customHeight="1" s="93">
      <c r="A34" s="115">
        <f>IF(AND(B34="",C34="",D34="",E34="",F34="",G34="",H34="",J34="",L34="",M34="",N34=""),"",Q34)</f>
        <v/>
      </c>
      <c r="B34" s="116" t="inlineStr">
        <is>
          <t>Handling multicabin booking</t>
        </is>
      </c>
      <c r="C34" s="116" t="inlineStr">
        <is>
          <t>CR</t>
        </is>
      </c>
      <c r="D34" s="116" t="inlineStr">
        <is>
          <t>Growth</t>
        </is>
      </c>
      <c r="E34" s="116" t="inlineStr">
        <is>
          <t>B2CW</t>
        </is>
      </c>
      <c r="F34" s="116" t="inlineStr">
        <is>
          <t>NEW</t>
        </is>
      </c>
      <c r="G34" s="116" t="inlineStr">
        <is>
          <t>Medium</t>
        </is>
      </c>
      <c r="H34" s="130" t="inlineStr">
        <is>
          <t>Q4 2026</t>
        </is>
      </c>
      <c r="I34" s="117">
        <f>IF($A34="","",IFERROR(IF(ISBLANK(INDEX(SprintPlanning[Sprint],MATCH($A34,SprintPlanning[Requirement ID],0))),"To Plan",INDEX(SprintPlanning[Sprint],MATCH($A34,SprintPlanning[Requirement ID],0))),"To Plan"))</f>
        <v/>
      </c>
      <c r="J34" s="116" t="n">
        <v>21</v>
      </c>
      <c r="K34" s="117">
        <f>IFERROR(IF(ISBLANK(INDEX(Release[Release],MATCH($A34,Release[Requirement ID],0))),"",INDEX(Release[Release],MATCH($A34,Release[Requirement ID],0))),"")</f>
        <v/>
      </c>
      <c r="L34" s="118" t="n">
        <v>46226</v>
      </c>
      <c r="M34" s="116" t="n"/>
      <c r="N34" s="116" t="n"/>
      <c r="O34" s="117">
        <f>IF($N34="","","https://smartship.atlassian.net/browse/"&amp;$N34)</f>
        <v/>
      </c>
      <c r="P34" s="92">
        <f>IFERROR(VALUE(MID($A34,5,4)),0)</f>
        <v/>
      </c>
      <c r="Q34" s="92" t="inlineStr">
        <is>
          <t>NEW-0005</t>
        </is>
      </c>
    </row>
    <row r="35" ht="15" customHeight="1" s="93">
      <c r="A35" s="115">
        <f>IF(AND(B35="",C35="",D35="",E35="",F35="",G35="",H35="",J35="",L35="",M35="",N35=""),"",Q35)</f>
        <v/>
      </c>
      <c r="B35" s="116" t="inlineStr">
        <is>
          <t xml:space="preserve">New UWO Interface (decoupling) </t>
        </is>
      </c>
      <c r="C35" s="116" t="inlineStr">
        <is>
          <t>New</t>
        </is>
      </c>
      <c r="D35" s="116" t="inlineStr">
        <is>
          <t>Growth</t>
        </is>
      </c>
      <c r="E35" s="116" t="inlineStr">
        <is>
          <t>B2CW</t>
        </is>
      </c>
      <c r="F35" s="116" t="inlineStr">
        <is>
          <t>NEW</t>
        </is>
      </c>
      <c r="G35" s="116" t="inlineStr">
        <is>
          <t>Medium</t>
        </is>
      </c>
      <c r="H35" s="116" t="inlineStr">
        <is>
          <t>Q1 2027</t>
        </is>
      </c>
      <c r="I35" s="117">
        <f>IF($A35="","",IFERROR(IF(ISBLANK(INDEX(SprintPlanning[Sprint],MATCH($A35,SprintPlanning[Requirement ID],0))),"To Plan",INDEX(SprintPlanning[Sprint],MATCH($A35,SprintPlanning[Requirement ID],0))),"To Plan"))</f>
        <v/>
      </c>
      <c r="J35" s="116" t="n">
        <v>3</v>
      </c>
      <c r="K35" s="117">
        <f>IFERROR(IF(ISBLANK(INDEX(Release[Release],MATCH($A35,Release[Requirement ID],0))),"",INDEX(Release[Release],MATCH($A35,Release[Requirement ID],0))),"")</f>
        <v/>
      </c>
      <c r="L35" s="118" t="n">
        <v>46226</v>
      </c>
      <c r="M35" s="116" t="n"/>
      <c r="N35" s="116" t="n"/>
      <c r="O35" s="117">
        <f>IF($N35="","","https://smartship.atlassian.net/browse/"&amp;$N35)</f>
        <v/>
      </c>
      <c r="P35" s="92">
        <f>IFERROR(VALUE(MID($A35,5,4)),0)</f>
        <v/>
      </c>
      <c r="Q35" s="92" t="inlineStr">
        <is>
          <t>NEW-0006</t>
        </is>
      </c>
    </row>
    <row r="36" ht="15" customHeight="1" s="93">
      <c r="A36" s="115">
        <f>IF(AND(B36="",C36="",D36="",E36="",F36="",G36="",H36="",J36="",L36="",M36="",N36=""),"",Q36)</f>
        <v/>
      </c>
      <c r="B36" s="116" t="inlineStr">
        <is>
          <t>Update Hold option (decoupling)</t>
        </is>
      </c>
      <c r="C36" s="116" t="inlineStr">
        <is>
          <t>CR</t>
        </is>
      </c>
      <c r="D36" s="116" t="inlineStr">
        <is>
          <t>Growth</t>
        </is>
      </c>
      <c r="E36" s="116" t="inlineStr">
        <is>
          <t>B2CW</t>
        </is>
      </c>
      <c r="F36" s="116" t="inlineStr">
        <is>
          <t>NEW</t>
        </is>
      </c>
      <c r="G36" s="116" t="inlineStr">
        <is>
          <t>Medium</t>
        </is>
      </c>
      <c r="H36" s="116" t="inlineStr">
        <is>
          <t>Q1 2027</t>
        </is>
      </c>
      <c r="I36" s="117">
        <f>IF($A36="","",IFERROR(IF(ISBLANK(INDEX(SprintPlanning[Sprint],MATCH($A36,SprintPlanning[Requirement ID],0))),"To Plan",INDEX(SprintPlanning[Sprint],MATCH($A36,SprintPlanning[Requirement ID],0))),"To Plan"))</f>
        <v/>
      </c>
      <c r="J36" s="116" t="n">
        <v>3</v>
      </c>
      <c r="K36" s="117">
        <f>IFERROR(IF(ISBLANK(INDEX(Release[Release],MATCH($A36,Release[Requirement ID],0))),"",INDEX(Release[Release],MATCH($A36,Release[Requirement ID],0))),"")</f>
        <v/>
      </c>
      <c r="L36" s="118" t="n">
        <v>46226</v>
      </c>
      <c r="M36" s="116" t="n"/>
      <c r="N36" s="116" t="n"/>
      <c r="O36" s="117">
        <f>IF($N36="","","https://smartship.atlassian.net/browse/"&amp;$N36)</f>
        <v/>
      </c>
      <c r="P36" s="92">
        <f>IFERROR(VALUE(MID($A36,5,4)),0)</f>
        <v/>
      </c>
      <c r="Q36" s="92" t="inlineStr">
        <is>
          <t>NEW-0007</t>
        </is>
      </c>
    </row>
    <row r="37" ht="15" customHeight="1" s="93">
      <c r="A37" s="115">
        <f>IF(AND(B37="",C37="",D37="",E37="",F37="",G37="",H37="",J37="",L37="",M37="",N37=""),"",Q37)</f>
        <v/>
      </c>
      <c r="B37" s="116" t="inlineStr">
        <is>
          <t xml:space="preserve">INT 101 - Cabin Selections (Booking Group Management) </t>
        </is>
      </c>
      <c r="C37" s="116" t="inlineStr">
        <is>
          <t>CR</t>
        </is>
      </c>
      <c r="D37" s="116" t="inlineStr">
        <is>
          <t>Growth</t>
        </is>
      </c>
      <c r="E37" s="116" t="inlineStr">
        <is>
          <t>S&amp;S</t>
        </is>
      </c>
      <c r="F37" s="116" t="inlineStr">
        <is>
          <t>NEW</t>
        </is>
      </c>
      <c r="G37" s="116" t="inlineStr">
        <is>
          <t>Medium</t>
        </is>
      </c>
      <c r="H37" s="116" t="inlineStr">
        <is>
          <t>Q4 2026</t>
        </is>
      </c>
      <c r="I37" s="117">
        <f>IF($A37="","",IFERROR(IF(ISBLANK(INDEX(SprintPlanning[Sprint],MATCH($A37,SprintPlanning[Requirement ID],0))),"To Plan",INDEX(SprintPlanning[Sprint],MATCH($A37,SprintPlanning[Requirement ID],0))),"To Plan"))</f>
        <v/>
      </c>
      <c r="J37" s="116" t="n">
        <v>8</v>
      </c>
      <c r="K37" s="117">
        <f>IFERROR(IF(ISBLANK(INDEX(Release[Release],MATCH($A37,Release[Requirement ID],0))),"",INDEX(Release[Release],MATCH($A37,Release[Requirement ID],0))),"")</f>
        <v/>
      </c>
      <c r="L37" s="118" t="n">
        <v>46226</v>
      </c>
      <c r="M37" s="116" t="inlineStr">
        <is>
          <t>Created</t>
        </is>
      </c>
      <c r="N37" s="116" t="inlineStr">
        <is>
          <t>MDTTPU-8135</t>
        </is>
      </c>
      <c r="O37" s="117">
        <f>IF($N37="","","https://smartship.atlassian.net/browse/"&amp;$N37)</f>
        <v/>
      </c>
      <c r="P37" s="92">
        <f>IFERROR(VALUE(MID($A37,5,4)),0)</f>
        <v/>
      </c>
      <c r="Q37" s="92" t="inlineStr">
        <is>
          <t>NEW-0011</t>
        </is>
      </c>
    </row>
    <row r="38" ht="15" customHeight="1" s="93">
      <c r="A38" s="115">
        <f>IF(AND(B38="",C38="",D38="",E38="",F38="",G38="",H38="",J38="",L38="",M38="",N38=""),"",Q38)</f>
        <v/>
      </c>
      <c r="B38" s="116" t="inlineStr">
        <is>
          <t xml:space="preserve">myMSC Add USA Market Configuration - Chain 1/ Chain 2 </t>
        </is>
      </c>
      <c r="C38" s="116" t="inlineStr">
        <is>
          <t>Config</t>
        </is>
      </c>
      <c r="D38" s="116" t="inlineStr">
        <is>
          <t>US</t>
        </is>
      </c>
      <c r="E38" s="116" t="inlineStr">
        <is>
          <t>B2CW</t>
        </is>
      </c>
      <c r="F38" s="116" t="inlineStr">
        <is>
          <t>NEW</t>
        </is>
      </c>
      <c r="G38" s="116" t="inlineStr">
        <is>
          <t>Medium</t>
        </is>
      </c>
      <c r="H38" s="116" t="inlineStr">
        <is>
          <t>Q3 2026</t>
        </is>
      </c>
      <c r="I38" s="117">
        <f>IF($A38="","",IFERROR(IF(ISBLANK(INDEX(SprintPlanning[Sprint],MATCH($A38,SprintPlanning[Requirement ID],0))),"To Plan",INDEX(SprintPlanning[Sprint],MATCH($A38,SprintPlanning[Requirement ID],0))),"To Plan"))</f>
        <v/>
      </c>
      <c r="J38" s="116" t="n">
        <v>8</v>
      </c>
      <c r="K38" s="117">
        <f>IFERROR(IF(ISBLANK(INDEX(Release[Release],MATCH($A38,Release[Requirement ID],0))),"",INDEX(Release[Release],MATCH($A38,Release[Requirement ID],0))),"")</f>
        <v/>
      </c>
      <c r="L38" s="118" t="n">
        <v>46226</v>
      </c>
      <c r="M38" s="116" t="inlineStr">
        <is>
          <t>Created</t>
        </is>
      </c>
      <c r="N38" s="116" t="inlineStr">
        <is>
          <t>MDTTPU-13662</t>
        </is>
      </c>
      <c r="O38" s="117">
        <f>IF($N38="","","https://smartship.atlassian.net/browse/"&amp;$N38)</f>
        <v/>
      </c>
      <c r="P38" s="92">
        <f>IFERROR(VALUE(MID($A38,5,4)),0)</f>
        <v/>
      </c>
      <c r="Q38" s="92" t="inlineStr">
        <is>
          <t>NEW-0016</t>
        </is>
      </c>
    </row>
    <row r="39" ht="15" customHeight="1" s="93">
      <c r="A39" s="115">
        <f>IF(AND(B39="",C39="",D39="",E39="",F39="",G39="",H39="",J39="",L39="",M39="",N39=""),"",Q39)</f>
        <v/>
      </c>
      <c r="B39" s="116" t="inlineStr">
        <is>
          <t>ARG Payment provider Pagtur</t>
        </is>
      </c>
      <c r="C39" s="116" t="inlineStr">
        <is>
          <t>New</t>
        </is>
      </c>
      <c r="D39" s="116" t="inlineStr">
        <is>
          <t>MVP Rollout</t>
        </is>
      </c>
      <c r="E39" s="116" t="inlineStr">
        <is>
          <t>B2CW</t>
        </is>
      </c>
      <c r="F39" s="116" t="inlineStr">
        <is>
          <t>NEW</t>
        </is>
      </c>
      <c r="G39" s="116" t="inlineStr">
        <is>
          <t>Medium</t>
        </is>
      </c>
      <c r="H39" s="116" t="inlineStr">
        <is>
          <t>Q1 2027</t>
        </is>
      </c>
      <c r="I39" s="117">
        <f>IF($A39="","",IFERROR(IF(ISBLANK(INDEX(SprintPlanning[Sprint],MATCH($A39,SprintPlanning[Requirement ID],0))),"To Plan",INDEX(SprintPlanning[Sprint],MATCH($A39,SprintPlanning[Requirement ID],0))),"To Plan"))</f>
        <v/>
      </c>
      <c r="J39" s="116" t="n">
        <v>40</v>
      </c>
      <c r="K39" s="117">
        <f>IFERROR(IF(ISBLANK(INDEX(Release[Release],MATCH($A39,Release[Requirement ID],0))),"",INDEX(Release[Release],MATCH($A39,Release[Requirement ID],0))),"")</f>
        <v/>
      </c>
      <c r="L39" s="118" t="n">
        <v>46226</v>
      </c>
      <c r="M39" s="116" t="n"/>
      <c r="N39" s="116" t="n"/>
      <c r="O39" s="117">
        <f>IF($N39="","","https://smartship.atlassian.net/browse/"&amp;$N39)</f>
        <v/>
      </c>
      <c r="P39" s="92">
        <f>IFERROR(VALUE(MID($A39,5,4)),0)</f>
        <v/>
      </c>
      <c r="Q39" s="92" t="inlineStr">
        <is>
          <t>NEW-0017</t>
        </is>
      </c>
    </row>
    <row r="40" ht="15" customHeight="1" s="93">
      <c r="A40" s="115">
        <f>IF(AND(B40="",C40="",D40="",E40="",F40="",G40="",H40="",J40="",L40="",M40="",N40=""),"",Q40)</f>
        <v/>
      </c>
      <c r="B40" s="116" t="inlineStr">
        <is>
          <t>BR Payment providerDireçao</t>
        </is>
      </c>
      <c r="C40" s="116" t="inlineStr">
        <is>
          <t>New</t>
        </is>
      </c>
      <c r="D40" s="116" t="inlineStr">
        <is>
          <t>MVP Rollout</t>
        </is>
      </c>
      <c r="E40" s="116" t="inlineStr">
        <is>
          <t>B2CW</t>
        </is>
      </c>
      <c r="F40" s="116" t="inlineStr">
        <is>
          <t>NEW</t>
        </is>
      </c>
      <c r="G40" s="116" t="inlineStr">
        <is>
          <t>Medium</t>
        </is>
      </c>
      <c r="H40" s="116" t="inlineStr">
        <is>
          <t>Q1 2027</t>
        </is>
      </c>
      <c r="I40" s="117">
        <f>IF($A40="","",IFERROR(IF(ISBLANK(INDEX(SprintPlanning[Sprint],MATCH($A40,SprintPlanning[Requirement ID],0))),"To Plan",INDEX(SprintPlanning[Sprint],MATCH($A40,SprintPlanning[Requirement ID],0))),"To Plan"))</f>
        <v/>
      </c>
      <c r="J40" s="116" t="n">
        <v>40</v>
      </c>
      <c r="K40" s="117">
        <f>IFERROR(IF(ISBLANK(INDEX(Release[Release],MATCH($A40,Release[Requirement ID],0))),"",INDEX(Release[Release],MATCH($A40,Release[Requirement ID],0))),"")</f>
        <v/>
      </c>
      <c r="L40" s="118" t="n">
        <v>46226</v>
      </c>
      <c r="M40" s="116" t="n"/>
      <c r="N40" s="116" t="n"/>
      <c r="O40" s="117">
        <f>IF($N40="","","https://smartship.atlassian.net/browse/"&amp;$N40)</f>
        <v/>
      </c>
      <c r="P40" s="92">
        <f>IFERROR(VALUE(MID($A40,5,4)),0)</f>
        <v/>
      </c>
      <c r="Q40" s="92" t="inlineStr">
        <is>
          <t>NEW-0018</t>
        </is>
      </c>
    </row>
    <row r="41" ht="15" customHeight="1" s="93">
      <c r="A41" s="115">
        <f>IF(AND(B41="",C41="",D41="",E41="",F41="",G41="",H41="",J41="",L41="",M41="",N41=""),"",Q41)</f>
        <v/>
      </c>
      <c r="B41" s="116" t="inlineStr">
        <is>
          <t xml:space="preserve">MyMSC Spa </t>
        </is>
      </c>
      <c r="C41" s="116" t="inlineStr">
        <is>
          <t>New</t>
        </is>
      </c>
      <c r="D41" s="116" t="inlineStr">
        <is>
          <t>MyMSC</t>
        </is>
      </c>
      <c r="E41" s="116" t="inlineStr">
        <is>
          <t>B2CW</t>
        </is>
      </c>
      <c r="F41" s="116" t="inlineStr">
        <is>
          <t>NEW</t>
        </is>
      </c>
      <c r="G41" s="116" t="inlineStr">
        <is>
          <t>Medium</t>
        </is>
      </c>
      <c r="H41" s="116" t="n"/>
      <c r="I41" s="117">
        <f>IF($A41="","",IFERROR(IF(ISBLANK(INDEX(SprintPlanning[Sprint],MATCH($A41,SprintPlanning[Requirement ID],0))),"To Plan",INDEX(SprintPlanning[Sprint],MATCH($A41,SprintPlanning[Requirement ID],0))),"To Plan"))</f>
        <v/>
      </c>
      <c r="J41" s="116" t="n">
        <v>20</v>
      </c>
      <c r="K41" s="117">
        <f>IFERROR(IF(ISBLANK(INDEX(Release[Release],MATCH($A41,Release[Requirement ID],0))),"",INDEX(Release[Release],MATCH($A41,Release[Requirement ID],0))),"")</f>
        <v/>
      </c>
      <c r="L41" s="118" t="n">
        <v>46226</v>
      </c>
      <c r="M41" s="116" t="n"/>
      <c r="N41" s="116" t="n"/>
      <c r="O41" s="117">
        <f>IF($N41="","","https://smartship.atlassian.net/browse/"&amp;$N41)</f>
        <v/>
      </c>
      <c r="P41" s="92">
        <f>IFERROR(VALUE(MID($A41,5,4)),0)</f>
        <v/>
      </c>
      <c r="Q41" s="92" t="inlineStr">
        <is>
          <t>NEW-0020</t>
        </is>
      </c>
    </row>
    <row r="42" ht="15" customHeight="1" s="93">
      <c r="A42" s="115">
        <f>IF(AND(B42="",C42="",D42="",E42="",F42="",G42="",H42="",J42="",L42="",M42="",N42=""),"",Q42)</f>
        <v/>
      </c>
      <c r="B42" s="116" t="inlineStr">
        <is>
          <t>Super Agency Access</t>
        </is>
      </c>
      <c r="C42" s="116" t="inlineStr">
        <is>
          <t>New</t>
        </is>
      </c>
      <c r="D42" s="116" t="inlineStr">
        <is>
          <t>MyMSC</t>
        </is>
      </c>
      <c r="E42" s="116" t="inlineStr">
        <is>
          <t>B2CW</t>
        </is>
      </c>
      <c r="F42" s="116" t="inlineStr">
        <is>
          <t>NEW</t>
        </is>
      </c>
      <c r="G42" s="116" t="inlineStr">
        <is>
          <t>Medium</t>
        </is>
      </c>
      <c r="H42" s="116" t="n"/>
      <c r="I42" s="117">
        <f>IF($A42="","",IFERROR(IF(ISBLANK(INDEX(SprintPlanning[Sprint],MATCH($A42,SprintPlanning[Requirement ID],0))),"To Plan",INDEX(SprintPlanning[Sprint],MATCH($A42,SprintPlanning[Requirement ID],0))),"To Plan"))</f>
        <v/>
      </c>
      <c r="J42" s="116" t="n">
        <v>8</v>
      </c>
      <c r="K42" s="117">
        <f>IFERROR(IF(ISBLANK(INDEX(Release[Release],MATCH($A42,Release[Requirement ID],0))),"",INDEX(Release[Release],MATCH($A42,Release[Requirement ID],0))),"")</f>
        <v/>
      </c>
      <c r="L42" s="118" t="n">
        <v>46226</v>
      </c>
      <c r="M42" s="116" t="n"/>
      <c r="N42" s="116" t="n"/>
      <c r="O42" s="117">
        <f>IF($N42="","","https://smartship.atlassian.net/browse/"&amp;$N42)</f>
        <v/>
      </c>
      <c r="P42" s="92">
        <f>IFERROR(VALUE(MID($A42,5,4)),0)</f>
        <v/>
      </c>
      <c r="Q42" s="92" t="inlineStr">
        <is>
          <t>NEW-0022</t>
        </is>
      </c>
    </row>
    <row r="43" ht="15" customHeight="1" s="93">
      <c r="A43" s="115">
        <f>IF(AND(B43="",C43="",D43="",E43="",F43="",G43="",H43="",J43="",L43="",M43="",N43=""),"",Q43)</f>
        <v/>
      </c>
      <c r="B43" s="116" t="inlineStr">
        <is>
          <t>Pending Configurations for DACH, MED, LATAM</t>
        </is>
      </c>
      <c r="C43" s="116" t="inlineStr">
        <is>
          <t>Config</t>
        </is>
      </c>
      <c r="D43" s="116" t="inlineStr">
        <is>
          <t>MyMSC</t>
        </is>
      </c>
      <c r="E43" s="116" t="inlineStr">
        <is>
          <t>B2CW</t>
        </is>
      </c>
      <c r="F43" s="116" t="inlineStr">
        <is>
          <t>NEW</t>
        </is>
      </c>
      <c r="G43" s="116" t="inlineStr">
        <is>
          <t>Medium</t>
        </is>
      </c>
      <c r="H43" s="116" t="n"/>
      <c r="I43" s="117">
        <f>IF($A43="","",IFERROR(IF(ISBLANK(INDEX(SprintPlanning[Sprint],MATCH($A43,SprintPlanning[Requirement ID],0))),"To Plan",INDEX(SprintPlanning[Sprint],MATCH($A43,SprintPlanning[Requirement ID],0))),"To Plan"))</f>
        <v/>
      </c>
      <c r="J43" s="116" t="n">
        <v>3</v>
      </c>
      <c r="K43" s="117">
        <f>IFERROR(IF(ISBLANK(INDEX(Release[Release],MATCH($A43,Release[Requirement ID],0))),"",INDEX(Release[Release],MATCH($A43,Release[Requirement ID],0))),"")</f>
        <v/>
      </c>
      <c r="L43" s="118" t="n">
        <v>46226</v>
      </c>
      <c r="M43" s="116" t="inlineStr">
        <is>
          <t>Created</t>
        </is>
      </c>
      <c r="N43" s="116" t="inlineStr">
        <is>
          <t>DTTP25-21230</t>
        </is>
      </c>
      <c r="O43" s="117">
        <f>IF($N43="","","https://smartship.atlassian.net/browse/"&amp;$N43)</f>
        <v/>
      </c>
      <c r="P43" s="92">
        <f>IFERROR(VALUE(MID($A43,5,4)),0)</f>
        <v/>
      </c>
      <c r="Q43" s="92" t="inlineStr">
        <is>
          <t>NEW-0033</t>
        </is>
      </c>
    </row>
    <row r="44" ht="15" customHeight="1" s="93">
      <c r="A44" s="115">
        <f>IF(AND(B44="",C44="",D44="",E44="",F44="",G44="",H44="",J44="",L44="",M44="",N44=""),"",Q44)</f>
        <v/>
      </c>
      <c r="B44" s="116" t="inlineStr">
        <is>
          <t>[EAINT] [CR][INT026][INT133][INT130] Split calls to CMS for excursion/OBS data into chunks</t>
        </is>
      </c>
      <c r="C44" s="116" t="inlineStr">
        <is>
          <t>CR</t>
        </is>
      </c>
      <c r="D44" s="116" t="inlineStr">
        <is>
          <t>MyMSC</t>
        </is>
      </c>
      <c r="E44" s="116" t="inlineStr">
        <is>
          <t>B2CW</t>
        </is>
      </c>
      <c r="F44" s="116" t="inlineStr">
        <is>
          <t>NEW</t>
        </is>
      </c>
      <c r="G44" s="116" t="inlineStr">
        <is>
          <t>Medium</t>
        </is>
      </c>
      <c r="H44" s="116" t="n"/>
      <c r="I44" s="117">
        <f>IF($A44="","",IFERROR(IF(ISBLANK(INDEX(SprintPlanning[Sprint],MATCH($A44,SprintPlanning[Requirement ID],0))),"To Plan",INDEX(SprintPlanning[Sprint],MATCH($A44,SprintPlanning[Requirement ID],0))),"To Plan"))</f>
        <v/>
      </c>
      <c r="J44" s="116" t="n">
        <v>8</v>
      </c>
      <c r="K44" s="117">
        <f>IFERROR(IF(ISBLANK(INDEX(Release[Release],MATCH($A44,Release[Requirement ID],0))),"",INDEX(Release[Release],MATCH($A44,Release[Requirement ID],0))),"")</f>
        <v/>
      </c>
      <c r="L44" s="118" t="n">
        <v>46226</v>
      </c>
      <c r="M44" s="116" t="n"/>
      <c r="N44" s="116" t="n"/>
      <c r="O44" s="117">
        <f>IF($N44="","","https://smartship.atlassian.net/browse/"&amp;$N44)</f>
        <v/>
      </c>
      <c r="P44" s="92">
        <f>IFERROR(VALUE(MID($A44,5,4)),0)</f>
        <v/>
      </c>
      <c r="Q44" s="92" t="inlineStr">
        <is>
          <t>NEW-0068</t>
        </is>
      </c>
    </row>
    <row r="45" ht="15" customHeight="1" s="93">
      <c r="A45" s="115">
        <f>IF(AND(B45="",C45="",D45="",E45="",F45="",G45="",H45="",J45="",L45="",M45="",N45=""),"",Q45)</f>
        <v/>
      </c>
      <c r="B45" s="116" t="inlineStr">
        <is>
          <t>TLI 99.1</t>
        </is>
      </c>
      <c r="C45" s="116" t="inlineStr">
        <is>
          <t>TBC</t>
        </is>
      </c>
      <c r="D45" s="116" t="inlineStr">
        <is>
          <t>US</t>
        </is>
      </c>
      <c r="E45" s="116" t="inlineStr">
        <is>
          <t>MA</t>
        </is>
      </c>
      <c r="F45" s="116" t="inlineStr">
        <is>
          <t>DONE</t>
        </is>
      </c>
      <c r="G45" s="116" t="inlineStr">
        <is>
          <t>Medium</t>
        </is>
      </c>
      <c r="H45" s="116" t="n"/>
      <c r="I45" s="117">
        <f>IF($A45="","",IFERROR(IF(ISBLANK(INDEX(SprintPlanning[Sprint],MATCH($A45,SprintPlanning[Requirement ID],0))),"To Plan",INDEX(SprintPlanning[Sprint],MATCH($A45,SprintPlanning[Requirement ID],0))),"To Plan"))</f>
        <v/>
      </c>
      <c r="J45" s="116" t="n"/>
      <c r="K45" s="117">
        <f>IFERROR(IF(ISBLANK(INDEX(Release[Release],MATCH($A45,Release[Requirement ID],0))),"",INDEX(Release[Release],MATCH($A45,Release[Requirement ID],0))),"")</f>
        <v/>
      </c>
      <c r="L45" s="118" t="n">
        <v>46232</v>
      </c>
      <c r="M45" s="116" t="n"/>
      <c r="N45" s="116" t="n"/>
      <c r="O45" s="117">
        <f>IF($N45="","","https://smartship.atlassian.net/browse/"&amp;$N45)</f>
        <v/>
      </c>
      <c r="P45" s="92">
        <f>IFERROR(VALUE(MID($A45,5,4)),0)</f>
        <v/>
      </c>
      <c r="Q45" s="92" t="inlineStr">
        <is>
          <t>NEW-0265</t>
        </is>
      </c>
    </row>
    <row r="46" ht="15" customHeight="1" s="93">
      <c r="A46" s="115">
        <f>IF(AND(B46="",C46="",D46="",E46="",F46="",G46="",H46="",J46="",L46="",M46="",N46=""),"",Q46)</f>
        <v/>
      </c>
      <c r="B46" s="116" t="inlineStr">
        <is>
          <t>Campaigns for loyalty program management</t>
        </is>
      </c>
      <c r="C46" s="116" t="inlineStr">
        <is>
          <t>TBC</t>
        </is>
      </c>
      <c r="D46" s="116" t="inlineStr">
        <is>
          <t>US</t>
        </is>
      </c>
      <c r="E46" s="116" t="inlineStr">
        <is>
          <t>MA</t>
        </is>
      </c>
      <c r="F46" s="116" t="inlineStr">
        <is>
          <t>DONE</t>
        </is>
      </c>
      <c r="G46" s="116" t="inlineStr">
        <is>
          <t>Medium</t>
        </is>
      </c>
      <c r="H46" s="116" t="n"/>
      <c r="I46" s="117">
        <f>IF($A46="","",IFERROR(IF(ISBLANK(INDEX(SprintPlanning[Sprint],MATCH($A46,SprintPlanning[Requirement ID],0))),"To Plan",INDEX(SprintPlanning[Sprint],MATCH($A46,SprintPlanning[Requirement ID],0))),"To Plan"))</f>
        <v/>
      </c>
      <c r="J46" s="116" t="n"/>
      <c r="K46" s="117">
        <f>IFERROR(IF(ISBLANK(INDEX(Release[Release],MATCH($A46,Release[Requirement ID],0))),"",INDEX(Release[Release],MATCH($A46,Release[Requirement ID],0))),"")</f>
        <v/>
      </c>
      <c r="L46" s="118" t="n">
        <v>46232</v>
      </c>
      <c r="M46" s="116" t="n"/>
      <c r="N46" s="116" t="n"/>
      <c r="O46" s="117">
        <f>IF($N46="","","https://smartship.atlassian.net/browse/"&amp;$N46)</f>
        <v/>
      </c>
      <c r="P46" s="92">
        <f>IFERROR(VALUE(MID($A46,5,4)),0)</f>
        <v/>
      </c>
      <c r="Q46" s="92" t="inlineStr">
        <is>
          <t>NEW-0266</t>
        </is>
      </c>
    </row>
    <row r="47" ht="15" customHeight="1" s="93">
      <c r="A47" s="115">
        <f>IF(AND(B47="",C47="",D47="",E47="",F47="",G47="",H47="",J47="",L47="",M47="",N47=""),"",Q47)</f>
        <v/>
      </c>
      <c r="B47" s="116" t="inlineStr">
        <is>
          <t>Booking Group Management Cabin Selections</t>
        </is>
      </c>
      <c r="C47" s="116" t="inlineStr">
        <is>
          <t>CR</t>
        </is>
      </c>
      <c r="D47" s="116" t="inlineStr">
        <is>
          <t>US</t>
        </is>
      </c>
      <c r="E47" s="116" t="inlineStr">
        <is>
          <t>B2CW</t>
        </is>
      </c>
      <c r="F47" s="116" t="inlineStr">
        <is>
          <t>NEW</t>
        </is>
      </c>
      <c r="G47" s="116" t="inlineStr">
        <is>
          <t>Medium</t>
        </is>
      </c>
      <c r="H47" s="116" t="n"/>
      <c r="I47" s="117">
        <f>IF($A47="","",IFERROR(IF(ISBLANK(INDEX(SprintPlanning[Sprint],MATCH($A47,SprintPlanning[Requirement ID],0))),"To Plan",INDEX(SprintPlanning[Sprint],MATCH($A47,SprintPlanning[Requirement ID],0))),"To Plan"))</f>
        <v/>
      </c>
      <c r="J47" s="116" t="n">
        <v>5</v>
      </c>
      <c r="K47" s="117">
        <f>IFERROR(IF(ISBLANK(INDEX(Release[Release],MATCH($A47,Release[Requirement ID],0))),"",INDEX(Release[Release],MATCH($A47,Release[Requirement ID],0))),"")</f>
        <v/>
      </c>
      <c r="L47" s="118" t="n">
        <v>46232</v>
      </c>
      <c r="M47" s="116" t="n"/>
      <c r="N47" s="116" t="n"/>
      <c r="O47" s="117">
        <f>IF($N47="","","https://smartship.atlassian.net/browse/"&amp;$N47)</f>
        <v/>
      </c>
      <c r="P47" s="92">
        <f>IFERROR(VALUE(MID($A47,5,4)),0)</f>
        <v/>
      </c>
      <c r="Q47" s="92" t="inlineStr">
        <is>
          <t>NEW-0270</t>
        </is>
      </c>
    </row>
    <row r="48" ht="15" customHeight="1" s="93">
      <c r="A48" s="115">
        <f>IF(AND(B48="",C48="",D48="",E48="",F48="",G48="",H48="",J48="",L48="",M48="",N48=""),"",Q48)</f>
        <v/>
      </c>
      <c r="B48" s="116" t="inlineStr">
        <is>
          <t>INT024.2 - Addition of “Disembarkation Date” and “Pay By” fields</t>
        </is>
      </c>
      <c r="C48" s="116" t="inlineStr">
        <is>
          <t>CR</t>
        </is>
      </c>
      <c r="D48" s="116" t="inlineStr">
        <is>
          <t>Growth</t>
        </is>
      </c>
      <c r="E48" s="116" t="inlineStr">
        <is>
          <t>S&amp;S</t>
        </is>
      </c>
      <c r="F48" s="116" t="inlineStr">
        <is>
          <t>NEW</t>
        </is>
      </c>
      <c r="G48" s="116" t="inlineStr">
        <is>
          <t>Medium</t>
        </is>
      </c>
      <c r="H48" s="116" t="n"/>
      <c r="I48" s="117">
        <f>IF($A48="","",IFERROR(IF(ISBLANK(INDEX(SprintPlanning[Sprint],MATCH($A48,SprintPlanning[Requirement ID],0))),"To Plan",INDEX(SprintPlanning[Sprint],MATCH($A48,SprintPlanning[Requirement ID],0))),"To Plan"))</f>
        <v/>
      </c>
      <c r="J48" s="116" t="n">
        <v>3</v>
      </c>
      <c r="K48" s="117">
        <f>IFERROR(IF(ISBLANK(INDEX(Release[Release],MATCH($A48,Release[Requirement ID],0))),"",INDEX(Release[Release],MATCH($A48,Release[Requirement ID],0))),"")</f>
        <v/>
      </c>
      <c r="L48" s="118" t="n">
        <v>46232</v>
      </c>
      <c r="M48" s="116" t="n"/>
      <c r="N48" s="116" t="n"/>
      <c r="O48" s="117">
        <f>IF($N48="","","https://smartship.atlassian.net/browse/"&amp;$N48)</f>
        <v/>
      </c>
      <c r="P48" s="92">
        <f>IFERROR(VALUE(MID($A48,5,4)),0)</f>
        <v/>
      </c>
      <c r="Q48" s="92" t="inlineStr">
        <is>
          <t>NEW-0274</t>
        </is>
      </c>
    </row>
    <row r="49" ht="15" customHeight="1" s="93">
      <c r="A49" s="115">
        <f>IF(AND(B49="",C49="",D49="",E49="",F49="",G49="",H49="",J49="",L49="",M49="",N49=""),"",Q49)</f>
        <v/>
      </c>
      <c r="B49" s="116" t="inlineStr">
        <is>
          <t>DACH, MED, LATAM Configurations</t>
        </is>
      </c>
      <c r="C49" s="116" t="inlineStr">
        <is>
          <t>CR</t>
        </is>
      </c>
      <c r="D49" s="116" t="inlineStr">
        <is>
          <t>MyMSC</t>
        </is>
      </c>
      <c r="E49" s="116" t="inlineStr">
        <is>
          <t>B2CW</t>
        </is>
      </c>
      <c r="F49" s="116" t="inlineStr">
        <is>
          <t>NEW</t>
        </is>
      </c>
      <c r="G49" s="116" t="inlineStr">
        <is>
          <t>Medium</t>
        </is>
      </c>
      <c r="H49" s="116" t="n"/>
      <c r="I49" s="117">
        <f>IF($A49="","",IFERROR(IF(ISBLANK(INDEX(SprintPlanning[Sprint],MATCH($A49,SprintPlanning[Requirement ID],0))),"To Plan",INDEX(SprintPlanning[Sprint],MATCH($A49,SprintPlanning[Requirement ID],0))),"To Plan"))</f>
        <v/>
      </c>
      <c r="J49" s="116" t="n"/>
      <c r="K49" s="117">
        <f>IFERROR(IF(ISBLANK(INDEX(Release[Release],MATCH($A49,Release[Requirement ID],0))),"",INDEX(Release[Release],MATCH($A49,Release[Requirement ID],0))),"")</f>
        <v/>
      </c>
      <c r="L49" s="118" t="n">
        <v>46232</v>
      </c>
      <c r="M49" s="116" t="n"/>
      <c r="N49" s="116" t="n"/>
      <c r="O49" s="117">
        <f>IF($N49="","","https://smartship.atlassian.net/browse/"&amp;$N49)</f>
        <v/>
      </c>
      <c r="P49" s="92">
        <f>IFERROR(VALUE(MID($A49,5,4)),0)</f>
        <v/>
      </c>
      <c r="Q49" s="92" t="inlineStr">
        <is>
          <t>NEW-0284</t>
        </is>
      </c>
    </row>
    <row r="50" ht="15" customHeight="1" s="93">
      <c r="A50" s="115">
        <f>IF(AND(B50="",C50="",D50="",E50="",F50="",G50="",H50="",J50="",L50="",M50="",N50=""),"",Q50)</f>
        <v/>
      </c>
      <c r="B50" s="116" t="inlineStr">
        <is>
          <t>Remove of login endpoints from MyMSC EAPI</t>
        </is>
      </c>
      <c r="C50" s="116" t="inlineStr">
        <is>
          <t>Tech Task</t>
        </is>
      </c>
      <c r="D50" s="116" t="inlineStr">
        <is>
          <t>MyMSC</t>
        </is>
      </c>
      <c r="E50" s="116" t="inlineStr">
        <is>
          <t>ALL</t>
        </is>
      </c>
      <c r="F50" s="116" t="inlineStr">
        <is>
          <t>NEW</t>
        </is>
      </c>
      <c r="G50" s="116" t="inlineStr">
        <is>
          <t>Medium</t>
        </is>
      </c>
      <c r="H50" s="116" t="n"/>
      <c r="I50" s="117">
        <f>IF($A50="","",IFERROR(IF(ISBLANK(INDEX(SprintPlanning[Sprint],MATCH($A50,SprintPlanning[Requirement ID],0))),"To Plan",INDEX(SprintPlanning[Sprint],MATCH($A50,SprintPlanning[Requirement ID],0))),"To Plan"))</f>
        <v/>
      </c>
      <c r="J50" s="116" t="n">
        <v>8</v>
      </c>
      <c r="K50" s="117">
        <f>IFERROR(IF(ISBLANK(INDEX(Release[Release],MATCH($A50,Release[Requirement ID],0))),"",INDEX(Release[Release],MATCH($A50,Release[Requirement ID],0))),"")</f>
        <v/>
      </c>
      <c r="L50" s="118" t="n">
        <v>46232</v>
      </c>
      <c r="M50" s="116" t="n"/>
      <c r="N50" s="116" t="n"/>
      <c r="O50" s="117">
        <f>IF($N50="","","https://smartship.atlassian.net/browse/"&amp;$N50)</f>
        <v/>
      </c>
      <c r="P50" s="92">
        <f>IFERROR(VALUE(MID($A50,5,4)),0)</f>
        <v/>
      </c>
      <c r="Q50" s="92" t="inlineStr">
        <is>
          <t>NEW-0288</t>
        </is>
      </c>
    </row>
    <row r="51" ht="15" customHeight="1" s="93">
      <c r="A51" s="115">
        <f>IF(AND(B51="",C51="",D51="",E51="",F51="",G51="",H51="",J51="",L51="",M51="",N51=""),"",Q51)</f>
        <v/>
      </c>
      <c r="B51" s="116" t="inlineStr">
        <is>
          <t>Bug fix for cabin logic in INT135.1/135.2</t>
        </is>
      </c>
      <c r="C51" s="116" t="inlineStr">
        <is>
          <t>Bug</t>
        </is>
      </c>
      <c r="D51" s="116" t="inlineStr">
        <is>
          <t>MyMSC</t>
        </is>
      </c>
      <c r="E51" s="116" t="inlineStr">
        <is>
          <t>B2CW</t>
        </is>
      </c>
      <c r="F51" s="116" t="inlineStr">
        <is>
          <t>NEW</t>
        </is>
      </c>
      <c r="G51" s="116" t="inlineStr">
        <is>
          <t>Medium</t>
        </is>
      </c>
      <c r="H51" s="116" t="n"/>
      <c r="I51" s="117">
        <f>IF($A51="","",IFERROR(IF(ISBLANK(INDEX(SprintPlanning[Sprint],MATCH($A51,SprintPlanning[Requirement ID],0))),"To Plan",INDEX(SprintPlanning[Sprint],MATCH($A51,SprintPlanning[Requirement ID],0))),"To Plan"))</f>
        <v/>
      </c>
      <c r="J51" s="116" t="n">
        <v>5</v>
      </c>
      <c r="K51" s="117">
        <f>IFERROR(IF(ISBLANK(INDEX(Release[Release],MATCH($A51,Release[Requirement ID],0))),"",INDEX(Release[Release],MATCH($A51,Release[Requirement ID],0))),"")</f>
        <v/>
      </c>
      <c r="L51" s="118" t="n">
        <v>46232</v>
      </c>
      <c r="M51" s="116" t="inlineStr">
        <is>
          <t>Created</t>
        </is>
      </c>
      <c r="N51" s="131" t="inlineStr">
        <is>
          <t>DTTP25-29399</t>
        </is>
      </c>
      <c r="O51" s="132" t="inlineStr">
        <is>
          <t>https://smartship.atlassian.net/browse/DTTP25-29399</t>
        </is>
      </c>
      <c r="P51" s="92">
        <f>IFERROR(VALUE(MID($A51,5,4)),0)</f>
        <v/>
      </c>
      <c r="Q51" s="92" t="inlineStr">
        <is>
          <t>NEW-0290</t>
        </is>
      </c>
    </row>
    <row r="52" ht="15" customHeight="1" s="93">
      <c r="A52" s="115">
        <f>IF(AND(B52="",C52="",D52="",E52="",F52="",G52="",H52="",J52="",L52="",M52="",N52=""),"",Q52)</f>
        <v/>
      </c>
      <c r="B52" s="116" t="inlineStr">
        <is>
          <t>Spa</t>
        </is>
      </c>
      <c r="C52" s="116" t="inlineStr">
        <is>
          <t>CR</t>
        </is>
      </c>
      <c r="D52" s="116" t="inlineStr">
        <is>
          <t>MyMSC</t>
        </is>
      </c>
      <c r="E52" s="116" t="inlineStr">
        <is>
          <t>B2CW</t>
        </is>
      </c>
      <c r="F52" s="116" t="inlineStr">
        <is>
          <t>NEW</t>
        </is>
      </c>
      <c r="G52" s="116" t="inlineStr">
        <is>
          <t>Medium</t>
        </is>
      </c>
      <c r="H52" s="116" t="n"/>
      <c r="I52" s="117">
        <f>IF($A52="","",IFERROR(IF(ISBLANK(INDEX(SprintPlanning[Sprint],MATCH($A52,SprintPlanning[Requirement ID],0))),"To Plan",INDEX(SprintPlanning[Sprint],MATCH($A52,SprintPlanning[Requirement ID],0))),"To Plan"))</f>
        <v/>
      </c>
      <c r="J52" s="116" t="n">
        <v>33</v>
      </c>
      <c r="K52" s="117">
        <f>IFERROR(IF(ISBLANK(INDEX(Release[Release],MATCH($A52,Release[Requirement ID],0))),"",INDEX(Release[Release],MATCH($A52,Release[Requirement ID],0))),"")</f>
        <v/>
      </c>
      <c r="L52" s="118" t="n">
        <v>46232</v>
      </c>
      <c r="M52" s="116" t="n"/>
      <c r="N52" s="116" t="n"/>
      <c r="O52" s="117">
        <f>IF($N52="","","https://smartship.atlassian.net/browse/"&amp;$N52)</f>
        <v/>
      </c>
      <c r="P52" s="92">
        <f>IFERROR(VALUE(MID($A52,5,4)),0)</f>
        <v/>
      </c>
      <c r="Q52" s="92" t="inlineStr">
        <is>
          <t>NEW-0299</t>
        </is>
      </c>
    </row>
    <row r="53" ht="15" customHeight="1" s="93">
      <c r="A53" s="115">
        <f>IF(AND(B53="",C53="",D53="",E53="",F53="",G53="",H53="",J53="",L53="",M53="",N53=""),"",Q53)</f>
        <v/>
      </c>
      <c r="B53" s="116" t="inlineStr">
        <is>
          <t>MyMSC CR to handle BKG_001 when booking retrieved</t>
        </is>
      </c>
      <c r="C53" s="116" t="inlineStr">
        <is>
          <t>CR</t>
        </is>
      </c>
      <c r="D53" s="116" t="inlineStr">
        <is>
          <t>MyMSC</t>
        </is>
      </c>
      <c r="E53" s="116" t="inlineStr">
        <is>
          <t>B2CW</t>
        </is>
      </c>
      <c r="F53" s="116" t="inlineStr">
        <is>
          <t>NEW</t>
        </is>
      </c>
      <c r="G53" s="116" t="inlineStr">
        <is>
          <t>Medium</t>
        </is>
      </c>
      <c r="H53" s="116" t="n"/>
      <c r="I53" s="117">
        <f>IF($A53="","",IFERROR(IF(ISBLANK(INDEX(SprintPlanning[Sprint],MATCH($A53,SprintPlanning[Requirement ID],0))),"To Plan",INDEX(SprintPlanning[Sprint],MATCH($A53,SprintPlanning[Requirement ID],0))),"To Plan"))</f>
        <v/>
      </c>
      <c r="J53" s="116" t="n">
        <v>8</v>
      </c>
      <c r="K53" s="117">
        <f>IFERROR(IF(ISBLANK(INDEX(Release[Release],MATCH($A53,Release[Requirement ID],0))),"",INDEX(Release[Release],MATCH($A53,Release[Requirement ID],0))),"")</f>
        <v/>
      </c>
      <c r="L53" s="118" t="n">
        <v>46232</v>
      </c>
      <c r="M53" s="116" t="n"/>
      <c r="N53" s="116" t="n"/>
      <c r="O53" s="117">
        <f>IF($N53="","","https://smartship.atlassian.net/browse/"&amp;$N53)</f>
        <v/>
      </c>
      <c r="P53" s="92">
        <f>IFERROR(VALUE(MID($A53,5,4)),0)</f>
        <v/>
      </c>
      <c r="Q53" s="92" t="inlineStr">
        <is>
          <t>NEW-0315</t>
        </is>
      </c>
    </row>
    <row r="54" ht="15" customHeight="1" s="93">
      <c r="A54" s="115">
        <f>IF(AND(B54="",C54="",D54="",E54="",F54="",G54="",H54="",J54="",L54="",M54="",N54=""),"",Q54)</f>
        <v/>
      </c>
      <c r="B54" s="116" t="inlineStr">
        <is>
          <t>MyMSC/MA CR for enabling DEM links to light login</t>
        </is>
      </c>
      <c r="C54" s="116" t="inlineStr">
        <is>
          <t>CR</t>
        </is>
      </c>
      <c r="D54" s="116" t="inlineStr">
        <is>
          <t>MyMSC</t>
        </is>
      </c>
      <c r="E54" s="116" t="inlineStr">
        <is>
          <t>B2CW</t>
        </is>
      </c>
      <c r="F54" s="116" t="inlineStr">
        <is>
          <t>NEW</t>
        </is>
      </c>
      <c r="G54" s="116" t="inlineStr">
        <is>
          <t>Medium</t>
        </is>
      </c>
      <c r="H54" s="116" t="n"/>
      <c r="I54" s="117">
        <f>IF($A54="","",IFERROR(IF(ISBLANK(INDEX(SprintPlanning[Sprint],MATCH($A54,SprintPlanning[Requirement ID],0))),"To Plan",INDEX(SprintPlanning[Sprint],MATCH($A54,SprintPlanning[Requirement ID],0))),"To Plan"))</f>
        <v/>
      </c>
      <c r="J54" s="116" t="n">
        <v>13</v>
      </c>
      <c r="K54" s="117">
        <f>IFERROR(IF(ISBLANK(INDEX(Release[Release],MATCH($A54,Release[Requirement ID],0))),"",INDEX(Release[Release],MATCH($A54,Release[Requirement ID],0))),"")</f>
        <v/>
      </c>
      <c r="L54" s="118" t="n">
        <v>46232</v>
      </c>
      <c r="M54" s="116" t="n"/>
      <c r="N54" s="116" t="n"/>
      <c r="O54" s="117">
        <f>IF($N54="","","https://smartship.atlassian.net/browse/"&amp;$N54)</f>
        <v/>
      </c>
      <c r="P54" s="92">
        <f>IFERROR(VALUE(MID($A54,5,4)),0)</f>
        <v/>
      </c>
      <c r="Q54" s="92" t="inlineStr">
        <is>
          <t>NEW-0322</t>
        </is>
      </c>
    </row>
    <row r="55" ht="15" customHeight="1" s="93">
      <c r="A55" s="115">
        <f>IF(AND(B55="",C55="",D55="",E55="",F55="",G55="",H55="",J55="",L55="",M55="",N55=""),"",Q55)</f>
        <v/>
      </c>
      <c r="B55" s="116" t="inlineStr">
        <is>
          <t>MSC- MyMSC PRE_CRM_002 error scenario change CR to additem</t>
        </is>
      </c>
      <c r="C55" s="116" t="inlineStr">
        <is>
          <t>CR</t>
        </is>
      </c>
      <c r="D55" s="116" t="inlineStr">
        <is>
          <t>MyMSC</t>
        </is>
      </c>
      <c r="E55" s="116" t="inlineStr">
        <is>
          <t>B2CW</t>
        </is>
      </c>
      <c r="F55" s="116" t="inlineStr">
        <is>
          <t>NEW</t>
        </is>
      </c>
      <c r="G55" s="116" t="inlineStr">
        <is>
          <t>Medium</t>
        </is>
      </c>
      <c r="H55" s="116" t="n"/>
      <c r="I55" s="117">
        <f>IF($A55="","",IFERROR(IF(ISBLANK(INDEX(SprintPlanning[Sprint],MATCH($A55,SprintPlanning[Requirement ID],0))),"To Plan",INDEX(SprintPlanning[Sprint],MATCH($A55,SprintPlanning[Requirement ID],0))),"To Plan"))</f>
        <v/>
      </c>
      <c r="J55" s="116" t="n"/>
      <c r="K55" s="117">
        <f>IFERROR(IF(ISBLANK(INDEX(Release[Release],MATCH($A55,Release[Requirement ID],0))),"",INDEX(Release[Release],MATCH($A55,Release[Requirement ID],0))),"")</f>
        <v/>
      </c>
      <c r="L55" s="118" t="n">
        <v>46232</v>
      </c>
      <c r="M55" s="116" t="n"/>
      <c r="N55" s="116" t="n"/>
      <c r="O55" s="117">
        <f>IF($N55="","","https://smartship.atlassian.net/browse/"&amp;$N55)</f>
        <v/>
      </c>
      <c r="P55" s="92">
        <f>IFERROR(VALUE(MID($A55,5,4)),0)</f>
        <v/>
      </c>
      <c r="Q55" s="92" t="inlineStr">
        <is>
          <t>NEW-0324</t>
        </is>
      </c>
    </row>
    <row r="56" ht="15" customHeight="1" s="93">
      <c r="A56" s="115">
        <f>IF(AND(B56="",C56="",D56="",E56="",F56="",G56="",H56="",J56="",L56="",M56="",N56=""),"",Q56)</f>
        <v/>
      </c>
      <c r="B56" s="116" t="inlineStr">
        <is>
          <t>CDP / DTS Post Booking - CR - Passenger name filter</t>
        </is>
      </c>
      <c r="C56" s="116" t="inlineStr">
        <is>
          <t>CR</t>
        </is>
      </c>
      <c r="D56" s="116" t="inlineStr">
        <is>
          <t>Backlog</t>
        </is>
      </c>
      <c r="E56" s="116" t="inlineStr">
        <is>
          <t>MA</t>
        </is>
      </c>
      <c r="F56" s="116" t="inlineStr">
        <is>
          <t>ON HOLD</t>
        </is>
      </c>
      <c r="G56" s="116" t="inlineStr">
        <is>
          <t>Medium</t>
        </is>
      </c>
      <c r="H56" s="116" t="n"/>
      <c r="I56" s="117">
        <f>IF($A56="","",IFERROR(IF(ISBLANK(INDEX(SprintPlanning[Sprint],MATCH($A56,SprintPlanning[Requirement ID],0))),"To Plan",INDEX(SprintPlanning[Sprint],MATCH($A56,SprintPlanning[Requirement ID],0))),"To Plan"))</f>
        <v/>
      </c>
      <c r="J56" s="116" t="n"/>
      <c r="K56" s="117">
        <f>IFERROR(IF(ISBLANK(INDEX(Release[Release],MATCH($A56,Release[Requirement ID],0))),"",INDEX(Release[Release],MATCH($A56,Release[Requirement ID],0))),"")</f>
        <v/>
      </c>
      <c r="L56" s="118" t="n">
        <v>46232</v>
      </c>
      <c r="M56" s="116" t="n"/>
      <c r="N56" s="116" t="n"/>
      <c r="O56" s="117">
        <f>IF($N56="","","https://smartship.atlassian.net/browse/"&amp;$N56)</f>
        <v/>
      </c>
      <c r="P56" s="92">
        <f>IFERROR(VALUE(MID($A56,5,4)),0)</f>
        <v/>
      </c>
      <c r="Q56" s="92" t="inlineStr">
        <is>
          <t>NEW-0343</t>
        </is>
      </c>
    </row>
    <row r="57" ht="15" customHeight="1" s="93">
      <c r="A57" s="115">
        <f>IF(AND(B57="",C57="",D57="",E57="",F57="",G57="",H57="",J57="",L57="",M57="",N57=""),"",Q57)</f>
        <v/>
      </c>
      <c r="B57" s="116" t="inlineStr">
        <is>
          <t>CDP / DTS Post Booking - CR  - INT024.1 Improve data quality handling and optimise customer  search</t>
        </is>
      </c>
      <c r="C57" s="116" t="inlineStr">
        <is>
          <t>CR</t>
        </is>
      </c>
      <c r="D57" s="116" t="inlineStr">
        <is>
          <t>Backlog</t>
        </is>
      </c>
      <c r="E57" s="116" t="inlineStr">
        <is>
          <t>MA</t>
        </is>
      </c>
      <c r="F57" s="116" t="inlineStr">
        <is>
          <t>NEW</t>
        </is>
      </c>
      <c r="G57" s="116" t="inlineStr">
        <is>
          <t>Medium</t>
        </is>
      </c>
      <c r="H57" s="116" t="n"/>
      <c r="I57" s="117">
        <f>IF($A57="","",IFERROR(IF(ISBLANK(INDEX(SprintPlanning[Sprint],MATCH($A57,SprintPlanning[Requirement ID],0))),"To Plan",INDEX(SprintPlanning[Sprint],MATCH($A57,SprintPlanning[Requirement ID],0))),"To Plan"))</f>
        <v/>
      </c>
      <c r="J57" s="116" t="n"/>
      <c r="K57" s="117">
        <f>IFERROR(IF(ISBLANK(INDEX(Release[Release],MATCH($A57,Release[Requirement ID],0))),"",INDEX(Release[Release],MATCH($A57,Release[Requirement ID],0))),"")</f>
        <v/>
      </c>
      <c r="L57" s="118" t="n">
        <v>46232</v>
      </c>
      <c r="M57" s="116" t="n"/>
      <c r="N57" s="116" t="n"/>
      <c r="O57" s="117">
        <f>IF($N57="","","https://smartship.atlassian.net/browse/"&amp;$N57)</f>
        <v/>
      </c>
      <c r="P57" s="92">
        <f>IFERROR(VALUE(MID($A57,5,4)),0)</f>
        <v/>
      </c>
      <c r="Q57" s="92" t="inlineStr">
        <is>
          <t>NEW-0344</t>
        </is>
      </c>
    </row>
    <row r="58" ht="15" customHeight="1" s="93">
      <c r="A58" s="115">
        <f>IF(AND(B58="",C58="",D58="",E58="",F58="",G58="",H58="",J58="",L58="",M58="",N58=""),"",Q58)</f>
        <v/>
      </c>
      <c r="B58" s="116" t="inlineStr">
        <is>
          <t>CDP / DTS Post Booking - CR - INT024.1 Long term Improved data quality handling</t>
        </is>
      </c>
      <c r="C58" s="116" t="inlineStr">
        <is>
          <t>CR</t>
        </is>
      </c>
      <c r="D58" s="116" t="inlineStr">
        <is>
          <t>Backlog</t>
        </is>
      </c>
      <c r="E58" s="116" t="inlineStr">
        <is>
          <t>MA</t>
        </is>
      </c>
      <c r="F58" s="116" t="inlineStr">
        <is>
          <t>NEW</t>
        </is>
      </c>
      <c r="G58" s="116" t="inlineStr">
        <is>
          <t>Medium</t>
        </is>
      </c>
      <c r="H58" s="116" t="n"/>
      <c r="I58" s="117">
        <f>IF($A58="","",IFERROR(IF(ISBLANK(INDEX(SprintPlanning[Sprint],MATCH($A58,SprintPlanning[Requirement ID],0))),"To Plan",INDEX(SprintPlanning[Sprint],MATCH($A58,SprintPlanning[Requirement ID],0))),"To Plan"))</f>
        <v/>
      </c>
      <c r="J58" s="116" t="n"/>
      <c r="K58" s="117">
        <f>IFERROR(IF(ISBLANK(INDEX(Release[Release],MATCH($A58,Release[Requirement ID],0))),"",INDEX(Release[Release],MATCH($A58,Release[Requirement ID],0))),"")</f>
        <v/>
      </c>
      <c r="L58" s="118" t="n">
        <v>46232</v>
      </c>
      <c r="M58" s="116" t="n"/>
      <c r="N58" s="116" t="n"/>
      <c r="O58" s="117">
        <f>IF($N58="","","https://smartship.atlassian.net/browse/"&amp;$N58)</f>
        <v/>
      </c>
      <c r="P58" s="92">
        <f>IFERROR(VALUE(MID($A58,5,4)),0)</f>
        <v/>
      </c>
      <c r="Q58" s="92" t="inlineStr">
        <is>
          <t>NEW-0345</t>
        </is>
      </c>
    </row>
    <row r="59" ht="15" customHeight="1" s="93">
      <c r="A59" s="115">
        <f>IF(AND(B59="",C59="",D59="",E59="",F59="",G59="",H59="",J59="",L59="",M59="",N59=""),"",Q59)</f>
        <v/>
      </c>
      <c r="B59" s="116" t="inlineStr">
        <is>
          <t>CR - Improved data quality handling optimise customer search page size across other integrations</t>
        </is>
      </c>
      <c r="C59" s="116" t="inlineStr">
        <is>
          <t>CR</t>
        </is>
      </c>
      <c r="D59" s="116" t="inlineStr">
        <is>
          <t>Backlog</t>
        </is>
      </c>
      <c r="E59" s="116" t="inlineStr">
        <is>
          <t>MA</t>
        </is>
      </c>
      <c r="F59" s="116" t="inlineStr">
        <is>
          <t>NEW</t>
        </is>
      </c>
      <c r="G59" s="116" t="inlineStr">
        <is>
          <t>Medium</t>
        </is>
      </c>
      <c r="H59" s="116" t="n"/>
      <c r="I59" s="117">
        <f>IF($A59="","",IFERROR(IF(ISBLANK(INDEX(SprintPlanning[Sprint],MATCH($A59,SprintPlanning[Requirement ID],0))),"To Plan",INDEX(SprintPlanning[Sprint],MATCH($A59,SprintPlanning[Requirement ID],0))),"To Plan"))</f>
        <v/>
      </c>
      <c r="J59" s="116" t="n"/>
      <c r="K59" s="117">
        <f>IFERROR(IF(ISBLANK(INDEX(Release[Release],MATCH($A59,Release[Requirement ID],0))),"",INDEX(Release[Release],MATCH($A59,Release[Requirement ID],0))),"")</f>
        <v/>
      </c>
      <c r="L59" s="118" t="n">
        <v>46232</v>
      </c>
      <c r="M59" s="116" t="n"/>
      <c r="N59" s="116" t="n"/>
      <c r="O59" s="117">
        <f>IF($N59="","","https://smartship.atlassian.net/browse/"&amp;$N59)</f>
        <v/>
      </c>
      <c r="P59" s="92">
        <f>IFERROR(VALUE(MID($A59,5,4)),0)</f>
        <v/>
      </c>
      <c r="Q59" s="92" t="inlineStr">
        <is>
          <t>NEW-0346</t>
        </is>
      </c>
    </row>
    <row r="60" ht="15" customHeight="1" s="93">
      <c r="A60" s="115">
        <f>IF(AND(B60="",C60="",D60="",E60="",F60="",G60="",H60="",J60="",L60="",M60="",N60=""),"",Q60)</f>
        <v/>
      </c>
      <c r="B60" s="116" t="inlineStr">
        <is>
          <t>MED Insurance - Do not sell any insurance if CoR differ across pax</t>
        </is>
      </c>
      <c r="C60" s="116" t="inlineStr">
        <is>
          <t>CR</t>
        </is>
      </c>
      <c r="D60" s="116" t="inlineStr">
        <is>
          <t>Growth</t>
        </is>
      </c>
      <c r="E60" s="116" t="inlineStr">
        <is>
          <t>B2CW</t>
        </is>
      </c>
      <c r="F60" s="116" t="inlineStr">
        <is>
          <t>ON HOLD</t>
        </is>
      </c>
      <c r="G60" s="116" t="inlineStr">
        <is>
          <t>Medium</t>
        </is>
      </c>
      <c r="H60" s="116" t="n"/>
      <c r="I60" s="117">
        <f>IF($A60="","",IFERROR(IF(ISBLANK(INDEX(SprintPlanning[Sprint],MATCH($A60,SprintPlanning[Requirement ID],0))),"To Plan",INDEX(SprintPlanning[Sprint],MATCH($A60,SprintPlanning[Requirement ID],0))),"To Plan"))</f>
        <v/>
      </c>
      <c r="J60" s="116" t="n">
        <v>8</v>
      </c>
      <c r="K60" s="117">
        <f>IFERROR(IF(ISBLANK(INDEX(Release[Release],MATCH($A60,Release[Requirement ID],0))),"",INDEX(Release[Release],MATCH($A60,Release[Requirement ID],0))),"")</f>
        <v/>
      </c>
      <c r="L60" s="118" t="n">
        <v>46232</v>
      </c>
      <c r="M60" s="116" t="n"/>
      <c r="N60" s="116" t="n"/>
      <c r="O60" s="117">
        <f>IF($N60="","","https://smartship.atlassian.net/browse/"&amp;$N60)</f>
        <v/>
      </c>
      <c r="P60" s="92">
        <f>IFERROR(VALUE(MID($A60,5,4)),0)</f>
        <v/>
      </c>
      <c r="Q60" s="92" t="inlineStr">
        <is>
          <t>NEW-0356</t>
        </is>
      </c>
    </row>
    <row r="61" ht="15" customHeight="1" s="93">
      <c r="A61" s="115">
        <f>IF(AND(B61="",C61="",D61="",E61="",F61="",G61="",H61="",J61="",L61="",M61="",N61=""),"",Q61)</f>
        <v/>
      </c>
      <c r="B61" s="116" t="inlineStr">
        <is>
          <t>CMS Configuration for Airports in B2CW Booking Funnel</t>
        </is>
      </c>
      <c r="C61" s="116" t="inlineStr">
        <is>
          <t>CR</t>
        </is>
      </c>
      <c r="D61" s="116" t="inlineStr">
        <is>
          <t>Growth</t>
        </is>
      </c>
      <c r="E61" s="116" t="inlineStr">
        <is>
          <t>B2CW</t>
        </is>
      </c>
      <c r="F61" s="116" t="inlineStr">
        <is>
          <t>ON HOLD</t>
        </is>
      </c>
      <c r="G61" s="116" t="inlineStr">
        <is>
          <t>Medium</t>
        </is>
      </c>
      <c r="H61" s="116" t="n"/>
      <c r="I61" s="117">
        <f>IF($A61="","",IFERROR(IF(ISBLANK(INDEX(SprintPlanning[Sprint],MATCH($A61,SprintPlanning[Requirement ID],0))),"To Plan",INDEX(SprintPlanning[Sprint],MATCH($A61,SprintPlanning[Requirement ID],0))),"To Plan"))</f>
        <v/>
      </c>
      <c r="J61" s="116" t="n"/>
      <c r="K61" s="117">
        <f>IFERROR(IF(ISBLANK(INDEX(Release[Release],MATCH($A61,Release[Requirement ID],0))),"",INDEX(Release[Release],MATCH($A61,Release[Requirement ID],0))),"")</f>
        <v/>
      </c>
      <c r="L61" s="118" t="n">
        <v>46232</v>
      </c>
      <c r="M61" s="116" t="n"/>
      <c r="N61" s="116" t="n"/>
      <c r="O61" s="117">
        <f>IF($N61="","","https://smartship.atlassian.net/browse/"&amp;$N61)</f>
        <v/>
      </c>
      <c r="P61" s="92">
        <f>IFERROR(VALUE(MID($A61,5,4)),0)</f>
        <v/>
      </c>
      <c r="Q61" s="92" t="inlineStr">
        <is>
          <t>NEW-0358</t>
        </is>
      </c>
    </row>
    <row r="62" ht="15" customHeight="1" s="93">
      <c r="A62" s="115">
        <f>IF(AND(B62="",C62="",D62="",E62="",F62="",G62="",H62="",J62="",L62="",M62="",N62=""),"",Q62)</f>
        <v/>
      </c>
      <c r="B62" s="116" t="inlineStr">
        <is>
          <t>Paypal Reconciliation for prepaid</t>
        </is>
      </c>
      <c r="C62" s="116" t="inlineStr">
        <is>
          <t>CR</t>
        </is>
      </c>
      <c r="D62" s="116" t="inlineStr">
        <is>
          <t>Growth</t>
        </is>
      </c>
      <c r="E62" s="116" t="inlineStr">
        <is>
          <t>B2CW</t>
        </is>
      </c>
      <c r="F62" s="116" t="inlineStr">
        <is>
          <t>NEW</t>
        </is>
      </c>
      <c r="G62" s="116" t="inlineStr">
        <is>
          <t>Medium</t>
        </is>
      </c>
      <c r="H62" s="116" t="inlineStr">
        <is>
          <t>Q4 2026</t>
        </is>
      </c>
      <c r="I62" s="117">
        <f>IF($A62="","",IFERROR(IF(ISBLANK(INDEX(SprintPlanning[Sprint],MATCH($A62,SprintPlanning[Requirement ID],0))),"To Plan",INDEX(SprintPlanning[Sprint],MATCH($A62,SprintPlanning[Requirement ID],0))),"To Plan"))</f>
        <v/>
      </c>
      <c r="J62" s="116" t="n">
        <v>5</v>
      </c>
      <c r="K62" s="117">
        <f>IFERROR(IF(ISBLANK(INDEX(Release[Release],MATCH($A62,Release[Requirement ID],0))),"",INDEX(Release[Release],MATCH($A62,Release[Requirement ID],0))),"")</f>
        <v/>
      </c>
      <c r="L62" s="118" t="n">
        <v>46232</v>
      </c>
      <c r="M62" s="116" t="n"/>
      <c r="N62" s="116" t="n"/>
      <c r="O62" s="117">
        <f>IF($N62="","","https://smartship.atlassian.net/browse/"&amp;$N62)</f>
        <v/>
      </c>
      <c r="P62" s="92">
        <f>IFERROR(VALUE(MID($A62,5,4)),0)</f>
        <v/>
      </c>
      <c r="Q62" s="92" t="inlineStr">
        <is>
          <t>NEW-0360</t>
        </is>
      </c>
    </row>
    <row r="63" ht="15" customHeight="1" s="93">
      <c r="A63" s="115">
        <f>IF(AND(B63="",C63="",D63="",E63="",F63="",G63="",H63="",J63="",L63="",M63="",N63=""),"",Q63)</f>
        <v/>
      </c>
      <c r="B63" s="133" t="inlineStr">
        <is>
          <t>US - adding of fields to Hold option orchestration in call to AJO  -cabincode, embarkation date, cruise area</t>
        </is>
      </c>
      <c r="C63" s="116" t="inlineStr">
        <is>
          <t>CR</t>
        </is>
      </c>
      <c r="D63" s="116" t="inlineStr">
        <is>
          <t>Growth</t>
        </is>
      </c>
      <c r="E63" s="116" t="inlineStr">
        <is>
          <t>MA</t>
        </is>
      </c>
      <c r="F63" s="116" t="inlineStr">
        <is>
          <t>NEW</t>
        </is>
      </c>
      <c r="G63" s="116" t="inlineStr">
        <is>
          <t>Medium</t>
        </is>
      </c>
      <c r="H63" s="116" t="inlineStr">
        <is>
          <t>Q4 2026</t>
        </is>
      </c>
      <c r="I63" s="117">
        <f>IF($A63="","",IFERROR(IF(ISBLANK(INDEX(SprintPlanning[Sprint],MATCH($A63,SprintPlanning[Requirement ID],0))),"To Plan",INDEX(SprintPlanning[Sprint],MATCH($A63,SprintPlanning[Requirement ID],0))),"To Plan"))</f>
        <v/>
      </c>
      <c r="J63" s="116" t="n"/>
      <c r="K63" s="117">
        <f>IFERROR(IF(ISBLANK(INDEX(Release[Release],MATCH($A63,Release[Requirement ID],0))),"",INDEX(Release[Release],MATCH($A63,Release[Requirement ID],0))),"")</f>
        <v/>
      </c>
      <c r="L63" s="118" t="n">
        <v>46232</v>
      </c>
      <c r="M63" s="116" t="n"/>
      <c r="N63" s="116" t="n"/>
      <c r="O63" s="117">
        <f>IF($N63="","","https://smartship.atlassian.net/browse/"&amp;$N63)</f>
        <v/>
      </c>
      <c r="P63" s="92">
        <f>IFERROR(VALUE(MID($A63,5,4)),0)</f>
        <v/>
      </c>
      <c r="Q63" s="92" t="inlineStr">
        <is>
          <t>NEW-0361</t>
        </is>
      </c>
    </row>
    <row r="64" ht="15" customHeight="1" s="93">
      <c r="A64" s="115">
        <f>IF(AND(B64="",C64="",D64="",E64="",F64="",G64="",H64="",J64="",L64="",M64="",N64=""),"",Q64)</f>
        <v/>
      </c>
      <c r="B64" s="116" t="inlineStr">
        <is>
          <t>US - Known and Unknown management analysis for US (CDP/AJO)</t>
        </is>
      </c>
      <c r="C64" s="116" t="inlineStr">
        <is>
          <t>CR</t>
        </is>
      </c>
      <c r="D64" s="116" t="inlineStr">
        <is>
          <t>Growth</t>
        </is>
      </c>
      <c r="E64" s="116" t="inlineStr">
        <is>
          <t>MA</t>
        </is>
      </c>
      <c r="F64" s="116" t="inlineStr">
        <is>
          <t>NEW</t>
        </is>
      </c>
      <c r="G64" s="116" t="inlineStr">
        <is>
          <t>Medium</t>
        </is>
      </c>
      <c r="H64" s="116" t="inlineStr">
        <is>
          <t>Q4 2026</t>
        </is>
      </c>
      <c r="I64" s="117">
        <f>IF($A64="","",IFERROR(IF(ISBLANK(INDEX(SprintPlanning[Sprint],MATCH($A64,SprintPlanning[Requirement ID],0))),"To Plan",INDEX(SprintPlanning[Sprint],MATCH($A64,SprintPlanning[Requirement ID],0))),"To Plan"))</f>
        <v/>
      </c>
      <c r="J64" s="116" t="n"/>
      <c r="K64" s="117">
        <f>IFERROR(IF(ISBLANK(INDEX(Release[Release],MATCH($A64,Release[Requirement ID],0))),"",INDEX(Release[Release],MATCH($A64,Release[Requirement ID],0))),"")</f>
        <v/>
      </c>
      <c r="L64" s="118" t="n">
        <v>46232</v>
      </c>
      <c r="M64" s="116" t="n"/>
      <c r="N64" s="116" t="n"/>
      <c r="O64" s="117">
        <f>IF($N64="","","https://smartship.atlassian.net/browse/"&amp;$N64)</f>
        <v/>
      </c>
      <c r="P64" s="92">
        <f>IFERROR(VALUE(MID($A64,5,4)),0)</f>
        <v/>
      </c>
      <c r="Q64" s="92" t="inlineStr">
        <is>
          <t>NEW-0362</t>
        </is>
      </c>
    </row>
    <row r="65" ht="15" customHeight="1" s="93">
      <c r="A65" s="115">
        <f>IF(AND(B65="",C65="",D65="",E65="",F65="",G65="",H65="",J65="",L65="",M65="",N65=""),"",Q65)</f>
        <v/>
      </c>
      <c r="B65" s="116" t="inlineStr">
        <is>
          <t>US - Outbound Leads - Light Login for Leads Moving Option Expiring</t>
        </is>
      </c>
      <c r="C65" s="116" t="inlineStr">
        <is>
          <t>CR</t>
        </is>
      </c>
      <c r="D65" s="116" t="inlineStr">
        <is>
          <t>Growth</t>
        </is>
      </c>
      <c r="E65" s="116" t="inlineStr">
        <is>
          <t>B2CW</t>
        </is>
      </c>
      <c r="F65" s="116" t="inlineStr">
        <is>
          <t>NEW</t>
        </is>
      </c>
      <c r="G65" s="116" t="inlineStr">
        <is>
          <t>Medium</t>
        </is>
      </c>
      <c r="H65" s="116" t="inlineStr">
        <is>
          <t>Q4 2026</t>
        </is>
      </c>
      <c r="I65" s="117">
        <f>IF($A65="","",IFERROR(IF(ISBLANK(INDEX(SprintPlanning[Sprint],MATCH($A65,SprintPlanning[Requirement ID],0))),"To Plan",INDEX(SprintPlanning[Sprint],MATCH($A65,SprintPlanning[Requirement ID],0))),"To Plan"))</f>
        <v/>
      </c>
      <c r="J65" s="116" t="n"/>
      <c r="K65" s="117">
        <f>IFERROR(IF(ISBLANK(INDEX(Release[Release],MATCH($A65,Release[Requirement ID],0))),"",INDEX(Release[Release],MATCH($A65,Release[Requirement ID],0))),"")</f>
        <v/>
      </c>
      <c r="L65" s="118" t="n">
        <v>46232</v>
      </c>
      <c r="M65" s="116" t="n"/>
      <c r="N65" s="116" t="n"/>
      <c r="O65" s="117">
        <f>IF($N65="","","https://smartship.atlassian.net/browse/"&amp;$N65)</f>
        <v/>
      </c>
      <c r="P65" s="92">
        <f>IFERROR(VALUE(MID($A65,5,4)),0)</f>
        <v/>
      </c>
      <c r="Q65" s="92" t="inlineStr">
        <is>
          <t>NEW-0363</t>
        </is>
      </c>
    </row>
    <row r="66" ht="15" customHeight="1" s="93">
      <c r="A66" s="115">
        <f>IF(AND(B66="",C66="",D66="",E66="",F66="",G66="",H66="",J66="",L66="",M66="",N66=""),"",Q66)</f>
        <v/>
      </c>
      <c r="B66" s="116" t="inlineStr">
        <is>
          <t>B2CW Booking Funnel - TRF and Pricing Structure Assessment – ESP Market</t>
        </is>
      </c>
      <c r="C66" s="116" t="inlineStr">
        <is>
          <t>CR</t>
        </is>
      </c>
      <c r="D66" s="116" t="inlineStr">
        <is>
          <t>Growth</t>
        </is>
      </c>
      <c r="E66" s="116" t="inlineStr">
        <is>
          <t>B2CW</t>
        </is>
      </c>
      <c r="F66" s="116" t="inlineStr">
        <is>
          <t>NEW</t>
        </is>
      </c>
      <c r="G66" s="116" t="inlineStr">
        <is>
          <t>Medium</t>
        </is>
      </c>
      <c r="H66" s="116" t="inlineStr">
        <is>
          <t>Q4 2026</t>
        </is>
      </c>
      <c r="I66" s="117">
        <f>IF($A66="","",IFERROR(IF(ISBLANK(INDEX(SprintPlanning[Sprint],MATCH($A66,SprintPlanning[Requirement ID],0))),"To Plan",INDEX(SprintPlanning[Sprint],MATCH($A66,SprintPlanning[Requirement ID],0))),"To Plan"))</f>
        <v/>
      </c>
      <c r="J66" s="116" t="n"/>
      <c r="K66" s="117">
        <f>IFERROR(IF(ISBLANK(INDEX(Release[Release],MATCH($A66,Release[Requirement ID],0))),"",INDEX(Release[Release],MATCH($A66,Release[Requirement ID],0))),"")</f>
        <v/>
      </c>
      <c r="L66" s="118" t="n">
        <v>46232</v>
      </c>
      <c r="M66" s="116" t="n"/>
      <c r="N66" s="116" t="n"/>
      <c r="O66" s="117">
        <f>IF($N66="","","https://smartship.atlassian.net/browse/"&amp;$N66)</f>
        <v/>
      </c>
      <c r="P66" s="92">
        <f>IFERROR(VALUE(MID($A66,5,4)),0)</f>
        <v/>
      </c>
      <c r="Q66" s="92" t="inlineStr">
        <is>
          <t>NEW-0364</t>
        </is>
      </c>
    </row>
    <row r="67" ht="15" customHeight="1" s="93">
      <c r="A67" s="115">
        <f>IF(AND(B67="",C67="",D67="",E67="",F67="",G67="",H67="",J67="",L67="",M67="",N67=""),"",Q67)</f>
        <v/>
      </c>
      <c r="B67" s="116" t="inlineStr">
        <is>
          <t>B2CW Accessibility &amp; Medical Webform Business Rules for booking</t>
        </is>
      </c>
      <c r="C67" s="116" t="inlineStr">
        <is>
          <t>CR</t>
        </is>
      </c>
      <c r="D67" s="116" t="inlineStr">
        <is>
          <t>Growth</t>
        </is>
      </c>
      <c r="E67" s="116" t="inlineStr">
        <is>
          <t>B2CW</t>
        </is>
      </c>
      <c r="F67" s="116" t="inlineStr">
        <is>
          <t>NEW</t>
        </is>
      </c>
      <c r="G67" s="116" t="inlineStr">
        <is>
          <t>Medium</t>
        </is>
      </c>
      <c r="H67" s="116" t="inlineStr">
        <is>
          <t>Q4 2026</t>
        </is>
      </c>
      <c r="I67" s="117">
        <f>IF($A67="","",IFERROR(IF(ISBLANK(INDEX(SprintPlanning[Sprint],MATCH($A67,SprintPlanning[Requirement ID],0))),"To Plan",INDEX(SprintPlanning[Sprint],MATCH($A67,SprintPlanning[Requirement ID],0))),"To Plan"))</f>
        <v/>
      </c>
      <c r="J67" s="116" t="n"/>
      <c r="K67" s="117">
        <f>IFERROR(IF(ISBLANK(INDEX(Release[Release],MATCH($A67,Release[Requirement ID],0))),"",INDEX(Release[Release],MATCH($A67,Release[Requirement ID],0))),"")</f>
        <v/>
      </c>
      <c r="L67" s="118" t="n">
        <v>46232</v>
      </c>
      <c r="M67" s="116" t="n"/>
      <c r="N67" s="116" t="n"/>
      <c r="O67" s="117">
        <f>IF($N67="","","https://smartship.atlassian.net/browse/"&amp;$N67)</f>
        <v/>
      </c>
      <c r="P67" s="92">
        <f>IFERROR(VALUE(MID($A67,5,4)),0)</f>
        <v/>
      </c>
      <c r="Q67" s="92" t="inlineStr">
        <is>
          <t>NEW-0366</t>
        </is>
      </c>
    </row>
    <row r="68" ht="15" customHeight="1" s="93">
      <c r="A68" s="115">
        <f>IF(AND(B68="",C68="",D68="",E68="",F68="",G68="",H68="",J68="",L68="",M68="",N68=""),"",Q68)</f>
        <v/>
      </c>
      <c r="B68" s="116" t="inlineStr">
        <is>
          <t>MyMSC US | Extend JWT expiry</t>
        </is>
      </c>
      <c r="C68" s="116" t="inlineStr">
        <is>
          <t>CR</t>
        </is>
      </c>
      <c r="D68" s="116" t="inlineStr">
        <is>
          <t>Growth</t>
        </is>
      </c>
      <c r="E68" s="116" t="inlineStr">
        <is>
          <t>B2CW</t>
        </is>
      </c>
      <c r="F68" s="116" t="inlineStr">
        <is>
          <t>NEW</t>
        </is>
      </c>
      <c r="G68" s="116" t="inlineStr">
        <is>
          <t>Medium</t>
        </is>
      </c>
      <c r="H68" s="116" t="inlineStr">
        <is>
          <t>Q4 2026</t>
        </is>
      </c>
      <c r="I68" s="117">
        <f>IF($A68="","",IFERROR(IF(ISBLANK(INDEX(SprintPlanning[Sprint],MATCH($A68,SprintPlanning[Requirement ID],0))),"To Plan",INDEX(SprintPlanning[Sprint],MATCH($A68,SprintPlanning[Requirement ID],0))),"To Plan"))</f>
        <v/>
      </c>
      <c r="J68" s="116" t="n">
        <v>5</v>
      </c>
      <c r="K68" s="117">
        <f>IFERROR(IF(ISBLANK(INDEX(Release[Release],MATCH($A68,Release[Requirement ID],0))),"",INDEX(Release[Release],MATCH($A68,Release[Requirement ID],0))),"")</f>
        <v/>
      </c>
      <c r="L68" s="118" t="n">
        <v>46232</v>
      </c>
      <c r="M68" s="116" t="n"/>
      <c r="N68" s="116" t="n"/>
      <c r="O68" s="117">
        <f>IF($N68="","","https://smartship.atlassian.net/browse/"&amp;$N68)</f>
        <v/>
      </c>
      <c r="P68" s="92">
        <f>IFERROR(VALUE(MID($A68,5,4)),0)</f>
        <v/>
      </c>
      <c r="Q68" s="92" t="inlineStr">
        <is>
          <t>NEW-0367</t>
        </is>
      </c>
    </row>
    <row r="69" ht="15" customHeight="1" s="93">
      <c r="A69" s="115">
        <f>IF(AND(B69="",C69="",D69="",E69="",F69="",G69="",H69="",J69="",L69="",M69="",N69=""),"",Q69)</f>
        <v/>
      </c>
      <c r="B69" s="116" t="inlineStr">
        <is>
          <t>Handling DSC_076 scenario in booking funnel</t>
        </is>
      </c>
      <c r="C69" s="116" t="inlineStr">
        <is>
          <t>CR</t>
        </is>
      </c>
      <c r="D69" s="116" t="inlineStr">
        <is>
          <t>Growth</t>
        </is>
      </c>
      <c r="E69" s="116" t="inlineStr">
        <is>
          <t>B2CW</t>
        </is>
      </c>
      <c r="F69" s="116" t="n"/>
      <c r="G69" s="116" t="inlineStr">
        <is>
          <t>Medium</t>
        </is>
      </c>
      <c r="H69" s="116" t="n"/>
      <c r="I69" s="117">
        <f>IF($A69="","",IFERROR(IF(ISBLANK(INDEX(SprintPlanning[Sprint],MATCH($A69,SprintPlanning[Requirement ID],0))),"To Plan",INDEX(SprintPlanning[Sprint],MATCH($A69,SprintPlanning[Requirement ID],0))),"To Plan"))</f>
        <v/>
      </c>
      <c r="J69" s="116" t="n"/>
      <c r="K69" s="117">
        <f>IFERROR(IF(ISBLANK(INDEX(Release[Release],MATCH($A69,Release[Requirement ID],0))),"",INDEX(Release[Release],MATCH($A69,Release[Requirement ID],0))),"")</f>
        <v/>
      </c>
      <c r="L69" s="118" t="n">
        <v>46232</v>
      </c>
      <c r="M69" s="116" t="n"/>
      <c r="N69" s="116" t="n"/>
      <c r="O69" s="117">
        <f>IF($N69="","","https://smartship.atlassian.net/browse/"&amp;$N69)</f>
        <v/>
      </c>
      <c r="P69" s="92">
        <f>IFERROR(VALUE(MID($A69,5,4)),0)</f>
        <v/>
      </c>
      <c r="Q69" s="92" t="inlineStr">
        <is>
          <t>NEW-0370</t>
        </is>
      </c>
    </row>
    <row r="70" ht="15" customHeight="1" s="93">
      <c r="A70" s="115">
        <f>IF(AND(B70="",C70="",D70="",E70="",F70="",G70="",H70="",J70="",L70="",M70="",N70=""),"",Q70)</f>
        <v/>
      </c>
      <c r="B70" s="116" t="inlineStr">
        <is>
          <t>B2CW Prospect Onsite Quotation</t>
        </is>
      </c>
      <c r="C70" s="116" t="inlineStr">
        <is>
          <t>TBC</t>
        </is>
      </c>
      <c r="D70" s="116" t="inlineStr">
        <is>
          <t>Growth</t>
        </is>
      </c>
      <c r="E70" s="116" t="inlineStr">
        <is>
          <t>B2CW</t>
        </is>
      </c>
      <c r="F70" s="116" t="inlineStr">
        <is>
          <t>NEW</t>
        </is>
      </c>
      <c r="G70" s="116" t="inlineStr">
        <is>
          <t>Medium</t>
        </is>
      </c>
      <c r="H70" s="116" t="n"/>
      <c r="I70" s="117">
        <f>IF($A70="","",IFERROR(IF(ISBLANK(INDEX(SprintPlanning[Sprint],MATCH($A70,SprintPlanning[Requirement ID],0))),"To Plan",INDEX(SprintPlanning[Sprint],MATCH($A70,SprintPlanning[Requirement ID],0))),"To Plan"))</f>
        <v/>
      </c>
      <c r="J70" s="116" t="n">
        <v>5</v>
      </c>
      <c r="K70" s="117">
        <f>IFERROR(IF(ISBLANK(INDEX(Release[Release],MATCH($A70,Release[Requirement ID],0))),"",INDEX(Release[Release],MATCH($A70,Release[Requirement ID],0))),"")</f>
        <v/>
      </c>
      <c r="L70" s="118" t="n">
        <v>46232</v>
      </c>
      <c r="M70" s="116" t="n"/>
      <c r="N70" s="116" t="n"/>
      <c r="O70" s="117">
        <f>IF($N70="","","https://smartship.atlassian.net/browse/"&amp;$N70)</f>
        <v/>
      </c>
      <c r="P70" s="92">
        <f>IFERROR(VALUE(MID($A70,5,4)),0)</f>
        <v/>
      </c>
      <c r="Q70" s="92" t="inlineStr">
        <is>
          <t>NEW-0371</t>
        </is>
      </c>
    </row>
    <row r="71" ht="15" customHeight="1" s="93">
      <c r="A71" s="115">
        <f>IF(AND(B71="",C71="",D71="",E71="",F71="",G71="",H71="",J71="",L71="",M71="",N71=""),"",Q71)</f>
        <v/>
      </c>
      <c r="B71" s="116" t="inlineStr">
        <is>
          <t>Booking Funnel - AI Optimisation</t>
        </is>
      </c>
      <c r="C71" s="116" t="inlineStr">
        <is>
          <t>Tech Task</t>
        </is>
      </c>
      <c r="D71" s="116" t="inlineStr">
        <is>
          <t>Backlog / Tech Enh</t>
        </is>
      </c>
      <c r="E71" s="116" t="inlineStr">
        <is>
          <t>ALL</t>
        </is>
      </c>
      <c r="F71" s="116" t="inlineStr">
        <is>
          <t>NEW</t>
        </is>
      </c>
      <c r="G71" s="116" t="inlineStr">
        <is>
          <t>Medium</t>
        </is>
      </c>
      <c r="H71" s="116" t="n"/>
      <c r="I71" s="117">
        <f>IF($A71="","",IFERROR(IF(ISBLANK(INDEX(SprintPlanning[Sprint],MATCH($A71,SprintPlanning[Requirement ID],0))),"To Plan",INDEX(SprintPlanning[Sprint],MATCH($A71,SprintPlanning[Requirement ID],0))),"To Plan"))</f>
        <v/>
      </c>
      <c r="J71" s="116" t="n"/>
      <c r="K71" s="117">
        <f>IFERROR(IF(ISBLANK(INDEX(Release[Release],MATCH($A71,Release[Requirement ID],0))),"",INDEX(Release[Release],MATCH($A71,Release[Requirement ID],0))),"")</f>
        <v/>
      </c>
      <c r="L71" s="118" t="n">
        <v>46232</v>
      </c>
      <c r="M71" s="116" t="n"/>
      <c r="N71" s="116" t="n"/>
      <c r="O71" s="117">
        <f>IF($N71="","","https://smartship.atlassian.net/browse/"&amp;$N71)</f>
        <v/>
      </c>
      <c r="P71" s="92">
        <f>IFERROR(VALUE(MID($A71,5,4)),0)</f>
        <v/>
      </c>
      <c r="Q71" s="92" t="inlineStr">
        <is>
          <t>NEW-0373</t>
        </is>
      </c>
    </row>
    <row r="72" ht="15" customHeight="1" s="93">
      <c r="A72" s="115">
        <f>IF(AND(B72="",C72="",D72="",E72="",F72="",G72="",H72="",J72="",L72="",M72="",N72=""),"",Q72)</f>
        <v/>
      </c>
      <c r="B72" s="116" t="inlineStr">
        <is>
          <t>Booking Funnel - OTEL</t>
        </is>
      </c>
      <c r="C72" s="116" t="inlineStr">
        <is>
          <t>Tech Task</t>
        </is>
      </c>
      <c r="D72" s="116" t="inlineStr">
        <is>
          <t>Backlog / Tech Enh</t>
        </is>
      </c>
      <c r="E72" s="116" t="inlineStr">
        <is>
          <t>ALL</t>
        </is>
      </c>
      <c r="F72" s="116" t="inlineStr">
        <is>
          <t>IN PROGRESS</t>
        </is>
      </c>
      <c r="G72" s="116" t="inlineStr">
        <is>
          <t>Medium</t>
        </is>
      </c>
      <c r="H72" s="116" t="n"/>
      <c r="I72" s="117">
        <f>IF($A72="","",IFERROR(IF(ISBLANK(INDEX(SprintPlanning[Sprint],MATCH($A72,SprintPlanning[Requirement ID],0))),"To Plan",INDEX(SprintPlanning[Sprint],MATCH($A72,SprintPlanning[Requirement ID],0))),"To Plan"))</f>
        <v/>
      </c>
      <c r="J72" s="116" t="n"/>
      <c r="K72" s="117">
        <f>IFERROR(IF(ISBLANK(INDEX(Release[Release],MATCH($A72,Release[Requirement ID],0))),"",INDEX(Release[Release],MATCH($A72,Release[Requirement ID],0))),"")</f>
        <v/>
      </c>
      <c r="L72" s="118" t="n">
        <v>46232</v>
      </c>
      <c r="M72" s="116" t="n"/>
      <c r="N72" s="116" t="n"/>
      <c r="O72" s="117">
        <f>IF($N72="","","https://smartship.atlassian.net/browse/"&amp;$N72)</f>
        <v/>
      </c>
      <c r="P72" s="92">
        <f>IFERROR(VALUE(MID($A72,5,4)),0)</f>
        <v/>
      </c>
      <c r="Q72" s="92" t="inlineStr">
        <is>
          <t>NEW-0375</t>
        </is>
      </c>
    </row>
    <row r="73" ht="15" customHeight="1" s="93">
      <c r="A73" s="115">
        <f>IF(AND(B73="",C73="",D73="",E73="",F73="",G73="",H73="",J73="",L73="",M73="",N73=""),"",Q73)</f>
        <v/>
      </c>
      <c r="B73" s="116" t="inlineStr">
        <is>
          <t>Improve error handling in booking creation</t>
        </is>
      </c>
      <c r="C73" s="116" t="inlineStr">
        <is>
          <t>Tech Task</t>
        </is>
      </c>
      <c r="D73" s="116" t="inlineStr">
        <is>
          <t>Backlog / Tech Enh</t>
        </is>
      </c>
      <c r="E73" s="116" t="inlineStr">
        <is>
          <t>ALL</t>
        </is>
      </c>
      <c r="F73" s="116" t="inlineStr">
        <is>
          <t>NEW</t>
        </is>
      </c>
      <c r="G73" s="116" t="inlineStr">
        <is>
          <t>Medium</t>
        </is>
      </c>
      <c r="H73" s="116" t="n"/>
      <c r="I73" s="117">
        <f>IF($A73="","",IFERROR(IF(ISBLANK(INDEX(SprintPlanning[Sprint],MATCH($A73,SprintPlanning[Requirement ID],0))),"To Plan",INDEX(SprintPlanning[Sprint],MATCH($A73,SprintPlanning[Requirement ID],0))),"To Plan"))</f>
        <v/>
      </c>
      <c r="J73" s="116" t="n"/>
      <c r="K73" s="117">
        <f>IFERROR(IF(ISBLANK(INDEX(Release[Release],MATCH($A73,Release[Requirement ID],0))),"",INDEX(Release[Release],MATCH($A73,Release[Requirement ID],0))),"")</f>
        <v/>
      </c>
      <c r="L73" s="118" t="n">
        <v>46232</v>
      </c>
      <c r="M73" s="116" t="n"/>
      <c r="N73" s="116" t="n"/>
      <c r="O73" s="117">
        <f>IF($N73="","","https://smartship.atlassian.net/browse/"&amp;$N73)</f>
        <v/>
      </c>
      <c r="P73" s="92">
        <f>IFERROR(VALUE(MID($A73,5,4)),0)</f>
        <v/>
      </c>
      <c r="Q73" s="92" t="inlineStr">
        <is>
          <t>NEW-0376</t>
        </is>
      </c>
    </row>
    <row r="74" ht="15" customHeight="1" s="93">
      <c r="A74" s="115">
        <f>IF(AND(B74="",C74="",D74="",E74="",F74="",G74="",H74="",J74="",L74="",M74="",N74=""),"",Q74)</f>
        <v/>
      </c>
      <c r="B74" s="116" t="inlineStr">
        <is>
          <t>DTTP25-27161 Change payment and newsletter redirection URL logic</t>
        </is>
      </c>
      <c r="C74" s="116" t="inlineStr">
        <is>
          <t>Tech Task</t>
        </is>
      </c>
      <c r="D74" s="116" t="inlineStr">
        <is>
          <t>Backlog / Tech Enh</t>
        </is>
      </c>
      <c r="E74" s="116" t="inlineStr">
        <is>
          <t>ALL</t>
        </is>
      </c>
      <c r="F74" s="116" t="inlineStr">
        <is>
          <t>NEW</t>
        </is>
      </c>
      <c r="G74" s="116" t="inlineStr">
        <is>
          <t>Medium</t>
        </is>
      </c>
      <c r="H74" s="116" t="n"/>
      <c r="I74" s="117">
        <f>IF($A74="","",IFERROR(IF(ISBLANK(INDEX(SprintPlanning[Sprint],MATCH($A74,SprintPlanning[Requirement ID],0))),"To Plan",INDEX(SprintPlanning[Sprint],MATCH($A74,SprintPlanning[Requirement ID],0))),"To Plan"))</f>
        <v/>
      </c>
      <c r="J74" s="116" t="n"/>
      <c r="K74" s="117">
        <f>IFERROR(IF(ISBLANK(INDEX(Release[Release],MATCH($A74,Release[Requirement ID],0))),"",INDEX(Release[Release],MATCH($A74,Release[Requirement ID],0))),"")</f>
        <v/>
      </c>
      <c r="L74" s="118" t="n">
        <v>46232</v>
      </c>
      <c r="M74" s="116" t="n"/>
      <c r="N74" s="116" t="n"/>
      <c r="O74" s="117">
        <f>IF($N74="","","https://smartship.atlassian.net/browse/"&amp;$N74)</f>
        <v/>
      </c>
      <c r="P74" s="92">
        <f>IFERROR(VALUE(MID($A74,5,4)),0)</f>
        <v/>
      </c>
      <c r="Q74" s="92" t="inlineStr">
        <is>
          <t>NEW-0377</t>
        </is>
      </c>
    </row>
    <row r="75" ht="15" customHeight="1" s="93">
      <c r="A75" s="115">
        <f>IF(AND(B75="",C75="",D75="",E75="",F75="",G75="",H75="",J75="",L75="",M75="",N75=""),"",Q75)</f>
        <v/>
      </c>
      <c r="B75" s="116" t="inlineStr">
        <is>
          <t>New Security Remediation - DTTP Stack to CRM ASIS_EA</t>
        </is>
      </c>
      <c r="C75" s="116" t="inlineStr">
        <is>
          <t>CR</t>
        </is>
      </c>
      <c r="D75" s="116" t="inlineStr">
        <is>
          <t>PI10</t>
        </is>
      </c>
      <c r="E75" s="116" t="inlineStr">
        <is>
          <t>CRMASIS</t>
        </is>
      </c>
      <c r="F75" s="116" t="inlineStr">
        <is>
          <t>DONE</t>
        </is>
      </c>
      <c r="G75" s="116" t="inlineStr">
        <is>
          <t>Medium</t>
        </is>
      </c>
      <c r="H75" s="116" t="n"/>
      <c r="I75" s="117">
        <f>IF($A75="","",IFERROR(IF(ISBLANK(INDEX(SprintPlanning[Sprint],MATCH($A75,SprintPlanning[Requirement ID],0))),"To Plan",INDEX(SprintPlanning[Sprint],MATCH($A75,SprintPlanning[Requirement ID],0))),"To Plan"))</f>
        <v/>
      </c>
      <c r="J75" s="116" t="n"/>
      <c r="K75" s="117">
        <f>IFERROR(IF(ISBLANK(INDEX(Release[Release],MATCH($A75,Release[Requirement ID],0))),"",INDEX(Release[Release],MATCH($A75,Release[Requirement ID],0))),"")</f>
        <v/>
      </c>
      <c r="L75" s="118" t="n">
        <v>46232</v>
      </c>
      <c r="M75" s="116" t="n"/>
      <c r="N75" s="116" t="n"/>
      <c r="O75" s="117">
        <f>IF($N75="","","https://smartship.atlassian.net/browse/"&amp;$N75)</f>
        <v/>
      </c>
      <c r="P75" s="92">
        <f>IFERROR(VALUE(MID($A75,5,4)),0)</f>
        <v/>
      </c>
      <c r="Q75" s="92" t="inlineStr">
        <is>
          <t>NEW-0384</t>
        </is>
      </c>
    </row>
    <row r="76" ht="15" customHeight="1" s="93">
      <c r="A76" s="115">
        <f>IF(AND(B76="",C76="",D76="",E76="",F76="",G76="",H76="",J76="",L76="",M76="",N76=""),"",Q76)</f>
        <v/>
      </c>
      <c r="B76" s="116" t="inlineStr">
        <is>
          <t>PDF: age restrictions management</t>
        </is>
      </c>
      <c r="C76" s="116" t="inlineStr">
        <is>
          <t>CR</t>
        </is>
      </c>
      <c r="D76" s="116" t="inlineStr">
        <is>
          <t>MyMSC</t>
        </is>
      </c>
      <c r="E76" s="116" t="inlineStr">
        <is>
          <t>B2CW</t>
        </is>
      </c>
      <c r="F76" s="116" t="inlineStr">
        <is>
          <t>NEW</t>
        </is>
      </c>
      <c r="G76" s="116" t="inlineStr">
        <is>
          <t>Medium</t>
        </is>
      </c>
      <c r="H76" s="116" t="inlineStr">
        <is>
          <t>Aug 2026</t>
        </is>
      </c>
      <c r="I76" s="117">
        <f>IF($A76="","",IFERROR(IF(ISBLANK(INDEX(SprintPlanning[Sprint],MATCH($A76,SprintPlanning[Requirement ID],0))),"To Plan",INDEX(SprintPlanning[Sprint],MATCH($A76,SprintPlanning[Requirement ID],0))),"To Plan"))</f>
        <v/>
      </c>
      <c r="J76" s="116" t="n">
        <v>5</v>
      </c>
      <c r="K76" s="117">
        <f>IFERROR(IF(ISBLANK(INDEX(Release[Release],MATCH($A76,Release[Requirement ID],0))),"",INDEX(Release[Release],MATCH($A76,Release[Requirement ID],0))),"")</f>
        <v/>
      </c>
      <c r="L76" s="118" t="n">
        <v>46232</v>
      </c>
      <c r="M76" s="116" t="n"/>
      <c r="N76" s="116" t="n"/>
      <c r="O76" s="117">
        <f>IF($N76="","","https://smartship.atlassian.net/browse/"&amp;$N76)</f>
        <v/>
      </c>
      <c r="P76" s="92">
        <f>IFERROR(VALUE(MID($A76,5,4)),0)</f>
        <v/>
      </c>
      <c r="Q76" s="92" t="inlineStr">
        <is>
          <t>NEW-0395</t>
        </is>
      </c>
    </row>
    <row r="77" ht="15" customHeight="1" s="93">
      <c r="A77" s="115">
        <f>IF(AND(B77="",C77="",D77="",E77="",F77="",G77="",H77="",J77="",L77="",M77="",N77=""),"",Q77)</f>
        <v/>
      </c>
      <c r="B77" s="116" t="inlineStr">
        <is>
          <t>MSC Voyagers Club subscription block for pending Status Match request for the same user</t>
        </is>
      </c>
      <c r="C77" s="116" t="inlineStr">
        <is>
          <t>CR</t>
        </is>
      </c>
      <c r="D77" s="116" t="inlineStr">
        <is>
          <t>MyMSC</t>
        </is>
      </c>
      <c r="E77" s="116" t="inlineStr">
        <is>
          <t>B2CW</t>
        </is>
      </c>
      <c r="F77" s="116" t="inlineStr">
        <is>
          <t>NEW</t>
        </is>
      </c>
      <c r="G77" s="116" t="inlineStr">
        <is>
          <t>Medium</t>
        </is>
      </c>
      <c r="H77" s="116" t="inlineStr">
        <is>
          <t>Q1 2027</t>
        </is>
      </c>
      <c r="I77" s="117">
        <f>IF($A77="","",IFERROR(IF(ISBLANK(INDEX(SprintPlanning[Sprint],MATCH($A77,SprintPlanning[Requirement ID],0))),"To Plan",INDEX(SprintPlanning[Sprint],MATCH($A77,SprintPlanning[Requirement ID],0))),"To Plan"))</f>
        <v/>
      </c>
      <c r="J77" s="116" t="n">
        <v>8</v>
      </c>
      <c r="K77" s="117">
        <f>IFERROR(IF(ISBLANK(INDEX(Release[Release],MATCH($A77,Release[Requirement ID],0))),"",INDEX(Release[Release],MATCH($A77,Release[Requirement ID],0))),"")</f>
        <v/>
      </c>
      <c r="L77" s="118" t="n">
        <v>46232</v>
      </c>
      <c r="M77" s="116" t="n"/>
      <c r="N77" s="116" t="n"/>
      <c r="O77" s="117">
        <f>IF($N77="","","https://smartship.atlassian.net/browse/"&amp;$N77)</f>
        <v/>
      </c>
      <c r="P77" s="92">
        <f>IFERROR(VALUE(MID($A77,5,4)),0)</f>
        <v/>
      </c>
      <c r="Q77" s="92" t="inlineStr">
        <is>
          <t>NEW-0397</t>
        </is>
      </c>
    </row>
    <row r="78" ht="15" customHeight="1" s="93">
      <c r="A78" s="115">
        <f>IF(AND(B78="",C78="",D78="",E78="",F78="",G78="",H78="",J78="",L78="",M78="",N78=""),"",Q78)</f>
        <v/>
      </c>
      <c r="B78" s="116" t="inlineStr">
        <is>
          <t>MSC Voyagers Club children association</t>
        </is>
      </c>
      <c r="C78" s="116" t="inlineStr">
        <is>
          <t>CR</t>
        </is>
      </c>
      <c r="D78" s="116" t="inlineStr">
        <is>
          <t>MyMSC</t>
        </is>
      </c>
      <c r="E78" s="116" t="inlineStr">
        <is>
          <t>B2CW</t>
        </is>
      </c>
      <c r="F78" s="116" t="inlineStr">
        <is>
          <t>NEW</t>
        </is>
      </c>
      <c r="G78" s="116" t="inlineStr">
        <is>
          <t>Medium</t>
        </is>
      </c>
      <c r="H78" s="116" t="inlineStr">
        <is>
          <t>Q1 2027</t>
        </is>
      </c>
      <c r="I78" s="117">
        <f>IF($A78="","",IFERROR(IF(ISBLANK(INDEX(SprintPlanning[Sprint],MATCH($A78,SprintPlanning[Requirement ID],0))),"To Plan",INDEX(SprintPlanning[Sprint],MATCH($A78,SprintPlanning[Requirement ID],0))),"To Plan"))</f>
        <v/>
      </c>
      <c r="J78" s="116" t="n">
        <v>13</v>
      </c>
      <c r="K78" s="117">
        <f>IFERROR(IF(ISBLANK(INDEX(Release[Release],MATCH($A78,Release[Requirement ID],0))),"",INDEX(Release[Release],MATCH($A78,Release[Requirement ID],0))),"")</f>
        <v/>
      </c>
      <c r="L78" s="118" t="n">
        <v>46232</v>
      </c>
      <c r="M78" s="116" t="n"/>
      <c r="N78" s="116" t="n"/>
      <c r="O78" s="117">
        <f>IF($N78="","","https://smartship.atlassian.net/browse/"&amp;$N78)</f>
        <v/>
      </c>
      <c r="P78" s="92">
        <f>IFERROR(VALUE(MID($A78,5,4)),0)</f>
        <v/>
      </c>
      <c r="Q78" s="92" t="inlineStr">
        <is>
          <t>NEW-0398</t>
        </is>
      </c>
    </row>
    <row r="79" ht="15" customHeight="1" s="93">
      <c r="A79" s="115">
        <f>IF(AND(B79="",C79="",D79="",E79="",F79="",G79="",H79="",J79="",L79="",M79="",N79=""),"",Q79)</f>
        <v/>
      </c>
      <c r="B79" s="116" t="inlineStr">
        <is>
          <t>Managing the possibility of multiple categories for the same EXC item</t>
        </is>
      </c>
      <c r="C79" s="116" t="inlineStr">
        <is>
          <t>CR</t>
        </is>
      </c>
      <c r="D79" s="116" t="inlineStr">
        <is>
          <t>MyMSC</t>
        </is>
      </c>
      <c r="E79" s="116" t="inlineStr">
        <is>
          <t>B2CW</t>
        </is>
      </c>
      <c r="F79" s="116" t="inlineStr">
        <is>
          <t>NEW</t>
        </is>
      </c>
      <c r="G79" s="116" t="inlineStr">
        <is>
          <t>Medium</t>
        </is>
      </c>
      <c r="H79" s="116" t="inlineStr">
        <is>
          <t>Q1 2027</t>
        </is>
      </c>
      <c r="I79" s="117">
        <f>IF($A79="","",IFERROR(IF(ISBLANK(INDEX(SprintPlanning[Sprint],MATCH($A79,SprintPlanning[Requirement ID],0))),"To Plan",INDEX(SprintPlanning[Sprint],MATCH($A79,SprintPlanning[Requirement ID],0))),"To Plan"))</f>
        <v/>
      </c>
      <c r="J79" s="116" t="n">
        <v>8</v>
      </c>
      <c r="K79" s="117">
        <f>IFERROR(IF(ISBLANK(INDEX(Release[Release],MATCH($A79,Release[Requirement ID],0))),"",INDEX(Release[Release],MATCH($A79,Release[Requirement ID],0))),"")</f>
        <v/>
      </c>
      <c r="L79" s="118" t="n">
        <v>46232</v>
      </c>
      <c r="M79" s="116" t="n"/>
      <c r="N79" s="116" t="n"/>
      <c r="O79" s="117">
        <f>IF($N79="","","https://smartship.atlassian.net/browse/"&amp;$N79)</f>
        <v/>
      </c>
      <c r="P79" s="92">
        <f>IFERROR(VALUE(MID($A79,5,4)),0)</f>
        <v/>
      </c>
      <c r="Q79" s="92" t="inlineStr">
        <is>
          <t>NEW-0399</t>
        </is>
      </c>
    </row>
    <row r="80" ht="15" customHeight="1" s="93">
      <c r="A80" s="115">
        <f>IF(AND(B80="",C80="",D80="",E80="",F80="",G80="",H80="",J80="",L80="",M80="",N80=""),"",Q80)</f>
        <v/>
      </c>
      <c r="B80" s="116" t="inlineStr">
        <is>
          <t>Card Points History Reliability Enhancement - B2C</t>
        </is>
      </c>
      <c r="C80" s="116" t="inlineStr">
        <is>
          <t>CR</t>
        </is>
      </c>
      <c r="D80" s="116" t="inlineStr">
        <is>
          <t>MyMSC</t>
        </is>
      </c>
      <c r="E80" s="116" t="inlineStr">
        <is>
          <t>B2CW</t>
        </is>
      </c>
      <c r="F80" s="116" t="inlineStr">
        <is>
          <t>NEW</t>
        </is>
      </c>
      <c r="G80" s="116" t="inlineStr">
        <is>
          <t>Medium</t>
        </is>
      </c>
      <c r="H80" s="116" t="inlineStr">
        <is>
          <t>Q1 2027</t>
        </is>
      </c>
      <c r="I80" s="117">
        <f>IF($A80="","",IFERROR(IF(ISBLANK(INDEX(SprintPlanning[Sprint],MATCH($A80,SprintPlanning[Requirement ID],0))),"To Plan",INDEX(SprintPlanning[Sprint],MATCH($A80,SprintPlanning[Requirement ID],0))),"To Plan"))</f>
        <v/>
      </c>
      <c r="J80" s="116" t="n">
        <v>8</v>
      </c>
      <c r="K80" s="117">
        <f>IFERROR(IF(ISBLANK(INDEX(Release[Release],MATCH($A80,Release[Requirement ID],0))),"",INDEX(Release[Release],MATCH($A80,Release[Requirement ID],0))),"")</f>
        <v/>
      </c>
      <c r="L80" s="118" t="n">
        <v>46232</v>
      </c>
      <c r="M80" s="116" t="n"/>
      <c r="N80" s="116" t="n"/>
      <c r="O80" s="117">
        <f>IF($N80="","","https://smartship.atlassian.net/browse/"&amp;$N80)</f>
        <v/>
      </c>
      <c r="P80" s="92">
        <f>IFERROR(VALUE(MID($A80,5,4)),0)</f>
        <v/>
      </c>
      <c r="Q80" s="92" t="inlineStr">
        <is>
          <t>NEW-0400</t>
        </is>
      </c>
    </row>
    <row r="81" ht="15" customHeight="1" s="93">
      <c r="A81" s="115">
        <f>IF(AND(B81="",C81="",D81="",E81="",F81="",G81="",H81="",J81="",L81="",M81="",N81=""),"",Q81)</f>
        <v/>
      </c>
      <c r="B81" s="116" t="inlineStr">
        <is>
          <t>Excursions' category not visible, neither in the catalogue nor in the modal</t>
        </is>
      </c>
      <c r="C81" s="116" t="inlineStr">
        <is>
          <t>CR</t>
        </is>
      </c>
      <c r="D81" s="116" t="inlineStr">
        <is>
          <t>MyMSC</t>
        </is>
      </c>
      <c r="E81" s="116" t="inlineStr">
        <is>
          <t>B2CW</t>
        </is>
      </c>
      <c r="F81" s="116" t="inlineStr">
        <is>
          <t>NEW</t>
        </is>
      </c>
      <c r="G81" s="116" t="inlineStr">
        <is>
          <t>Medium</t>
        </is>
      </c>
      <c r="H81" s="116" t="inlineStr">
        <is>
          <t>Q1 2027</t>
        </is>
      </c>
      <c r="I81" s="117">
        <f>IF($A81="","",IFERROR(IF(ISBLANK(INDEX(SprintPlanning[Sprint],MATCH($A81,SprintPlanning[Requirement ID],0))),"To Plan",INDEX(SprintPlanning[Sprint],MATCH($A81,SprintPlanning[Requirement ID],0))),"To Plan"))</f>
        <v/>
      </c>
      <c r="J81" s="116" t="n">
        <v>8</v>
      </c>
      <c r="K81" s="117">
        <f>IFERROR(IF(ISBLANK(INDEX(Release[Release],MATCH($A81,Release[Requirement ID],0))),"",INDEX(Release[Release],MATCH($A81,Release[Requirement ID],0))),"")</f>
        <v/>
      </c>
      <c r="L81" s="118" t="n">
        <v>46232</v>
      </c>
      <c r="M81" s="116" t="n"/>
      <c r="N81" s="116" t="n"/>
      <c r="O81" s="117">
        <f>IF($N81="","","https://smartship.atlassian.net/browse/"&amp;$N81)</f>
        <v/>
      </c>
      <c r="P81" s="92">
        <f>IFERROR(VALUE(MID($A81,5,4)),0)</f>
        <v/>
      </c>
      <c r="Q81" s="92" t="inlineStr">
        <is>
          <t>NEW-0401</t>
        </is>
      </c>
    </row>
    <row r="82" ht="15" customHeight="1" s="93">
      <c r="A82" s="115">
        <f>IF(AND(B82="",C82="",D82="",E82="",F82="",G82="",H82="",J82="",L82="",M82="",N82=""),"",Q82)</f>
        <v/>
      </c>
      <c r="B82" s="116" t="inlineStr">
        <is>
          <t>Cross Device &gt; Plan my cruise: Cart &gt; Impossible to apply a coupon on a NON-Discounted item</t>
        </is>
      </c>
      <c r="C82" s="116" t="inlineStr">
        <is>
          <t>CR</t>
        </is>
      </c>
      <c r="D82" s="116" t="inlineStr">
        <is>
          <t>MyMSC</t>
        </is>
      </c>
      <c r="E82" s="116" t="inlineStr">
        <is>
          <t>B2CW</t>
        </is>
      </c>
      <c r="F82" s="116" t="inlineStr">
        <is>
          <t>NEW</t>
        </is>
      </c>
      <c r="G82" s="116" t="inlineStr">
        <is>
          <t>Medium</t>
        </is>
      </c>
      <c r="H82" s="116" t="inlineStr">
        <is>
          <t>Q1 2027</t>
        </is>
      </c>
      <c r="I82" s="117">
        <f>IF($A82="","",IFERROR(IF(ISBLANK(INDEX(SprintPlanning[Sprint],MATCH($A82,SprintPlanning[Requirement ID],0))),"To Plan",INDEX(SprintPlanning[Sprint],MATCH($A82,SprintPlanning[Requirement ID],0))),"To Plan"))</f>
        <v/>
      </c>
      <c r="J82" s="116" t="n">
        <v>8</v>
      </c>
      <c r="K82" s="117">
        <f>IFERROR(IF(ISBLANK(INDEX(Release[Release],MATCH($A82,Release[Requirement ID],0))),"",INDEX(Release[Release],MATCH($A82,Release[Requirement ID],0))),"")</f>
        <v/>
      </c>
      <c r="L82" s="118" t="n">
        <v>46232</v>
      </c>
      <c r="M82" s="116" t="n"/>
      <c r="N82" s="116" t="n"/>
      <c r="O82" s="117">
        <f>IF($N82="","","https://smartship.atlassian.net/browse/"&amp;$N82)</f>
        <v/>
      </c>
      <c r="P82" s="92">
        <f>IFERROR(VALUE(MID($A82,5,4)),0)</f>
        <v/>
      </c>
      <c r="Q82" s="92" t="inlineStr">
        <is>
          <t>NEW-0402</t>
        </is>
      </c>
    </row>
    <row r="83" ht="15" customHeight="1" s="93">
      <c r="A83" s="115">
        <f>IF(AND(B83="",C83="",D83="",E83="",F83="",G83="",H83="",J83="",L83="",M83="",N83=""),"",Q83)</f>
        <v/>
      </c>
      <c r="B83" s="116" t="inlineStr">
        <is>
          <t>Wider management of label</t>
        </is>
      </c>
      <c r="C83" s="116" t="inlineStr">
        <is>
          <t>TBC</t>
        </is>
      </c>
      <c r="D83" s="116" t="inlineStr">
        <is>
          <t>MyMSC</t>
        </is>
      </c>
      <c r="E83" s="116" t="inlineStr">
        <is>
          <t>B2CW</t>
        </is>
      </c>
      <c r="F83" s="116" t="inlineStr">
        <is>
          <t>NEW</t>
        </is>
      </c>
      <c r="G83" s="116" t="inlineStr">
        <is>
          <t>Medium</t>
        </is>
      </c>
      <c r="H83" s="116" t="inlineStr">
        <is>
          <t>Q1 2027</t>
        </is>
      </c>
      <c r="I83" s="117">
        <f>IF($A83="","",IFERROR(IF(ISBLANK(INDEX(SprintPlanning[Sprint],MATCH($A83,SprintPlanning[Requirement ID],0))),"To Plan",INDEX(SprintPlanning[Sprint],MATCH($A83,SprintPlanning[Requirement ID],0))),"To Plan"))</f>
        <v/>
      </c>
      <c r="J83" s="116" t="n"/>
      <c r="K83" s="117">
        <f>IFERROR(IF(ISBLANK(INDEX(Release[Release],MATCH($A83,Release[Requirement ID],0))),"",INDEX(Release[Release],MATCH($A83,Release[Requirement ID],0))),"")</f>
        <v/>
      </c>
      <c r="L83" s="118" t="n">
        <v>46232</v>
      </c>
      <c r="M83" s="116" t="n"/>
      <c r="N83" s="116" t="n"/>
      <c r="O83" s="117">
        <f>IF($N83="","","https://smartship.atlassian.net/browse/"&amp;$N83)</f>
        <v/>
      </c>
      <c r="P83" s="92">
        <f>IFERROR(VALUE(MID($A83,5,4)),0)</f>
        <v/>
      </c>
      <c r="Q83" s="92" t="inlineStr">
        <is>
          <t>NEW-0403</t>
        </is>
      </c>
    </row>
    <row r="84" ht="15" customHeight="1" s="93">
      <c r="A84" s="115">
        <f>IF(AND(B84="",C84="",D84="",E84="",F84="",G84="",H84="",J84="",L84="",M84="",N84=""),"",Q84)</f>
        <v/>
      </c>
      <c r="B84" s="116" t="inlineStr">
        <is>
          <t>Cross Device &gt; Plan My Cruise &gt; OBS/ACT 'Add passenger' CTA shown even if only non-eligible pax</t>
        </is>
      </c>
      <c r="C84" s="116" t="inlineStr">
        <is>
          <t>TBC</t>
        </is>
      </c>
      <c r="D84" s="116" t="inlineStr">
        <is>
          <t>MyMSC</t>
        </is>
      </c>
      <c r="E84" s="116" t="inlineStr">
        <is>
          <t>B2CW</t>
        </is>
      </c>
      <c r="F84" s="116" t="inlineStr">
        <is>
          <t>NEW</t>
        </is>
      </c>
      <c r="G84" s="116" t="inlineStr">
        <is>
          <t>Medium</t>
        </is>
      </c>
      <c r="H84" s="116" t="inlineStr">
        <is>
          <t>Q1 2027</t>
        </is>
      </c>
      <c r="I84" s="117">
        <f>IF($A84="","",IFERROR(IF(ISBLANK(INDEX(SprintPlanning[Sprint],MATCH($A84,SprintPlanning[Requirement ID],0))),"To Plan",INDEX(SprintPlanning[Sprint],MATCH($A84,SprintPlanning[Requirement ID],0))),"To Plan"))</f>
        <v/>
      </c>
      <c r="J84" s="116" t="n"/>
      <c r="K84" s="117">
        <f>IFERROR(IF(ISBLANK(INDEX(Release[Release],MATCH($A84,Release[Requirement ID],0))),"",INDEX(Release[Release],MATCH($A84,Release[Requirement ID],0))),"")</f>
        <v/>
      </c>
      <c r="L84" s="118" t="n">
        <v>46232</v>
      </c>
      <c r="M84" s="116" t="n"/>
      <c r="N84" s="116" t="n"/>
      <c r="O84" s="117">
        <f>IF($N84="","","https://smartship.atlassian.net/browse/"&amp;$N84)</f>
        <v/>
      </c>
      <c r="P84" s="92">
        <f>IFERROR(VALUE(MID($A84,5,4)),0)</f>
        <v/>
      </c>
      <c r="Q84" s="92" t="inlineStr">
        <is>
          <t>NEW-0404</t>
        </is>
      </c>
    </row>
    <row r="85" ht="15" customHeight="1" s="93">
      <c r="A85" s="115">
        <f>IF(AND(B85="",C85="",D85="",E85="",F85="",G85="",H85="",J85="",L85="",M85="",N85=""),"",Q85)</f>
        <v/>
      </c>
      <c r="B85" s="116" t="inlineStr">
        <is>
          <t>Whatsapp Subscription (Phase 3)</t>
        </is>
      </c>
      <c r="C85" s="116" t="inlineStr">
        <is>
          <t>CR</t>
        </is>
      </c>
      <c r="D85" s="116" t="inlineStr">
        <is>
          <t>Backlog</t>
        </is>
      </c>
      <c r="E85" s="116" t="inlineStr">
        <is>
          <t>MA</t>
        </is>
      </c>
      <c r="F85" s="116" t="inlineStr">
        <is>
          <t>NEW</t>
        </is>
      </c>
      <c r="G85" s="116" t="inlineStr">
        <is>
          <t>Medium</t>
        </is>
      </c>
      <c r="H85" s="116" t="inlineStr">
        <is>
          <t>Q4 2026</t>
        </is>
      </c>
      <c r="I85" s="117">
        <f>IF($A85="","",IFERROR(IF(ISBLANK(INDEX(SprintPlanning[Sprint],MATCH($A85,SprintPlanning[Requirement ID],0))),"To Plan",INDEX(SprintPlanning[Sprint],MATCH($A85,SprintPlanning[Requirement ID],0))),"To Plan"))</f>
        <v/>
      </c>
      <c r="J85" s="116" t="n">
        <v>16</v>
      </c>
      <c r="K85" s="117">
        <f>IFERROR(IF(ISBLANK(INDEX(Release[Release],MATCH($A85,Release[Requirement ID],0))),"",INDEX(Release[Release],MATCH($A85,Release[Requirement ID],0))),"")</f>
        <v/>
      </c>
      <c r="L85" s="118" t="n">
        <v>46233</v>
      </c>
      <c r="M85" s="116" t="n"/>
      <c r="N85" s="116" t="n"/>
      <c r="O85" s="117">
        <f>IF($N85="","","https://smartship.atlassian.net/browse/"&amp;$N85)</f>
        <v/>
      </c>
      <c r="P85" s="92">
        <f>IFERROR(VALUE(MID($A85,5,4)),0)</f>
        <v/>
      </c>
      <c r="Q85" s="92" t="inlineStr">
        <is>
          <t>NEW-0405</t>
        </is>
      </c>
    </row>
    <row r="86" ht="15" customHeight="1" s="93">
      <c r="A86" s="126">
        <f>IF(AND(B86="",C86="",D86="",E86="",F86="",G86="",H86="",J86="",L86="",M86="",N86=""),"",Q86)</f>
        <v/>
      </c>
      <c r="B86" s="127" t="inlineStr">
        <is>
          <t>Puerto Rico on US site Status Match (INT010.3)</t>
        </is>
      </c>
      <c r="C86" s="127" t="inlineStr">
        <is>
          <t>CR</t>
        </is>
      </c>
      <c r="D86" s="127" t="inlineStr">
        <is>
          <t>US</t>
        </is>
      </c>
      <c r="E86" s="127" t="inlineStr">
        <is>
          <t>B2CW</t>
        </is>
      </c>
      <c r="F86" s="127" t="inlineStr">
        <is>
          <t>NEW</t>
        </is>
      </c>
      <c r="G86" s="127" t="inlineStr">
        <is>
          <t>High</t>
        </is>
      </c>
      <c r="H86" s="127" t="inlineStr">
        <is>
          <t>Q3 2026</t>
        </is>
      </c>
      <c r="I86" s="128">
        <f>IF($A86="","",IFERROR(IF(ISBLANK(INDEX(SprintPlanning[Sprint],MATCH($A86,SprintPlanning[Requirement ID],0))),"To Plan",INDEX(SprintPlanning[Sprint],MATCH($A86,SprintPlanning[Requirement ID],0))),"To Plan"))</f>
        <v/>
      </c>
      <c r="J86" s="127" t="n">
        <v>5</v>
      </c>
      <c r="K86" s="128">
        <f>IFERROR(IF(ISBLANK(INDEX(Release[Release],MATCH($A86,Release[Requirement ID],0))),"",INDEX(Release[Release],MATCH($A86,Release[Requirement ID],0))),"")</f>
        <v/>
      </c>
      <c r="L86" s="129" t="n">
        <v>46237</v>
      </c>
      <c r="M86" s="127" t="inlineStr">
        <is>
          <t>Created</t>
        </is>
      </c>
      <c r="N86" s="127" t="inlineStr">
        <is>
          <t>MDTTPU-15251</t>
        </is>
      </c>
      <c r="O86" s="128">
        <f>IF($N86="","","https://smartship.atlassian.net/browse/"&amp;$N86)</f>
        <v/>
      </c>
      <c r="P86" s="92">
        <f>IFERROR(VALUE(MID($A86,5,4)),0)</f>
        <v/>
      </c>
      <c r="Q86" s="92" t="inlineStr">
        <is>
          <t>NEW-0407</t>
        </is>
      </c>
    </row>
    <row r="87" ht="15" customHeight="1" s="93">
      <c r="A87" s="126">
        <f>IF(AND(B87="",C87="",D87="",E87="",F87="",G87="",H87="",J87="",L87="",M87="",N87=""),"",Q87)</f>
        <v/>
      </c>
      <c r="B87" s="127" t="inlineStr">
        <is>
          <t>[EINT][INT187][INT139][INT145] - Remove phone number mapping from Datatrans transaction creation</t>
        </is>
      </c>
      <c r="C87" s="127" t="inlineStr">
        <is>
          <t>Tech Story</t>
        </is>
      </c>
      <c r="D87" s="127" t="inlineStr">
        <is>
          <t>PI10</t>
        </is>
      </c>
      <c r="E87" s="127" t="inlineStr">
        <is>
          <t>M4M</t>
        </is>
      </c>
      <c r="F87" s="127" t="inlineStr">
        <is>
          <t>NEW</t>
        </is>
      </c>
      <c r="G87" s="127" t="inlineStr">
        <is>
          <t>Medium</t>
        </is>
      </c>
      <c r="H87" s="127" t="n"/>
      <c r="I87" s="128">
        <f>IF($A87="","",IFERROR(IF(ISBLANK(INDEX(SprintPlanning[Sprint],MATCH($A87,SprintPlanning[Requirement ID],0))),"To Plan",INDEX(SprintPlanning[Sprint],MATCH($A87,SprintPlanning[Requirement ID],0))),"To Plan"))</f>
        <v/>
      </c>
      <c r="J87" s="127" t="n"/>
      <c r="K87" s="128">
        <f>IFERROR(IF(ISBLANK(INDEX(Release[Release],MATCH($A87,Release[Requirement ID],0))),"",INDEX(Release[Release],MATCH($A87,Release[Requirement ID],0))),"")</f>
        <v/>
      </c>
      <c r="L87" s="129" t="n">
        <v>46237</v>
      </c>
      <c r="M87" s="127" t="inlineStr">
        <is>
          <t>Created</t>
        </is>
      </c>
      <c r="N87" s="127" t="inlineStr">
        <is>
          <t>DTTP25-41728</t>
        </is>
      </c>
      <c r="O87" s="128">
        <f>IF($N87="","","https://smartship.atlassian.net/browse/"&amp;$N87)</f>
        <v/>
      </c>
      <c r="P87" s="92">
        <f>IFERROR(VALUE(MID($A87,5,4)),0)</f>
        <v/>
      </c>
      <c r="Q87" s="92" t="inlineStr">
        <is>
          <t>NEW-0413</t>
        </is>
      </c>
    </row>
    <row r="88" ht="15" customHeight="1" s="93">
      <c r="A88" s="126">
        <f>IF(AND(B88="",C88="",D88="",E88="",F88="",G88="",H88="",J88="",L88="",M88="",N88=""),"",Q88)</f>
        <v/>
      </c>
      <c r="B88" s="127" t="inlineStr">
        <is>
          <t>[EINT][INT139][INT140][INT187][INT188] - Fix PromoCodeData coupon/discount code field mapping</t>
        </is>
      </c>
      <c r="C88" s="127" t="inlineStr">
        <is>
          <t>Tech Story</t>
        </is>
      </c>
      <c r="D88" s="127" t="inlineStr">
        <is>
          <t>PI10</t>
        </is>
      </c>
      <c r="E88" s="127" t="inlineStr">
        <is>
          <t>M4M</t>
        </is>
      </c>
      <c r="F88" s="127" t="inlineStr">
        <is>
          <t>NEW</t>
        </is>
      </c>
      <c r="G88" s="127" t="inlineStr">
        <is>
          <t>Medium</t>
        </is>
      </c>
      <c r="H88" s="127" t="n"/>
      <c r="I88" s="128">
        <f>IF($A88="","",IFERROR(IF(ISBLANK(INDEX(SprintPlanning[Sprint],MATCH($A88,SprintPlanning[Requirement ID],0))),"To Plan",INDEX(SprintPlanning[Sprint],MATCH($A88,SprintPlanning[Requirement ID],0))),"To Plan"))</f>
        <v/>
      </c>
      <c r="J88" s="127" t="n"/>
      <c r="K88" s="128">
        <f>IFERROR(IF(ISBLANK(INDEX(Release[Release],MATCH($A88,Release[Requirement ID],0))),"",INDEX(Release[Release],MATCH($A88,Release[Requirement ID],0))),"")</f>
        <v/>
      </c>
      <c r="L88" s="129" t="n">
        <v>46237</v>
      </c>
      <c r="M88" s="127" t="inlineStr">
        <is>
          <t>Created</t>
        </is>
      </c>
      <c r="N88" s="127" t="inlineStr">
        <is>
          <t>DTTP25-41730</t>
        </is>
      </c>
      <c r="O88" s="128">
        <f>IF($N88="","","https://smartship.atlassian.net/browse/"&amp;$N88)</f>
        <v/>
      </c>
      <c r="P88" s="92">
        <f>IFERROR(VALUE(MID($A88,5,4)),0)</f>
        <v/>
      </c>
      <c r="Q88" s="92" t="inlineStr">
        <is>
          <t>NEW-0414</t>
        </is>
      </c>
    </row>
    <row r="89" ht="15" customHeight="1" s="93">
      <c r="A89" s="126">
        <f>IF(AND(B89="",C89="",D89="",E89="",F89="",G89="",H89="",J89="",L89="",M89="",N89=""),"",Q89)</f>
        <v/>
      </c>
      <c r="B89" s="127" t="inlineStr">
        <is>
          <t>[EINT][INT139][INT187][INT140][INT188] - Improve error handling: BKGREQ_098, BKGREQ_050, PPI_DRIPR_11</t>
        </is>
      </c>
      <c r="C89" s="127" t="inlineStr">
        <is>
          <t>Tech Story</t>
        </is>
      </c>
      <c r="D89" s="127" t="inlineStr">
        <is>
          <t>PI10</t>
        </is>
      </c>
      <c r="E89" s="127" t="inlineStr">
        <is>
          <t>M4M</t>
        </is>
      </c>
      <c r="F89" s="127" t="inlineStr">
        <is>
          <t>NEW</t>
        </is>
      </c>
      <c r="G89" s="127" t="inlineStr">
        <is>
          <t>Medium</t>
        </is>
      </c>
      <c r="H89" s="127" t="n"/>
      <c r="I89" s="128">
        <f>IF($A89="","",IFERROR(IF(ISBLANK(INDEX(SprintPlanning[Sprint],MATCH($A89,SprintPlanning[Requirement ID],0))),"To Plan",INDEX(SprintPlanning[Sprint],MATCH($A89,SprintPlanning[Requirement ID],0))),"To Plan"))</f>
        <v/>
      </c>
      <c r="J89" s="127" t="n"/>
      <c r="K89" s="128">
        <f>IFERROR(IF(ISBLANK(INDEX(Release[Release],MATCH($A89,Release[Requirement ID],0))),"",INDEX(Release[Release],MATCH($A89,Release[Requirement ID],0))),"")</f>
        <v/>
      </c>
      <c r="L89" s="129" t="n">
        <v>46237</v>
      </c>
      <c r="M89" s="127" t="inlineStr">
        <is>
          <t>Created</t>
        </is>
      </c>
      <c r="N89" s="127" t="inlineStr">
        <is>
          <t>DTTP25-41725</t>
        </is>
      </c>
      <c r="O89" s="128">
        <f>IF($N89="","","https://smartship.atlassian.net/browse/"&amp;$N89)</f>
        <v/>
      </c>
      <c r="P89" s="92">
        <f>IFERROR(VALUE(MID($A89,5,4)),0)</f>
        <v/>
      </c>
      <c r="Q89" s="92" t="inlineStr">
        <is>
          <t>NEW-0415</t>
        </is>
      </c>
    </row>
    <row r="90" ht="15" customHeight="1" s="93">
      <c r="A90" s="115">
        <f>IF(AND(B90="",C90="",D90="",E90="",F90="",G90="",H90="",J90="",L90="",M90="",N90=""),"",Q90)</f>
        <v/>
      </c>
      <c r="B90" s="116" t="inlineStr">
        <is>
          <t>PI11-07 [B2C] Hold Option (Placeholder - MuleSoft should not be involved)</t>
        </is>
      </c>
      <c r="C90" s="116" t="inlineStr">
        <is>
          <t>TBC</t>
        </is>
      </c>
      <c r="D90" s="116" t="inlineStr">
        <is>
          <t>PI11</t>
        </is>
      </c>
      <c r="E90" s="116" t="inlineStr">
        <is>
          <t>B2CW</t>
        </is>
      </c>
      <c r="F90" s="116" t="inlineStr">
        <is>
          <t>NEW</t>
        </is>
      </c>
      <c r="G90" s="116" t="inlineStr">
        <is>
          <t>Medium</t>
        </is>
      </c>
      <c r="H90" s="116" t="n"/>
      <c r="I90" s="117">
        <f>IF($A90="","",IFERROR(IF(ISBLANK(INDEX(SprintPlanning[Sprint],MATCH($A90,SprintPlanning[Requirement ID],0))),"To Plan",INDEX(SprintPlanning[Sprint],MATCH($A90,SprintPlanning[Requirement ID],0))),"To Plan"))</f>
        <v/>
      </c>
      <c r="J90" s="116" t="n"/>
      <c r="K90" s="117">
        <f>IFERROR(IF(ISBLANK(INDEX(Release[Release],MATCH($A90,Release[Requirement ID],0))),"",INDEX(Release[Release],MATCH($A90,Release[Requirement ID],0))),"")</f>
        <v/>
      </c>
      <c r="L90" s="118" t="n">
        <v>46226</v>
      </c>
      <c r="M90" s="116" t="n"/>
      <c r="N90" s="116" t="n"/>
      <c r="O90" s="117">
        <f>IF($N90="","","https://smartship.atlassian.net/browse/"&amp;$N90)</f>
        <v/>
      </c>
      <c r="P90" s="92">
        <f>IFERROR(VALUE(MID($A90,5,4)),0)</f>
        <v/>
      </c>
      <c r="Q90" s="92" t="inlineStr">
        <is>
          <t>NEW-0084</t>
        </is>
      </c>
    </row>
    <row r="91" ht="15" customHeight="1" s="93">
      <c r="A91" s="115">
        <f>IF(AND(B91="",C91="",D91="",E91="",F91="",G91="",H91="",J91="",L91="",M91="",N91=""),"",Q91)</f>
        <v/>
      </c>
      <c r="B91" s="116" t="inlineStr">
        <is>
          <t>PI11-04 [B2C] Post Cruise Complaint Form Part 2 (Multiple Attachment) - DTTP25-38913</t>
        </is>
      </c>
      <c r="C91" s="116" t="inlineStr">
        <is>
          <t>CR</t>
        </is>
      </c>
      <c r="D91" s="116" t="inlineStr">
        <is>
          <t>PI11</t>
        </is>
      </c>
      <c r="E91" s="116" t="inlineStr">
        <is>
          <t>B2CW</t>
        </is>
      </c>
      <c r="F91" s="116" t="inlineStr">
        <is>
          <t>NEW</t>
        </is>
      </c>
      <c r="G91" s="116" t="inlineStr">
        <is>
          <t>Medium</t>
        </is>
      </c>
      <c r="H91" s="116" t="n"/>
      <c r="I91" s="117">
        <f>IF($A91="","",IFERROR(IF(ISBLANK(INDEX(SprintPlanning[Sprint],MATCH($A91,SprintPlanning[Requirement ID],0))),"To Plan",INDEX(SprintPlanning[Sprint],MATCH($A91,SprintPlanning[Requirement ID],0))),"To Plan"))</f>
        <v/>
      </c>
      <c r="J91" s="116" t="n">
        <v>21</v>
      </c>
      <c r="K91" s="117">
        <f>IFERROR(IF(ISBLANK(INDEX(Release[Release],MATCH($A91,Release[Requirement ID],0))),"",INDEX(Release[Release],MATCH($A91,Release[Requirement ID],0))),"")</f>
        <v/>
      </c>
      <c r="L91" s="118" t="n">
        <v>46226</v>
      </c>
      <c r="M91" s="116" t="inlineStr">
        <is>
          <t>Created</t>
        </is>
      </c>
      <c r="N91" s="116" t="inlineStr">
        <is>
          <t>DTTP25-41932</t>
        </is>
      </c>
      <c r="O91" s="117">
        <f>IF($N91="","","https://smartship.atlassian.net/browse/"&amp;$N91)</f>
        <v/>
      </c>
      <c r="P91" s="92">
        <f>IFERROR(VALUE(MID($A91,5,4)),0)</f>
        <v/>
      </c>
      <c r="Q91" s="92" t="inlineStr">
        <is>
          <t>NEW-0072</t>
        </is>
      </c>
    </row>
    <row r="92" ht="15" customHeight="1" s="93">
      <c r="A92" s="115">
        <f>IF(AND(B92="",C92="",D92="",E92="",F92="",G92="",H92="",J92="",L92="",M92="",N92=""),"",Q92)</f>
        <v/>
      </c>
      <c r="B92" s="116" t="inlineStr">
        <is>
          <t>PI11-05 [B2C] Accessibility Form - DTTP25-38914</t>
        </is>
      </c>
      <c r="C92" s="116" t="inlineStr">
        <is>
          <t>CR</t>
        </is>
      </c>
      <c r="D92" s="116" t="inlineStr">
        <is>
          <t>PI11</t>
        </is>
      </c>
      <c r="E92" s="116" t="inlineStr">
        <is>
          <t>B2CW</t>
        </is>
      </c>
      <c r="F92" s="116" t="inlineStr">
        <is>
          <t>NEW</t>
        </is>
      </c>
      <c r="G92" s="116" t="inlineStr">
        <is>
          <t>Medium</t>
        </is>
      </c>
      <c r="H92" s="116" t="n"/>
      <c r="I92" s="117">
        <f>IF($A92="","",IFERROR(IF(ISBLANK(INDEX(SprintPlanning[Sprint],MATCH($A92,SprintPlanning[Requirement ID],0))),"To Plan",INDEX(SprintPlanning[Sprint],MATCH($A92,SprintPlanning[Requirement ID],0))),"To Plan"))</f>
        <v/>
      </c>
      <c r="J92" s="116" t="n"/>
      <c r="K92" s="117">
        <f>IFERROR(IF(ISBLANK(INDEX(Release[Release],MATCH($A92,Release[Requirement ID],0))),"",INDEX(Release[Release],MATCH($A92,Release[Requirement ID],0))),"")</f>
        <v/>
      </c>
      <c r="L92" s="118" t="n">
        <v>46226</v>
      </c>
      <c r="M92" s="116" t="inlineStr">
        <is>
          <t>Created</t>
        </is>
      </c>
      <c r="N92" s="116" t="inlineStr">
        <is>
          <t>DTTP25-41933</t>
        </is>
      </c>
      <c r="O92" s="117">
        <f>IF($N92="","","https://smartship.atlassian.net/browse/"&amp;$N92)</f>
        <v/>
      </c>
      <c r="P92" s="92">
        <f>IFERROR(VALUE(MID($A92,5,4)),0)</f>
        <v/>
      </c>
      <c r="Q92" s="92" t="inlineStr">
        <is>
          <t>NEW-0073</t>
        </is>
      </c>
    </row>
    <row r="93" ht="15" customHeight="1" s="93">
      <c r="A93" s="115">
        <f>IF(AND(B93="",C93="",D93="",E93="",F93="",G93="",H93="",J93="",L93="",M93="",N93=""),"",Q93)</f>
        <v/>
      </c>
      <c r="B93" s="116" t="inlineStr">
        <is>
          <t>PI11-06 [B2C] Cabin Position - DTTP25-40042</t>
        </is>
      </c>
      <c r="C93" s="116" t="inlineStr">
        <is>
          <t>CR</t>
        </is>
      </c>
      <c r="D93" s="116" t="inlineStr">
        <is>
          <t>PI11</t>
        </is>
      </c>
      <c r="E93" s="116" t="inlineStr">
        <is>
          <t>B2CW</t>
        </is>
      </c>
      <c r="F93" s="116" t="inlineStr">
        <is>
          <t>NEW</t>
        </is>
      </c>
      <c r="G93" s="116" t="inlineStr">
        <is>
          <t>Medium</t>
        </is>
      </c>
      <c r="H93" s="116" t="n"/>
      <c r="I93" s="117">
        <f>IF($A93="","",IFERROR(IF(ISBLANK(INDEX(SprintPlanning[Sprint],MATCH($A93,SprintPlanning[Requirement ID],0))),"To Plan",INDEX(SprintPlanning[Sprint],MATCH($A93,SprintPlanning[Requirement ID],0))),"To Plan"))</f>
        <v/>
      </c>
      <c r="J93" s="116" t="n">
        <v>5</v>
      </c>
      <c r="K93" s="117">
        <f>IFERROR(IF(ISBLANK(INDEX(Release[Release],MATCH($A93,Release[Requirement ID],0))),"",INDEX(Release[Release],MATCH($A93,Release[Requirement ID],0))),"")</f>
        <v/>
      </c>
      <c r="L93" s="118" t="n">
        <v>46226</v>
      </c>
      <c r="M93" s="116" t="inlineStr">
        <is>
          <t>Created</t>
        </is>
      </c>
      <c r="N93" s="116" t="inlineStr">
        <is>
          <t>DTTP25-41934</t>
        </is>
      </c>
      <c r="O93" s="117">
        <f>IF($N93="","","https://smartship.atlassian.net/browse/"&amp;$N93)</f>
        <v/>
      </c>
      <c r="P93" s="92">
        <f>IFERROR(VALUE(MID($A93,5,4)),0)</f>
        <v/>
      </c>
      <c r="Q93" s="92" t="inlineStr">
        <is>
          <t>NEW-0074</t>
        </is>
      </c>
    </row>
    <row r="94" ht="15" customHeight="1" s="93">
      <c r="A94" s="123">
        <f>IF(AND(B94="",C94="",D94="",E94="",F94="",G94="",H94="",J94="",L94="",M94="",N94=""),"",Q94)</f>
        <v/>
      </c>
      <c r="B94" s="124" t="inlineStr">
        <is>
          <t>[Growth] [CR] [INT005.2][INT004.3][INT004.4][INT006][INT007] - Conditionally capture outbound/return dates for One-Way Air Packages</t>
        </is>
      </c>
      <c r="C94" s="124" t="inlineStr">
        <is>
          <t>CR</t>
        </is>
      </c>
      <c r="D94" s="124" t="inlineStr">
        <is>
          <t>Growth</t>
        </is>
      </c>
      <c r="E94" s="124" t="inlineStr">
        <is>
          <t>B2CW</t>
        </is>
      </c>
      <c r="F94" s="124" t="inlineStr">
        <is>
          <t>NEW</t>
        </is>
      </c>
      <c r="G94" s="124" t="inlineStr">
        <is>
          <t>Medium</t>
        </is>
      </c>
      <c r="H94" s="124" t="n"/>
      <c r="I94" s="92">
        <f>IF($A94="","",IFERROR(IF(ISBLANK(INDEX(SprintPlanning[Sprint],MATCH($A94,SprintPlanning[Requirement ID],0))),"To Plan",INDEX(SprintPlanning[Sprint],MATCH($A94,SprintPlanning[Requirement ID],0))),"To Plan"))</f>
        <v/>
      </c>
      <c r="J94" s="124" t="n">
        <v>8</v>
      </c>
      <c r="K94" s="92">
        <f>IFERROR(IF(ISBLANK(INDEX(Release[Release],MATCH($A94,Release[Requirement ID],0))),"",INDEX(Release[Release],MATCH($A94,Release[Requirement ID],0))),"")</f>
        <v/>
      </c>
      <c r="L94" s="125" t="n">
        <v>46247</v>
      </c>
      <c r="M94" s="124" t="n"/>
      <c r="N94" s="124" t="inlineStr">
        <is>
          <t>DTTP25-40435</t>
        </is>
      </c>
      <c r="O94" s="92">
        <f>IF($N94="","","https://smartship.atlassian.net/browse/"&amp;$N94)</f>
        <v/>
      </c>
      <c r="P94" s="92">
        <f>IFERROR(VALUE(MID($A94,5,4)),0)</f>
        <v/>
      </c>
      <c r="Q94" s="92">
        <f>IF(B94="","","NEW-"&amp;TEXT(MAX($P$2:$P93,Lists!$N$2)+1,"0000"))</f>
        <v/>
      </c>
    </row>
    <row r="95" ht="15" customHeight="1" s="93">
      <c r="A95" s="123">
        <f>IF(AND(B95="",C95="",D95="",E95="",F95="",G95="",H95="",J95="",L95="",M95="",N95=""),"",Q95)</f>
        <v/>
      </c>
      <c r="B95" s="124" t="inlineStr">
        <is>
          <t>Frictionless secure fields payments</t>
        </is>
      </c>
      <c r="C95" s="124" t="inlineStr">
        <is>
          <t>CR</t>
        </is>
      </c>
      <c r="D95" s="124" t="inlineStr">
        <is>
          <t>Growth</t>
        </is>
      </c>
      <c r="E95" s="124" t="inlineStr">
        <is>
          <t>B2CW</t>
        </is>
      </c>
      <c r="F95" s="124" t="inlineStr">
        <is>
          <t>NEW</t>
        </is>
      </c>
      <c r="G95" s="124" t="inlineStr">
        <is>
          <t>High</t>
        </is>
      </c>
      <c r="H95" s="124" t="n"/>
      <c r="I95" s="92">
        <f>IF($A95="","",IFERROR(IF(ISBLANK(INDEX(SprintPlanning[Sprint],MATCH($A95,SprintPlanning[Requirement ID],0))),"To Plan",INDEX(SprintPlanning[Sprint],MATCH($A95,SprintPlanning[Requirement ID],0))),"To Plan"))</f>
        <v/>
      </c>
      <c r="J95" s="124" t="n">
        <v>3</v>
      </c>
      <c r="K95" s="92">
        <f>IFERROR(IF(ISBLANK(INDEX(Release[Release],MATCH($A95,Release[Requirement ID],0))),"",INDEX(Release[Release],MATCH($A95,Release[Requirement ID],0))),"")</f>
        <v/>
      </c>
      <c r="L95" s="125" t="n">
        <v>46247</v>
      </c>
      <c r="M95" s="124" t="inlineStr">
        <is>
          <t>Created</t>
        </is>
      </c>
      <c r="N95" s="124" t="inlineStr">
        <is>
          <t>DTTP25-42079</t>
        </is>
      </c>
      <c r="O95" s="92">
        <f>IF($N95="","","https://smartship.atlassian.net/browse/"&amp;$N95)</f>
        <v/>
      </c>
      <c r="P95" s="92">
        <f>IFERROR(VALUE(MID($A95,5,4)),0)</f>
        <v/>
      </c>
      <c r="Q95" s="92">
        <f>IF(B95="","","NEW-"&amp;TEXT(MAX($P$2:$P94,Lists!$N$2)+1,"0000"))</f>
        <v/>
      </c>
    </row>
    <row r="96" ht="15" customHeight="1" s="93">
      <c r="A96" s="123">
        <f>IF(AND(B96="",C96="",D96="",E96="",F96="",G96="",H96="",J96="",L96="",M96="",N96=""),"",Q96)</f>
        <v/>
      </c>
      <c r="B96" s="124" t="inlineStr">
        <is>
          <t>US: Changes to A070/A013 mapping - refund</t>
        </is>
      </c>
      <c r="C96" s="124" t="inlineStr">
        <is>
          <t>CR</t>
        </is>
      </c>
      <c r="D96" s="124" t="inlineStr">
        <is>
          <t>Growth</t>
        </is>
      </c>
      <c r="E96" s="124" t="inlineStr">
        <is>
          <t>MA</t>
        </is>
      </c>
      <c r="F96" s="124" t="inlineStr">
        <is>
          <t>NEW</t>
        </is>
      </c>
      <c r="G96" s="124" t="inlineStr">
        <is>
          <t>Medium</t>
        </is>
      </c>
      <c r="H96" s="124" t="n"/>
      <c r="I96" s="92">
        <f>IF($A96="","",IFERROR(IF(ISBLANK(INDEX(SprintPlanning[Sprint],MATCH($A96,SprintPlanning[Requirement ID],0))),"To Plan",INDEX(SprintPlanning[Sprint],MATCH($A96,SprintPlanning[Requirement ID],0))),"To Plan"))</f>
        <v/>
      </c>
      <c r="J96" s="124" t="n"/>
      <c r="K96" s="92">
        <f>IFERROR(IF(ISBLANK(INDEX(Release[Release],MATCH($A96,Release[Requirement ID],0))),"",INDEX(Release[Release],MATCH($A96,Release[Requirement ID],0))),"")</f>
        <v/>
      </c>
      <c r="L96" s="125" t="n">
        <v>46247</v>
      </c>
      <c r="M96" s="124" t="n"/>
      <c r="N96" s="124" t="n"/>
      <c r="O96" s="92">
        <f>IF($N96="","","https://smartship.atlassian.net/browse/"&amp;$N96)</f>
        <v/>
      </c>
      <c r="P96" s="92">
        <f>IFERROR(VALUE(MID($A96,5,4)),0)</f>
        <v/>
      </c>
      <c r="Q96" s="92">
        <f>IF(B96="","","NEW-"&amp;TEXT(MAX($P$2:$P95,Lists!$N$2)+1,"0000"))</f>
        <v/>
      </c>
    </row>
    <row r="97" ht="15" customHeight="1" s="93">
      <c r="A97" s="123">
        <f>IF(AND(B97="",C97="",D97="",E97="",F97="",G97="",H97="",J97="",L97="",M97="",N97=""),"",Q97)</f>
        <v/>
      </c>
      <c r="B97" s="124" t="inlineStr">
        <is>
          <t>[EINT] [CR] Map timezone in case creation in scheduled callback - US Stream</t>
        </is>
      </c>
      <c r="C97" s="124" t="inlineStr">
        <is>
          <t>CR</t>
        </is>
      </c>
      <c r="D97" s="124" t="inlineStr">
        <is>
          <t>US</t>
        </is>
      </c>
      <c r="E97" s="124" t="inlineStr">
        <is>
          <t>S&amp;S</t>
        </is>
      </c>
      <c r="F97" s="124" t="inlineStr">
        <is>
          <t>NEW</t>
        </is>
      </c>
      <c r="G97" s="124" t="inlineStr">
        <is>
          <t>Medium</t>
        </is>
      </c>
      <c r="H97" s="124" t="n"/>
      <c r="I97" s="92">
        <f>IF($A97="","",IFERROR(IF(ISBLANK(INDEX(SprintPlanning[Sprint],MATCH($A97,SprintPlanning[Requirement ID],0))),"To Plan",INDEX(SprintPlanning[Sprint],MATCH($A97,SprintPlanning[Requirement ID],0))),"To Plan"))</f>
        <v/>
      </c>
      <c r="J97" s="124" t="n">
        <v>3</v>
      </c>
      <c r="K97" s="92">
        <f>IFERROR(IF(ISBLANK(INDEX(Release[Release],MATCH($A97,Release[Requirement ID],0))),"",INDEX(Release[Release],MATCH($A97,Release[Requirement ID],0))),"")</f>
        <v/>
      </c>
      <c r="L97" s="125" t="n">
        <v>46247</v>
      </c>
      <c r="M97" s="124" t="n"/>
      <c r="N97" s="124" t="inlineStr">
        <is>
          <t>MDTTPU-16586</t>
        </is>
      </c>
      <c r="O97" s="92">
        <f>IF($N97="","","https://smartship.atlassian.net/browse/"&amp;$N97)</f>
        <v/>
      </c>
      <c r="P97" s="92">
        <f>IFERROR(VALUE(MID($A97,5,4)),0)</f>
        <v/>
      </c>
      <c r="Q97" s="92">
        <f>IF(B97="","","NEW-"&amp;TEXT(MAX($P$2:$P96,Lists!$N$2)+1,"0000"))</f>
        <v/>
      </c>
    </row>
    <row r="98" ht="15" customHeight="1" s="93">
      <c r="A98" s="123">
        <f>IF(AND(B98="",C98="",D98="",E98="",F98="",G98="",H98="",J98="",L98="",M98="",N98=""),"",Q98)</f>
        <v/>
      </c>
      <c r="B98" s="119" t="inlineStr">
        <is>
          <t>Load Test + Performance Enhancements - Part 2 (Placeholder)</t>
        </is>
      </c>
      <c r="C98" s="119" t="inlineStr">
        <is>
          <t>Tech Task</t>
        </is>
      </c>
      <c r="D98" s="119" t="inlineStr">
        <is>
          <t>US</t>
        </is>
      </c>
      <c r="E98" s="119" t="inlineStr">
        <is>
          <t>ALL</t>
        </is>
      </c>
      <c r="F98" s="119" t="inlineStr">
        <is>
          <t>NEW</t>
        </is>
      </c>
      <c r="G98" s="119" t="inlineStr">
        <is>
          <t>High</t>
        </is>
      </c>
      <c r="H98" s="119" t="n"/>
      <c r="I98" s="92">
        <f>IF($A98="","",IFERROR(IF(ISBLANK(INDEX(SprintPlanning[Sprint],MATCH($A98,SprintPlanning[Requirement ID],0))),"To Plan",INDEX(SprintPlanning[Sprint],MATCH($A98,SprintPlanning[Requirement ID],0))),"To Plan"))</f>
        <v/>
      </c>
      <c r="J98" s="119" t="n">
        <v>13</v>
      </c>
      <c r="K98" s="92">
        <f>IFERROR(IF(ISBLANK(INDEX(Release[Release],MATCH($A98,Release[Requirement ID],0))),"",INDEX(Release[Release],MATCH($A98,Release[Requirement ID],0))),"")</f>
        <v/>
      </c>
      <c r="L98" s="125" t="n">
        <v>46251</v>
      </c>
      <c r="M98" s="124" t="n"/>
      <c r="N98" s="124" t="n"/>
      <c r="O98" s="92">
        <f>IF($N98="","","https://smartship.atlassian.net/browse/"&amp;$N98)</f>
        <v/>
      </c>
      <c r="P98" s="92">
        <f>IFERROR(VALUE(MID($A98,5,4)),0)</f>
        <v/>
      </c>
      <c r="Q98" s="92">
        <f>IF(B98="","","NEW-"&amp;TEXT(MAX($P$2:$P97,Lists!$N$2)+1,"0000"))</f>
        <v/>
      </c>
    </row>
    <row r="99" ht="15" customHeight="1" s="93">
      <c r="A99" s="123">
        <f>IF(AND(B99="",C99="",D99="",E99="",F99="",G99="",H99="",J99="",L99="",M99="",N99=""),"",Q99)</f>
        <v/>
      </c>
      <c r="B99" s="124" t="inlineStr">
        <is>
          <t>E2E Ticket Support - FAT and Canary Tests - Sprint 11</t>
        </is>
      </c>
      <c r="C99" s="124" t="inlineStr">
        <is>
          <t>Tech Task</t>
        </is>
      </c>
      <c r="D99" s="124" t="inlineStr">
        <is>
          <t>Cross</t>
        </is>
      </c>
      <c r="E99" s="124" t="inlineStr">
        <is>
          <t>ALL</t>
        </is>
      </c>
      <c r="F99" s="124" t="inlineStr">
        <is>
          <t>NEW</t>
        </is>
      </c>
      <c r="G99" s="124" t="inlineStr">
        <is>
          <t>Medium</t>
        </is>
      </c>
      <c r="H99" s="124" t="n"/>
      <c r="I99" s="92">
        <f>IF($A99="","",IFERROR(IF(ISBLANK(INDEX(SprintPlanning[Sprint],MATCH($A99,SprintPlanning[Requirement ID],0))),"To Plan",INDEX(SprintPlanning[Sprint],MATCH($A99,SprintPlanning[Requirement ID],0))),"To Plan"))</f>
        <v/>
      </c>
      <c r="J99" s="124" t="n">
        <v>13</v>
      </c>
      <c r="K99" s="92">
        <f>IFERROR(IF(ISBLANK(INDEX(Release[Release],MATCH($A99,Release[Requirement ID],0))),"",INDEX(Release[Release],MATCH($A99,Release[Requirement ID],0))),"")</f>
        <v/>
      </c>
      <c r="L99" s="134" t="n">
        <v>46251</v>
      </c>
      <c r="M99" s="124" t="n"/>
      <c r="N99" s="124" t="n"/>
      <c r="O99" s="92">
        <f>IF($N99="","","https://smartship.atlassian.net/browse/"&amp;$N99)</f>
        <v/>
      </c>
      <c r="P99" s="92">
        <f>IFERROR(VALUE(MID($A99,5,4)),0)</f>
        <v/>
      </c>
      <c r="Q99" s="92">
        <f>IF(B99="","","NEW-"&amp;TEXT(MAX($P$2:$P98,Lists!$N$2)+1,"0000"))</f>
        <v/>
      </c>
    </row>
    <row r="100" ht="15" customHeight="1" s="93">
      <c r="A100" s="123">
        <f>IF(AND(B100="",C100="",D100="",E100="",F100="",G100="",H100="",J100="",L100="",M100="",N100=""),"",Q100)</f>
        <v/>
      </c>
      <c r="B100" s="124" t="inlineStr">
        <is>
          <t>2nd of September Release Prep</t>
        </is>
      </c>
      <c r="C100" s="124" t="inlineStr">
        <is>
          <t>Tech Task</t>
        </is>
      </c>
      <c r="D100" s="124" t="inlineStr">
        <is>
          <t>US</t>
        </is>
      </c>
      <c r="E100" s="124" t="inlineStr">
        <is>
          <t>ALL</t>
        </is>
      </c>
      <c r="F100" s="124" t="inlineStr">
        <is>
          <t>NEW</t>
        </is>
      </c>
      <c r="G100" s="124" t="inlineStr">
        <is>
          <t>High</t>
        </is>
      </c>
      <c r="H100" s="124" t="n"/>
      <c r="I100" s="92">
        <f>IF($A100="","",IFERROR(IF(ISBLANK(INDEX(SprintPlanning[Sprint],MATCH($A100,SprintPlanning[Requirement ID],0))),"To Plan",INDEX(SprintPlanning[Sprint],MATCH($A100,SprintPlanning[Requirement ID],0))),"To Plan"))</f>
        <v/>
      </c>
      <c r="J100" s="124" t="n">
        <v>13</v>
      </c>
      <c r="K100" s="92">
        <f>IFERROR(IF(ISBLANK(INDEX(Release[Release],MATCH($A100,Release[Requirement ID],0))),"",INDEX(Release[Release],MATCH($A100,Release[Requirement ID],0))),"")</f>
        <v/>
      </c>
      <c r="L100" s="134" t="n">
        <v>46251</v>
      </c>
      <c r="M100" s="124" t="n"/>
      <c r="N100" s="124" t="n"/>
      <c r="O100" s="92">
        <f>IF($N100="","","https://smartship.atlassian.net/browse/"&amp;$N100)</f>
        <v/>
      </c>
      <c r="P100" s="92">
        <f>IFERROR(VALUE(MID($A100,5,4)),0)</f>
        <v/>
      </c>
      <c r="Q100" s="92">
        <f>IF(B100="","","NEW-"&amp;TEXT(MAX($P$2:$P99,Lists!$N$2)+1,"0000"))</f>
        <v/>
      </c>
    </row>
    <row r="101" ht="15" customHeight="1" s="93">
      <c r="A101" s="123">
        <f>IF(AND(B101="",C101="",D101="",E101="",F101="",G101="",H101="",J101="",L101="",M101="",N101=""),"",Q101)</f>
        <v/>
      </c>
      <c r="B101" s="124" t="inlineStr">
        <is>
          <t>MyMSC Login after Purchase in Booking Funnel</t>
        </is>
      </c>
      <c r="C101" s="124" t="inlineStr">
        <is>
          <t>CR</t>
        </is>
      </c>
      <c r="D101" s="124" t="inlineStr">
        <is>
          <t>MyMSC</t>
        </is>
      </c>
      <c r="E101" s="124" t="inlineStr">
        <is>
          <t>B2CW</t>
        </is>
      </c>
      <c r="F101" s="124" t="inlineStr">
        <is>
          <t>NEW</t>
        </is>
      </c>
      <c r="G101" s="124" t="inlineStr">
        <is>
          <t>Critical</t>
        </is>
      </c>
      <c r="H101" s="124" t="n"/>
      <c r="I101" s="92">
        <f>IF($A101="","",IFERROR(IF(ISBLANK(INDEX(SprintPlanning[Sprint],MATCH($A101,SprintPlanning[Requirement ID],0))),"To Plan",INDEX(SprintPlanning[Sprint],MATCH($A101,SprintPlanning[Requirement ID],0))),"To Plan"))</f>
        <v/>
      </c>
      <c r="J101" s="124" t="n">
        <v>8</v>
      </c>
      <c r="K101" s="92">
        <f>IFERROR(IF(ISBLANK(INDEX(Release[Release],MATCH($A101,Release[Requirement ID],0))),"",INDEX(Release[Release],MATCH($A101,Release[Requirement ID],0))),"")</f>
        <v/>
      </c>
      <c r="L101" s="134" t="n">
        <v>46252</v>
      </c>
      <c r="M101" s="124" t="n"/>
      <c r="N101" s="124" t="inlineStr">
        <is>
          <t>DTTP25-42351</t>
        </is>
      </c>
      <c r="O101" s="92">
        <f>IF($N101="","","https://smartship.atlassian.net/browse/"&amp;$N101)</f>
        <v/>
      </c>
      <c r="P101" s="92">
        <f>IFERROR(VALUE(MID($A101,5,4)),0)</f>
        <v/>
      </c>
      <c r="Q101" s="92">
        <f>IF(B101="","","NEW-"&amp;TEXT(MAX($P$2:$P100,Lists!$N$2)+1,"0000"))</f>
        <v/>
      </c>
    </row>
    <row r="102" ht="15" customHeight="1" s="93">
      <c r="A102" s="123">
        <f>IF(AND(B102="",C102="",D102="",E102="",F102="",G102="",H102="",J102="",L102="",M102="",N102=""),"",Q102)</f>
        <v/>
      </c>
      <c r="B102" s="124" t="inlineStr">
        <is>
          <t>M4M Configuration of AU+DE markets</t>
        </is>
      </c>
      <c r="C102" s="124" t="inlineStr">
        <is>
          <t>CR</t>
        </is>
      </c>
      <c r="D102" s="124" t="inlineStr">
        <is>
          <t>M4M</t>
        </is>
      </c>
      <c r="E102" s="124" t="inlineStr">
        <is>
          <t>M4M</t>
        </is>
      </c>
      <c r="F102" s="124" t="inlineStr">
        <is>
          <t>NEW</t>
        </is>
      </c>
      <c r="G102" s="124" t="inlineStr">
        <is>
          <t>High</t>
        </is>
      </c>
      <c r="H102" s="124" t="n"/>
      <c r="I102" s="92">
        <f>IF($A102="","",IFERROR(IF(ISBLANK(INDEX(SprintPlanning[Sprint],MATCH($A102,SprintPlanning[Requirement ID],0))),"To Plan",INDEX(SprintPlanning[Sprint],MATCH($A102,SprintPlanning[Requirement ID],0))),"To Plan"))</f>
        <v/>
      </c>
      <c r="J102" s="124" t="n"/>
      <c r="K102" s="92">
        <f>IFERROR(IF(ISBLANK(INDEX(Release[Release],MATCH($A102,Release[Requirement ID],0))),"",INDEX(Release[Release],MATCH($A102,Release[Requirement ID],0))),"")</f>
        <v/>
      </c>
      <c r="L102" s="134" t="n">
        <v>46254</v>
      </c>
      <c r="M102" s="124" t="n"/>
      <c r="N102" s="124" t="n"/>
      <c r="O102" s="92">
        <f>IF($N102="","","https://smartship.atlassian.net/browse/"&amp;$N102)</f>
        <v/>
      </c>
      <c r="P102" s="92">
        <f>IFERROR(VALUE(MID($A102,5,4)),0)</f>
        <v/>
      </c>
      <c r="Q102" s="92">
        <f>IF(B102="","","NEW-"&amp;TEXT(MAX($P$2:$P101,Lists!$N$2)+1,"0000"))</f>
        <v/>
      </c>
    </row>
    <row r="103" ht="15" customHeight="1" s="93">
      <c r="A103" s="123">
        <f>IF(AND(B103="",C103="",D103="",E103="",F103="",G103="",H103="",J103="",L103="",M103="",N103=""),"",Q103)</f>
        <v/>
      </c>
      <c r="B103" s="124" t="inlineStr">
        <is>
          <t>M4M New Fields on INT181</t>
        </is>
      </c>
      <c r="C103" s="124" t="inlineStr">
        <is>
          <t>CR</t>
        </is>
      </c>
      <c r="D103" s="124" t="inlineStr">
        <is>
          <t>M4M</t>
        </is>
      </c>
      <c r="E103" s="124" t="inlineStr">
        <is>
          <t>M4M</t>
        </is>
      </c>
      <c r="F103" s="124" t="inlineStr">
        <is>
          <t>NEW</t>
        </is>
      </c>
      <c r="G103" s="124" t="inlineStr">
        <is>
          <t>Medium</t>
        </is>
      </c>
      <c r="H103" s="124" t="n"/>
      <c r="I103" s="92">
        <f>IF($A103="","",IFERROR(IF(ISBLANK(INDEX(SprintPlanning[Sprint],MATCH($A103,SprintPlanning[Requirement ID],0))),"To Plan",INDEX(SprintPlanning[Sprint],MATCH($A103,SprintPlanning[Requirement ID],0))),"To Plan"))</f>
        <v/>
      </c>
      <c r="J103" s="124" t="n"/>
      <c r="K103" s="92">
        <f>IFERROR(IF(ISBLANK(INDEX(Release[Release],MATCH($A103,Release[Requirement ID],0))),"",INDEX(Release[Release],MATCH($A103,Release[Requirement ID],0))),"")</f>
        <v/>
      </c>
      <c r="L103" s="134" t="n">
        <v>46254</v>
      </c>
      <c r="M103" s="124" t="n"/>
      <c r="N103" s="124" t="n"/>
      <c r="O103" s="92">
        <f>IF($N103="","","https://smartship.atlassian.net/browse/"&amp;$N103)</f>
        <v/>
      </c>
      <c r="P103" s="92">
        <f>IFERROR(VALUE(MID($A103,5,4)),0)</f>
        <v/>
      </c>
      <c r="Q103" s="92">
        <f>IF(B103="","","NEW-"&amp;TEXT(MAX($P$2:$P102,Lists!$N$2)+1,"0000"))</f>
        <v/>
      </c>
    </row>
    <row r="104" ht="15" customHeight="1" s="93">
      <c r="A104" s="123">
        <f>IF(AND(B104="",C104="",D104="",E104="",F104="",G104="",H104="",J104="",L104="",M104="",N104=""),"",Q104)</f>
        <v/>
      </c>
      <c r="B104" s="124" t="inlineStr">
        <is>
          <t>M4M Gender in Marketing email in INT188</t>
        </is>
      </c>
      <c r="C104" s="124" t="inlineStr">
        <is>
          <t>CR</t>
        </is>
      </c>
      <c r="D104" s="124" t="inlineStr">
        <is>
          <t>M4M</t>
        </is>
      </c>
      <c r="E104" s="124" t="inlineStr">
        <is>
          <t>M4M</t>
        </is>
      </c>
      <c r="F104" s="124" t="inlineStr">
        <is>
          <t>NEW</t>
        </is>
      </c>
      <c r="G104" s="124" t="inlineStr">
        <is>
          <t>Medium</t>
        </is>
      </c>
      <c r="H104" s="124" t="n"/>
      <c r="I104" s="92">
        <f>IF($A104="","",IFERROR(IF(ISBLANK(INDEX(SprintPlanning[Sprint],MATCH($A104,SprintPlanning[Requirement ID],0))),"To Plan",INDEX(SprintPlanning[Sprint],MATCH($A104,SprintPlanning[Requirement ID],0))),"To Plan"))</f>
        <v/>
      </c>
      <c r="J104" s="124" t="n"/>
      <c r="K104" s="92">
        <f>IFERROR(IF(ISBLANK(INDEX(Release[Release],MATCH($A104,Release[Requirement ID],0))),"",INDEX(Release[Release],MATCH($A104,Release[Requirement ID],0))),"")</f>
        <v/>
      </c>
      <c r="L104" s="134" t="n">
        <v>46254</v>
      </c>
      <c r="M104" s="124" t="n"/>
      <c r="N104" s="124" t="n"/>
      <c r="O104" s="92">
        <f>IF($N104="","","https://smartship.atlassian.net/browse/"&amp;$N104)</f>
        <v/>
      </c>
      <c r="P104" s="92">
        <f>IFERROR(VALUE(MID($A104,5,4)),0)</f>
        <v/>
      </c>
      <c r="Q104" s="92">
        <f>IF(B104="","","NEW-"&amp;TEXT(MAX($P$2:$P103,Lists!$N$2)+1,"0000"))</f>
        <v/>
      </c>
    </row>
    <row r="105" ht="15" customHeight="1" s="93">
      <c r="A105" s="123">
        <f>IF(AND(B105="",C105="",D105="",E105="",F105="",G105="",H105="",J105="",L105="",M105="",N105=""),"",Q105)</f>
        <v/>
      </c>
      <c r="B105" s="124" t="inlineStr">
        <is>
          <t>M4M Datatrans information in INT188 response</t>
        </is>
      </c>
      <c r="C105" s="124" t="inlineStr">
        <is>
          <t>CR</t>
        </is>
      </c>
      <c r="D105" s="124" t="inlineStr">
        <is>
          <t>M4M</t>
        </is>
      </c>
      <c r="E105" s="124" t="inlineStr">
        <is>
          <t>M4M</t>
        </is>
      </c>
      <c r="F105" s="124" t="inlineStr">
        <is>
          <t>NEW</t>
        </is>
      </c>
      <c r="G105" s="124" t="inlineStr">
        <is>
          <t>Medium</t>
        </is>
      </c>
      <c r="H105" s="124" t="n"/>
      <c r="I105" s="92">
        <f>IF($A105="","",IFERROR(IF(ISBLANK(INDEX(SprintPlanning[Sprint],MATCH($A105,SprintPlanning[Requirement ID],0))),"To Plan",INDEX(SprintPlanning[Sprint],MATCH($A105,SprintPlanning[Requirement ID],0))),"To Plan"))</f>
        <v/>
      </c>
      <c r="J105" s="124" t="n"/>
      <c r="K105" s="92">
        <f>IFERROR(IF(ISBLANK(INDEX(Release[Release],MATCH($A105,Release[Requirement ID],0))),"",INDEX(Release[Release],MATCH($A105,Release[Requirement ID],0))),"")</f>
        <v/>
      </c>
      <c r="L105" s="134" t="n">
        <v>46254</v>
      </c>
      <c r="M105" s="124" t="n"/>
      <c r="N105" s="124" t="n"/>
      <c r="O105" s="92">
        <f>IF($N105="","","https://smartship.atlassian.net/browse/"&amp;$N105)</f>
        <v/>
      </c>
      <c r="P105" s="92">
        <f>IFERROR(VALUE(MID($A105,5,4)),0)</f>
        <v/>
      </c>
      <c r="Q105" s="92">
        <f>IF(B105="","","NEW-"&amp;TEXT(MAX($P$2:$P104,Lists!$N$2)+1,"0000"))</f>
        <v/>
      </c>
    </row>
    <row r="106" ht="15" customHeight="1" s="93">
      <c r="A106" s="123">
        <f>IF(AND(B106="",C106="",D106="",E106="",F106="",G106="",H106="",J106="",L106="",M106="",N106=""),"",Q106)</f>
        <v/>
      </c>
      <c r="B106" s="124" t="inlineStr">
        <is>
          <t>MYMSC | Club enrollment template checkpoint</t>
        </is>
      </c>
      <c r="C106" s="124" t="inlineStr">
        <is>
          <t>CR</t>
        </is>
      </c>
      <c r="D106" s="124" t="inlineStr">
        <is>
          <t>MyMSC</t>
        </is>
      </c>
      <c r="E106" s="124" t="inlineStr">
        <is>
          <t>B2CW</t>
        </is>
      </c>
      <c r="F106" s="124" t="inlineStr">
        <is>
          <t>NEW</t>
        </is>
      </c>
      <c r="G106" s="124" t="inlineStr">
        <is>
          <t>High</t>
        </is>
      </c>
      <c r="H106" s="124" t="n"/>
      <c r="I106" s="92">
        <f>IF($A106="","",IFERROR(IF(ISBLANK(INDEX(SprintPlanning[Sprint],MATCH($A106,SprintPlanning[Requirement ID],0))),"To Plan",INDEX(SprintPlanning[Sprint],MATCH($A106,SprintPlanning[Requirement ID],0))),"To Plan"))</f>
        <v/>
      </c>
      <c r="J106" s="124" t="n">
        <v>13</v>
      </c>
      <c r="K106" s="92">
        <f>IFERROR(IF(ISBLANK(INDEX(Release[Release],MATCH($A106,Release[Requirement ID],0))),"",INDEX(Release[Release],MATCH($A106,Release[Requirement ID],0))),"")</f>
        <v/>
      </c>
      <c r="L106" s="134" t="n">
        <v>46254</v>
      </c>
      <c r="M106" s="124" t="n"/>
      <c r="N106" s="124" t="n"/>
      <c r="O106" s="92">
        <f>IF($N106="","","https://smartship.atlassian.net/browse/"&amp;$N106)</f>
        <v/>
      </c>
      <c r="P106" s="92">
        <f>IFERROR(VALUE(MID($A106,5,4)),0)</f>
        <v/>
      </c>
      <c r="Q106" s="92">
        <f>IF(B106="","","NEW-"&amp;TEXT(MAX($P$2:$P105,Lists!$N$2)+1,"0000"))</f>
        <v/>
      </c>
    </row>
    <row r="107" ht="15" customHeight="1" s="93">
      <c r="A107" s="123">
        <f>IF(AND(B107="",C107="",D107="",E107="",F107="",G107="",H107="",J107="",L107="",M107="",N107=""),"",Q107)</f>
        <v/>
      </c>
      <c r="B107" s="123" t="inlineStr">
        <is>
          <t>Restructure the orchestration of INT188</t>
        </is>
      </c>
      <c r="C107" s="124" t="inlineStr">
        <is>
          <t>Bug</t>
        </is>
      </c>
      <c r="D107" s="124" t="inlineStr">
        <is>
          <t>M4M</t>
        </is>
      </c>
      <c r="E107" s="124" t="inlineStr">
        <is>
          <t>M4M</t>
        </is>
      </c>
      <c r="F107" s="124" t="inlineStr">
        <is>
          <t>NEW</t>
        </is>
      </c>
      <c r="G107" s="124" t="inlineStr">
        <is>
          <t>High</t>
        </is>
      </c>
      <c r="H107" s="124" t="n"/>
      <c r="I107" s="92">
        <f>IF($A107="","",IFERROR(IF(ISBLANK(INDEX(SprintPlanning[Sprint],MATCH($A107,SprintPlanning[Requirement ID],0))),"To Plan",INDEX(SprintPlanning[Sprint],MATCH($A107,SprintPlanning[Requirement ID],0))),"To Plan"))</f>
        <v/>
      </c>
      <c r="J107" s="124" t="n">
        <v>3</v>
      </c>
      <c r="K107" s="92">
        <f>IFERROR(IF(ISBLANK(INDEX(Release[Release],MATCH($A107,Release[Requirement ID],0))),"",INDEX(Release[Release],MATCH($A107,Release[Requirement ID],0))),"")</f>
        <v/>
      </c>
      <c r="L107" s="134" t="n">
        <v>46254</v>
      </c>
      <c r="M107" s="124" t="inlineStr">
        <is>
          <t>Created</t>
        </is>
      </c>
      <c r="N107" s="124" t="inlineStr">
        <is>
          <t>DTTP25-42277</t>
        </is>
      </c>
      <c r="O107" s="92">
        <f>IF($N107="","","https://smartship.atlassian.net/browse/"&amp;$N107)</f>
        <v/>
      </c>
      <c r="P107" s="92">
        <f>IFERROR(VALUE(MID($A107,5,4)),0)</f>
        <v/>
      </c>
      <c r="Q107" s="92">
        <f>IF(B107="","","NEW-"&amp;TEXT(MAX($P$2:$P106,Lists!$N$2)+1,"0000"))</f>
        <v/>
      </c>
    </row>
    <row r="108" ht="15" customHeight="1" s="93">
      <c r="A108" s="123">
        <f>IF(AND(B109="",C109="",D109="",E109="",F109="",G109="",H109="",J109="",L109="",M109="",N109=""),"",Q109)</f>
        <v/>
      </c>
      <c r="B108" s="124" t="inlineStr">
        <is>
          <t>[INT188] EAPI incorrectly calling CHUB</t>
        </is>
      </c>
      <c r="C108" s="124" t="inlineStr">
        <is>
          <t>CR</t>
        </is>
      </c>
      <c r="D108" s="124" t="inlineStr">
        <is>
          <t>M4M</t>
        </is>
      </c>
      <c r="E108" s="124" t="inlineStr">
        <is>
          <t>M4M</t>
        </is>
      </c>
      <c r="F108" s="124" t="inlineStr">
        <is>
          <t>NEW</t>
        </is>
      </c>
      <c r="G108" s="124" t="inlineStr">
        <is>
          <t>High</t>
        </is>
      </c>
      <c r="H108" s="124" t="n"/>
      <c r="I108" s="92">
        <f>IF($A109="","",IFERROR(IF(ISBLANK(INDEX(SprintPlanning[Sprint],MATCH($A109,SprintPlanning[Requirement ID],0))),"To Plan",INDEX(SprintPlanning[Sprint],MATCH($A109,SprintPlanning[Requirement ID],0))),"To Plan"))</f>
        <v/>
      </c>
      <c r="J108" s="124" t="n">
        <v>3</v>
      </c>
      <c r="K108" s="92">
        <f>IFERROR(IF(ISBLANK(INDEX(Release[Release],MATCH($A109,Release[Requirement ID],0))),"",INDEX(Release[Release],MATCH($A109,Release[Requirement ID],0))),"")</f>
        <v/>
      </c>
      <c r="L108" s="134" t="n">
        <v>46254</v>
      </c>
      <c r="M108" s="124" t="inlineStr">
        <is>
          <t>Created</t>
        </is>
      </c>
      <c r="N108" s="124" t="inlineStr">
        <is>
          <t>DTTP25-41817</t>
        </is>
      </c>
      <c r="O108" s="92">
        <f>IF($N109="","","https://smartship.atlassian.net/browse/"&amp;$N109)</f>
        <v/>
      </c>
      <c r="P108" s="92">
        <f>IFERROR(VALUE(MID($A109,5,4)),0)</f>
        <v/>
      </c>
      <c r="Q108" s="92">
        <f>IF(B109="","","NEW-"&amp;TEXT(MAX($P$2:$P108,Lists!$N$2)+1,"0000"))</f>
        <v/>
      </c>
    </row>
    <row r="109" ht="15" customHeight="1" s="93">
      <c r="A109" s="123">
        <f>IF(AND(B110="",C110="",D110="",E110="",F110="",G110="",H110="",J110="",L110="",M110="",N110=""),"",Q110)</f>
        <v/>
      </c>
      <c r="B109" s="124" t="inlineStr">
        <is>
          <t>MSC-US | Homeless Email Flexibility - Additional Requirement</t>
        </is>
      </c>
      <c r="C109" s="124" t="inlineStr">
        <is>
          <t>CR</t>
        </is>
      </c>
      <c r="D109" s="124" t="inlineStr">
        <is>
          <t>US</t>
        </is>
      </c>
      <c r="E109" s="124" t="inlineStr">
        <is>
          <t>MA</t>
        </is>
      </c>
      <c r="F109" s="124" t="inlineStr">
        <is>
          <t>DONE</t>
        </is>
      </c>
      <c r="G109" s="124" t="inlineStr">
        <is>
          <t>Medium</t>
        </is>
      </c>
      <c r="H109" s="124" t="n"/>
      <c r="I109" s="92">
        <f>IF($A110="","",IFERROR(IF(ISBLANK(INDEX(SprintPlanning[Sprint],MATCH($A110,SprintPlanning[Requirement ID],0))),"To Plan",INDEX(SprintPlanning[Sprint],MATCH($A110,SprintPlanning[Requirement ID],0))),"To Plan"))</f>
        <v/>
      </c>
      <c r="J109" s="124" t="n"/>
      <c r="K109" s="92">
        <f>IFERROR(IF(ISBLANK(INDEX(Release[Release],MATCH($A110,Release[Requirement ID],0))),"",INDEX(Release[Release],MATCH($A110,Release[Requirement ID],0))),"")</f>
        <v/>
      </c>
      <c r="L109" s="134" t="n">
        <v>46255</v>
      </c>
      <c r="M109" s="124" t="n"/>
      <c r="N109" s="124" t="n"/>
      <c r="O109" s="92">
        <f>IF($N110="","","https://smartship.atlassian.net/browse/"&amp;$N110)</f>
        <v/>
      </c>
      <c r="P109" s="92">
        <f>IFERROR(VALUE(MID($A110,5,4)),0)</f>
        <v/>
      </c>
      <c r="Q109" s="92">
        <f>IF(B110="","","NEW-"&amp;TEXT(MAX($P$2:$P109,Lists!$N$2)+1,"0000"))</f>
        <v/>
      </c>
    </row>
    <row r="110" ht="15" customHeight="1" s="93">
      <c r="A110" s="123">
        <f>IF(AND(B111="",C111="",D111="",E111="",F111="",G111="",H111="",J111="",L111="",M111="",N111=""),"",Q111)</f>
        <v/>
      </c>
      <c r="B110" s="124" t="n"/>
      <c r="C110" s="124" t="n"/>
      <c r="D110" s="124" t="n"/>
      <c r="E110" s="124" t="n"/>
      <c r="F110" s="124" t="n"/>
      <c r="G110" s="124" t="n"/>
      <c r="H110" s="124" t="n"/>
      <c r="I110" s="92">
        <f>IF($A111="","",IFERROR(IF(ISBLANK(INDEX(SprintPlanning[Sprint],MATCH($A111,SprintPlanning[Requirement ID],0))),"To Plan",INDEX(SprintPlanning[Sprint],MATCH($A111,SprintPlanning[Requirement ID],0))),"To Plan"))</f>
        <v/>
      </c>
      <c r="J110" s="124" t="n"/>
      <c r="K110" s="92">
        <f>IFERROR(IF(ISBLANK(INDEX(Release[Release],MATCH($A111,Release[Requirement ID],0))),"",INDEX(Release[Release],MATCH($A111,Release[Requirement ID],0))),"")</f>
        <v/>
      </c>
      <c r="L110" s="124" t="n"/>
      <c r="M110" s="124" t="n"/>
      <c r="N110" s="124" t="n"/>
      <c r="O110" s="92">
        <f>IF($N111="","","https://smartship.atlassian.net/browse/"&amp;$N111)</f>
        <v/>
      </c>
      <c r="P110" s="92">
        <f>IFERROR(VALUE(MID($A111,5,4)),0)</f>
        <v/>
      </c>
      <c r="Q110" s="92">
        <f>IF(B111="","","NEW-"&amp;TEXT(MAX($P$2:$P110,Lists!$N$2)+1,"0000"))</f>
        <v/>
      </c>
    </row>
    <row r="111" ht="15" customHeight="1" s="93">
      <c r="A111" s="123">
        <f>IF(AND(B112="",C112="",D112="",E112="",F112="",G112="",H112="",J112="",L112="",M112="",N112=""),"",Q112)</f>
        <v/>
      </c>
      <c r="B111" s="124" t="n"/>
      <c r="C111" s="124" t="n"/>
      <c r="D111" s="124" t="n"/>
      <c r="E111" s="124" t="n"/>
      <c r="F111" s="124" t="n"/>
      <c r="G111" s="124" t="n"/>
      <c r="H111" s="124" t="n"/>
      <c r="I111" s="92">
        <f>IF($A112="","",IFERROR(IF(ISBLANK(INDEX(SprintPlanning[Sprint],MATCH($A112,SprintPlanning[Requirement ID],0))),"To Plan",INDEX(SprintPlanning[Sprint],MATCH($A112,SprintPlanning[Requirement ID],0))),"To Plan"))</f>
        <v/>
      </c>
      <c r="J111" s="124" t="n"/>
      <c r="K111" s="92">
        <f>IFERROR(IF(ISBLANK(INDEX(Release[Release],MATCH($A112,Release[Requirement ID],0))),"",INDEX(Release[Release],MATCH($A112,Release[Requirement ID],0))),"")</f>
        <v/>
      </c>
      <c r="L111" s="124" t="n"/>
      <c r="M111" s="124" t="n"/>
      <c r="N111" s="124" t="n"/>
      <c r="O111" s="92">
        <f>IF($N112="","","https://smartship.atlassian.net/browse/"&amp;$N112)</f>
        <v/>
      </c>
      <c r="P111" s="92">
        <f>IFERROR(VALUE(MID($A112,5,4)),0)</f>
        <v/>
      </c>
      <c r="Q111" s="92">
        <f>IF(B112="","","NEW-"&amp;TEXT(MAX($P$2:$P111,Lists!$N$2)+1,"0000"))</f>
        <v/>
      </c>
    </row>
    <row r="112" ht="15" customHeight="1" s="93">
      <c r="A112" s="123">
        <f>IF(AND(B113="",C113="",D113="",E113="",F113="",G113="",H113="",J113="",L113="",M113="",N113=""),"",Q113)</f>
        <v/>
      </c>
      <c r="B112" s="124" t="n"/>
      <c r="C112" s="124" t="n"/>
      <c r="D112" s="124" t="n"/>
      <c r="E112" s="124" t="n"/>
      <c r="F112" s="124" t="n"/>
      <c r="G112" s="124" t="n"/>
      <c r="H112" s="124" t="n"/>
      <c r="I112" s="92">
        <f>IF($A113="","",IFERROR(IF(ISBLANK(INDEX(SprintPlanning[Sprint],MATCH($A113,SprintPlanning[Requirement ID],0))),"To Plan",INDEX(SprintPlanning[Sprint],MATCH($A113,SprintPlanning[Requirement ID],0))),"To Plan"))</f>
        <v/>
      </c>
      <c r="J112" s="124" t="n"/>
      <c r="K112" s="92">
        <f>IFERROR(IF(ISBLANK(INDEX(Release[Release],MATCH($A113,Release[Requirement ID],0))),"",INDEX(Release[Release],MATCH($A113,Release[Requirement ID],0))),"")</f>
        <v/>
      </c>
      <c r="L112" s="124" t="n"/>
      <c r="M112" s="124" t="n"/>
      <c r="N112" s="124" t="n"/>
      <c r="O112" s="92">
        <f>IF($N113="","","https://smartship.atlassian.net/browse/"&amp;$N113)</f>
        <v/>
      </c>
      <c r="P112" s="92">
        <f>IFERROR(VALUE(MID($A113,5,4)),0)</f>
        <v/>
      </c>
      <c r="Q112" s="92">
        <f>IF(B113="","","NEW-"&amp;TEXT(MAX($P$2:$P112,Lists!$N$2)+1,"0000"))</f>
        <v/>
      </c>
    </row>
    <row r="113" ht="15" customHeight="1" s="93">
      <c r="A113" s="123">
        <f>IF(AND(B114="",C114="",D114="",E114="",F114="",G114="",H114="",J114="",L114="",M114="",N114=""),"",Q114)</f>
        <v/>
      </c>
      <c r="B113" s="124" t="n"/>
      <c r="C113" s="124" t="n"/>
      <c r="D113" s="124" t="n"/>
      <c r="E113" s="124" t="n"/>
      <c r="F113" s="124" t="n"/>
      <c r="G113" s="124" t="n"/>
      <c r="H113" s="124" t="n"/>
      <c r="I113" s="92">
        <f>IF($A114="","",IFERROR(IF(ISBLANK(INDEX(SprintPlanning[Sprint],MATCH($A114,SprintPlanning[Requirement ID],0))),"To Plan",INDEX(SprintPlanning[Sprint],MATCH($A114,SprintPlanning[Requirement ID],0))),"To Plan"))</f>
        <v/>
      </c>
      <c r="J113" s="124" t="n"/>
      <c r="K113" s="92">
        <f>IFERROR(IF(ISBLANK(INDEX(Release[Release],MATCH($A114,Release[Requirement ID],0))),"",INDEX(Release[Release],MATCH($A114,Release[Requirement ID],0))),"")</f>
        <v/>
      </c>
      <c r="L113" s="124" t="n"/>
      <c r="M113" s="124" t="n"/>
      <c r="N113" s="124" t="n"/>
      <c r="O113" s="92">
        <f>IF($N114="","","https://smartship.atlassian.net/browse/"&amp;$N114)</f>
        <v/>
      </c>
      <c r="P113" s="92">
        <f>IFERROR(VALUE(MID($A114,5,4)),0)</f>
        <v/>
      </c>
      <c r="Q113" s="92">
        <f>IF(B114="","","NEW-"&amp;TEXT(MAX($P$2:$P113,Lists!$N$2)+1,"0000"))</f>
        <v/>
      </c>
    </row>
    <row r="114" ht="15" customHeight="1" s="93">
      <c r="A114" s="123">
        <f>IF(AND(B115="",C115="",D115="",E115="",F115="",G115="",H115="",J115="",L115="",M115="",N115=""),"",Q115)</f>
        <v/>
      </c>
      <c r="B114" s="124" t="n"/>
      <c r="C114" s="124" t="n"/>
      <c r="D114" s="124" t="n"/>
      <c r="E114" s="124" t="n"/>
      <c r="F114" s="124" t="n"/>
      <c r="G114" s="124" t="n"/>
      <c r="H114" s="124" t="n"/>
      <c r="I114" s="92">
        <f>IF($A115="","",IFERROR(IF(ISBLANK(INDEX(SprintPlanning[Sprint],MATCH($A115,SprintPlanning[Requirement ID],0))),"To Plan",INDEX(SprintPlanning[Sprint],MATCH($A115,SprintPlanning[Requirement ID],0))),"To Plan"))</f>
        <v/>
      </c>
      <c r="J114" s="124" t="n"/>
      <c r="K114" s="92">
        <f>IFERROR(IF(ISBLANK(INDEX(Release[Release],MATCH($A115,Release[Requirement ID],0))),"",INDEX(Release[Release],MATCH($A115,Release[Requirement ID],0))),"")</f>
        <v/>
      </c>
      <c r="L114" s="124" t="n"/>
      <c r="M114" s="124" t="n"/>
      <c r="N114" s="124" t="n"/>
      <c r="O114" s="92">
        <f>IF($N115="","","https://smartship.atlassian.net/browse/"&amp;$N115)</f>
        <v/>
      </c>
      <c r="P114" s="92">
        <f>IFERROR(VALUE(MID($A115,5,4)),0)</f>
        <v/>
      </c>
      <c r="Q114" s="92">
        <f>IF(B115="","","NEW-"&amp;TEXT(MAX($P$2:$P114,Lists!$N$2)+1,"0000"))</f>
        <v/>
      </c>
    </row>
    <row r="115" ht="15" customHeight="1" s="93">
      <c r="A115" s="123">
        <f>IF(AND(B116="",C116="",D116="",E116="",F116="",G116="",H116="",J116="",L116="",M116="",N116=""),"",Q116)</f>
        <v/>
      </c>
      <c r="B115" s="124" t="n"/>
      <c r="C115" s="124" t="n"/>
      <c r="D115" s="124" t="n"/>
      <c r="E115" s="124" t="n"/>
      <c r="F115" s="124" t="n"/>
      <c r="G115" s="124" t="n"/>
      <c r="H115" s="124" t="n"/>
      <c r="I115" s="92">
        <f>IF($A116="","",IFERROR(IF(ISBLANK(INDEX(SprintPlanning[Sprint],MATCH($A116,SprintPlanning[Requirement ID],0))),"To Plan",INDEX(SprintPlanning[Sprint],MATCH($A116,SprintPlanning[Requirement ID],0))),"To Plan"))</f>
        <v/>
      </c>
      <c r="J115" s="124" t="n"/>
      <c r="K115" s="92">
        <f>IFERROR(IF(ISBLANK(INDEX(Release[Release],MATCH($A116,Release[Requirement ID],0))),"",INDEX(Release[Release],MATCH($A116,Release[Requirement ID],0))),"")</f>
        <v/>
      </c>
      <c r="L115" s="124" t="n"/>
      <c r="M115" s="124" t="n"/>
      <c r="N115" s="124" t="n"/>
      <c r="O115" s="92">
        <f>IF($N116="","","https://smartship.atlassian.net/browse/"&amp;$N116)</f>
        <v/>
      </c>
      <c r="P115" s="92">
        <f>IFERROR(VALUE(MID($A116,5,4)),0)</f>
        <v/>
      </c>
      <c r="Q115" s="92">
        <f>IF(B116="","","NEW-"&amp;TEXT(MAX($P$2:$P115,Lists!$N$2)+1,"0000"))</f>
        <v/>
      </c>
    </row>
    <row r="116" ht="15" customHeight="1" s="93">
      <c r="A116" s="123">
        <f>IF(AND(B117="",C117="",D117="",E117="",F117="",G117="",H117="",J117="",L117="",M117="",N117=""),"",Q117)</f>
        <v/>
      </c>
      <c r="B116" s="124" t="n"/>
      <c r="C116" s="124" t="n"/>
      <c r="D116" s="124" t="n"/>
      <c r="E116" s="124" t="n"/>
      <c r="F116" s="124" t="n"/>
      <c r="G116" s="124" t="n"/>
      <c r="H116" s="124" t="n"/>
      <c r="I116" s="92">
        <f>IF($A117="","",IFERROR(IF(ISBLANK(INDEX(SprintPlanning[Sprint],MATCH($A117,SprintPlanning[Requirement ID],0))),"To Plan",INDEX(SprintPlanning[Sprint],MATCH($A117,SprintPlanning[Requirement ID],0))),"To Plan"))</f>
        <v/>
      </c>
      <c r="J116" s="124" t="n"/>
      <c r="K116" s="92">
        <f>IFERROR(IF(ISBLANK(INDEX(Release[Release],MATCH($A117,Release[Requirement ID],0))),"",INDEX(Release[Release],MATCH($A117,Release[Requirement ID],0))),"")</f>
        <v/>
      </c>
      <c r="L116" s="124" t="n"/>
      <c r="M116" s="124" t="n"/>
      <c r="N116" s="124" t="n"/>
      <c r="O116" s="92">
        <f>IF($N117="","","https://smartship.atlassian.net/browse/"&amp;$N117)</f>
        <v/>
      </c>
      <c r="P116" s="92">
        <f>IFERROR(VALUE(MID($A117,5,4)),0)</f>
        <v/>
      </c>
      <c r="Q116" s="92">
        <f>IF(B117="","","NEW-"&amp;TEXT(MAX($P$2:$P116,Lists!$N$2)+1,"0000"))</f>
        <v/>
      </c>
    </row>
    <row r="117" ht="15" customHeight="1" s="93">
      <c r="A117" s="123">
        <f>IF(AND(B118="",C118="",D118="",E118="",F118="",G118="",H118="",J118="",L118="",M118="",N118=""),"",Q118)</f>
        <v/>
      </c>
      <c r="B117" s="124" t="n"/>
      <c r="C117" s="124" t="n"/>
      <c r="D117" s="124" t="n"/>
      <c r="E117" s="124" t="n"/>
      <c r="F117" s="124" t="n"/>
      <c r="G117" s="124" t="n"/>
      <c r="H117" s="124" t="n"/>
      <c r="I117" s="92">
        <f>IF($A118="","",IFERROR(IF(ISBLANK(INDEX(SprintPlanning[Sprint],MATCH($A118,SprintPlanning[Requirement ID],0))),"To Plan",INDEX(SprintPlanning[Sprint],MATCH($A118,SprintPlanning[Requirement ID],0))),"To Plan"))</f>
        <v/>
      </c>
      <c r="J117" s="124" t="n"/>
      <c r="K117" s="92">
        <f>IFERROR(IF(ISBLANK(INDEX(Release[Release],MATCH($A118,Release[Requirement ID],0))),"",INDEX(Release[Release],MATCH($A118,Release[Requirement ID],0))),"")</f>
        <v/>
      </c>
      <c r="L117" s="124" t="n"/>
      <c r="M117" s="124" t="n"/>
      <c r="N117" s="124" t="n"/>
      <c r="O117" s="92">
        <f>IF($N118="","","https://smartship.atlassian.net/browse/"&amp;$N118)</f>
        <v/>
      </c>
      <c r="P117" s="92">
        <f>IFERROR(VALUE(MID($A118,5,4)),0)</f>
        <v/>
      </c>
      <c r="Q117" s="92">
        <f>IF(B118="","","NEW-"&amp;TEXT(MAX($P$2:$P117,Lists!$N$2)+1,"0000"))</f>
        <v/>
      </c>
    </row>
    <row r="118" ht="15" customHeight="1" s="93">
      <c r="A118" s="123">
        <f>IF(AND(B119="",C119="",D119="",E119="",F119="",G119="",H119="",J119="",L119="",M119="",N119=""),"",Q119)</f>
        <v/>
      </c>
      <c r="B118" s="124" t="n"/>
      <c r="C118" s="124" t="n"/>
      <c r="D118" s="124" t="n"/>
      <c r="E118" s="124" t="n"/>
      <c r="F118" s="124" t="n"/>
      <c r="G118" s="124" t="n"/>
      <c r="H118" s="124" t="n"/>
      <c r="I118" s="92">
        <f>IF($A119="","",IFERROR(IF(ISBLANK(INDEX(SprintPlanning[Sprint],MATCH($A119,SprintPlanning[Requirement ID],0))),"To Plan",INDEX(SprintPlanning[Sprint],MATCH($A119,SprintPlanning[Requirement ID],0))),"To Plan"))</f>
        <v/>
      </c>
      <c r="J118" s="124" t="n"/>
      <c r="K118" s="92">
        <f>IFERROR(IF(ISBLANK(INDEX(Release[Release],MATCH($A119,Release[Requirement ID],0))),"",INDEX(Release[Release],MATCH($A119,Release[Requirement ID],0))),"")</f>
        <v/>
      </c>
      <c r="L118" s="124" t="n"/>
      <c r="M118" s="124" t="n"/>
      <c r="N118" s="124" t="n"/>
      <c r="O118" s="92">
        <f>IF($N119="","","https://smartship.atlassian.net/browse/"&amp;$N119)</f>
        <v/>
      </c>
      <c r="P118" s="92">
        <f>IFERROR(VALUE(MID($A119,5,4)),0)</f>
        <v/>
      </c>
      <c r="Q118" s="92">
        <f>IF(B119="","","NEW-"&amp;TEXT(MAX($P$2:$P118,Lists!$N$2)+1,"0000"))</f>
        <v/>
      </c>
    </row>
    <row r="119" ht="15" customHeight="1" s="93">
      <c r="A119" s="123">
        <f>IF(AND(B120="",C120="",D120="",E120="",F120="",G120="",H120="",J120="",L120="",M120="",N120=""),"",Q120)</f>
        <v/>
      </c>
      <c r="B119" s="124" t="n"/>
      <c r="C119" s="124" t="n"/>
      <c r="D119" s="124" t="n"/>
      <c r="E119" s="124" t="n"/>
      <c r="F119" s="124" t="n"/>
      <c r="G119" s="124" t="n"/>
      <c r="H119" s="124" t="n"/>
      <c r="I119" s="92">
        <f>IF($A120="","",IFERROR(IF(ISBLANK(INDEX(SprintPlanning[Sprint],MATCH($A120,SprintPlanning[Requirement ID],0))),"To Plan",INDEX(SprintPlanning[Sprint],MATCH($A120,SprintPlanning[Requirement ID],0))),"To Plan"))</f>
        <v/>
      </c>
      <c r="J119" s="124" t="n"/>
      <c r="K119" s="92">
        <f>IFERROR(IF(ISBLANK(INDEX(Release[Release],MATCH($A120,Release[Requirement ID],0))),"",INDEX(Release[Release],MATCH($A120,Release[Requirement ID],0))),"")</f>
        <v/>
      </c>
      <c r="L119" s="124" t="n"/>
      <c r="M119" s="124" t="n"/>
      <c r="N119" s="124" t="n"/>
      <c r="O119" s="92">
        <f>IF($N120="","","https://smartship.atlassian.net/browse/"&amp;$N120)</f>
        <v/>
      </c>
      <c r="P119" s="92">
        <f>IFERROR(VALUE(MID($A120,5,4)),0)</f>
        <v/>
      </c>
      <c r="Q119" s="92">
        <f>IF(B120="","","NEW-"&amp;TEXT(MAX($P$2:$P119,Lists!$N$2)+1,"0000"))</f>
        <v/>
      </c>
    </row>
    <row r="120" ht="15" customHeight="1" s="93">
      <c r="A120" s="123">
        <f>IF(AND(B121="",C121="",D121="",E121="",F121="",G121="",H121="",J121="",L121="",M121="",N121=""),"",Q121)</f>
        <v/>
      </c>
      <c r="B120" s="124" t="n"/>
      <c r="C120" s="124" t="n"/>
      <c r="D120" s="124" t="n"/>
      <c r="E120" s="124" t="n"/>
      <c r="F120" s="124" t="n"/>
      <c r="G120" s="124" t="n"/>
      <c r="H120" s="124" t="n"/>
      <c r="I120" s="92">
        <f>IF($A121="","",IFERROR(IF(ISBLANK(INDEX(SprintPlanning[Sprint],MATCH($A121,SprintPlanning[Requirement ID],0))),"To Plan",INDEX(SprintPlanning[Sprint],MATCH($A121,SprintPlanning[Requirement ID],0))),"To Plan"))</f>
        <v/>
      </c>
      <c r="J120" s="124" t="n"/>
      <c r="K120" s="92">
        <f>IFERROR(IF(ISBLANK(INDEX(Release[Release],MATCH($A121,Release[Requirement ID],0))),"",INDEX(Release[Release],MATCH($A121,Release[Requirement ID],0))),"")</f>
        <v/>
      </c>
      <c r="L120" s="124" t="n"/>
      <c r="M120" s="124" t="n"/>
      <c r="N120" s="124" t="n"/>
      <c r="O120" s="92">
        <f>IF($N121="","","https://smartship.atlassian.net/browse/"&amp;$N121)</f>
        <v/>
      </c>
      <c r="P120" s="92">
        <f>IFERROR(VALUE(MID($A121,5,4)),0)</f>
        <v/>
      </c>
      <c r="Q120" s="92">
        <f>IF(B121="","","NEW-"&amp;TEXT(MAX($P$2:$P120,Lists!$N$2)+1,"0000"))</f>
        <v/>
      </c>
    </row>
    <row r="121" ht="15" customHeight="1" s="93">
      <c r="A121" s="123">
        <f>IF(AND(B122="",C122="",D122="",E122="",F122="",G122="",H122="",J122="",L122="",M122="",N122=""),"",Q122)</f>
        <v/>
      </c>
      <c r="B121" s="124" t="n"/>
      <c r="C121" s="124" t="n"/>
      <c r="D121" s="124" t="n"/>
      <c r="E121" s="124" t="n"/>
      <c r="F121" s="124" t="n"/>
      <c r="G121" s="124" t="n"/>
      <c r="H121" s="124" t="n"/>
      <c r="I121" s="92">
        <f>IF($A122="","",IFERROR(IF(ISBLANK(INDEX(SprintPlanning[Sprint],MATCH($A122,SprintPlanning[Requirement ID],0))),"To Plan",INDEX(SprintPlanning[Sprint],MATCH($A122,SprintPlanning[Requirement ID],0))),"To Plan"))</f>
        <v/>
      </c>
      <c r="J121" s="124" t="n"/>
      <c r="K121" s="92">
        <f>IFERROR(IF(ISBLANK(INDEX(Release[Release],MATCH($A122,Release[Requirement ID],0))),"",INDEX(Release[Release],MATCH($A122,Release[Requirement ID],0))),"")</f>
        <v/>
      </c>
      <c r="L121" s="124" t="n"/>
      <c r="M121" s="124" t="n"/>
      <c r="N121" s="124" t="n"/>
      <c r="O121" s="92">
        <f>IF($N122="","","https://smartship.atlassian.net/browse/"&amp;$N122)</f>
        <v/>
      </c>
      <c r="P121" s="92">
        <f>IFERROR(VALUE(MID($A122,5,4)),0)</f>
        <v/>
      </c>
      <c r="Q121" s="92">
        <f>IF(B122="","","NEW-"&amp;TEXT(MAX($P$2:$P121,Lists!$N$2)+1,"0000"))</f>
        <v/>
      </c>
    </row>
    <row r="122" ht="15" customHeight="1" s="93">
      <c r="A122" s="123">
        <f>IF(AND(B123="",C123="",D123="",E123="",F123="",G123="",H123="",J123="",L123="",M123="",N123=""),"",Q123)</f>
        <v/>
      </c>
      <c r="B122" s="124" t="n"/>
      <c r="C122" s="124" t="n"/>
      <c r="D122" s="124" t="n"/>
      <c r="E122" s="124" t="n"/>
      <c r="F122" s="124" t="n"/>
      <c r="G122" s="124" t="n"/>
      <c r="H122" s="124" t="n"/>
      <c r="I122" s="92">
        <f>IF($A123="","",IFERROR(IF(ISBLANK(INDEX(SprintPlanning[Sprint],MATCH($A123,SprintPlanning[Requirement ID],0))),"To Plan",INDEX(SprintPlanning[Sprint],MATCH($A123,SprintPlanning[Requirement ID],0))),"To Plan"))</f>
        <v/>
      </c>
      <c r="J122" s="124" t="n"/>
      <c r="K122" s="92">
        <f>IFERROR(IF(ISBLANK(INDEX(Release[Release],MATCH($A123,Release[Requirement ID],0))),"",INDEX(Release[Release],MATCH($A123,Release[Requirement ID],0))),"")</f>
        <v/>
      </c>
      <c r="L122" s="124" t="n"/>
      <c r="M122" s="124" t="n"/>
      <c r="N122" s="124" t="n"/>
      <c r="O122" s="92">
        <f>IF($N123="","","https://smartship.atlassian.net/browse/"&amp;$N123)</f>
        <v/>
      </c>
      <c r="P122" s="92">
        <f>IFERROR(VALUE(MID($A123,5,4)),0)</f>
        <v/>
      </c>
      <c r="Q122" s="92">
        <f>IF(B123="","","NEW-"&amp;TEXT(MAX($P$2:$P122,Lists!$N$2)+1,"0000"))</f>
        <v/>
      </c>
    </row>
    <row r="123" ht="15" customHeight="1" s="93">
      <c r="A123" s="123">
        <f>IF(AND(B124="",C124="",D124="",E124="",F124="",G124="",H124="",J124="",L124="",M124="",N124=""),"",Q124)</f>
        <v/>
      </c>
      <c r="B123" s="124" t="n"/>
      <c r="C123" s="124" t="n"/>
      <c r="D123" s="124" t="n"/>
      <c r="E123" s="124" t="n"/>
      <c r="F123" s="124" t="n"/>
      <c r="G123" s="124" t="n"/>
      <c r="H123" s="124" t="n"/>
      <c r="I123" s="92">
        <f>IF($A124="","",IFERROR(IF(ISBLANK(INDEX(SprintPlanning[Sprint],MATCH($A124,SprintPlanning[Requirement ID],0))),"To Plan",INDEX(SprintPlanning[Sprint],MATCH($A124,SprintPlanning[Requirement ID],0))),"To Plan"))</f>
        <v/>
      </c>
      <c r="J123" s="124" t="n"/>
      <c r="K123" s="92">
        <f>IFERROR(IF(ISBLANK(INDEX(Release[Release],MATCH($A124,Release[Requirement ID],0))),"",INDEX(Release[Release],MATCH($A124,Release[Requirement ID],0))),"")</f>
        <v/>
      </c>
      <c r="L123" s="124" t="n"/>
      <c r="M123" s="124" t="n"/>
      <c r="N123" s="124" t="n"/>
      <c r="O123" s="92">
        <f>IF($N124="","","https://smartship.atlassian.net/browse/"&amp;$N124)</f>
        <v/>
      </c>
      <c r="P123" s="92">
        <f>IFERROR(VALUE(MID($A124,5,4)),0)</f>
        <v/>
      </c>
      <c r="Q123" s="92">
        <f>IF(B124="","","NEW-"&amp;TEXT(MAX($P$2:$P123,Lists!$N$2)+1,"0000"))</f>
        <v/>
      </c>
    </row>
    <row r="124" ht="15" customHeight="1" s="93">
      <c r="A124" s="123">
        <f>IF(AND(B125="",C125="",D125="",E125="",F125="",G125="",H125="",J125="",L125="",M125="",N125=""),"",Q125)</f>
        <v/>
      </c>
      <c r="B124" s="124" t="n"/>
      <c r="C124" s="124" t="n"/>
      <c r="D124" s="124" t="n"/>
      <c r="E124" s="124" t="n"/>
      <c r="F124" s="124" t="n"/>
      <c r="G124" s="124" t="n"/>
      <c r="H124" s="124" t="n"/>
      <c r="I124" s="92">
        <f>IF($A125="","",IFERROR(IF(ISBLANK(INDEX(SprintPlanning[Sprint],MATCH($A125,SprintPlanning[Requirement ID],0))),"To Plan",INDEX(SprintPlanning[Sprint],MATCH($A125,SprintPlanning[Requirement ID],0))),"To Plan"))</f>
        <v/>
      </c>
      <c r="J124" s="124" t="n"/>
      <c r="K124" s="92">
        <f>IFERROR(IF(ISBLANK(INDEX(Release[Release],MATCH($A125,Release[Requirement ID],0))),"",INDEX(Release[Release],MATCH($A125,Release[Requirement ID],0))),"")</f>
        <v/>
      </c>
      <c r="L124" s="124" t="n"/>
      <c r="M124" s="124" t="n"/>
      <c r="N124" s="124" t="n"/>
      <c r="O124" s="92">
        <f>IF($N125="","","https://smartship.atlassian.net/browse/"&amp;$N125)</f>
        <v/>
      </c>
      <c r="P124" s="92">
        <f>IFERROR(VALUE(MID($A125,5,4)),0)</f>
        <v/>
      </c>
      <c r="Q124" s="92">
        <f>IF(B125="","","NEW-"&amp;TEXT(MAX($P$2:$P124,Lists!$N$2)+1,"0000"))</f>
        <v/>
      </c>
    </row>
    <row r="125" ht="15" customHeight="1" s="93">
      <c r="A125" s="123">
        <f>IF(AND(B126="",C126="",D126="",E126="",F126="",G126="",H126="",J126="",L126="",M126="",N126=""),"",Q126)</f>
        <v/>
      </c>
      <c r="B125" s="124" t="n"/>
      <c r="C125" s="124" t="n"/>
      <c r="D125" s="124" t="n"/>
      <c r="E125" s="124" t="n"/>
      <c r="F125" s="124" t="n"/>
      <c r="G125" s="124" t="n"/>
      <c r="H125" s="124" t="n"/>
      <c r="I125" s="92">
        <f>IF($A126="","",IFERROR(IF(ISBLANK(INDEX(SprintPlanning[Sprint],MATCH($A126,SprintPlanning[Requirement ID],0))),"To Plan",INDEX(SprintPlanning[Sprint],MATCH($A126,SprintPlanning[Requirement ID],0))),"To Plan"))</f>
        <v/>
      </c>
      <c r="J125" s="124" t="n"/>
      <c r="K125" s="92">
        <f>IFERROR(IF(ISBLANK(INDEX(Release[Release],MATCH($A126,Release[Requirement ID],0))),"",INDEX(Release[Release],MATCH($A126,Release[Requirement ID],0))),"")</f>
        <v/>
      </c>
      <c r="L125" s="124" t="n"/>
      <c r="M125" s="124" t="n"/>
      <c r="N125" s="124" t="n"/>
      <c r="O125" s="92">
        <f>IF($N126="","","https://smartship.atlassian.net/browse/"&amp;$N126)</f>
        <v/>
      </c>
      <c r="P125" s="92">
        <f>IFERROR(VALUE(MID($A126,5,4)),0)</f>
        <v/>
      </c>
      <c r="Q125" s="92">
        <f>IF(B126="","","NEW-"&amp;TEXT(MAX($P$2:$P125,Lists!$N$2)+1,"0000"))</f>
        <v/>
      </c>
    </row>
    <row r="126" ht="15" customHeight="1" s="93">
      <c r="A126" s="123">
        <f>IF(AND(B127="",C127="",D127="",E127="",F127="",G127="",H127="",J127="",L127="",M127="",N127=""),"",Q127)</f>
        <v/>
      </c>
      <c r="B126" s="124" t="n"/>
      <c r="C126" s="124" t="n"/>
      <c r="D126" s="124" t="n"/>
      <c r="E126" s="124" t="n"/>
      <c r="F126" s="124" t="n"/>
      <c r="G126" s="124" t="n"/>
      <c r="H126" s="124" t="n"/>
      <c r="I126" s="92">
        <f>IF($A127="","",IFERROR(IF(ISBLANK(INDEX(SprintPlanning[Sprint],MATCH($A127,SprintPlanning[Requirement ID],0))),"To Plan",INDEX(SprintPlanning[Sprint],MATCH($A127,SprintPlanning[Requirement ID],0))),"To Plan"))</f>
        <v/>
      </c>
      <c r="J126" s="124" t="n"/>
      <c r="K126" s="92">
        <f>IFERROR(IF(ISBLANK(INDEX(Release[Release],MATCH($A127,Release[Requirement ID],0))),"",INDEX(Release[Release],MATCH($A127,Release[Requirement ID],0))),"")</f>
        <v/>
      </c>
      <c r="L126" s="124" t="n"/>
      <c r="M126" s="124" t="n"/>
      <c r="N126" s="124" t="n"/>
      <c r="O126" s="92">
        <f>IF($N127="","","https://smartship.atlassian.net/browse/"&amp;$N127)</f>
        <v/>
      </c>
      <c r="P126" s="92">
        <f>IFERROR(VALUE(MID($A127,5,4)),0)</f>
        <v/>
      </c>
      <c r="Q126" s="92">
        <f>IF(B127="","","NEW-"&amp;TEXT(MAX($P$2:$P126,Lists!$N$2)+1,"0000"))</f>
        <v/>
      </c>
    </row>
    <row r="127" ht="15" customHeight="1" s="93">
      <c r="A127" s="123">
        <f>IF(AND(B128="",C128="",D128="",E128="",F128="",G128="",H128="",J128="",L128="",M128="",N128=""),"",Q128)</f>
        <v/>
      </c>
      <c r="B127" s="124" t="n"/>
      <c r="C127" s="124" t="n"/>
      <c r="D127" s="124" t="n"/>
      <c r="E127" s="124" t="n"/>
      <c r="F127" s="124" t="n"/>
      <c r="G127" s="124" t="n"/>
      <c r="H127" s="124" t="n"/>
      <c r="I127" s="92">
        <f>IF($A128="","",IFERROR(IF(ISBLANK(INDEX(SprintPlanning[Sprint],MATCH($A128,SprintPlanning[Requirement ID],0))),"To Plan",INDEX(SprintPlanning[Sprint],MATCH($A128,SprintPlanning[Requirement ID],0))),"To Plan"))</f>
        <v/>
      </c>
      <c r="J127" s="124" t="n"/>
      <c r="K127" s="92">
        <f>IFERROR(IF(ISBLANK(INDEX(Release[Release],MATCH($A128,Release[Requirement ID],0))),"",INDEX(Release[Release],MATCH($A128,Release[Requirement ID],0))),"")</f>
        <v/>
      </c>
      <c r="L127" s="124" t="n"/>
      <c r="M127" s="124" t="n"/>
      <c r="N127" s="124" t="n"/>
      <c r="O127" s="92">
        <f>IF($N128="","","https://smartship.atlassian.net/browse/"&amp;$N128)</f>
        <v/>
      </c>
      <c r="P127" s="92">
        <f>IFERROR(VALUE(MID($A128,5,4)),0)</f>
        <v/>
      </c>
      <c r="Q127" s="92">
        <f>IF(B128="","","NEW-"&amp;TEXT(MAX($P$2:$P127,Lists!$N$2)+1,"0000"))</f>
        <v/>
      </c>
    </row>
    <row r="128" ht="15" customHeight="1" s="93">
      <c r="A128" s="123">
        <f>IF(AND(B129="",C129="",D129="",E129="",F129="",G129="",H129="",J129="",L129="",M129="",N129=""),"",Q129)</f>
        <v/>
      </c>
      <c r="B128" s="124" t="n"/>
      <c r="C128" s="124" t="n"/>
      <c r="D128" s="124" t="n"/>
      <c r="E128" s="124" t="n"/>
      <c r="F128" s="124" t="n"/>
      <c r="G128" s="124" t="n"/>
      <c r="H128" s="124" t="n"/>
      <c r="I128" s="92">
        <f>IF($A129="","",IFERROR(IF(ISBLANK(INDEX(SprintPlanning[Sprint],MATCH($A129,SprintPlanning[Requirement ID],0))),"To Plan",INDEX(SprintPlanning[Sprint],MATCH($A129,SprintPlanning[Requirement ID],0))),"To Plan"))</f>
        <v/>
      </c>
      <c r="J128" s="124" t="n"/>
      <c r="K128" s="92">
        <f>IFERROR(IF(ISBLANK(INDEX(Release[Release],MATCH($A129,Release[Requirement ID],0))),"",INDEX(Release[Release],MATCH($A129,Release[Requirement ID],0))),"")</f>
        <v/>
      </c>
      <c r="L128" s="124" t="n"/>
      <c r="M128" s="124" t="n"/>
      <c r="N128" s="124" t="n"/>
      <c r="O128" s="92">
        <f>IF($N129="","","https://smartship.atlassian.net/browse/"&amp;$N129)</f>
        <v/>
      </c>
      <c r="P128" s="92">
        <f>IFERROR(VALUE(MID($A129,5,4)),0)</f>
        <v/>
      </c>
      <c r="Q128" s="92">
        <f>IF(B129="","","NEW-"&amp;TEXT(MAX($P$2:$P128,Lists!$N$2)+1,"0000"))</f>
        <v/>
      </c>
    </row>
    <row r="129" ht="15" customHeight="1" s="93">
      <c r="A129" s="123">
        <f>IF(AND(B130="",C130="",D130="",E130="",F130="",G130="",H130="",J130="",L130="",M130="",N130=""),"",Q130)</f>
        <v/>
      </c>
      <c r="B129" s="124" t="n"/>
      <c r="C129" s="124" t="n"/>
      <c r="D129" s="124" t="n"/>
      <c r="E129" s="124" t="n"/>
      <c r="F129" s="124" t="n"/>
      <c r="G129" s="124" t="n"/>
      <c r="H129" s="124" t="n"/>
      <c r="I129" s="92">
        <f>IF($A130="","",IFERROR(IF(ISBLANK(INDEX(SprintPlanning[Sprint],MATCH($A130,SprintPlanning[Requirement ID],0))),"To Plan",INDEX(SprintPlanning[Sprint],MATCH($A130,SprintPlanning[Requirement ID],0))),"To Plan"))</f>
        <v/>
      </c>
      <c r="J129" s="124" t="n"/>
      <c r="K129" s="92">
        <f>IFERROR(IF(ISBLANK(INDEX(Release[Release],MATCH($A130,Release[Requirement ID],0))),"",INDEX(Release[Release],MATCH($A130,Release[Requirement ID],0))),"")</f>
        <v/>
      </c>
      <c r="L129" s="124" t="n"/>
      <c r="M129" s="124" t="n"/>
      <c r="N129" s="124" t="n"/>
      <c r="O129" s="92">
        <f>IF($N130="","","https://smartship.atlassian.net/browse/"&amp;$N130)</f>
        <v/>
      </c>
      <c r="P129" s="92">
        <f>IFERROR(VALUE(MID($A130,5,4)),0)</f>
        <v/>
      </c>
      <c r="Q129" s="92">
        <f>IF(B130="","","NEW-"&amp;TEXT(MAX($P$2:$P129,Lists!$N$2)+1,"0000"))</f>
        <v/>
      </c>
    </row>
    <row r="130" ht="15" customHeight="1" s="93">
      <c r="A130" s="123">
        <f>IF(AND(B131="",C131="",D131="",E131="",F131="",G131="",H131="",J131="",L131="",M131="",N131=""),"",Q131)</f>
        <v/>
      </c>
      <c r="B130" s="124" t="n"/>
      <c r="C130" s="124" t="n"/>
      <c r="D130" s="124" t="n"/>
      <c r="E130" s="124" t="n"/>
      <c r="F130" s="124" t="n"/>
      <c r="G130" s="124" t="n"/>
      <c r="H130" s="124" t="n"/>
      <c r="I130" s="92">
        <f>IF($A131="","",IFERROR(IF(ISBLANK(INDEX(SprintPlanning[Sprint],MATCH($A131,SprintPlanning[Requirement ID],0))),"To Plan",INDEX(SprintPlanning[Sprint],MATCH($A131,SprintPlanning[Requirement ID],0))),"To Plan"))</f>
        <v/>
      </c>
      <c r="J130" s="124" t="n"/>
      <c r="K130" s="92">
        <f>IFERROR(IF(ISBLANK(INDEX(Release[Release],MATCH($A131,Release[Requirement ID],0))),"",INDEX(Release[Release],MATCH($A131,Release[Requirement ID],0))),"")</f>
        <v/>
      </c>
      <c r="L130" s="124" t="n"/>
      <c r="M130" s="124" t="n"/>
      <c r="N130" s="124" t="n"/>
      <c r="O130" s="92">
        <f>IF($N131="","","https://smartship.atlassian.net/browse/"&amp;$N131)</f>
        <v/>
      </c>
      <c r="P130" s="92">
        <f>IFERROR(VALUE(MID($A131,5,4)),0)</f>
        <v/>
      </c>
      <c r="Q130" s="92">
        <f>IF(B131="","","NEW-"&amp;TEXT(MAX($P$2:$P130,Lists!$N$2)+1,"0000"))</f>
        <v/>
      </c>
    </row>
    <row r="131" ht="15" customHeight="1" s="93">
      <c r="A131" s="123">
        <f>IF(AND(B132="",C132="",D132="",E132="",F132="",G132="",H132="",J132="",L132="",M132="",N132=""),"",Q132)</f>
        <v/>
      </c>
      <c r="B131" s="124" t="n"/>
      <c r="C131" s="124" t="n"/>
      <c r="D131" s="124" t="n"/>
      <c r="E131" s="124" t="n"/>
      <c r="F131" s="124" t="n"/>
      <c r="G131" s="124" t="n"/>
      <c r="H131" s="124" t="n"/>
      <c r="I131" s="92">
        <f>IF($A132="","",IFERROR(IF(ISBLANK(INDEX(SprintPlanning[Sprint],MATCH($A132,SprintPlanning[Requirement ID],0))),"To Plan",INDEX(SprintPlanning[Sprint],MATCH($A132,SprintPlanning[Requirement ID],0))),"To Plan"))</f>
        <v/>
      </c>
      <c r="J131" s="124" t="n"/>
      <c r="K131" s="92">
        <f>IFERROR(IF(ISBLANK(INDEX(Release[Release],MATCH($A132,Release[Requirement ID],0))),"",INDEX(Release[Release],MATCH($A132,Release[Requirement ID],0))),"")</f>
        <v/>
      </c>
      <c r="L131" s="124" t="n"/>
      <c r="M131" s="124" t="n"/>
      <c r="N131" s="124" t="n"/>
      <c r="O131" s="92">
        <f>IF($N132="","","https://smartship.atlassian.net/browse/"&amp;$N132)</f>
        <v/>
      </c>
      <c r="P131" s="92">
        <f>IFERROR(VALUE(MID($A132,5,4)),0)</f>
        <v/>
      </c>
      <c r="Q131" s="92">
        <f>IF(B132="","","NEW-"&amp;TEXT(MAX($P$2:$P131,Lists!$N$2)+1,"0000"))</f>
        <v/>
      </c>
    </row>
    <row r="132" ht="15" customHeight="1" s="93">
      <c r="A132" s="123">
        <f>IF(AND(B133="",C133="",D133="",E133="",F133="",G133="",H133="",J133="",L133="",M133="",N133=""),"",Q133)</f>
        <v/>
      </c>
      <c r="B132" s="124" t="n"/>
      <c r="C132" s="124" t="n"/>
      <c r="D132" s="124" t="n"/>
      <c r="E132" s="124" t="n"/>
      <c r="F132" s="124" t="n"/>
      <c r="G132" s="124" t="n"/>
      <c r="H132" s="124" t="n"/>
      <c r="I132" s="92">
        <f>IF($A133="","",IFERROR(IF(ISBLANK(INDEX(SprintPlanning[Sprint],MATCH($A133,SprintPlanning[Requirement ID],0))),"To Plan",INDEX(SprintPlanning[Sprint],MATCH($A133,SprintPlanning[Requirement ID],0))),"To Plan"))</f>
        <v/>
      </c>
      <c r="J132" s="124" t="n"/>
      <c r="K132" s="92">
        <f>IFERROR(IF(ISBLANK(INDEX(Release[Release],MATCH($A133,Release[Requirement ID],0))),"",INDEX(Release[Release],MATCH($A133,Release[Requirement ID],0))),"")</f>
        <v/>
      </c>
      <c r="L132" s="124" t="n"/>
      <c r="M132" s="124" t="n"/>
      <c r="N132" s="124" t="n"/>
      <c r="O132" s="92">
        <f>IF($N133="","","https://smartship.atlassian.net/browse/"&amp;$N133)</f>
        <v/>
      </c>
      <c r="P132" s="92">
        <f>IFERROR(VALUE(MID($A133,5,4)),0)</f>
        <v/>
      </c>
      <c r="Q132" s="92">
        <f>IF(B133="","","NEW-"&amp;TEXT(MAX($P$2:$P132,Lists!$N$2)+1,"0000"))</f>
        <v/>
      </c>
    </row>
    <row r="133" ht="15" customHeight="1" s="93">
      <c r="A133" s="123">
        <f>IF(AND(B134="",C134="",D134="",E134="",F134="",G134="",H134="",J134="",L134="",M134="",N134=""),"",Q134)</f>
        <v/>
      </c>
      <c r="B133" s="124" t="n"/>
      <c r="C133" s="124" t="n"/>
      <c r="D133" s="124" t="n"/>
      <c r="E133" s="124" t="n"/>
      <c r="F133" s="124" t="n"/>
      <c r="G133" s="124" t="n"/>
      <c r="H133" s="124" t="n"/>
      <c r="I133" s="92">
        <f>IF($A134="","",IFERROR(IF(ISBLANK(INDEX(SprintPlanning[Sprint],MATCH($A134,SprintPlanning[Requirement ID],0))),"To Plan",INDEX(SprintPlanning[Sprint],MATCH($A134,SprintPlanning[Requirement ID],0))),"To Plan"))</f>
        <v/>
      </c>
      <c r="J133" s="124" t="n"/>
      <c r="K133" s="92">
        <f>IFERROR(IF(ISBLANK(INDEX(Release[Release],MATCH($A134,Release[Requirement ID],0))),"",INDEX(Release[Release],MATCH($A134,Release[Requirement ID],0))),"")</f>
        <v/>
      </c>
      <c r="L133" s="124" t="n"/>
      <c r="M133" s="124" t="n"/>
      <c r="N133" s="124" t="n"/>
      <c r="O133" s="92">
        <f>IF($N134="","","https://smartship.atlassian.net/browse/"&amp;$N134)</f>
        <v/>
      </c>
      <c r="P133" s="92">
        <f>IFERROR(VALUE(MID($A134,5,4)),0)</f>
        <v/>
      </c>
      <c r="Q133" s="92">
        <f>IF(B134="","","NEW-"&amp;TEXT(MAX($P$2:$P133,Lists!$N$2)+1,"0000"))</f>
        <v/>
      </c>
    </row>
    <row r="134" ht="15" customHeight="1" s="93">
      <c r="A134" s="123">
        <f>IF(AND(B135="",C135="",D135="",E135="",F135="",G135="",H135="",J135="",L135="",M135="",N135=""),"",Q135)</f>
        <v/>
      </c>
      <c r="B134" s="124" t="n"/>
      <c r="C134" s="124" t="n"/>
      <c r="D134" s="124" t="n"/>
      <c r="E134" s="124" t="n"/>
      <c r="F134" s="124" t="n"/>
      <c r="G134" s="124" t="n"/>
      <c r="H134" s="124" t="n"/>
      <c r="I134" s="92">
        <f>IF($A135="","",IFERROR(IF(ISBLANK(INDEX(SprintPlanning[Sprint],MATCH($A135,SprintPlanning[Requirement ID],0))),"To Plan",INDEX(SprintPlanning[Sprint],MATCH($A135,SprintPlanning[Requirement ID],0))),"To Plan"))</f>
        <v/>
      </c>
      <c r="J134" s="124" t="n"/>
      <c r="K134" s="92">
        <f>IFERROR(IF(ISBLANK(INDEX(Release[Release],MATCH($A135,Release[Requirement ID],0))),"",INDEX(Release[Release],MATCH($A135,Release[Requirement ID],0))),"")</f>
        <v/>
      </c>
      <c r="L134" s="124" t="n"/>
      <c r="M134" s="124" t="n"/>
      <c r="N134" s="124" t="n"/>
      <c r="O134" s="92">
        <f>IF($N135="","","https://smartship.atlassian.net/browse/"&amp;$N135)</f>
        <v/>
      </c>
      <c r="P134" s="92">
        <f>IFERROR(VALUE(MID($A135,5,4)),0)</f>
        <v/>
      </c>
      <c r="Q134" s="92">
        <f>IF(B135="","","NEW-"&amp;TEXT(MAX($P$2:$P134,Lists!$N$2)+1,"0000"))</f>
        <v/>
      </c>
    </row>
    <row r="135" ht="15" customHeight="1" s="93">
      <c r="A135" s="123">
        <f>IF(AND(B136="",C136="",D136="",E136="",F136="",G136="",H136="",J136="",L136="",M136="",N136=""),"",Q136)</f>
        <v/>
      </c>
      <c r="B135" s="124" t="n"/>
      <c r="C135" s="124" t="n"/>
      <c r="D135" s="124" t="n"/>
      <c r="E135" s="124" t="n"/>
      <c r="F135" s="124" t="n"/>
      <c r="G135" s="124" t="n"/>
      <c r="H135" s="124" t="n"/>
      <c r="I135" s="92">
        <f>IF($A136="","",IFERROR(IF(ISBLANK(INDEX(SprintPlanning[Sprint],MATCH($A136,SprintPlanning[Requirement ID],0))),"To Plan",INDEX(SprintPlanning[Sprint],MATCH($A136,SprintPlanning[Requirement ID],0))),"To Plan"))</f>
        <v/>
      </c>
      <c r="J135" s="124" t="n"/>
      <c r="K135" s="92">
        <f>IFERROR(IF(ISBLANK(INDEX(Release[Release],MATCH($A136,Release[Requirement ID],0))),"",INDEX(Release[Release],MATCH($A136,Release[Requirement ID],0))),"")</f>
        <v/>
      </c>
      <c r="L135" s="124" t="n"/>
      <c r="M135" s="124" t="n"/>
      <c r="N135" s="124" t="n"/>
      <c r="O135" s="92">
        <f>IF($N136="","","https://smartship.atlassian.net/browse/"&amp;$N136)</f>
        <v/>
      </c>
      <c r="P135" s="92">
        <f>IFERROR(VALUE(MID($A136,5,4)),0)</f>
        <v/>
      </c>
      <c r="Q135" s="92">
        <f>IF(B136="","","NEW-"&amp;TEXT(MAX($P$2:$P135,Lists!$N$2)+1,"0000"))</f>
        <v/>
      </c>
    </row>
    <row r="136" ht="15" customHeight="1" s="93">
      <c r="A136" s="123">
        <f>IF(AND(B137="",C137="",D137="",E137="",F137="",G137="",H137="",J137="",L137="",M137="",N137=""),"",Q137)</f>
        <v/>
      </c>
      <c r="B136" s="124" t="n"/>
      <c r="C136" s="124" t="n"/>
      <c r="D136" s="124" t="n"/>
      <c r="E136" s="124" t="n"/>
      <c r="F136" s="124" t="n"/>
      <c r="G136" s="124" t="n"/>
      <c r="H136" s="124" t="n"/>
      <c r="I136" s="92">
        <f>IF($A137="","",IFERROR(IF(ISBLANK(INDEX(SprintPlanning[Sprint],MATCH($A137,SprintPlanning[Requirement ID],0))),"To Plan",INDEX(SprintPlanning[Sprint],MATCH($A137,SprintPlanning[Requirement ID],0))),"To Plan"))</f>
        <v/>
      </c>
      <c r="J136" s="124" t="n"/>
      <c r="K136" s="92">
        <f>IFERROR(IF(ISBLANK(INDEX(Release[Release],MATCH($A137,Release[Requirement ID],0))),"",INDEX(Release[Release],MATCH($A137,Release[Requirement ID],0))),"")</f>
        <v/>
      </c>
      <c r="L136" s="124" t="n"/>
      <c r="M136" s="124" t="n"/>
      <c r="N136" s="124" t="n"/>
      <c r="O136" s="92">
        <f>IF($N137="","","https://smartship.atlassian.net/browse/"&amp;$N137)</f>
        <v/>
      </c>
      <c r="P136" s="92">
        <f>IFERROR(VALUE(MID($A137,5,4)),0)</f>
        <v/>
      </c>
      <c r="Q136" s="92">
        <f>IF(B137="","","NEW-"&amp;TEXT(MAX($P$2:$P136,Lists!$N$2)+1,"0000"))</f>
        <v/>
      </c>
    </row>
    <row r="137" ht="15" customHeight="1" s="93">
      <c r="A137" s="123">
        <f>IF(AND(B138="",C138="",D138="",E138="",F138="",G138="",H138="",J138="",L138="",M138="",N138=""),"",Q138)</f>
        <v/>
      </c>
      <c r="B137" s="124" t="n"/>
      <c r="C137" s="124" t="n"/>
      <c r="D137" s="124" t="n"/>
      <c r="E137" s="124" t="n"/>
      <c r="F137" s="124" t="n"/>
      <c r="G137" s="124" t="n"/>
      <c r="H137" s="124" t="n"/>
      <c r="I137" s="92">
        <f>IF($A138="","",IFERROR(IF(ISBLANK(INDEX(SprintPlanning[Sprint],MATCH($A138,SprintPlanning[Requirement ID],0))),"To Plan",INDEX(SprintPlanning[Sprint],MATCH($A138,SprintPlanning[Requirement ID],0))),"To Plan"))</f>
        <v/>
      </c>
      <c r="J137" s="124" t="n"/>
      <c r="K137" s="92">
        <f>IFERROR(IF(ISBLANK(INDEX(Release[Release],MATCH($A138,Release[Requirement ID],0))),"",INDEX(Release[Release],MATCH($A138,Release[Requirement ID],0))),"")</f>
        <v/>
      </c>
      <c r="L137" s="124" t="n"/>
      <c r="M137" s="124" t="n"/>
      <c r="N137" s="124" t="n"/>
      <c r="O137" s="92">
        <f>IF($N138="","","https://smartship.atlassian.net/browse/"&amp;$N138)</f>
        <v/>
      </c>
      <c r="P137" s="92">
        <f>IFERROR(VALUE(MID($A138,5,4)),0)</f>
        <v/>
      </c>
      <c r="Q137" s="92">
        <f>IF(B138="","","NEW-"&amp;TEXT(MAX($P$2:$P137,Lists!$N$2)+1,"0000"))</f>
        <v/>
      </c>
    </row>
    <row r="138" ht="15" customHeight="1" s="93">
      <c r="A138" s="123">
        <f>IF(AND(B139="",C139="",D139="",E139="",F139="",G139="",H139="",J139="",L139="",M139="",N139=""),"",Q139)</f>
        <v/>
      </c>
      <c r="B138" s="124" t="n"/>
      <c r="C138" s="124" t="n"/>
      <c r="D138" s="124" t="n"/>
      <c r="E138" s="124" t="n"/>
      <c r="F138" s="124" t="n"/>
      <c r="G138" s="124" t="n"/>
      <c r="H138" s="124" t="n"/>
      <c r="I138" s="92">
        <f>IF($A139="","",IFERROR(IF(ISBLANK(INDEX(SprintPlanning[Sprint],MATCH($A139,SprintPlanning[Requirement ID],0))),"To Plan",INDEX(SprintPlanning[Sprint],MATCH($A139,SprintPlanning[Requirement ID],0))),"To Plan"))</f>
        <v/>
      </c>
      <c r="J138" s="124" t="n"/>
      <c r="K138" s="92">
        <f>IFERROR(IF(ISBLANK(INDEX(Release[Release],MATCH($A139,Release[Requirement ID],0))),"",INDEX(Release[Release],MATCH($A139,Release[Requirement ID],0))),"")</f>
        <v/>
      </c>
      <c r="L138" s="124" t="n"/>
      <c r="M138" s="124" t="n"/>
      <c r="N138" s="124" t="n"/>
      <c r="O138" s="92">
        <f>IF($N139="","","https://smartship.atlassian.net/browse/"&amp;$N139)</f>
        <v/>
      </c>
      <c r="P138" s="92">
        <f>IFERROR(VALUE(MID($A139,5,4)),0)</f>
        <v/>
      </c>
      <c r="Q138" s="92">
        <f>IF(B139="","","NEW-"&amp;TEXT(MAX($P$2:$P138,Lists!$N$2)+1,"0000"))</f>
        <v/>
      </c>
    </row>
    <row r="139" ht="15" customHeight="1" s="93">
      <c r="A139" s="123">
        <f>IF(AND(B140="",C140="",D140="",E140="",F140="",G140="",H140="",J140="",L140="",M140="",N140=""),"",Q140)</f>
        <v/>
      </c>
      <c r="B139" s="124" t="n"/>
      <c r="C139" s="124" t="n"/>
      <c r="D139" s="124" t="n"/>
      <c r="E139" s="124" t="n"/>
      <c r="F139" s="124" t="n"/>
      <c r="G139" s="124" t="n"/>
      <c r="H139" s="124" t="n"/>
      <c r="I139" s="92">
        <f>IF($A140="","",IFERROR(IF(ISBLANK(INDEX(SprintPlanning[Sprint],MATCH($A140,SprintPlanning[Requirement ID],0))),"To Plan",INDEX(SprintPlanning[Sprint],MATCH($A140,SprintPlanning[Requirement ID],0))),"To Plan"))</f>
        <v/>
      </c>
      <c r="J139" s="124" t="n"/>
      <c r="K139" s="92">
        <f>IFERROR(IF(ISBLANK(INDEX(Release[Release],MATCH($A140,Release[Requirement ID],0))),"",INDEX(Release[Release],MATCH($A140,Release[Requirement ID],0))),"")</f>
        <v/>
      </c>
      <c r="L139" s="124" t="n"/>
      <c r="M139" s="124" t="n"/>
      <c r="N139" s="124" t="n"/>
      <c r="O139" s="92">
        <f>IF($N140="","","https://smartship.atlassian.net/browse/"&amp;$N140)</f>
        <v/>
      </c>
      <c r="P139" s="92">
        <f>IFERROR(VALUE(MID($A140,5,4)),0)</f>
        <v/>
      </c>
      <c r="Q139" s="92">
        <f>IF(B140="","","NEW-"&amp;TEXT(MAX($P$2:$P139,Lists!$N$2)+1,"0000"))</f>
        <v/>
      </c>
    </row>
    <row r="140" ht="15" customHeight="1" s="93">
      <c r="A140" s="123">
        <f>IF(AND(B141="",C141="",D141="",E141="",F141="",G141="",H141="",J141="",L141="",M141="",N141=""),"",Q141)</f>
        <v/>
      </c>
      <c r="B140" s="124" t="n"/>
      <c r="C140" s="124" t="n"/>
      <c r="D140" s="124" t="n"/>
      <c r="E140" s="124" t="n"/>
      <c r="F140" s="124" t="n"/>
      <c r="G140" s="124" t="n"/>
      <c r="H140" s="124" t="n"/>
      <c r="I140" s="92">
        <f>IF($A141="","",IFERROR(IF(ISBLANK(INDEX(SprintPlanning[Sprint],MATCH($A141,SprintPlanning[Requirement ID],0))),"To Plan",INDEX(SprintPlanning[Sprint],MATCH($A141,SprintPlanning[Requirement ID],0))),"To Plan"))</f>
        <v/>
      </c>
      <c r="J140" s="124" t="n"/>
      <c r="K140" s="92">
        <f>IFERROR(IF(ISBLANK(INDEX(Release[Release],MATCH($A141,Release[Requirement ID],0))),"",INDEX(Release[Release],MATCH($A141,Release[Requirement ID],0))),"")</f>
        <v/>
      </c>
      <c r="L140" s="124" t="n"/>
      <c r="M140" s="124" t="n"/>
      <c r="N140" s="124" t="n"/>
      <c r="O140" s="92">
        <f>IF($N141="","","https://smartship.atlassian.net/browse/"&amp;$N141)</f>
        <v/>
      </c>
      <c r="P140" s="92">
        <f>IFERROR(VALUE(MID($A141,5,4)),0)</f>
        <v/>
      </c>
      <c r="Q140" s="92">
        <f>IF(B141="","","NEW-"&amp;TEXT(MAX($P$2:$P140,Lists!$N$2)+1,"0000"))</f>
        <v/>
      </c>
    </row>
    <row r="141" ht="15" customHeight="1" s="93">
      <c r="A141" s="123">
        <f>IF(AND(B142="",C142="",D142="",E142="",F142="",G142="",H142="",J142="",L142="",M142="",N142=""),"",Q142)</f>
        <v/>
      </c>
      <c r="B141" s="124" t="n"/>
      <c r="C141" s="124" t="n"/>
      <c r="D141" s="124" t="n"/>
      <c r="E141" s="124" t="n"/>
      <c r="F141" s="124" t="n"/>
      <c r="G141" s="124" t="n"/>
      <c r="H141" s="124" t="n"/>
      <c r="I141" s="92">
        <f>IF($A142="","",IFERROR(IF(ISBLANK(INDEX(SprintPlanning[Sprint],MATCH($A142,SprintPlanning[Requirement ID],0))),"To Plan",INDEX(SprintPlanning[Sprint],MATCH($A142,SprintPlanning[Requirement ID],0))),"To Plan"))</f>
        <v/>
      </c>
      <c r="J141" s="124" t="n"/>
      <c r="K141" s="92">
        <f>IFERROR(IF(ISBLANK(INDEX(Release[Release],MATCH($A142,Release[Requirement ID],0))),"",INDEX(Release[Release],MATCH($A142,Release[Requirement ID],0))),"")</f>
        <v/>
      </c>
      <c r="L141" s="124" t="n"/>
      <c r="M141" s="124" t="n"/>
      <c r="N141" s="124" t="n"/>
      <c r="O141" s="92">
        <f>IF($N142="","","https://smartship.atlassian.net/browse/"&amp;$N142)</f>
        <v/>
      </c>
      <c r="P141" s="92">
        <f>IFERROR(VALUE(MID($A142,5,4)),0)</f>
        <v/>
      </c>
      <c r="Q141" s="92">
        <f>IF(B142="","","NEW-"&amp;TEXT(MAX($P$2:$P141,Lists!$N$2)+1,"0000"))</f>
        <v/>
      </c>
    </row>
    <row r="142" ht="15" customHeight="1" s="93">
      <c r="A142" s="123">
        <f>IF(AND(B143="",C143="",D143="",E143="",F143="",G143="",H143="",J143="",L143="",M143="",N143=""),"",Q143)</f>
        <v/>
      </c>
      <c r="B142" s="124" t="n"/>
      <c r="C142" s="124" t="n"/>
      <c r="D142" s="124" t="n"/>
      <c r="E142" s="124" t="n"/>
      <c r="F142" s="124" t="n"/>
      <c r="G142" s="124" t="n"/>
      <c r="H142" s="124" t="n"/>
      <c r="I142" s="92">
        <f>IF($A143="","",IFERROR(IF(ISBLANK(INDEX(SprintPlanning[Sprint],MATCH($A143,SprintPlanning[Requirement ID],0))),"To Plan",INDEX(SprintPlanning[Sprint],MATCH($A143,SprintPlanning[Requirement ID],0))),"To Plan"))</f>
        <v/>
      </c>
      <c r="J142" s="124" t="n"/>
      <c r="K142" s="92">
        <f>IFERROR(IF(ISBLANK(INDEX(Release[Release],MATCH($A143,Release[Requirement ID],0))),"",INDEX(Release[Release],MATCH($A143,Release[Requirement ID],0))),"")</f>
        <v/>
      </c>
      <c r="L142" s="124" t="n"/>
      <c r="M142" s="124" t="n"/>
      <c r="N142" s="124" t="n"/>
      <c r="O142" s="92">
        <f>IF($N143="","","https://smartship.atlassian.net/browse/"&amp;$N143)</f>
        <v/>
      </c>
      <c r="P142" s="92">
        <f>IFERROR(VALUE(MID($A143,5,4)),0)</f>
        <v/>
      </c>
      <c r="Q142" s="92">
        <f>IF(B143="","","NEW-"&amp;TEXT(MAX($P$2:$P142,Lists!$N$2)+1,"0000"))</f>
        <v/>
      </c>
    </row>
    <row r="143" ht="15" customHeight="1" s="93">
      <c r="A143" s="123">
        <f>IF(AND(B144="",C144="",D144="",E144="",F144="",G144="",H144="",J144="",L144="",M144="",N144=""),"",Q144)</f>
        <v/>
      </c>
      <c r="B143" s="124" t="n"/>
      <c r="C143" s="124" t="n"/>
      <c r="D143" s="124" t="n"/>
      <c r="E143" s="124" t="n"/>
      <c r="F143" s="124" t="n"/>
      <c r="G143" s="124" t="n"/>
      <c r="H143" s="124" t="n"/>
      <c r="I143" s="92">
        <f>IF($A144="","",IFERROR(IF(ISBLANK(INDEX(SprintPlanning[Sprint],MATCH($A144,SprintPlanning[Requirement ID],0))),"To Plan",INDEX(SprintPlanning[Sprint],MATCH($A144,SprintPlanning[Requirement ID],0))),"To Plan"))</f>
        <v/>
      </c>
      <c r="J143" s="124" t="n"/>
      <c r="K143" s="92">
        <f>IFERROR(IF(ISBLANK(INDEX(Release[Release],MATCH($A144,Release[Requirement ID],0))),"",INDEX(Release[Release],MATCH($A144,Release[Requirement ID],0))),"")</f>
        <v/>
      </c>
      <c r="L143" s="124" t="n"/>
      <c r="M143" s="124" t="n"/>
      <c r="N143" s="124" t="n"/>
      <c r="O143" s="92">
        <f>IF($N144="","","https://smartship.atlassian.net/browse/"&amp;$N144)</f>
        <v/>
      </c>
      <c r="P143" s="92">
        <f>IFERROR(VALUE(MID($A144,5,4)),0)</f>
        <v/>
      </c>
      <c r="Q143" s="92">
        <f>IF(B144="","","NEW-"&amp;TEXT(MAX($P$2:$P143,Lists!$N$2)+1,"0000"))</f>
        <v/>
      </c>
    </row>
    <row r="144" ht="15" customHeight="1" s="93">
      <c r="A144" s="123">
        <f>IF(AND(B145="",C145="",D145="",E145="",F145="",G145="",H145="",J145="",L145="",M145="",N145=""),"",Q145)</f>
        <v/>
      </c>
      <c r="B144" s="124" t="n"/>
      <c r="C144" s="124" t="n"/>
      <c r="D144" s="124" t="n"/>
      <c r="E144" s="124" t="n"/>
      <c r="F144" s="124" t="n"/>
      <c r="G144" s="124" t="n"/>
      <c r="H144" s="124" t="n"/>
      <c r="I144" s="92">
        <f>IF($A145="","",IFERROR(IF(ISBLANK(INDEX(SprintPlanning[Sprint],MATCH($A145,SprintPlanning[Requirement ID],0))),"To Plan",INDEX(SprintPlanning[Sprint],MATCH($A145,SprintPlanning[Requirement ID],0))),"To Plan"))</f>
        <v/>
      </c>
      <c r="J144" s="124" t="n"/>
      <c r="K144" s="92">
        <f>IFERROR(IF(ISBLANK(INDEX(Release[Release],MATCH($A145,Release[Requirement ID],0))),"",INDEX(Release[Release],MATCH($A145,Release[Requirement ID],0))),"")</f>
        <v/>
      </c>
      <c r="L144" s="124" t="n"/>
      <c r="M144" s="124" t="n"/>
      <c r="N144" s="124" t="n"/>
      <c r="O144" s="92">
        <f>IF($N145="","","https://smartship.atlassian.net/browse/"&amp;$N145)</f>
        <v/>
      </c>
      <c r="P144" s="92">
        <f>IFERROR(VALUE(MID($A145,5,4)),0)</f>
        <v/>
      </c>
      <c r="Q144" s="92">
        <f>IF(B145="","","NEW-"&amp;TEXT(MAX($P$2:$P144,Lists!$N$2)+1,"0000"))</f>
        <v/>
      </c>
    </row>
    <row r="145" ht="15" customHeight="1" s="93">
      <c r="A145" s="123">
        <f>IF(AND(B146="",C146="",D146="",E146="",F146="",G146="",H146="",J146="",L146="",M146="",N146=""),"",Q146)</f>
        <v/>
      </c>
      <c r="B145" s="124" t="n"/>
      <c r="C145" s="124" t="n"/>
      <c r="D145" s="124" t="n"/>
      <c r="E145" s="124" t="n"/>
      <c r="F145" s="124" t="n"/>
      <c r="G145" s="124" t="n"/>
      <c r="H145" s="124" t="n"/>
      <c r="I145" s="92">
        <f>IF($A146="","",IFERROR(IF(ISBLANK(INDEX(SprintPlanning[Sprint],MATCH($A146,SprintPlanning[Requirement ID],0))),"To Plan",INDEX(SprintPlanning[Sprint],MATCH($A146,SprintPlanning[Requirement ID],0))),"To Plan"))</f>
        <v/>
      </c>
      <c r="J145" s="124" t="n"/>
      <c r="K145" s="92">
        <f>IFERROR(IF(ISBLANK(INDEX(Release[Release],MATCH($A146,Release[Requirement ID],0))),"",INDEX(Release[Release],MATCH($A146,Release[Requirement ID],0))),"")</f>
        <v/>
      </c>
      <c r="L145" s="124" t="n"/>
      <c r="M145" s="124" t="n"/>
      <c r="N145" s="124" t="n"/>
      <c r="O145" s="92">
        <f>IF($N146="","","https://smartship.atlassian.net/browse/"&amp;$N146)</f>
        <v/>
      </c>
      <c r="P145" s="92">
        <f>IFERROR(VALUE(MID($A146,5,4)),0)</f>
        <v/>
      </c>
      <c r="Q145" s="92">
        <f>IF(B146="","","NEW-"&amp;TEXT(MAX($P$2:$P145,Lists!$N$2)+1,"0000"))</f>
        <v/>
      </c>
    </row>
    <row r="146" ht="15" customHeight="1" s="93">
      <c r="A146" s="123">
        <f>IF(AND(B147="",C147="",D147="",E147="",F147="",G147="",H147="",J147="",L147="",M147="",N147=""),"",Q147)</f>
        <v/>
      </c>
      <c r="B146" s="124" t="n"/>
      <c r="C146" s="124" t="n"/>
      <c r="D146" s="124" t="n"/>
      <c r="E146" s="124" t="n"/>
      <c r="F146" s="124" t="n"/>
      <c r="G146" s="124" t="n"/>
      <c r="H146" s="124" t="n"/>
      <c r="I146" s="92">
        <f>IF($A147="","",IFERROR(IF(ISBLANK(INDEX(SprintPlanning[Sprint],MATCH($A147,SprintPlanning[Requirement ID],0))),"To Plan",INDEX(SprintPlanning[Sprint],MATCH($A147,SprintPlanning[Requirement ID],0))),"To Plan"))</f>
        <v/>
      </c>
      <c r="J146" s="124" t="n"/>
      <c r="K146" s="92">
        <f>IFERROR(IF(ISBLANK(INDEX(Release[Release],MATCH($A147,Release[Requirement ID],0))),"",INDEX(Release[Release],MATCH($A147,Release[Requirement ID],0))),"")</f>
        <v/>
      </c>
      <c r="L146" s="124" t="n"/>
      <c r="M146" s="124" t="n"/>
      <c r="N146" s="124" t="n"/>
      <c r="O146" s="92">
        <f>IF($N147="","","https://smartship.atlassian.net/browse/"&amp;$N147)</f>
        <v/>
      </c>
      <c r="P146" s="92">
        <f>IFERROR(VALUE(MID($A147,5,4)),0)</f>
        <v/>
      </c>
      <c r="Q146" s="92">
        <f>IF(B147="","","NEW-"&amp;TEXT(MAX($P$2:$P146,Lists!$N$2)+1,"0000"))</f>
        <v/>
      </c>
    </row>
    <row r="147" ht="15" customHeight="1" s="93">
      <c r="A147" s="123">
        <f>IF(AND(B148="",C148="",D148="",E148="",F148="",G148="",H148="",J148="",L148="",M148="",N148=""),"",Q148)</f>
        <v/>
      </c>
      <c r="B147" s="124" t="n"/>
      <c r="C147" s="124" t="n"/>
      <c r="D147" s="124" t="n"/>
      <c r="E147" s="124" t="n"/>
      <c r="F147" s="124" t="n"/>
      <c r="G147" s="124" t="n"/>
      <c r="H147" s="124" t="n"/>
      <c r="I147" s="92">
        <f>IF($A148="","",IFERROR(IF(ISBLANK(INDEX(SprintPlanning[Sprint],MATCH($A148,SprintPlanning[Requirement ID],0))),"To Plan",INDEX(SprintPlanning[Sprint],MATCH($A148,SprintPlanning[Requirement ID],0))),"To Plan"))</f>
        <v/>
      </c>
      <c r="J147" s="124" t="n"/>
      <c r="K147" s="92">
        <f>IFERROR(IF(ISBLANK(INDEX(Release[Release],MATCH($A148,Release[Requirement ID],0))),"",INDEX(Release[Release],MATCH($A148,Release[Requirement ID],0))),"")</f>
        <v/>
      </c>
      <c r="L147" s="124" t="n"/>
      <c r="M147" s="124" t="n"/>
      <c r="N147" s="124" t="n"/>
      <c r="O147" s="92">
        <f>IF($N148="","","https://smartship.atlassian.net/browse/"&amp;$N148)</f>
        <v/>
      </c>
      <c r="P147" s="92">
        <f>IFERROR(VALUE(MID($A148,5,4)),0)</f>
        <v/>
      </c>
      <c r="Q147" s="92">
        <f>IF(B148="","","NEW-"&amp;TEXT(MAX($P$2:$P147,Lists!$N$2)+1,"0000"))</f>
        <v/>
      </c>
    </row>
    <row r="148" ht="15" customHeight="1" s="93">
      <c r="A148" s="123">
        <f>IF(AND(B149="",C149="",D149="",E149="",F149="",G149="",H149="",J149="",L149="",M149="",N149=""),"",Q149)</f>
        <v/>
      </c>
      <c r="B148" s="124" t="n"/>
      <c r="C148" s="124" t="n"/>
      <c r="D148" s="124" t="n"/>
      <c r="E148" s="124" t="n"/>
      <c r="F148" s="124" t="n"/>
      <c r="G148" s="124" t="n"/>
      <c r="H148" s="124" t="n"/>
      <c r="I148" s="92">
        <f>IF($A149="","",IFERROR(IF(ISBLANK(INDEX(SprintPlanning[Sprint],MATCH($A149,SprintPlanning[Requirement ID],0))),"To Plan",INDEX(SprintPlanning[Sprint],MATCH($A149,SprintPlanning[Requirement ID],0))),"To Plan"))</f>
        <v/>
      </c>
      <c r="J148" s="124" t="n"/>
      <c r="K148" s="92">
        <f>IFERROR(IF(ISBLANK(INDEX(Release[Release],MATCH($A149,Release[Requirement ID],0))),"",INDEX(Release[Release],MATCH($A149,Release[Requirement ID],0))),"")</f>
        <v/>
      </c>
      <c r="L148" s="124" t="n"/>
      <c r="M148" s="124" t="n"/>
      <c r="N148" s="124" t="n"/>
      <c r="O148" s="92">
        <f>IF($N149="","","https://smartship.atlassian.net/browse/"&amp;$N149)</f>
        <v/>
      </c>
      <c r="P148" s="92">
        <f>IFERROR(VALUE(MID($A149,5,4)),0)</f>
        <v/>
      </c>
      <c r="Q148" s="92">
        <f>IF(B149="","","NEW-"&amp;TEXT(MAX($P$2:$P148,Lists!$N$2)+1,"0000"))</f>
        <v/>
      </c>
    </row>
    <row r="149" ht="15" customHeight="1" s="93">
      <c r="A149" s="123">
        <f>IF(AND(B150="",C150="",D150="",E150="",F150="",G150="",H150="",J150="",L150="",M150="",N150=""),"",Q150)</f>
        <v/>
      </c>
      <c r="B149" s="124" t="n"/>
      <c r="C149" s="124" t="n"/>
      <c r="D149" s="124" t="n"/>
      <c r="E149" s="124" t="n"/>
      <c r="F149" s="124" t="n"/>
      <c r="G149" s="124" t="n"/>
      <c r="H149" s="124" t="n"/>
      <c r="I149" s="92">
        <f>IF($A150="","",IFERROR(IF(ISBLANK(INDEX(SprintPlanning[Sprint],MATCH($A150,SprintPlanning[Requirement ID],0))),"To Plan",INDEX(SprintPlanning[Sprint],MATCH($A150,SprintPlanning[Requirement ID],0))),"To Plan"))</f>
        <v/>
      </c>
      <c r="J149" s="124" t="n"/>
      <c r="K149" s="92">
        <f>IFERROR(IF(ISBLANK(INDEX(Release[Release],MATCH($A150,Release[Requirement ID],0))),"",INDEX(Release[Release],MATCH($A150,Release[Requirement ID],0))),"")</f>
        <v/>
      </c>
      <c r="L149" s="124" t="n"/>
      <c r="M149" s="124" t="n"/>
      <c r="N149" s="124" t="n"/>
      <c r="O149" s="92">
        <f>IF($N150="","","https://smartship.atlassian.net/browse/"&amp;$N150)</f>
        <v/>
      </c>
      <c r="P149" s="92">
        <f>IFERROR(VALUE(MID($A150,5,4)),0)</f>
        <v/>
      </c>
      <c r="Q149" s="92">
        <f>IF(B150="","","NEW-"&amp;TEXT(MAX($P$2:$P149,Lists!$N$2)+1,"0000"))</f>
        <v/>
      </c>
    </row>
    <row r="150" ht="15" customHeight="1" s="93">
      <c r="A150" s="123">
        <f>IF(AND(B151="",C151="",D151="",E151="",F151="",G151="",H151="",J151="",L151="",M151="",N151=""),"",Q151)</f>
        <v/>
      </c>
      <c r="B150" s="124" t="n"/>
      <c r="C150" s="124" t="n"/>
      <c r="D150" s="124" t="n"/>
      <c r="E150" s="124" t="n"/>
      <c r="F150" s="124" t="n"/>
      <c r="G150" s="124" t="n"/>
      <c r="H150" s="124" t="n"/>
      <c r="I150" s="92">
        <f>IF($A151="","",IFERROR(IF(ISBLANK(INDEX(SprintPlanning[Sprint],MATCH($A151,SprintPlanning[Requirement ID],0))),"To Plan",INDEX(SprintPlanning[Sprint],MATCH($A151,SprintPlanning[Requirement ID],0))),"To Plan"))</f>
        <v/>
      </c>
      <c r="J150" s="124" t="n"/>
      <c r="K150" s="92">
        <f>IFERROR(IF(ISBLANK(INDEX(Release[Release],MATCH($A151,Release[Requirement ID],0))),"",INDEX(Release[Release],MATCH($A151,Release[Requirement ID],0))),"")</f>
        <v/>
      </c>
      <c r="L150" s="124" t="n"/>
      <c r="M150" s="124" t="n"/>
      <c r="N150" s="124" t="n"/>
      <c r="O150" s="92">
        <f>IF($N151="","","https://smartship.atlassian.net/browse/"&amp;$N151)</f>
        <v/>
      </c>
      <c r="P150" s="92">
        <f>IFERROR(VALUE(MID($A151,5,4)),0)</f>
        <v/>
      </c>
      <c r="Q150" s="92">
        <f>IF(B151="","","NEW-"&amp;TEXT(MAX($P$2:$P150,Lists!$N$2)+1,"0000"))</f>
        <v/>
      </c>
    </row>
    <row r="151" ht="15" customHeight="1" s="93">
      <c r="A151" s="123">
        <f>IF(AND(B152="",C152="",D152="",E152="",F152="",G152="",H152="",J152="",L152="",M152="",N152=""),"",Q152)</f>
        <v/>
      </c>
      <c r="B151" s="124" t="n"/>
      <c r="C151" s="124" t="n"/>
      <c r="D151" s="124" t="n"/>
      <c r="E151" s="124" t="n"/>
      <c r="F151" s="124" t="n"/>
      <c r="G151" s="124" t="n"/>
      <c r="H151" s="124" t="n"/>
      <c r="I151" s="92">
        <f>IF($A152="","",IFERROR(IF(ISBLANK(INDEX(SprintPlanning[Sprint],MATCH($A152,SprintPlanning[Requirement ID],0))),"To Plan",INDEX(SprintPlanning[Sprint],MATCH($A152,SprintPlanning[Requirement ID],0))),"To Plan"))</f>
        <v/>
      </c>
      <c r="J151" s="124" t="n"/>
      <c r="K151" s="92">
        <f>IFERROR(IF(ISBLANK(INDEX(Release[Release],MATCH($A152,Release[Requirement ID],0))),"",INDEX(Release[Release],MATCH($A152,Release[Requirement ID],0))),"")</f>
        <v/>
      </c>
      <c r="L151" s="124" t="n"/>
      <c r="M151" s="124" t="n"/>
      <c r="N151" s="124" t="n"/>
      <c r="O151" s="92">
        <f>IF($N152="","","https://smartship.atlassian.net/browse/"&amp;$N152)</f>
        <v/>
      </c>
      <c r="P151" s="92">
        <f>IFERROR(VALUE(MID($A152,5,4)),0)</f>
        <v/>
      </c>
      <c r="Q151" s="92">
        <f>IF(B152="","","NEW-"&amp;TEXT(MAX($P$2:$P151,Lists!$N$2)+1,"0000"))</f>
        <v/>
      </c>
    </row>
    <row r="152" ht="15" customHeight="1" s="93">
      <c r="A152" s="123">
        <f>IF(AND(B153="",C153="",D153="",E153="",F153="",G153="",H153="",J153="",L153="",M153="",N153=""),"",Q153)</f>
        <v/>
      </c>
      <c r="B152" s="124" t="n"/>
      <c r="C152" s="124" t="n"/>
      <c r="D152" s="124" t="n"/>
      <c r="E152" s="124" t="n"/>
      <c r="F152" s="124" t="n"/>
      <c r="G152" s="124" t="n"/>
      <c r="H152" s="124" t="n"/>
      <c r="I152" s="92">
        <f>IF($A153="","",IFERROR(IF(ISBLANK(INDEX(SprintPlanning[Sprint],MATCH($A153,SprintPlanning[Requirement ID],0))),"To Plan",INDEX(SprintPlanning[Sprint],MATCH($A153,SprintPlanning[Requirement ID],0))),"To Plan"))</f>
        <v/>
      </c>
      <c r="J152" s="124" t="n"/>
      <c r="K152" s="92">
        <f>IFERROR(IF(ISBLANK(INDEX(Release[Release],MATCH($A153,Release[Requirement ID],0))),"",INDEX(Release[Release],MATCH($A153,Release[Requirement ID],0))),"")</f>
        <v/>
      </c>
      <c r="L152" s="124" t="n"/>
      <c r="M152" s="124" t="n"/>
      <c r="N152" s="124" t="n"/>
      <c r="O152" s="92">
        <f>IF($N153="","","https://smartship.atlassian.net/browse/"&amp;$N153)</f>
        <v/>
      </c>
      <c r="P152" s="92">
        <f>IFERROR(VALUE(MID($A153,5,4)),0)</f>
        <v/>
      </c>
      <c r="Q152" s="92">
        <f>IF(B153="","","NEW-"&amp;TEXT(MAX($P$2:$P152,Lists!$N$2)+1,"0000"))</f>
        <v/>
      </c>
    </row>
    <row r="153" ht="15" customHeight="1" s="93">
      <c r="A153" s="123">
        <f>IF(AND(B154="",C154="",D154="",E154="",F154="",G154="",H154="",J154="",L154="",M154="",N154=""),"",Q154)</f>
        <v/>
      </c>
      <c r="B153" s="124" t="n"/>
      <c r="C153" s="124" t="n"/>
      <c r="D153" s="124" t="n"/>
      <c r="E153" s="124" t="n"/>
      <c r="F153" s="124" t="n"/>
      <c r="G153" s="124" t="n"/>
      <c r="H153" s="124" t="n"/>
      <c r="I153" s="92">
        <f>IF($A154="","",IFERROR(IF(ISBLANK(INDEX(SprintPlanning[Sprint],MATCH($A154,SprintPlanning[Requirement ID],0))),"To Plan",INDEX(SprintPlanning[Sprint],MATCH($A154,SprintPlanning[Requirement ID],0))),"To Plan"))</f>
        <v/>
      </c>
      <c r="J153" s="124" t="n"/>
      <c r="K153" s="92">
        <f>IFERROR(IF(ISBLANK(INDEX(Release[Release],MATCH($A154,Release[Requirement ID],0))),"",INDEX(Release[Release],MATCH($A154,Release[Requirement ID],0))),"")</f>
        <v/>
      </c>
      <c r="L153" s="124" t="n"/>
      <c r="M153" s="124" t="n"/>
      <c r="N153" s="124" t="n"/>
      <c r="O153" s="92">
        <f>IF($N154="","","https://smartship.atlassian.net/browse/"&amp;$N154)</f>
        <v/>
      </c>
      <c r="P153" s="92">
        <f>IFERROR(VALUE(MID($A154,5,4)),0)</f>
        <v/>
      </c>
      <c r="Q153" s="92">
        <f>IF(B154="","","NEW-"&amp;TEXT(MAX($P$2:$P153,Lists!$N$2)+1,"0000"))</f>
        <v/>
      </c>
    </row>
    <row r="154" ht="15" customHeight="1" s="93">
      <c r="A154" s="123">
        <f>IF(AND(B155="",C155="",D155="",E155="",F155="",G155="",H155="",J155="",L155="",M155="",N155=""),"",Q155)</f>
        <v/>
      </c>
      <c r="B154" s="124" t="n"/>
      <c r="C154" s="124" t="n"/>
      <c r="D154" s="124" t="n"/>
      <c r="E154" s="124" t="n"/>
      <c r="F154" s="124" t="n"/>
      <c r="G154" s="124" t="n"/>
      <c r="H154" s="124" t="n"/>
      <c r="I154" s="92">
        <f>IF($A155="","",IFERROR(IF(ISBLANK(INDEX(SprintPlanning[Sprint],MATCH($A155,SprintPlanning[Requirement ID],0))),"To Plan",INDEX(SprintPlanning[Sprint],MATCH($A155,SprintPlanning[Requirement ID],0))),"To Plan"))</f>
        <v/>
      </c>
      <c r="J154" s="124" t="n"/>
      <c r="K154" s="92">
        <f>IFERROR(IF(ISBLANK(INDEX(Release[Release],MATCH($A155,Release[Requirement ID],0))),"",INDEX(Release[Release],MATCH($A155,Release[Requirement ID],0))),"")</f>
        <v/>
      </c>
      <c r="L154" s="124" t="n"/>
      <c r="M154" s="124" t="n"/>
      <c r="N154" s="124" t="n"/>
      <c r="O154" s="92">
        <f>IF($N155="","","https://smartship.atlassian.net/browse/"&amp;$N155)</f>
        <v/>
      </c>
      <c r="P154" s="92">
        <f>IFERROR(VALUE(MID($A155,5,4)),0)</f>
        <v/>
      </c>
      <c r="Q154" s="92">
        <f>IF(B155="","","NEW-"&amp;TEXT(MAX($P$2:$P154,Lists!$N$2)+1,"0000"))</f>
        <v/>
      </c>
    </row>
    <row r="155" ht="15" customHeight="1" s="93">
      <c r="A155" s="123">
        <f>IF(AND(B156="",C156="",D156="",E156="",F156="",G156="",H156="",J156="",L156="",M156="",N156=""),"",Q156)</f>
        <v/>
      </c>
      <c r="B155" s="124" t="n"/>
      <c r="C155" s="124" t="n"/>
      <c r="D155" s="124" t="n"/>
      <c r="E155" s="124" t="n"/>
      <c r="F155" s="124" t="n"/>
      <c r="G155" s="124" t="n"/>
      <c r="H155" s="124" t="n"/>
      <c r="I155" s="92">
        <f>IF($A156="","",IFERROR(IF(ISBLANK(INDEX(SprintPlanning[Sprint],MATCH($A156,SprintPlanning[Requirement ID],0))),"To Plan",INDEX(SprintPlanning[Sprint],MATCH($A156,SprintPlanning[Requirement ID],0))),"To Plan"))</f>
        <v/>
      </c>
      <c r="J155" s="124" t="n"/>
      <c r="K155" s="92">
        <f>IFERROR(IF(ISBLANK(INDEX(Release[Release],MATCH($A156,Release[Requirement ID],0))),"",INDEX(Release[Release],MATCH($A156,Release[Requirement ID],0))),"")</f>
        <v/>
      </c>
      <c r="L155" s="124" t="n"/>
      <c r="M155" s="124" t="n"/>
      <c r="N155" s="124" t="n"/>
      <c r="O155" s="92">
        <f>IF($N156="","","https://smartship.atlassian.net/browse/"&amp;$N156)</f>
        <v/>
      </c>
      <c r="P155" s="92">
        <f>IFERROR(VALUE(MID($A156,5,4)),0)</f>
        <v/>
      </c>
      <c r="Q155" s="92">
        <f>IF(B156="","","NEW-"&amp;TEXT(MAX($P$2:$P155,Lists!$N$2)+1,"0000"))</f>
        <v/>
      </c>
    </row>
    <row r="156" ht="15" customHeight="1" s="93">
      <c r="A156" s="123">
        <f>IF(AND(B157="",C157="",D157="",E157="",F157="",G157="",H157="",J157="",L157="",M157="",N157=""),"",Q157)</f>
        <v/>
      </c>
      <c r="B156" s="124" t="n"/>
      <c r="C156" s="124" t="n"/>
      <c r="D156" s="124" t="n"/>
      <c r="E156" s="124" t="n"/>
      <c r="F156" s="124" t="n"/>
      <c r="G156" s="124" t="n"/>
      <c r="H156" s="124" t="n"/>
      <c r="I156" s="92">
        <f>IF($A157="","",IFERROR(IF(ISBLANK(INDEX(SprintPlanning[Sprint],MATCH($A157,SprintPlanning[Requirement ID],0))),"To Plan",INDEX(SprintPlanning[Sprint],MATCH($A157,SprintPlanning[Requirement ID],0))),"To Plan"))</f>
        <v/>
      </c>
      <c r="J156" s="124" t="n"/>
      <c r="K156" s="92">
        <f>IFERROR(IF(ISBLANK(INDEX(Release[Release],MATCH($A157,Release[Requirement ID],0))),"",INDEX(Release[Release],MATCH($A157,Release[Requirement ID],0))),"")</f>
        <v/>
      </c>
      <c r="L156" s="124" t="n"/>
      <c r="M156" s="124" t="n"/>
      <c r="N156" s="124" t="n"/>
      <c r="O156" s="92">
        <f>IF($N157="","","https://smartship.atlassian.net/browse/"&amp;$N157)</f>
        <v/>
      </c>
      <c r="P156" s="92">
        <f>IFERROR(VALUE(MID($A157,5,4)),0)</f>
        <v/>
      </c>
      <c r="Q156" s="92">
        <f>IF(B157="","","NEW-"&amp;TEXT(MAX($P$2:$P156,Lists!$N$2)+1,"0000"))</f>
        <v/>
      </c>
    </row>
    <row r="157" ht="15" customHeight="1" s="93">
      <c r="A157" s="123">
        <f>IF(AND(B158="",C158="",D158="",E158="",F158="",G158="",H158="",J158="",L158="",M158="",N158=""),"",Q158)</f>
        <v/>
      </c>
      <c r="B157" s="124" t="n"/>
      <c r="C157" s="124" t="n"/>
      <c r="D157" s="124" t="n"/>
      <c r="E157" s="124" t="n"/>
      <c r="F157" s="124" t="n"/>
      <c r="G157" s="124" t="n"/>
      <c r="H157" s="124" t="n"/>
      <c r="I157" s="92">
        <f>IF($A158="","",IFERROR(IF(ISBLANK(INDEX(SprintPlanning[Sprint],MATCH($A158,SprintPlanning[Requirement ID],0))),"To Plan",INDEX(SprintPlanning[Sprint],MATCH($A158,SprintPlanning[Requirement ID],0))),"To Plan"))</f>
        <v/>
      </c>
      <c r="J157" s="124" t="n"/>
      <c r="K157" s="92">
        <f>IFERROR(IF(ISBLANK(INDEX(Release[Release],MATCH($A158,Release[Requirement ID],0))),"",INDEX(Release[Release],MATCH($A158,Release[Requirement ID],0))),"")</f>
        <v/>
      </c>
      <c r="L157" s="124" t="n"/>
      <c r="M157" s="124" t="n"/>
      <c r="N157" s="124" t="n"/>
      <c r="O157" s="92">
        <f>IF($N158="","","https://smartship.atlassian.net/browse/"&amp;$N158)</f>
        <v/>
      </c>
      <c r="P157" s="92">
        <f>IFERROR(VALUE(MID($A158,5,4)),0)</f>
        <v/>
      </c>
      <c r="Q157" s="92">
        <f>IF(B158="","","NEW-"&amp;TEXT(MAX($P$2:$P157,Lists!$N$2)+1,"0000"))</f>
        <v/>
      </c>
    </row>
    <row r="158" ht="15" customHeight="1" s="93">
      <c r="A158" s="123">
        <f>IF(AND(B159="",C159="",D159="",E159="",F159="",G159="",H159="",J159="",L159="",M159="",N159=""),"",Q159)</f>
        <v/>
      </c>
      <c r="B158" s="124" t="n"/>
      <c r="C158" s="124" t="n"/>
      <c r="D158" s="124" t="n"/>
      <c r="E158" s="124" t="n"/>
      <c r="F158" s="124" t="n"/>
      <c r="G158" s="124" t="n"/>
      <c r="H158" s="124" t="n"/>
      <c r="I158" s="92">
        <f>IF($A159="","",IFERROR(IF(ISBLANK(INDEX(SprintPlanning[Sprint],MATCH($A159,SprintPlanning[Requirement ID],0))),"To Plan",INDEX(SprintPlanning[Sprint],MATCH($A159,SprintPlanning[Requirement ID],0))),"To Plan"))</f>
        <v/>
      </c>
      <c r="J158" s="124" t="n"/>
      <c r="K158" s="92">
        <f>IFERROR(IF(ISBLANK(INDEX(Release[Release],MATCH($A159,Release[Requirement ID],0))),"",INDEX(Release[Release],MATCH($A159,Release[Requirement ID],0))),"")</f>
        <v/>
      </c>
      <c r="L158" s="124" t="n"/>
      <c r="M158" s="124" t="n"/>
      <c r="N158" s="124" t="n"/>
      <c r="O158" s="92">
        <f>IF($N159="","","https://smartship.atlassian.net/browse/"&amp;$N159)</f>
        <v/>
      </c>
      <c r="P158" s="92">
        <f>IFERROR(VALUE(MID($A159,5,4)),0)</f>
        <v/>
      </c>
      <c r="Q158" s="92">
        <f>IF(B159="","","NEW-"&amp;TEXT(MAX($P$2:$P158,Lists!$N$2)+1,"0000"))</f>
        <v/>
      </c>
    </row>
    <row r="159" ht="15" customHeight="1" s="93">
      <c r="A159" s="123">
        <f>IF(AND(B160="",C160="",D160="",E160="",F160="",G160="",H160="",J160="",L160="",M160="",N160=""),"",Q160)</f>
        <v/>
      </c>
      <c r="B159" s="124" t="n"/>
      <c r="C159" s="124" t="n"/>
      <c r="D159" s="124" t="n"/>
      <c r="E159" s="124" t="n"/>
      <c r="F159" s="124" t="n"/>
      <c r="G159" s="124" t="n"/>
      <c r="H159" s="124" t="n"/>
      <c r="I159" s="92">
        <f>IF($A160="","",IFERROR(IF(ISBLANK(INDEX(SprintPlanning[Sprint],MATCH($A160,SprintPlanning[Requirement ID],0))),"To Plan",INDEX(SprintPlanning[Sprint],MATCH($A160,SprintPlanning[Requirement ID],0))),"To Plan"))</f>
        <v/>
      </c>
      <c r="J159" s="124" t="n"/>
      <c r="K159" s="92">
        <f>IFERROR(IF(ISBLANK(INDEX(Release[Release],MATCH($A160,Release[Requirement ID],0))),"",INDEX(Release[Release],MATCH($A160,Release[Requirement ID],0))),"")</f>
        <v/>
      </c>
      <c r="L159" s="124" t="n"/>
      <c r="M159" s="124" t="n"/>
      <c r="N159" s="124" t="n"/>
      <c r="O159" s="92">
        <f>IF($N160="","","https://smartship.atlassian.net/browse/"&amp;$N160)</f>
        <v/>
      </c>
      <c r="P159" s="92">
        <f>IFERROR(VALUE(MID($A160,5,4)),0)</f>
        <v/>
      </c>
      <c r="Q159" s="92">
        <f>IF(B160="","","NEW-"&amp;TEXT(MAX($P$2:$P159,Lists!$N$2)+1,"0000"))</f>
        <v/>
      </c>
    </row>
    <row r="160" ht="15" customHeight="1" s="93">
      <c r="A160" s="123">
        <f>IF(AND(B161="",C161="",D161="",E161="",F161="",G161="",H161="",J161="",L161="",M161="",N161=""),"",Q161)</f>
        <v/>
      </c>
      <c r="B160" s="124" t="n"/>
      <c r="C160" s="124" t="n"/>
      <c r="D160" s="124" t="n"/>
      <c r="E160" s="124" t="n"/>
      <c r="F160" s="124" t="n"/>
      <c r="G160" s="124" t="n"/>
      <c r="H160" s="124" t="n"/>
      <c r="I160" s="92">
        <f>IF($A161="","",IFERROR(IF(ISBLANK(INDEX(SprintPlanning[Sprint],MATCH($A161,SprintPlanning[Requirement ID],0))),"To Plan",INDEX(SprintPlanning[Sprint],MATCH($A161,SprintPlanning[Requirement ID],0))),"To Plan"))</f>
        <v/>
      </c>
      <c r="J160" s="124" t="n"/>
      <c r="K160" s="92">
        <f>IFERROR(IF(ISBLANK(INDEX(Release[Release],MATCH($A161,Release[Requirement ID],0))),"",INDEX(Release[Release],MATCH($A161,Release[Requirement ID],0))),"")</f>
        <v/>
      </c>
      <c r="L160" s="124" t="n"/>
      <c r="M160" s="124" t="n"/>
      <c r="N160" s="124" t="n"/>
      <c r="O160" s="92">
        <f>IF($N161="","","https://smartship.atlassian.net/browse/"&amp;$N161)</f>
        <v/>
      </c>
      <c r="P160" s="92">
        <f>IFERROR(VALUE(MID($A161,5,4)),0)</f>
        <v/>
      </c>
      <c r="Q160" s="92">
        <f>IF(B161="","","NEW-"&amp;TEXT(MAX($P$2:$P160,Lists!$N$2)+1,"0000"))</f>
        <v/>
      </c>
    </row>
    <row r="161" ht="15" customHeight="1" s="93">
      <c r="A161" s="123">
        <f>IF(AND(B162="",C162="",D162="",E162="",F162="",G162="",H162="",J162="",L162="",M162="",N162=""),"",Q162)</f>
        <v/>
      </c>
      <c r="B161" s="124" t="n"/>
      <c r="C161" s="124" t="n"/>
      <c r="D161" s="124" t="n"/>
      <c r="E161" s="124" t="n"/>
      <c r="F161" s="124" t="n"/>
      <c r="G161" s="124" t="n"/>
      <c r="H161" s="124" t="n"/>
      <c r="I161" s="92">
        <f>IF($A162="","",IFERROR(IF(ISBLANK(INDEX(SprintPlanning[Sprint],MATCH($A162,SprintPlanning[Requirement ID],0))),"To Plan",INDEX(SprintPlanning[Sprint],MATCH($A162,SprintPlanning[Requirement ID],0))),"To Plan"))</f>
        <v/>
      </c>
      <c r="J161" s="124" t="n"/>
      <c r="K161" s="92">
        <f>IFERROR(IF(ISBLANK(INDEX(Release[Release],MATCH($A162,Release[Requirement ID],0))),"",INDEX(Release[Release],MATCH($A162,Release[Requirement ID],0))),"")</f>
        <v/>
      </c>
      <c r="L161" s="124" t="n"/>
      <c r="M161" s="124" t="n"/>
      <c r="N161" s="124" t="n"/>
      <c r="O161" s="92">
        <f>IF($N162="","","https://smartship.atlassian.net/browse/"&amp;$N162)</f>
        <v/>
      </c>
      <c r="P161" s="92">
        <f>IFERROR(VALUE(MID($A162,5,4)),0)</f>
        <v/>
      </c>
      <c r="Q161" s="92">
        <f>IF(B162="","","NEW-"&amp;TEXT(MAX($P$2:$P161,Lists!$N$2)+1,"0000"))</f>
        <v/>
      </c>
    </row>
    <row r="162" ht="15" customHeight="1" s="93">
      <c r="A162" s="123">
        <f>IF(AND(B163="",C163="",D163="",E163="",F163="",G163="",H163="",J163="",L163="",M163="",N163=""),"",Q163)</f>
        <v/>
      </c>
      <c r="B162" s="124" t="n"/>
      <c r="C162" s="124" t="n"/>
      <c r="D162" s="124" t="n"/>
      <c r="E162" s="124" t="n"/>
      <c r="F162" s="124" t="n"/>
      <c r="G162" s="124" t="n"/>
      <c r="H162" s="124" t="n"/>
      <c r="I162" s="92">
        <f>IF($A163="","",IFERROR(IF(ISBLANK(INDEX(SprintPlanning[Sprint],MATCH($A163,SprintPlanning[Requirement ID],0))),"To Plan",INDEX(SprintPlanning[Sprint],MATCH($A163,SprintPlanning[Requirement ID],0))),"To Plan"))</f>
        <v/>
      </c>
      <c r="J162" s="124" t="n"/>
      <c r="K162" s="92">
        <f>IFERROR(IF(ISBLANK(INDEX(Release[Release],MATCH($A163,Release[Requirement ID],0))),"",INDEX(Release[Release],MATCH($A163,Release[Requirement ID],0))),"")</f>
        <v/>
      </c>
      <c r="L162" s="124" t="n"/>
      <c r="M162" s="124" t="n"/>
      <c r="N162" s="124" t="n"/>
      <c r="O162" s="92">
        <f>IF($N163="","","https://smartship.atlassian.net/browse/"&amp;$N163)</f>
        <v/>
      </c>
      <c r="P162" s="92">
        <f>IFERROR(VALUE(MID($A163,5,4)),0)</f>
        <v/>
      </c>
      <c r="Q162" s="92">
        <f>IF(B163="","","NEW-"&amp;TEXT(MAX($P$2:$P162,Lists!$N$2)+1,"0000"))</f>
        <v/>
      </c>
    </row>
    <row r="163" ht="15" customHeight="1" s="93">
      <c r="A163" s="123">
        <f>IF(AND(B164="",C164="",D164="",E164="",F164="",G164="",H164="",J164="",L164="",M164="",N164=""),"",Q164)</f>
        <v/>
      </c>
      <c r="B163" s="124" t="n"/>
      <c r="C163" s="124" t="n"/>
      <c r="D163" s="124" t="n"/>
      <c r="E163" s="124" t="n"/>
      <c r="F163" s="124" t="n"/>
      <c r="G163" s="124" t="n"/>
      <c r="H163" s="124" t="n"/>
      <c r="I163" s="92">
        <f>IF($A164="","",IFERROR(IF(ISBLANK(INDEX(SprintPlanning[Sprint],MATCH($A164,SprintPlanning[Requirement ID],0))),"To Plan",INDEX(SprintPlanning[Sprint],MATCH($A164,SprintPlanning[Requirement ID],0))),"To Plan"))</f>
        <v/>
      </c>
      <c r="J163" s="124" t="n"/>
      <c r="K163" s="92">
        <f>IFERROR(IF(ISBLANK(INDEX(Release[Release],MATCH($A164,Release[Requirement ID],0))),"",INDEX(Release[Release],MATCH($A164,Release[Requirement ID],0))),"")</f>
        <v/>
      </c>
      <c r="L163" s="124" t="n"/>
      <c r="M163" s="124" t="n"/>
      <c r="N163" s="124" t="n"/>
      <c r="O163" s="92">
        <f>IF($N164="","","https://smartship.atlassian.net/browse/"&amp;$N164)</f>
        <v/>
      </c>
      <c r="P163" s="92">
        <f>IFERROR(VALUE(MID($A164,5,4)),0)</f>
        <v/>
      </c>
      <c r="Q163" s="92">
        <f>IF(B164="","","NEW-"&amp;TEXT(MAX($P$2:$P163,Lists!$N$2)+1,"0000"))</f>
        <v/>
      </c>
    </row>
    <row r="164" ht="15" customHeight="1" s="93">
      <c r="A164" s="123">
        <f>IF(AND(B165="",C165="",D165="",E165="",F165="",G165="",H165="",J165="",L165="",M165="",N165=""),"",Q165)</f>
        <v/>
      </c>
      <c r="B164" s="124" t="n"/>
      <c r="C164" s="124" t="n"/>
      <c r="D164" s="124" t="n"/>
      <c r="E164" s="124" t="n"/>
      <c r="F164" s="124" t="n"/>
      <c r="G164" s="124" t="n"/>
      <c r="H164" s="124" t="n"/>
      <c r="I164" s="92">
        <f>IF($A165="","",IFERROR(IF(ISBLANK(INDEX(SprintPlanning[Sprint],MATCH($A165,SprintPlanning[Requirement ID],0))),"To Plan",INDEX(SprintPlanning[Sprint],MATCH($A165,SprintPlanning[Requirement ID],0))),"To Plan"))</f>
        <v/>
      </c>
      <c r="J164" s="124" t="n"/>
      <c r="K164" s="92">
        <f>IFERROR(IF(ISBLANK(INDEX(Release[Release],MATCH($A165,Release[Requirement ID],0))),"",INDEX(Release[Release],MATCH($A165,Release[Requirement ID],0))),"")</f>
        <v/>
      </c>
      <c r="L164" s="124" t="n"/>
      <c r="M164" s="124" t="n"/>
      <c r="N164" s="124" t="n"/>
      <c r="O164" s="92">
        <f>IF($N165="","","https://smartship.atlassian.net/browse/"&amp;$N165)</f>
        <v/>
      </c>
      <c r="P164" s="92">
        <f>IFERROR(VALUE(MID($A165,5,4)),0)</f>
        <v/>
      </c>
      <c r="Q164" s="92">
        <f>IF(B165="","","NEW-"&amp;TEXT(MAX($P$2:$P164,Lists!$N$2)+1,"0000"))</f>
        <v/>
      </c>
    </row>
    <row r="165" ht="15" customHeight="1" s="93">
      <c r="A165" s="123">
        <f>IF(AND(B166="",C166="",D166="",E166="",F166="",G166="",H166="",J166="",L166="",M166="",N166=""),"",Q166)</f>
        <v/>
      </c>
      <c r="B165" s="124" t="n"/>
      <c r="C165" s="124" t="n"/>
      <c r="D165" s="124" t="n"/>
      <c r="E165" s="124" t="n"/>
      <c r="F165" s="124" t="n"/>
      <c r="G165" s="124" t="n"/>
      <c r="H165" s="124" t="n"/>
      <c r="I165" s="92">
        <f>IF($A166="","",IFERROR(IF(ISBLANK(INDEX(SprintPlanning[Sprint],MATCH($A166,SprintPlanning[Requirement ID],0))),"To Plan",INDEX(SprintPlanning[Sprint],MATCH($A166,SprintPlanning[Requirement ID],0))),"To Plan"))</f>
        <v/>
      </c>
      <c r="J165" s="124" t="n"/>
      <c r="K165" s="92">
        <f>IFERROR(IF(ISBLANK(INDEX(Release[Release],MATCH($A166,Release[Requirement ID],0))),"",INDEX(Release[Release],MATCH($A166,Release[Requirement ID],0))),"")</f>
        <v/>
      </c>
      <c r="L165" s="124" t="n"/>
      <c r="M165" s="124" t="n"/>
      <c r="N165" s="124" t="n"/>
      <c r="O165" s="92">
        <f>IF($N166="","","https://smartship.atlassian.net/browse/"&amp;$N166)</f>
        <v/>
      </c>
      <c r="P165" s="92">
        <f>IFERROR(VALUE(MID($A166,5,4)),0)</f>
        <v/>
      </c>
      <c r="Q165" s="92">
        <f>IF(B166="","","NEW-"&amp;TEXT(MAX($P$2:$P165,Lists!$N$2)+1,"0000"))</f>
        <v/>
      </c>
    </row>
    <row r="166" ht="15" customHeight="1" s="93">
      <c r="A166" s="123">
        <f>IF(AND(B167="",C167="",D167="",E167="",F167="",G167="",H167="",J167="",L167="",M167="",N167=""),"",Q167)</f>
        <v/>
      </c>
      <c r="B166" s="124" t="n"/>
      <c r="C166" s="124" t="n"/>
      <c r="D166" s="124" t="n"/>
      <c r="E166" s="124" t="n"/>
      <c r="F166" s="124" t="n"/>
      <c r="G166" s="124" t="n"/>
      <c r="H166" s="124" t="n"/>
      <c r="I166" s="92">
        <f>IF($A167="","",IFERROR(IF(ISBLANK(INDEX(SprintPlanning[Sprint],MATCH($A167,SprintPlanning[Requirement ID],0))),"To Plan",INDEX(SprintPlanning[Sprint],MATCH($A167,SprintPlanning[Requirement ID],0))),"To Plan"))</f>
        <v/>
      </c>
      <c r="J166" s="124" t="n"/>
      <c r="K166" s="92">
        <f>IFERROR(IF(ISBLANK(INDEX(Release[Release],MATCH($A167,Release[Requirement ID],0))),"",INDEX(Release[Release],MATCH($A167,Release[Requirement ID],0))),"")</f>
        <v/>
      </c>
      <c r="L166" s="124" t="n"/>
      <c r="M166" s="124" t="n"/>
      <c r="N166" s="124" t="n"/>
      <c r="O166" s="92">
        <f>IF($N167="","","https://smartship.atlassian.net/browse/"&amp;$N167)</f>
        <v/>
      </c>
      <c r="P166" s="92">
        <f>IFERROR(VALUE(MID($A167,5,4)),0)</f>
        <v/>
      </c>
      <c r="Q166" s="92">
        <f>IF(B167="","","NEW-"&amp;TEXT(MAX($P$2:$P166,Lists!$N$2)+1,"0000"))</f>
        <v/>
      </c>
    </row>
    <row r="167" ht="15" customHeight="1" s="93">
      <c r="A167" s="123">
        <f>IF(AND(B168="",C168="",D168="",E168="",F168="",G168="",H168="",J168="",L168="",M168="",N168=""),"",Q168)</f>
        <v/>
      </c>
      <c r="B167" s="124" t="n"/>
      <c r="C167" s="124" t="n"/>
      <c r="D167" s="124" t="n"/>
      <c r="E167" s="124" t="n"/>
      <c r="F167" s="124" t="n"/>
      <c r="G167" s="124" t="n"/>
      <c r="H167" s="124" t="n"/>
      <c r="I167" s="92">
        <f>IF($A168="","",IFERROR(IF(ISBLANK(INDEX(SprintPlanning[Sprint],MATCH($A168,SprintPlanning[Requirement ID],0))),"To Plan",INDEX(SprintPlanning[Sprint],MATCH($A168,SprintPlanning[Requirement ID],0))),"To Plan"))</f>
        <v/>
      </c>
      <c r="J167" s="124" t="n"/>
      <c r="K167" s="92">
        <f>IFERROR(IF(ISBLANK(INDEX(Release[Release],MATCH($A168,Release[Requirement ID],0))),"",INDEX(Release[Release],MATCH($A168,Release[Requirement ID],0))),"")</f>
        <v/>
      </c>
      <c r="L167" s="124" t="n"/>
      <c r="M167" s="124" t="n"/>
      <c r="N167" s="124" t="n"/>
      <c r="O167" s="92">
        <f>IF($N168="","","https://smartship.atlassian.net/browse/"&amp;$N168)</f>
        <v/>
      </c>
      <c r="P167" s="92">
        <f>IFERROR(VALUE(MID($A168,5,4)),0)</f>
        <v/>
      </c>
      <c r="Q167" s="92">
        <f>IF(B168="","","NEW-"&amp;TEXT(MAX($P$2:$P167,Lists!$N$2)+1,"0000"))</f>
        <v/>
      </c>
    </row>
    <row r="168" ht="15" customHeight="1" s="93">
      <c r="A168" s="123">
        <f>IF(AND(B169="",C169="",D169="",E169="",F169="",G169="",H169="",J169="",L169="",M169="",N169=""),"",Q169)</f>
        <v/>
      </c>
      <c r="B168" s="124" t="n"/>
      <c r="C168" s="124" t="n"/>
      <c r="D168" s="124" t="n"/>
      <c r="E168" s="124" t="n"/>
      <c r="F168" s="124" t="n"/>
      <c r="G168" s="124" t="n"/>
      <c r="H168" s="124" t="n"/>
      <c r="I168" s="92">
        <f>IF($A169="","",IFERROR(IF(ISBLANK(INDEX(SprintPlanning[Sprint],MATCH($A169,SprintPlanning[Requirement ID],0))),"To Plan",INDEX(SprintPlanning[Sprint],MATCH($A169,SprintPlanning[Requirement ID],0))),"To Plan"))</f>
        <v/>
      </c>
      <c r="J168" s="124" t="n"/>
      <c r="K168" s="92">
        <f>IFERROR(IF(ISBLANK(INDEX(Release[Release],MATCH($A169,Release[Requirement ID],0))),"",INDEX(Release[Release],MATCH($A169,Release[Requirement ID],0))),"")</f>
        <v/>
      </c>
      <c r="L168" s="124" t="n"/>
      <c r="M168" s="124" t="n"/>
      <c r="N168" s="124" t="n"/>
      <c r="O168" s="92">
        <f>IF($N169="","","https://smartship.atlassian.net/browse/"&amp;$N169)</f>
        <v/>
      </c>
      <c r="P168" s="92">
        <f>IFERROR(VALUE(MID($A169,5,4)),0)</f>
        <v/>
      </c>
      <c r="Q168" s="92">
        <f>IF(B169="","","NEW-"&amp;TEXT(MAX($P$2:$P168,Lists!$N$2)+1,"0000"))</f>
        <v/>
      </c>
    </row>
    <row r="169" ht="15" customHeight="1" s="93">
      <c r="A169" s="123">
        <f>IF(AND(B170="",C170="",D170="",E170="",F170="",G170="",H170="",J170="",L170="",M170="",N170=""),"",Q170)</f>
        <v/>
      </c>
      <c r="B169" s="124" t="n"/>
      <c r="C169" s="124" t="n"/>
      <c r="D169" s="124" t="n"/>
      <c r="E169" s="124" t="n"/>
      <c r="F169" s="124" t="n"/>
      <c r="G169" s="124" t="n"/>
      <c r="H169" s="124" t="n"/>
      <c r="I169" s="92">
        <f>IF($A170="","",IFERROR(IF(ISBLANK(INDEX(SprintPlanning[Sprint],MATCH($A170,SprintPlanning[Requirement ID],0))),"To Plan",INDEX(SprintPlanning[Sprint],MATCH($A170,SprintPlanning[Requirement ID],0))),"To Plan"))</f>
        <v/>
      </c>
      <c r="J169" s="124" t="n"/>
      <c r="K169" s="92">
        <f>IFERROR(IF(ISBLANK(INDEX(Release[Release],MATCH($A170,Release[Requirement ID],0))),"",INDEX(Release[Release],MATCH($A170,Release[Requirement ID],0))),"")</f>
        <v/>
      </c>
      <c r="L169" s="124" t="n"/>
      <c r="M169" s="124" t="n"/>
      <c r="N169" s="124" t="n"/>
      <c r="O169" s="92">
        <f>IF($N170="","","https://smartship.atlassian.net/browse/"&amp;$N170)</f>
        <v/>
      </c>
      <c r="P169" s="92">
        <f>IFERROR(VALUE(MID($A170,5,4)),0)</f>
        <v/>
      </c>
      <c r="Q169" s="92">
        <f>IF(B170="","","NEW-"&amp;TEXT(MAX($P$2:$P169,Lists!$N$2)+1,"0000"))</f>
        <v/>
      </c>
    </row>
    <row r="170" ht="15" customHeight="1" s="93">
      <c r="A170" s="123">
        <f>IF(AND(B171="",C171="",D171="",E171="",F171="",G171="",H171="",J171="",L171="",M171="",N171=""),"",Q171)</f>
        <v/>
      </c>
      <c r="B170" s="124" t="n"/>
      <c r="C170" s="124" t="n"/>
      <c r="D170" s="124" t="n"/>
      <c r="E170" s="124" t="n"/>
      <c r="F170" s="124" t="n"/>
      <c r="G170" s="124" t="n"/>
      <c r="H170" s="124" t="n"/>
      <c r="I170" s="92">
        <f>IF($A171="","",IFERROR(IF(ISBLANK(INDEX(SprintPlanning[Sprint],MATCH($A171,SprintPlanning[Requirement ID],0))),"To Plan",INDEX(SprintPlanning[Sprint],MATCH($A171,SprintPlanning[Requirement ID],0))),"To Plan"))</f>
        <v/>
      </c>
      <c r="J170" s="124" t="n"/>
      <c r="K170" s="92">
        <f>IFERROR(IF(ISBLANK(INDEX(Release[Release],MATCH($A171,Release[Requirement ID],0))),"",INDEX(Release[Release],MATCH($A171,Release[Requirement ID],0))),"")</f>
        <v/>
      </c>
      <c r="L170" s="124" t="n"/>
      <c r="M170" s="124" t="n"/>
      <c r="N170" s="124" t="n"/>
      <c r="O170" s="92">
        <f>IF($N171="","","https://smartship.atlassian.net/browse/"&amp;$N171)</f>
        <v/>
      </c>
      <c r="P170" s="92">
        <f>IFERROR(VALUE(MID($A171,5,4)),0)</f>
        <v/>
      </c>
      <c r="Q170" s="92">
        <f>IF(B171="","","NEW-"&amp;TEXT(MAX($P$2:$P170,Lists!$N$2)+1,"0000"))</f>
        <v/>
      </c>
    </row>
    <row r="171" ht="15" customHeight="1" s="93">
      <c r="A171" s="123">
        <f>IF(AND(B172="",C172="",D172="",E172="",F172="",G172="",H172="",J172="",L172="",M172="",N172=""),"",Q172)</f>
        <v/>
      </c>
      <c r="B171" s="124" t="n"/>
      <c r="C171" s="124" t="n"/>
      <c r="D171" s="124" t="n"/>
      <c r="E171" s="124" t="n"/>
      <c r="F171" s="124" t="n"/>
      <c r="G171" s="124" t="n"/>
      <c r="H171" s="124" t="n"/>
      <c r="I171" s="92">
        <f>IF($A172="","",IFERROR(IF(ISBLANK(INDEX(SprintPlanning[Sprint],MATCH($A172,SprintPlanning[Requirement ID],0))),"To Plan",INDEX(SprintPlanning[Sprint],MATCH($A172,SprintPlanning[Requirement ID],0))),"To Plan"))</f>
        <v/>
      </c>
      <c r="J171" s="124" t="n"/>
      <c r="K171" s="92">
        <f>IFERROR(IF(ISBLANK(INDEX(Release[Release],MATCH($A172,Release[Requirement ID],0))),"",INDEX(Release[Release],MATCH($A172,Release[Requirement ID],0))),"")</f>
        <v/>
      </c>
      <c r="L171" s="124" t="n"/>
      <c r="M171" s="124" t="n"/>
      <c r="N171" s="124" t="n"/>
      <c r="O171" s="92">
        <f>IF($N172="","","https://smartship.atlassian.net/browse/"&amp;$N172)</f>
        <v/>
      </c>
      <c r="P171" s="92">
        <f>IFERROR(VALUE(MID($A172,5,4)),0)</f>
        <v/>
      </c>
      <c r="Q171" s="92">
        <f>IF(B172="","","NEW-"&amp;TEXT(MAX($P$2:$P171,Lists!$N$2)+1,"0000"))</f>
        <v/>
      </c>
    </row>
    <row r="172" ht="15" customHeight="1" s="93">
      <c r="A172" s="123">
        <f>IF(AND(B173="",C173="",D173="",E173="",F173="",G173="",H173="",J173="",L173="",M173="",N173=""),"",Q173)</f>
        <v/>
      </c>
      <c r="B172" s="124" t="n"/>
      <c r="C172" s="124" t="n"/>
      <c r="D172" s="124" t="n"/>
      <c r="E172" s="124" t="n"/>
      <c r="F172" s="124" t="n"/>
      <c r="G172" s="124" t="n"/>
      <c r="H172" s="124" t="n"/>
      <c r="I172" s="92">
        <f>IF($A173="","",IFERROR(IF(ISBLANK(INDEX(SprintPlanning[Sprint],MATCH($A173,SprintPlanning[Requirement ID],0))),"To Plan",INDEX(SprintPlanning[Sprint],MATCH($A173,SprintPlanning[Requirement ID],0))),"To Plan"))</f>
        <v/>
      </c>
      <c r="J172" s="124" t="n"/>
      <c r="K172" s="92">
        <f>IFERROR(IF(ISBLANK(INDEX(Release[Release],MATCH($A173,Release[Requirement ID],0))),"",INDEX(Release[Release],MATCH($A173,Release[Requirement ID],0))),"")</f>
        <v/>
      </c>
      <c r="L172" s="124" t="n"/>
      <c r="M172" s="124" t="n"/>
      <c r="N172" s="124" t="n"/>
      <c r="O172" s="92">
        <f>IF($N173="","","https://smartship.atlassian.net/browse/"&amp;$N173)</f>
        <v/>
      </c>
      <c r="P172" s="92">
        <f>IFERROR(VALUE(MID($A173,5,4)),0)</f>
        <v/>
      </c>
      <c r="Q172" s="92">
        <f>IF(B173="","","NEW-"&amp;TEXT(MAX($P$2:$P172,Lists!$N$2)+1,"0000"))</f>
        <v/>
      </c>
    </row>
    <row r="173" ht="15" customHeight="1" s="93">
      <c r="A173" s="123">
        <f>IF(AND(B174="",C174="",D174="",E174="",F174="",G174="",H174="",J174="",L174="",M174="",N174=""),"",Q174)</f>
        <v/>
      </c>
      <c r="B173" s="124" t="n"/>
      <c r="C173" s="124" t="n"/>
      <c r="D173" s="124" t="n"/>
      <c r="E173" s="124" t="n"/>
      <c r="F173" s="124" t="n"/>
      <c r="G173" s="124" t="n"/>
      <c r="H173" s="124" t="n"/>
      <c r="I173" s="92">
        <f>IF($A174="","",IFERROR(IF(ISBLANK(INDEX(SprintPlanning[Sprint],MATCH($A174,SprintPlanning[Requirement ID],0))),"To Plan",INDEX(SprintPlanning[Sprint],MATCH($A174,SprintPlanning[Requirement ID],0))),"To Plan"))</f>
        <v/>
      </c>
      <c r="J173" s="124" t="n"/>
      <c r="K173" s="92">
        <f>IFERROR(IF(ISBLANK(INDEX(Release[Release],MATCH($A174,Release[Requirement ID],0))),"",INDEX(Release[Release],MATCH($A174,Release[Requirement ID],0))),"")</f>
        <v/>
      </c>
      <c r="L173" s="124" t="n"/>
      <c r="M173" s="124" t="n"/>
      <c r="N173" s="124" t="n"/>
      <c r="O173" s="92">
        <f>IF($N174="","","https://smartship.atlassian.net/browse/"&amp;$N174)</f>
        <v/>
      </c>
      <c r="P173" s="92">
        <f>IFERROR(VALUE(MID($A174,5,4)),0)</f>
        <v/>
      </c>
      <c r="Q173" s="92">
        <f>IF(B174="","","NEW-"&amp;TEXT(MAX($P$2:$P173,Lists!$N$2)+1,"0000"))</f>
        <v/>
      </c>
    </row>
    <row r="174" ht="15" customHeight="1" s="93">
      <c r="A174" s="123">
        <f>IF(AND(B175="",C175="",D175="",E175="",F175="",G175="",H175="",J175="",L175="",M175="",N175=""),"",Q175)</f>
        <v/>
      </c>
      <c r="B174" s="124" t="n"/>
      <c r="C174" s="124" t="n"/>
      <c r="D174" s="124" t="n"/>
      <c r="E174" s="124" t="n"/>
      <c r="F174" s="124" t="n"/>
      <c r="G174" s="124" t="n"/>
      <c r="H174" s="124" t="n"/>
      <c r="I174" s="92">
        <f>IF($A175="","",IFERROR(IF(ISBLANK(INDEX(SprintPlanning[Sprint],MATCH($A175,SprintPlanning[Requirement ID],0))),"To Plan",INDEX(SprintPlanning[Sprint],MATCH($A175,SprintPlanning[Requirement ID],0))),"To Plan"))</f>
        <v/>
      </c>
      <c r="J174" s="124" t="n"/>
      <c r="K174" s="92">
        <f>IFERROR(IF(ISBLANK(INDEX(Release[Release],MATCH($A175,Release[Requirement ID],0))),"",INDEX(Release[Release],MATCH($A175,Release[Requirement ID],0))),"")</f>
        <v/>
      </c>
      <c r="L174" s="124" t="n"/>
      <c r="M174" s="124" t="n"/>
      <c r="N174" s="124" t="n"/>
      <c r="O174" s="92">
        <f>IF($N175="","","https://smartship.atlassian.net/browse/"&amp;$N175)</f>
        <v/>
      </c>
      <c r="P174" s="92">
        <f>IFERROR(VALUE(MID($A175,5,4)),0)</f>
        <v/>
      </c>
      <c r="Q174" s="92">
        <f>IF(B175="","","NEW-"&amp;TEXT(MAX($P$2:$P174,Lists!$N$2)+1,"0000"))</f>
        <v/>
      </c>
    </row>
    <row r="175" ht="15" customHeight="1" s="93">
      <c r="A175" s="123">
        <f>IF(AND(B176="",C176="",D176="",E176="",F176="",G176="",H176="",J176="",L176="",M176="",N176=""),"",Q176)</f>
        <v/>
      </c>
      <c r="B175" s="124" t="n"/>
      <c r="C175" s="124" t="n"/>
      <c r="D175" s="124" t="n"/>
      <c r="E175" s="124" t="n"/>
      <c r="F175" s="124" t="n"/>
      <c r="G175" s="124" t="n"/>
      <c r="H175" s="124" t="n"/>
      <c r="I175" s="92">
        <f>IF($A176="","",IFERROR(IF(ISBLANK(INDEX(SprintPlanning[Sprint],MATCH($A176,SprintPlanning[Requirement ID],0))),"To Plan",INDEX(SprintPlanning[Sprint],MATCH($A176,SprintPlanning[Requirement ID],0))),"To Plan"))</f>
        <v/>
      </c>
      <c r="J175" s="124" t="n"/>
      <c r="K175" s="92">
        <f>IFERROR(IF(ISBLANK(INDEX(Release[Release],MATCH($A176,Release[Requirement ID],0))),"",INDEX(Release[Release],MATCH($A176,Release[Requirement ID],0))),"")</f>
        <v/>
      </c>
      <c r="L175" s="124" t="n"/>
      <c r="M175" s="124" t="n"/>
      <c r="N175" s="124" t="n"/>
      <c r="O175" s="92">
        <f>IF($N176="","","https://smartship.atlassian.net/browse/"&amp;$N176)</f>
        <v/>
      </c>
      <c r="P175" s="92">
        <f>IFERROR(VALUE(MID($A176,5,4)),0)</f>
        <v/>
      </c>
      <c r="Q175" s="92">
        <f>IF(B176="","","NEW-"&amp;TEXT(MAX($P$2:$P175,Lists!$N$2)+1,"0000"))</f>
        <v/>
      </c>
    </row>
    <row r="176" ht="15" customHeight="1" s="93">
      <c r="A176" s="123">
        <f>IF(AND(B177="",C177="",D177="",E177="",F177="",G177="",H177="",J177="",L177="",M177="",N177=""),"",Q177)</f>
        <v/>
      </c>
      <c r="B176" s="124" t="n"/>
      <c r="C176" s="124" t="n"/>
      <c r="D176" s="124" t="n"/>
      <c r="E176" s="124" t="n"/>
      <c r="F176" s="124" t="n"/>
      <c r="G176" s="124" t="n"/>
      <c r="H176" s="124" t="n"/>
      <c r="I176" s="92">
        <f>IF($A177="","",IFERROR(IF(ISBLANK(INDEX(SprintPlanning[Sprint],MATCH($A177,SprintPlanning[Requirement ID],0))),"To Plan",INDEX(SprintPlanning[Sprint],MATCH($A177,SprintPlanning[Requirement ID],0))),"To Plan"))</f>
        <v/>
      </c>
      <c r="J176" s="124" t="n"/>
      <c r="K176" s="92">
        <f>IFERROR(IF(ISBLANK(INDEX(Release[Release],MATCH($A177,Release[Requirement ID],0))),"",INDEX(Release[Release],MATCH($A177,Release[Requirement ID],0))),"")</f>
        <v/>
      </c>
      <c r="L176" s="124" t="n"/>
      <c r="M176" s="124" t="n"/>
      <c r="N176" s="124" t="n"/>
      <c r="O176" s="92">
        <f>IF($N177="","","https://smartship.atlassian.net/browse/"&amp;$N177)</f>
        <v/>
      </c>
      <c r="P176" s="92">
        <f>IFERROR(VALUE(MID($A177,5,4)),0)</f>
        <v/>
      </c>
      <c r="Q176" s="92">
        <f>IF(B177="","","NEW-"&amp;TEXT(MAX($P$2:$P176,Lists!$N$2)+1,"0000"))</f>
        <v/>
      </c>
    </row>
    <row r="177" ht="15" customHeight="1" s="93">
      <c r="A177" s="123">
        <f>IF(AND(B178="",C178="",D178="",E178="",F178="",G178="",H178="",J178="",L178="",M178="",N178=""),"",Q178)</f>
        <v/>
      </c>
      <c r="B177" s="124" t="n"/>
      <c r="C177" s="124" t="n"/>
      <c r="D177" s="124" t="n"/>
      <c r="E177" s="124" t="n"/>
      <c r="F177" s="124" t="n"/>
      <c r="G177" s="124" t="n"/>
      <c r="H177" s="124" t="n"/>
      <c r="I177" s="92">
        <f>IF($A178="","",IFERROR(IF(ISBLANK(INDEX(SprintPlanning[Sprint],MATCH($A178,SprintPlanning[Requirement ID],0))),"To Plan",INDEX(SprintPlanning[Sprint],MATCH($A178,SprintPlanning[Requirement ID],0))),"To Plan"))</f>
        <v/>
      </c>
      <c r="J177" s="124" t="n"/>
      <c r="K177" s="92">
        <f>IFERROR(IF(ISBLANK(INDEX(Release[Release],MATCH($A178,Release[Requirement ID],0))),"",INDEX(Release[Release],MATCH($A178,Release[Requirement ID],0))),"")</f>
        <v/>
      </c>
      <c r="L177" s="124" t="n"/>
      <c r="M177" s="124" t="n"/>
      <c r="N177" s="124" t="n"/>
      <c r="O177" s="92">
        <f>IF($N178="","","https://smartship.atlassian.net/browse/"&amp;$N178)</f>
        <v/>
      </c>
      <c r="P177" s="92">
        <f>IFERROR(VALUE(MID($A178,5,4)),0)</f>
        <v/>
      </c>
      <c r="Q177" s="92">
        <f>IF(B178="","","NEW-"&amp;TEXT(MAX($P$2:$P177,Lists!$N$2)+1,"0000"))</f>
        <v/>
      </c>
    </row>
    <row r="178" ht="15" customHeight="1" s="93">
      <c r="A178" s="123">
        <f>IF(AND(B179="",C179="",D179="",E179="",F179="",G179="",H179="",J179="",L179="",M179="",N179=""),"",Q179)</f>
        <v/>
      </c>
      <c r="B178" s="124" t="n"/>
      <c r="C178" s="124" t="n"/>
      <c r="D178" s="124" t="n"/>
      <c r="E178" s="124" t="n"/>
      <c r="F178" s="124" t="n"/>
      <c r="G178" s="124" t="n"/>
      <c r="H178" s="124" t="n"/>
      <c r="I178" s="92">
        <f>IF($A179="","",IFERROR(IF(ISBLANK(INDEX(SprintPlanning[Sprint],MATCH($A179,SprintPlanning[Requirement ID],0))),"To Plan",INDEX(SprintPlanning[Sprint],MATCH($A179,SprintPlanning[Requirement ID],0))),"To Plan"))</f>
        <v/>
      </c>
      <c r="J178" s="124" t="n"/>
      <c r="K178" s="92">
        <f>IFERROR(IF(ISBLANK(INDEX(Release[Release],MATCH($A179,Release[Requirement ID],0))),"",INDEX(Release[Release],MATCH($A179,Release[Requirement ID],0))),"")</f>
        <v/>
      </c>
      <c r="L178" s="124" t="n"/>
      <c r="M178" s="124" t="n"/>
      <c r="N178" s="124" t="n"/>
      <c r="O178" s="92">
        <f>IF($N179="","","https://smartship.atlassian.net/browse/"&amp;$N179)</f>
        <v/>
      </c>
      <c r="P178" s="92">
        <f>IFERROR(VALUE(MID($A179,5,4)),0)</f>
        <v/>
      </c>
      <c r="Q178" s="92">
        <f>IF(B179="","","NEW-"&amp;TEXT(MAX($P$2:$P178,Lists!$N$2)+1,"0000"))</f>
        <v/>
      </c>
    </row>
    <row r="179" ht="15" customHeight="1" s="93">
      <c r="A179" s="123">
        <f>IF(AND(B180="",C180="",D180="",E180="",F180="",G180="",H180="",J180="",L180="",M180="",N180=""),"",Q180)</f>
        <v/>
      </c>
      <c r="B179" s="124" t="n"/>
      <c r="C179" s="124" t="n"/>
      <c r="D179" s="124" t="n"/>
      <c r="E179" s="124" t="n"/>
      <c r="F179" s="124" t="n"/>
      <c r="G179" s="124" t="n"/>
      <c r="H179" s="124" t="n"/>
      <c r="I179" s="92">
        <f>IF($A180="","",IFERROR(IF(ISBLANK(INDEX(SprintPlanning[Sprint],MATCH($A180,SprintPlanning[Requirement ID],0))),"To Plan",INDEX(SprintPlanning[Sprint],MATCH($A180,SprintPlanning[Requirement ID],0))),"To Plan"))</f>
        <v/>
      </c>
      <c r="J179" s="124" t="n"/>
      <c r="K179" s="92">
        <f>IFERROR(IF(ISBLANK(INDEX(Release[Release],MATCH($A180,Release[Requirement ID],0))),"",INDEX(Release[Release],MATCH($A180,Release[Requirement ID],0))),"")</f>
        <v/>
      </c>
      <c r="L179" s="124" t="n"/>
      <c r="M179" s="124" t="n"/>
      <c r="N179" s="124" t="n"/>
      <c r="O179" s="92">
        <f>IF($N180="","","https://smartship.atlassian.net/browse/"&amp;$N180)</f>
        <v/>
      </c>
      <c r="P179" s="92">
        <f>IFERROR(VALUE(MID($A180,5,4)),0)</f>
        <v/>
      </c>
      <c r="Q179" s="92">
        <f>IF(B180="","","NEW-"&amp;TEXT(MAX($P$2:$P179,Lists!$N$2)+1,"0000"))</f>
        <v/>
      </c>
    </row>
    <row r="180" ht="15" customHeight="1" s="93">
      <c r="A180" s="123">
        <f>IF(AND(B181="",C181="",D181="",E181="",F181="",G181="",H181="",J181="",L181="",M181="",N181=""),"",Q181)</f>
        <v/>
      </c>
      <c r="B180" s="124" t="n"/>
      <c r="C180" s="124" t="n"/>
      <c r="D180" s="124" t="n"/>
      <c r="E180" s="124" t="n"/>
      <c r="F180" s="124" t="n"/>
      <c r="G180" s="124" t="n"/>
      <c r="H180" s="124" t="n"/>
      <c r="I180" s="92">
        <f>IF($A181="","",IFERROR(IF(ISBLANK(INDEX(SprintPlanning[Sprint],MATCH($A181,SprintPlanning[Requirement ID],0))),"To Plan",INDEX(SprintPlanning[Sprint],MATCH($A181,SprintPlanning[Requirement ID],0))),"To Plan"))</f>
        <v/>
      </c>
      <c r="J180" s="124" t="n"/>
      <c r="K180" s="92">
        <f>IFERROR(IF(ISBLANK(INDEX(Release[Release],MATCH($A181,Release[Requirement ID],0))),"",INDEX(Release[Release],MATCH($A181,Release[Requirement ID],0))),"")</f>
        <v/>
      </c>
      <c r="L180" s="124" t="n"/>
      <c r="M180" s="124" t="n"/>
      <c r="N180" s="124" t="n"/>
      <c r="O180" s="92">
        <f>IF($N181="","","https://smartship.atlassian.net/browse/"&amp;$N181)</f>
        <v/>
      </c>
      <c r="P180" s="92">
        <f>IFERROR(VALUE(MID($A181,5,4)),0)</f>
        <v/>
      </c>
      <c r="Q180" s="92">
        <f>IF(B181="","","NEW-"&amp;TEXT(MAX($P$2:$P180,Lists!$N$2)+1,"0000"))</f>
        <v/>
      </c>
    </row>
    <row r="181" ht="15" customHeight="1" s="93">
      <c r="A181" s="123">
        <f>IF(AND(B182="",C182="",D182="",E182="",F182="",G182="",H182="",J182="",L182="",M182="",N182=""),"",Q182)</f>
        <v/>
      </c>
      <c r="B181" s="124" t="n"/>
      <c r="C181" s="124" t="n"/>
      <c r="D181" s="124" t="n"/>
      <c r="E181" s="124" t="n"/>
      <c r="F181" s="124" t="n"/>
      <c r="G181" s="124" t="n"/>
      <c r="H181" s="124" t="n"/>
      <c r="I181" s="92">
        <f>IF($A182="","",IFERROR(IF(ISBLANK(INDEX(SprintPlanning[Sprint],MATCH($A182,SprintPlanning[Requirement ID],0))),"To Plan",INDEX(SprintPlanning[Sprint],MATCH($A182,SprintPlanning[Requirement ID],0))),"To Plan"))</f>
        <v/>
      </c>
      <c r="J181" s="124" t="n"/>
      <c r="K181" s="92">
        <f>IFERROR(IF(ISBLANK(INDEX(Release[Release],MATCH($A182,Release[Requirement ID],0))),"",INDEX(Release[Release],MATCH($A182,Release[Requirement ID],0))),"")</f>
        <v/>
      </c>
      <c r="L181" s="124" t="n"/>
      <c r="M181" s="124" t="n"/>
      <c r="N181" s="124" t="n"/>
      <c r="O181" s="92">
        <f>IF($N182="","","https://smartship.atlassian.net/browse/"&amp;$N182)</f>
        <v/>
      </c>
      <c r="P181" s="92">
        <f>IFERROR(VALUE(MID($A182,5,4)),0)</f>
        <v/>
      </c>
      <c r="Q181" s="92">
        <f>IF(B182="","","NEW-"&amp;TEXT(MAX($P$2:$P181,Lists!$N$2)+1,"0000"))</f>
        <v/>
      </c>
    </row>
    <row r="182" ht="15" customHeight="1" s="93">
      <c r="A182" s="123">
        <f>IF(AND(B183="",C183="",D183="",E183="",F183="",G183="",H183="",J183="",L183="",M183="",N183=""),"",Q183)</f>
        <v/>
      </c>
      <c r="B182" s="124" t="n"/>
      <c r="C182" s="124" t="n"/>
      <c r="D182" s="124" t="n"/>
      <c r="E182" s="124" t="n"/>
      <c r="F182" s="124" t="n"/>
      <c r="G182" s="124" t="n"/>
      <c r="H182" s="124" t="n"/>
      <c r="I182" s="92">
        <f>IF($A183="","",IFERROR(IF(ISBLANK(INDEX(SprintPlanning[Sprint],MATCH($A183,SprintPlanning[Requirement ID],0))),"To Plan",INDEX(SprintPlanning[Sprint],MATCH($A183,SprintPlanning[Requirement ID],0))),"To Plan"))</f>
        <v/>
      </c>
      <c r="J182" s="124" t="n"/>
      <c r="K182" s="92">
        <f>IFERROR(IF(ISBLANK(INDEX(Release[Release],MATCH($A183,Release[Requirement ID],0))),"",INDEX(Release[Release],MATCH($A183,Release[Requirement ID],0))),"")</f>
        <v/>
      </c>
      <c r="L182" s="124" t="n"/>
      <c r="M182" s="124" t="n"/>
      <c r="N182" s="124" t="n"/>
      <c r="O182" s="92">
        <f>IF($N183="","","https://smartship.atlassian.net/browse/"&amp;$N183)</f>
        <v/>
      </c>
      <c r="P182" s="92">
        <f>IFERROR(VALUE(MID($A183,5,4)),0)</f>
        <v/>
      </c>
      <c r="Q182" s="92">
        <f>IF(B183="","","NEW-"&amp;TEXT(MAX($P$2:$P182,Lists!$N$2)+1,"0000"))</f>
        <v/>
      </c>
    </row>
    <row r="183" ht="15" customHeight="1" s="93">
      <c r="A183" s="123">
        <f>IF(AND(B184="",C184="",D184="",E184="",F184="",G184="",H184="",J184="",L184="",M184="",N184=""),"",Q184)</f>
        <v/>
      </c>
      <c r="B183" s="124" t="n"/>
      <c r="C183" s="124" t="n"/>
      <c r="D183" s="124" t="n"/>
      <c r="E183" s="124" t="n"/>
      <c r="F183" s="124" t="n"/>
      <c r="G183" s="124" t="n"/>
      <c r="H183" s="124" t="n"/>
      <c r="I183" s="92">
        <f>IF($A184="","",IFERROR(IF(ISBLANK(INDEX(SprintPlanning[Sprint],MATCH($A184,SprintPlanning[Requirement ID],0))),"To Plan",INDEX(SprintPlanning[Sprint],MATCH($A184,SprintPlanning[Requirement ID],0))),"To Plan"))</f>
        <v/>
      </c>
      <c r="J183" s="124" t="n"/>
      <c r="K183" s="92">
        <f>IFERROR(IF(ISBLANK(INDEX(Release[Release],MATCH($A184,Release[Requirement ID],0))),"",INDEX(Release[Release],MATCH($A184,Release[Requirement ID],0))),"")</f>
        <v/>
      </c>
      <c r="L183" s="124" t="n"/>
      <c r="M183" s="124" t="n"/>
      <c r="N183" s="124" t="n"/>
      <c r="O183" s="92">
        <f>IF($N184="","","https://smartship.atlassian.net/browse/"&amp;$N184)</f>
        <v/>
      </c>
      <c r="P183" s="92">
        <f>IFERROR(VALUE(MID($A184,5,4)),0)</f>
        <v/>
      </c>
      <c r="Q183" s="92">
        <f>IF(B184="","","NEW-"&amp;TEXT(MAX($P$2:$P183,Lists!$N$2)+1,"0000"))</f>
        <v/>
      </c>
    </row>
    <row r="184" ht="15" customHeight="1" s="93">
      <c r="A184" s="123">
        <f>IF(AND(B185="",C185="",D185="",E185="",F185="",G185="",H185="",J185="",L185="",M185="",N185=""),"",Q185)</f>
        <v/>
      </c>
      <c r="B184" s="124" t="n"/>
      <c r="C184" s="124" t="n"/>
      <c r="D184" s="124" t="n"/>
      <c r="E184" s="124" t="n"/>
      <c r="F184" s="124" t="n"/>
      <c r="G184" s="124" t="n"/>
      <c r="H184" s="124" t="n"/>
      <c r="I184" s="92">
        <f>IF($A185="","",IFERROR(IF(ISBLANK(INDEX(SprintPlanning[Sprint],MATCH($A185,SprintPlanning[Requirement ID],0))),"To Plan",INDEX(SprintPlanning[Sprint],MATCH($A185,SprintPlanning[Requirement ID],0))),"To Plan"))</f>
        <v/>
      </c>
      <c r="J184" s="124" t="n"/>
      <c r="K184" s="92">
        <f>IFERROR(IF(ISBLANK(INDEX(Release[Release],MATCH($A185,Release[Requirement ID],0))),"",INDEX(Release[Release],MATCH($A185,Release[Requirement ID],0))),"")</f>
        <v/>
      </c>
      <c r="L184" s="124" t="n"/>
      <c r="M184" s="124" t="n"/>
      <c r="N184" s="124" t="n"/>
      <c r="O184" s="92">
        <f>IF($N185="","","https://smartship.atlassian.net/browse/"&amp;$N185)</f>
        <v/>
      </c>
      <c r="P184" s="92">
        <f>IFERROR(VALUE(MID($A185,5,4)),0)</f>
        <v/>
      </c>
      <c r="Q184" s="92">
        <f>IF(B185="","","NEW-"&amp;TEXT(MAX($P$2:$P184,Lists!$N$2)+1,"0000"))</f>
        <v/>
      </c>
    </row>
    <row r="185" ht="15" customHeight="1" s="93">
      <c r="A185" s="123">
        <f>IF(AND(B186="",C186="",D186="",E186="",F186="",G186="",H186="",J186="",L186="",M186="",N186=""),"",Q186)</f>
        <v/>
      </c>
      <c r="B185" s="124" t="n"/>
      <c r="C185" s="124" t="n"/>
      <c r="D185" s="124" t="n"/>
      <c r="E185" s="124" t="n"/>
      <c r="F185" s="124" t="n"/>
      <c r="G185" s="124" t="n"/>
      <c r="H185" s="124" t="n"/>
      <c r="I185" s="92">
        <f>IF($A186="","",IFERROR(IF(ISBLANK(INDEX(SprintPlanning[Sprint],MATCH($A186,SprintPlanning[Requirement ID],0))),"To Plan",INDEX(SprintPlanning[Sprint],MATCH($A186,SprintPlanning[Requirement ID],0))),"To Plan"))</f>
        <v/>
      </c>
      <c r="J185" s="124" t="n"/>
      <c r="K185" s="92">
        <f>IFERROR(IF(ISBLANK(INDEX(Release[Release],MATCH($A186,Release[Requirement ID],0))),"",INDEX(Release[Release],MATCH($A186,Release[Requirement ID],0))),"")</f>
        <v/>
      </c>
      <c r="L185" s="124" t="n"/>
      <c r="M185" s="124" t="n"/>
      <c r="N185" s="124" t="n"/>
      <c r="O185" s="92">
        <f>IF($N186="","","https://smartship.atlassian.net/browse/"&amp;$N186)</f>
        <v/>
      </c>
      <c r="P185" s="92">
        <f>IFERROR(VALUE(MID($A186,5,4)),0)</f>
        <v/>
      </c>
      <c r="Q185" s="92">
        <f>IF(B186="","","NEW-"&amp;TEXT(MAX($P$2:$P185,Lists!$N$2)+1,"0000"))</f>
        <v/>
      </c>
    </row>
    <row r="186" ht="15" customHeight="1" s="93">
      <c r="A186" s="123">
        <f>IF(AND(B187="",C187="",D187="",E187="",F187="",G187="",H187="",J187="",L187="",M187="",N187=""),"",Q187)</f>
        <v/>
      </c>
      <c r="B186" s="124" t="n"/>
      <c r="C186" s="124" t="n"/>
      <c r="D186" s="124" t="n"/>
      <c r="E186" s="124" t="n"/>
      <c r="F186" s="124" t="n"/>
      <c r="G186" s="124" t="n"/>
      <c r="H186" s="124" t="n"/>
      <c r="I186" s="92">
        <f>IF($A187="","",IFERROR(IF(ISBLANK(INDEX(SprintPlanning[Sprint],MATCH($A187,SprintPlanning[Requirement ID],0))),"To Plan",INDEX(SprintPlanning[Sprint],MATCH($A187,SprintPlanning[Requirement ID],0))),"To Plan"))</f>
        <v/>
      </c>
      <c r="J186" s="124" t="n"/>
      <c r="K186" s="92">
        <f>IFERROR(IF(ISBLANK(INDEX(Release[Release],MATCH($A187,Release[Requirement ID],0))),"",INDEX(Release[Release],MATCH($A187,Release[Requirement ID],0))),"")</f>
        <v/>
      </c>
      <c r="L186" s="124" t="n"/>
      <c r="M186" s="124" t="n"/>
      <c r="N186" s="124" t="n"/>
      <c r="O186" s="92">
        <f>IF($N187="","","https://smartship.atlassian.net/browse/"&amp;$N187)</f>
        <v/>
      </c>
      <c r="P186" s="92">
        <f>IFERROR(VALUE(MID($A187,5,4)),0)</f>
        <v/>
      </c>
      <c r="Q186" s="92">
        <f>IF(B187="","","NEW-"&amp;TEXT(MAX($P$2:$P186,Lists!$N$2)+1,"0000"))</f>
        <v/>
      </c>
    </row>
    <row r="187" ht="15" customHeight="1" s="93">
      <c r="A187" s="123">
        <f>IF(AND(B188="",C188="",D188="",E188="",F188="",G188="",H188="",J188="",L188="",M188="",N188=""),"",Q188)</f>
        <v/>
      </c>
      <c r="B187" s="124" t="n"/>
      <c r="C187" s="124" t="n"/>
      <c r="D187" s="124" t="n"/>
      <c r="E187" s="124" t="n"/>
      <c r="F187" s="124" t="n"/>
      <c r="G187" s="124" t="n"/>
      <c r="H187" s="124" t="n"/>
      <c r="I187" s="92">
        <f>IF($A188="","",IFERROR(IF(ISBLANK(INDEX(SprintPlanning[Sprint],MATCH($A188,SprintPlanning[Requirement ID],0))),"To Plan",INDEX(SprintPlanning[Sprint],MATCH($A188,SprintPlanning[Requirement ID],0))),"To Plan"))</f>
        <v/>
      </c>
      <c r="J187" s="124" t="n"/>
      <c r="K187" s="92">
        <f>IFERROR(IF(ISBLANK(INDEX(Release[Release],MATCH($A188,Release[Requirement ID],0))),"",INDEX(Release[Release],MATCH($A188,Release[Requirement ID],0))),"")</f>
        <v/>
      </c>
      <c r="L187" s="124" t="n"/>
      <c r="M187" s="124" t="n"/>
      <c r="N187" s="124" t="n"/>
      <c r="O187" s="92">
        <f>IF($N188="","","https://smartship.atlassian.net/browse/"&amp;$N188)</f>
        <v/>
      </c>
      <c r="P187" s="92">
        <f>IFERROR(VALUE(MID($A188,5,4)),0)</f>
        <v/>
      </c>
      <c r="Q187" s="92">
        <f>IF(B188="","","NEW-"&amp;TEXT(MAX($P$2:$P187,Lists!$N$2)+1,"0000"))</f>
        <v/>
      </c>
    </row>
    <row r="188" ht="15" customHeight="1" s="93">
      <c r="A188" s="123">
        <f>IF(AND(B189="",C189="",D189="",E189="",F189="",G189="",H189="",J189="",L189="",M189="",N189=""),"",Q189)</f>
        <v/>
      </c>
      <c r="B188" s="124" t="n"/>
      <c r="C188" s="124" t="n"/>
      <c r="D188" s="124" t="n"/>
      <c r="E188" s="124" t="n"/>
      <c r="F188" s="124" t="n"/>
      <c r="G188" s="124" t="n"/>
      <c r="H188" s="124" t="n"/>
      <c r="I188" s="92">
        <f>IF($A189="","",IFERROR(IF(ISBLANK(INDEX(SprintPlanning[Sprint],MATCH($A189,SprintPlanning[Requirement ID],0))),"To Plan",INDEX(SprintPlanning[Sprint],MATCH($A189,SprintPlanning[Requirement ID],0))),"To Plan"))</f>
        <v/>
      </c>
      <c r="J188" s="124" t="n"/>
      <c r="K188" s="92">
        <f>IFERROR(IF(ISBLANK(INDEX(Release[Release],MATCH($A189,Release[Requirement ID],0))),"",INDEX(Release[Release],MATCH($A189,Release[Requirement ID],0))),"")</f>
        <v/>
      </c>
      <c r="L188" s="124" t="n"/>
      <c r="M188" s="124" t="n"/>
      <c r="N188" s="124" t="n"/>
      <c r="O188" s="92">
        <f>IF($N189="","","https://smartship.atlassian.net/browse/"&amp;$N189)</f>
        <v/>
      </c>
      <c r="P188" s="92">
        <f>IFERROR(VALUE(MID($A189,5,4)),0)</f>
        <v/>
      </c>
      <c r="Q188" s="92">
        <f>IF(B189="","","NEW-"&amp;TEXT(MAX($P$2:$P188,Lists!$N$2)+1,"0000"))</f>
        <v/>
      </c>
    </row>
    <row r="189" ht="15" customHeight="1" s="93">
      <c r="A189" s="123">
        <f>IF(AND(B190="",C190="",D190="",E190="",F190="",G190="",H190="",J190="",L190="",M190="",N190=""),"",Q190)</f>
        <v/>
      </c>
      <c r="B189" s="124" t="n"/>
      <c r="C189" s="124" t="n"/>
      <c r="D189" s="124" t="n"/>
      <c r="E189" s="124" t="n"/>
      <c r="F189" s="124" t="n"/>
      <c r="G189" s="124" t="n"/>
      <c r="H189" s="124" t="n"/>
      <c r="I189" s="92">
        <f>IF($A190="","",IFERROR(IF(ISBLANK(INDEX(SprintPlanning[Sprint],MATCH($A190,SprintPlanning[Requirement ID],0))),"To Plan",INDEX(SprintPlanning[Sprint],MATCH($A190,SprintPlanning[Requirement ID],0))),"To Plan"))</f>
        <v/>
      </c>
      <c r="J189" s="124" t="n"/>
      <c r="K189" s="92">
        <f>IFERROR(IF(ISBLANK(INDEX(Release[Release],MATCH($A190,Release[Requirement ID],0))),"",INDEX(Release[Release],MATCH($A190,Release[Requirement ID],0))),"")</f>
        <v/>
      </c>
      <c r="L189" s="124" t="n"/>
      <c r="M189" s="124" t="n"/>
      <c r="N189" s="124" t="n"/>
      <c r="O189" s="92">
        <f>IF($N190="","","https://smartship.atlassian.net/browse/"&amp;$N190)</f>
        <v/>
      </c>
      <c r="P189" s="92">
        <f>IFERROR(VALUE(MID($A190,5,4)),0)</f>
        <v/>
      </c>
      <c r="Q189" s="92">
        <f>IF(B190="","","NEW-"&amp;TEXT(MAX($P$2:$P189,Lists!$N$2)+1,"0000"))</f>
        <v/>
      </c>
    </row>
    <row r="190" ht="15" customHeight="1" s="93">
      <c r="A190" s="123">
        <f>IF(AND(B191="",C191="",D191="",E191="",F191="",G191="",H191="",J191="",L191="",M191="",N191=""),"",Q191)</f>
        <v/>
      </c>
      <c r="B190" s="124" t="n"/>
      <c r="C190" s="124" t="n"/>
      <c r="D190" s="124" t="n"/>
      <c r="E190" s="124" t="n"/>
      <c r="F190" s="124" t="n"/>
      <c r="G190" s="124" t="n"/>
      <c r="H190" s="124" t="n"/>
      <c r="I190" s="92">
        <f>IF($A191="","",IFERROR(IF(ISBLANK(INDEX(SprintPlanning[Sprint],MATCH($A191,SprintPlanning[Requirement ID],0))),"To Plan",INDEX(SprintPlanning[Sprint],MATCH($A191,SprintPlanning[Requirement ID],0))),"To Plan"))</f>
        <v/>
      </c>
      <c r="J190" s="124" t="n"/>
      <c r="K190" s="92">
        <f>IFERROR(IF(ISBLANK(INDEX(Release[Release],MATCH($A191,Release[Requirement ID],0))),"",INDEX(Release[Release],MATCH($A191,Release[Requirement ID],0))),"")</f>
        <v/>
      </c>
      <c r="L190" s="124" t="n"/>
      <c r="M190" s="124" t="n"/>
      <c r="N190" s="124" t="n"/>
      <c r="O190" s="92">
        <f>IF($N191="","","https://smartship.atlassian.net/browse/"&amp;$N191)</f>
        <v/>
      </c>
      <c r="P190" s="92">
        <f>IFERROR(VALUE(MID($A191,5,4)),0)</f>
        <v/>
      </c>
      <c r="Q190" s="92">
        <f>IF(B191="","","NEW-"&amp;TEXT(MAX($P$2:$P190,Lists!$N$2)+1,"0000"))</f>
        <v/>
      </c>
    </row>
    <row r="191" ht="15" customHeight="1" s="93">
      <c r="A191" s="123">
        <f>IF(AND(B192="",C192="",D192="",E192="",F192="",G192="",H192="",J192="",L192="",M192="",N192=""),"",Q192)</f>
        <v/>
      </c>
      <c r="B191" s="124" t="n"/>
      <c r="C191" s="124" t="n"/>
      <c r="D191" s="124" t="n"/>
      <c r="E191" s="124" t="n"/>
      <c r="F191" s="124" t="n"/>
      <c r="G191" s="124" t="n"/>
      <c r="H191" s="124" t="n"/>
      <c r="I191" s="92">
        <f>IF($A192="","",IFERROR(IF(ISBLANK(INDEX(SprintPlanning[Sprint],MATCH($A192,SprintPlanning[Requirement ID],0))),"To Plan",INDEX(SprintPlanning[Sprint],MATCH($A192,SprintPlanning[Requirement ID],0))),"To Plan"))</f>
        <v/>
      </c>
      <c r="J191" s="124" t="n"/>
      <c r="K191" s="92">
        <f>IFERROR(IF(ISBLANK(INDEX(Release[Release],MATCH($A192,Release[Requirement ID],0))),"",INDEX(Release[Release],MATCH($A192,Release[Requirement ID],0))),"")</f>
        <v/>
      </c>
      <c r="L191" s="124" t="n"/>
      <c r="M191" s="124" t="n"/>
      <c r="N191" s="124" t="n"/>
      <c r="O191" s="92">
        <f>IF($N192="","","https://smartship.atlassian.net/browse/"&amp;$N192)</f>
        <v/>
      </c>
      <c r="P191" s="92">
        <f>IFERROR(VALUE(MID($A192,5,4)),0)</f>
        <v/>
      </c>
      <c r="Q191" s="92">
        <f>IF(B192="","","NEW-"&amp;TEXT(MAX($P$2:$P191,Lists!$N$2)+1,"0000"))</f>
        <v/>
      </c>
    </row>
    <row r="192" ht="15" customHeight="1" s="93">
      <c r="A192" s="123">
        <f>IF(AND(B193="",C193="",D193="",E193="",F193="",G193="",H193="",J193="",L193="",M193="",N193=""),"",Q193)</f>
        <v/>
      </c>
      <c r="B192" s="124" t="n"/>
      <c r="C192" s="124" t="n"/>
      <c r="D192" s="124" t="n"/>
      <c r="E192" s="124" t="n"/>
      <c r="F192" s="124" t="n"/>
      <c r="G192" s="124" t="n"/>
      <c r="H192" s="124" t="n"/>
      <c r="I192" s="92">
        <f>IF($A193="","",IFERROR(IF(ISBLANK(INDEX(SprintPlanning[Sprint],MATCH($A193,SprintPlanning[Requirement ID],0))),"To Plan",INDEX(SprintPlanning[Sprint],MATCH($A193,SprintPlanning[Requirement ID],0))),"To Plan"))</f>
        <v/>
      </c>
      <c r="J192" s="124" t="n"/>
      <c r="K192" s="92">
        <f>IFERROR(IF(ISBLANK(INDEX(Release[Release],MATCH($A193,Release[Requirement ID],0))),"",INDEX(Release[Release],MATCH($A193,Release[Requirement ID],0))),"")</f>
        <v/>
      </c>
      <c r="L192" s="124" t="n"/>
      <c r="M192" s="124" t="n"/>
      <c r="N192" s="124" t="n"/>
      <c r="O192" s="92">
        <f>IF($N193="","","https://smartship.atlassian.net/browse/"&amp;$N193)</f>
        <v/>
      </c>
      <c r="P192" s="92">
        <f>IFERROR(VALUE(MID($A193,5,4)),0)</f>
        <v/>
      </c>
      <c r="Q192" s="92">
        <f>IF(B193="","","NEW-"&amp;TEXT(MAX($P$2:$P192,Lists!$N$2)+1,"0000"))</f>
        <v/>
      </c>
    </row>
    <row r="193" ht="15" customHeight="1" s="93">
      <c r="A193" s="123">
        <f>IF(AND(B194="",C194="",D194="",E194="",F194="",G194="",H194="",J194="",L194="",M194="",N194=""),"",Q194)</f>
        <v/>
      </c>
      <c r="B193" s="124" t="n"/>
      <c r="C193" s="124" t="n"/>
      <c r="D193" s="124" t="n"/>
      <c r="E193" s="124" t="n"/>
      <c r="F193" s="124" t="n"/>
      <c r="G193" s="124" t="n"/>
      <c r="H193" s="124" t="n"/>
      <c r="I193" s="92">
        <f>IF($A194="","",IFERROR(IF(ISBLANK(INDEX(SprintPlanning[Sprint],MATCH($A194,SprintPlanning[Requirement ID],0))),"To Plan",INDEX(SprintPlanning[Sprint],MATCH($A194,SprintPlanning[Requirement ID],0))),"To Plan"))</f>
        <v/>
      </c>
      <c r="J193" s="124" t="n"/>
      <c r="K193" s="92">
        <f>IFERROR(IF(ISBLANK(INDEX(Release[Release],MATCH($A194,Release[Requirement ID],0))),"",INDEX(Release[Release],MATCH($A194,Release[Requirement ID],0))),"")</f>
        <v/>
      </c>
      <c r="L193" s="124" t="n"/>
      <c r="M193" s="124" t="n"/>
      <c r="N193" s="124" t="n"/>
      <c r="O193" s="92">
        <f>IF($N194="","","https://smartship.atlassian.net/browse/"&amp;$N194)</f>
        <v/>
      </c>
      <c r="P193" s="92">
        <f>IFERROR(VALUE(MID($A194,5,4)),0)</f>
        <v/>
      </c>
      <c r="Q193" s="92">
        <f>IF(B194="","","NEW-"&amp;TEXT(MAX($P$2:$P193,Lists!$N$2)+1,"0000"))</f>
        <v/>
      </c>
    </row>
    <row r="194" ht="15" customHeight="1" s="93">
      <c r="A194" s="123">
        <f>IF(AND(B195="",C195="",D195="",E195="",F195="",G195="",H195="",J195="",L195="",M195="",N195=""),"",Q195)</f>
        <v/>
      </c>
      <c r="B194" s="124" t="n"/>
      <c r="C194" s="124" t="n"/>
      <c r="D194" s="124" t="n"/>
      <c r="E194" s="124" t="n"/>
      <c r="F194" s="124" t="n"/>
      <c r="G194" s="124" t="n"/>
      <c r="H194" s="124" t="n"/>
      <c r="I194" s="92">
        <f>IF($A195="","",IFERROR(IF(ISBLANK(INDEX(SprintPlanning[Sprint],MATCH($A195,SprintPlanning[Requirement ID],0))),"To Plan",INDEX(SprintPlanning[Sprint],MATCH($A195,SprintPlanning[Requirement ID],0))),"To Plan"))</f>
        <v/>
      </c>
      <c r="J194" s="124" t="n"/>
      <c r="K194" s="92">
        <f>IFERROR(IF(ISBLANK(INDEX(Release[Release],MATCH($A195,Release[Requirement ID],0))),"",INDEX(Release[Release],MATCH($A195,Release[Requirement ID],0))),"")</f>
        <v/>
      </c>
      <c r="L194" s="124" t="n"/>
      <c r="M194" s="124" t="n"/>
      <c r="N194" s="124" t="n"/>
      <c r="O194" s="92">
        <f>IF($N195="","","https://smartship.atlassian.net/browse/"&amp;$N195)</f>
        <v/>
      </c>
      <c r="P194" s="92">
        <f>IFERROR(VALUE(MID($A195,5,4)),0)</f>
        <v/>
      </c>
      <c r="Q194" s="92">
        <f>IF(B195="","","NEW-"&amp;TEXT(MAX($P$2:$P194,Lists!$N$2)+1,"0000"))</f>
        <v/>
      </c>
    </row>
    <row r="195" ht="15" customHeight="1" s="93">
      <c r="A195" s="123">
        <f>IF(AND(B196="",C196="",D196="",E196="",F196="",G196="",H196="",J196="",L196="",M196="",N196=""),"",Q196)</f>
        <v/>
      </c>
      <c r="B195" s="124" t="n"/>
      <c r="C195" s="124" t="n"/>
      <c r="D195" s="124" t="n"/>
      <c r="E195" s="124" t="n"/>
      <c r="F195" s="124" t="n"/>
      <c r="G195" s="124" t="n"/>
      <c r="H195" s="124" t="n"/>
      <c r="I195" s="92">
        <f>IF($A196="","",IFERROR(IF(ISBLANK(INDEX(SprintPlanning[Sprint],MATCH($A196,SprintPlanning[Requirement ID],0))),"To Plan",INDEX(SprintPlanning[Sprint],MATCH($A196,SprintPlanning[Requirement ID],0))),"To Plan"))</f>
        <v/>
      </c>
      <c r="J195" s="124" t="n"/>
      <c r="K195" s="92">
        <f>IFERROR(IF(ISBLANK(INDEX(Release[Release],MATCH($A196,Release[Requirement ID],0))),"",INDEX(Release[Release],MATCH($A196,Release[Requirement ID],0))),"")</f>
        <v/>
      </c>
      <c r="L195" s="124" t="n"/>
      <c r="M195" s="124" t="n"/>
      <c r="N195" s="124" t="n"/>
      <c r="O195" s="92">
        <f>IF($N196="","","https://smartship.atlassian.net/browse/"&amp;$N196)</f>
        <v/>
      </c>
      <c r="P195" s="92">
        <f>IFERROR(VALUE(MID($A196,5,4)),0)</f>
        <v/>
      </c>
      <c r="Q195" s="92">
        <f>IF(B196="","","NEW-"&amp;TEXT(MAX($P$2:$P195,Lists!$N$2)+1,"0000"))</f>
        <v/>
      </c>
    </row>
    <row r="196" ht="15" customHeight="1" s="93">
      <c r="A196" s="123">
        <f>IF(AND(B197="",C197="",D197="",E197="",F197="",G197="",H197="",J197="",L197="",M197="",N197=""),"",Q197)</f>
        <v/>
      </c>
      <c r="B196" s="124" t="n"/>
      <c r="C196" s="124" t="n"/>
      <c r="D196" s="124" t="n"/>
      <c r="E196" s="124" t="n"/>
      <c r="F196" s="124" t="n"/>
      <c r="G196" s="124" t="n"/>
      <c r="H196" s="124" t="n"/>
      <c r="I196" s="92">
        <f>IF($A197="","",IFERROR(IF(ISBLANK(INDEX(SprintPlanning[Sprint],MATCH($A197,SprintPlanning[Requirement ID],0))),"To Plan",INDEX(SprintPlanning[Sprint],MATCH($A197,SprintPlanning[Requirement ID],0))),"To Plan"))</f>
        <v/>
      </c>
      <c r="J196" s="124" t="n"/>
      <c r="K196" s="92">
        <f>IFERROR(IF(ISBLANK(INDEX(Release[Release],MATCH($A197,Release[Requirement ID],0))),"",INDEX(Release[Release],MATCH($A197,Release[Requirement ID],0))),"")</f>
        <v/>
      </c>
      <c r="L196" s="124" t="n"/>
      <c r="M196" s="124" t="n"/>
      <c r="N196" s="124" t="n"/>
      <c r="O196" s="92">
        <f>IF($N197="","","https://smartship.atlassian.net/browse/"&amp;$N197)</f>
        <v/>
      </c>
      <c r="P196" s="92">
        <f>IFERROR(VALUE(MID($A197,5,4)),0)</f>
        <v/>
      </c>
      <c r="Q196" s="92">
        <f>IF(B197="","","NEW-"&amp;TEXT(MAX($P$2:$P196,Lists!$N$2)+1,"0000"))</f>
        <v/>
      </c>
    </row>
    <row r="197" ht="15" customHeight="1" s="93">
      <c r="A197" s="123">
        <f>IF(AND(B198="",C198="",D198="",E198="",F198="",G198="",H198="",J198="",L198="",M198="",N198=""),"",Q198)</f>
        <v/>
      </c>
      <c r="B197" s="124" t="n"/>
      <c r="C197" s="124" t="n"/>
      <c r="D197" s="124" t="n"/>
      <c r="E197" s="124" t="n"/>
      <c r="F197" s="124" t="n"/>
      <c r="G197" s="124" t="n"/>
      <c r="H197" s="124" t="n"/>
      <c r="I197" s="92">
        <f>IF($A198="","",IFERROR(IF(ISBLANK(INDEX(SprintPlanning[Sprint],MATCH($A198,SprintPlanning[Requirement ID],0))),"To Plan",INDEX(SprintPlanning[Sprint],MATCH($A198,SprintPlanning[Requirement ID],0))),"To Plan"))</f>
        <v/>
      </c>
      <c r="J197" s="124" t="n"/>
      <c r="K197" s="92">
        <f>IFERROR(IF(ISBLANK(INDEX(Release[Release],MATCH($A198,Release[Requirement ID],0))),"",INDEX(Release[Release],MATCH($A198,Release[Requirement ID],0))),"")</f>
        <v/>
      </c>
      <c r="L197" s="124" t="n"/>
      <c r="M197" s="124" t="n"/>
      <c r="N197" s="124" t="n"/>
      <c r="O197" s="92">
        <f>IF($N198="","","https://smartship.atlassian.net/browse/"&amp;$N198)</f>
        <v/>
      </c>
      <c r="P197" s="92">
        <f>IFERROR(VALUE(MID($A198,5,4)),0)</f>
        <v/>
      </c>
      <c r="Q197" s="92">
        <f>IF(B198="","","NEW-"&amp;TEXT(MAX($P$2:$P197,Lists!$N$2)+1,"0000"))</f>
        <v/>
      </c>
    </row>
    <row r="198" ht="15" customHeight="1" s="93">
      <c r="A198" s="123">
        <f>IF(AND(B199="",C199="",D199="",E199="",F199="",G199="",H199="",J199="",L199="",M199="",N199=""),"",Q199)</f>
        <v/>
      </c>
      <c r="B198" s="124" t="n"/>
      <c r="C198" s="124" t="n"/>
      <c r="D198" s="124" t="n"/>
      <c r="E198" s="124" t="n"/>
      <c r="F198" s="124" t="n"/>
      <c r="G198" s="124" t="n"/>
      <c r="H198" s="124" t="n"/>
      <c r="I198" s="92">
        <f>IF($A199="","",IFERROR(IF(ISBLANK(INDEX(SprintPlanning[Sprint],MATCH($A199,SprintPlanning[Requirement ID],0))),"To Plan",INDEX(SprintPlanning[Sprint],MATCH($A199,SprintPlanning[Requirement ID],0))),"To Plan"))</f>
        <v/>
      </c>
      <c r="J198" s="124" t="n"/>
      <c r="K198" s="92">
        <f>IFERROR(IF(ISBLANK(INDEX(Release[Release],MATCH($A199,Release[Requirement ID],0))),"",INDEX(Release[Release],MATCH($A199,Release[Requirement ID],0))),"")</f>
        <v/>
      </c>
      <c r="L198" s="124" t="n"/>
      <c r="M198" s="124" t="n"/>
      <c r="N198" s="124" t="n"/>
      <c r="O198" s="92">
        <f>IF($N199="","","https://smartship.atlassian.net/browse/"&amp;$N199)</f>
        <v/>
      </c>
      <c r="P198" s="92">
        <f>IFERROR(VALUE(MID($A199,5,4)),0)</f>
        <v/>
      </c>
      <c r="Q198" s="92">
        <f>IF(B199="","","NEW-"&amp;TEXT(MAX($P$2:$P198,Lists!$N$2)+1,"0000"))</f>
        <v/>
      </c>
    </row>
    <row r="199" ht="15" customHeight="1" s="93">
      <c r="A199" s="123">
        <f>IF(AND(B200="",C200="",D200="",E200="",F200="",G200="",H200="",J200="",L200="",M200="",N200=""),"",Q200)</f>
        <v/>
      </c>
      <c r="B199" s="124" t="n"/>
      <c r="C199" s="124" t="n"/>
      <c r="D199" s="124" t="n"/>
      <c r="E199" s="124" t="n"/>
      <c r="F199" s="124" t="n"/>
      <c r="G199" s="124" t="n"/>
      <c r="H199" s="124" t="n"/>
      <c r="I199" s="92">
        <f>IF($A200="","",IFERROR(IF(ISBLANK(INDEX(SprintPlanning[Sprint],MATCH($A200,SprintPlanning[Requirement ID],0))),"To Plan",INDEX(SprintPlanning[Sprint],MATCH($A200,SprintPlanning[Requirement ID],0))),"To Plan"))</f>
        <v/>
      </c>
      <c r="J199" s="124" t="n"/>
      <c r="K199" s="92">
        <f>IFERROR(IF(ISBLANK(INDEX(Release[Release],MATCH($A200,Release[Requirement ID],0))),"",INDEX(Release[Release],MATCH($A200,Release[Requirement ID],0))),"")</f>
        <v/>
      </c>
      <c r="L199" s="124" t="n"/>
      <c r="M199" s="124" t="n"/>
      <c r="N199" s="124" t="n"/>
      <c r="O199" s="92">
        <f>IF($N200="","","https://smartship.atlassian.net/browse/"&amp;$N200)</f>
        <v/>
      </c>
      <c r="P199" s="92">
        <f>IFERROR(VALUE(MID($A200,5,4)),0)</f>
        <v/>
      </c>
      <c r="Q199" s="92">
        <f>IF(B200="","","NEW-"&amp;TEXT(MAX($P$2:$P199,Lists!$N$2)+1,"0000"))</f>
        <v/>
      </c>
    </row>
    <row r="200" ht="15" customHeight="1" s="93">
      <c r="A200" s="123">
        <f>IF(AND(B201="",C201="",D201="",E201="",F201="",G201="",H201="",J201="",L201="",M201="",N201=""),"",Q201)</f>
        <v/>
      </c>
      <c r="B200" s="124" t="n"/>
      <c r="C200" s="124" t="n"/>
      <c r="D200" s="124" t="n"/>
      <c r="E200" s="124" t="n"/>
      <c r="F200" s="124" t="n"/>
      <c r="G200" s="124" t="n"/>
      <c r="H200" s="124" t="n"/>
      <c r="I200" s="92">
        <f>IF($A201="","",IFERROR(IF(ISBLANK(INDEX(SprintPlanning[Sprint],MATCH($A201,SprintPlanning[Requirement ID],0))),"To Plan",INDEX(SprintPlanning[Sprint],MATCH($A201,SprintPlanning[Requirement ID],0))),"To Plan"))</f>
        <v/>
      </c>
      <c r="J200" s="124" t="n"/>
      <c r="K200" s="92">
        <f>IFERROR(IF(ISBLANK(INDEX(Release[Release],MATCH($A201,Release[Requirement ID],0))),"",INDEX(Release[Release],MATCH($A201,Release[Requirement ID],0))),"")</f>
        <v/>
      </c>
      <c r="L200" s="124" t="n"/>
      <c r="M200" s="124" t="n"/>
      <c r="N200" s="124" t="n"/>
      <c r="O200" s="92">
        <f>IF($N201="","","https://smartship.atlassian.net/browse/"&amp;$N201)</f>
        <v/>
      </c>
      <c r="P200" s="92">
        <f>IFERROR(VALUE(MID($A201,5,4)),0)</f>
        <v/>
      </c>
      <c r="Q200" s="92">
        <f>IF(B201="","","NEW-"&amp;TEXT(MAX($P$2:$P200,Lists!$N$2)+1,"0000"))</f>
        <v/>
      </c>
    </row>
    <row r="201" ht="15" customHeight="1" s="93">
      <c r="A201" s="123">
        <f>IF(AND(B202="",C202="",D202="",E202="",F202="",G202="",H202="",J202="",L202="",M202="",N202=""),"",Q202)</f>
        <v/>
      </c>
      <c r="B201" s="124" t="n"/>
      <c r="C201" s="124" t="n"/>
      <c r="D201" s="124" t="n"/>
      <c r="E201" s="124" t="n"/>
      <c r="F201" s="124" t="n"/>
      <c r="G201" s="124" t="n"/>
      <c r="H201" s="124" t="n"/>
      <c r="I201" s="92">
        <f>IF($A202="","",IFERROR(IF(ISBLANK(INDEX(SprintPlanning[Sprint],MATCH($A202,SprintPlanning[Requirement ID],0))),"To Plan",INDEX(SprintPlanning[Sprint],MATCH($A202,SprintPlanning[Requirement ID],0))),"To Plan"))</f>
        <v/>
      </c>
      <c r="J201" s="124" t="n"/>
      <c r="K201" s="92">
        <f>IFERROR(IF(ISBLANK(INDEX(Release[Release],MATCH($A202,Release[Requirement ID],0))),"",INDEX(Release[Release],MATCH($A202,Release[Requirement ID],0))),"")</f>
        <v/>
      </c>
      <c r="L201" s="124" t="n"/>
      <c r="M201" s="124" t="n"/>
      <c r="N201" s="124" t="n"/>
      <c r="O201" s="92">
        <f>IF($N202="","","https://smartship.atlassian.net/browse/"&amp;$N202)</f>
        <v/>
      </c>
      <c r="P201" s="92">
        <f>IFERROR(VALUE(MID($A202,5,4)),0)</f>
        <v/>
      </c>
      <c r="Q201" s="92">
        <f>IF(B202="","","NEW-"&amp;TEXT(MAX($P$2:$P201,Lists!$N$2)+1,"0000"))</f>
        <v/>
      </c>
    </row>
    <row r="202" ht="15" customHeight="1" s="93">
      <c r="A202" s="123">
        <f>IF(AND(B203="",C203="",D203="",E203="",F203="",G203="",H203="",J203="",L203="",M203="",N203=""),"",Q203)</f>
        <v/>
      </c>
      <c r="B202" s="124" t="n"/>
      <c r="C202" s="124" t="n"/>
      <c r="D202" s="124" t="n"/>
      <c r="E202" s="124" t="n"/>
      <c r="F202" s="124" t="n"/>
      <c r="G202" s="124" t="n"/>
      <c r="H202" s="124" t="n"/>
      <c r="I202" s="92">
        <f>IF($A203="","",IFERROR(IF(ISBLANK(INDEX(SprintPlanning[Sprint],MATCH($A203,SprintPlanning[Requirement ID],0))),"To Plan",INDEX(SprintPlanning[Sprint],MATCH($A203,SprintPlanning[Requirement ID],0))),"To Plan"))</f>
        <v/>
      </c>
      <c r="J202" s="124" t="n"/>
      <c r="K202" s="92">
        <f>IFERROR(IF(ISBLANK(INDEX(Release[Release],MATCH($A203,Release[Requirement ID],0))),"",INDEX(Release[Release],MATCH($A203,Release[Requirement ID],0))),"")</f>
        <v/>
      </c>
      <c r="L202" s="124" t="n"/>
      <c r="M202" s="124" t="n"/>
      <c r="N202" s="124" t="n"/>
      <c r="O202" s="92">
        <f>IF($N203="","","https://smartship.atlassian.net/browse/"&amp;$N203)</f>
        <v/>
      </c>
      <c r="P202" s="92">
        <f>IFERROR(VALUE(MID($A203,5,4)),0)</f>
        <v/>
      </c>
      <c r="Q202" s="92">
        <f>IF(B203="","","NEW-"&amp;TEXT(MAX($P$2:$P202,Lists!$N$2)+1,"0000"))</f>
        <v/>
      </c>
    </row>
    <row r="203" ht="15" customHeight="1" s="93">
      <c r="A203" s="123">
        <f>IF(AND(B204="",C204="",D204="",E204="",F204="",G204="",H204="",J204="",L204="",M204="",N204=""),"",Q204)</f>
        <v/>
      </c>
      <c r="B203" s="124" t="n"/>
      <c r="C203" s="124" t="n"/>
      <c r="D203" s="124" t="n"/>
      <c r="E203" s="124" t="n"/>
      <c r="F203" s="124" t="n"/>
      <c r="G203" s="124" t="n"/>
      <c r="H203" s="124" t="n"/>
      <c r="I203" s="92">
        <f>IF($A204="","",IFERROR(IF(ISBLANK(INDEX(SprintPlanning[Sprint],MATCH($A204,SprintPlanning[Requirement ID],0))),"To Plan",INDEX(SprintPlanning[Sprint],MATCH($A204,SprintPlanning[Requirement ID],0))),"To Plan"))</f>
        <v/>
      </c>
      <c r="J203" s="124" t="n"/>
      <c r="K203" s="92">
        <f>IFERROR(IF(ISBLANK(INDEX(Release[Release],MATCH($A204,Release[Requirement ID],0))),"",INDEX(Release[Release],MATCH($A204,Release[Requirement ID],0))),"")</f>
        <v/>
      </c>
      <c r="L203" s="124" t="n"/>
      <c r="M203" s="124" t="n"/>
      <c r="N203" s="124" t="n"/>
      <c r="O203" s="92">
        <f>IF($N204="","","https://smartship.atlassian.net/browse/"&amp;$N204)</f>
        <v/>
      </c>
      <c r="P203" s="92">
        <f>IFERROR(VALUE(MID($A204,5,4)),0)</f>
        <v/>
      </c>
      <c r="Q203" s="92">
        <f>IF(B204="","","NEW-"&amp;TEXT(MAX($P$2:$P203,Lists!$N$2)+1,"0000"))</f>
        <v/>
      </c>
    </row>
    <row r="204" ht="15" customHeight="1" s="93">
      <c r="A204" s="123">
        <f>IF(AND(B205="",C205="",D205="",E205="",F205="",G205="",H205="",J205="",L205="",M205="",N205=""),"",Q205)</f>
        <v/>
      </c>
      <c r="B204" s="124" t="n"/>
      <c r="C204" s="124" t="n"/>
      <c r="D204" s="124" t="n"/>
      <c r="E204" s="124" t="n"/>
      <c r="F204" s="124" t="n"/>
      <c r="G204" s="124" t="n"/>
      <c r="H204" s="124" t="n"/>
      <c r="I204" s="92">
        <f>IF($A205="","",IFERROR(IF(ISBLANK(INDEX(SprintPlanning[Sprint],MATCH($A205,SprintPlanning[Requirement ID],0))),"To Plan",INDEX(SprintPlanning[Sprint],MATCH($A205,SprintPlanning[Requirement ID],0))),"To Plan"))</f>
        <v/>
      </c>
      <c r="J204" s="124" t="n"/>
      <c r="K204" s="92">
        <f>IFERROR(IF(ISBLANK(INDEX(Release[Release],MATCH($A205,Release[Requirement ID],0))),"",INDEX(Release[Release],MATCH($A205,Release[Requirement ID],0))),"")</f>
        <v/>
      </c>
      <c r="L204" s="124" t="n"/>
      <c r="M204" s="124" t="n"/>
      <c r="N204" s="124" t="n"/>
      <c r="O204" s="92">
        <f>IF($N205="","","https://smartship.atlassian.net/browse/"&amp;$N205)</f>
        <v/>
      </c>
      <c r="P204" s="92">
        <f>IFERROR(VALUE(MID($A205,5,4)),0)</f>
        <v/>
      </c>
      <c r="Q204" s="92">
        <f>IF(B205="","","NEW-"&amp;TEXT(MAX($P$2:$P204,Lists!$N$2)+1,"0000"))</f>
        <v/>
      </c>
    </row>
    <row r="205" ht="15" customHeight="1" s="93">
      <c r="A205" s="123">
        <f>IF(AND(B206="",C206="",D206="",E206="",F206="",G206="",H206="",J206="",L206="",M206="",N206=""),"",Q206)</f>
        <v/>
      </c>
      <c r="B205" s="124" t="n"/>
      <c r="C205" s="124" t="n"/>
      <c r="D205" s="124" t="n"/>
      <c r="E205" s="124" t="n"/>
      <c r="F205" s="124" t="n"/>
      <c r="G205" s="124" t="n"/>
      <c r="H205" s="124" t="n"/>
      <c r="I205" s="92">
        <f>IF($A206="","",IFERROR(IF(ISBLANK(INDEX(SprintPlanning[Sprint],MATCH($A206,SprintPlanning[Requirement ID],0))),"To Plan",INDEX(SprintPlanning[Sprint],MATCH($A206,SprintPlanning[Requirement ID],0))),"To Plan"))</f>
        <v/>
      </c>
      <c r="J205" s="124" t="n"/>
      <c r="K205" s="92">
        <f>IFERROR(IF(ISBLANK(INDEX(Release[Release],MATCH($A206,Release[Requirement ID],0))),"",INDEX(Release[Release],MATCH($A206,Release[Requirement ID],0))),"")</f>
        <v/>
      </c>
      <c r="L205" s="124" t="n"/>
      <c r="M205" s="124" t="n"/>
      <c r="N205" s="124" t="n"/>
      <c r="O205" s="92">
        <f>IF($N206="","","https://smartship.atlassian.net/browse/"&amp;$N206)</f>
        <v/>
      </c>
      <c r="P205" s="92">
        <f>IFERROR(VALUE(MID($A206,5,4)),0)</f>
        <v/>
      </c>
      <c r="Q205" s="92">
        <f>IF(B206="","","NEW-"&amp;TEXT(MAX($P$2:$P205,Lists!$N$2)+1,"0000"))</f>
        <v/>
      </c>
    </row>
    <row r="206" ht="23.25" customHeight="1" s="93">
      <c r="A206" s="123">
        <f>IF(AND(B207="",C207="",D207="",E207="",F207="",G207="",H207="",J207="",L207="",M207="",N207=""),"",Q207)</f>
        <v/>
      </c>
      <c r="B206" s="124" t="n"/>
      <c r="C206" s="124" t="n"/>
      <c r="D206" s="124" t="n"/>
      <c r="E206" s="124" t="n"/>
      <c r="F206" s="124" t="n"/>
      <c r="G206" s="124" t="n"/>
      <c r="H206" s="124" t="n"/>
      <c r="I206" s="92">
        <f>IF($A207="","",IFERROR(IF(ISBLANK(INDEX(SprintPlanning[Sprint],MATCH($A207,SprintPlanning[Requirement ID],0))),"To Plan",INDEX(SprintPlanning[Sprint],MATCH($A207,SprintPlanning[Requirement ID],0))),"To Plan"))</f>
        <v/>
      </c>
      <c r="J206" s="124" t="n"/>
      <c r="K206" s="92">
        <f>IFERROR(IF(ISBLANK(INDEX(Release[Release],MATCH($A207,Release[Requirement ID],0))),"",INDEX(Release[Release],MATCH($A207,Release[Requirement ID],0))),"")</f>
        <v/>
      </c>
      <c r="L206" s="124" t="n"/>
      <c r="M206" s="124" t="n"/>
      <c r="N206" s="124" t="n"/>
      <c r="O206" s="92">
        <f>IF($N207="","","https://smartship.atlassian.net/browse/"&amp;$N207)</f>
        <v/>
      </c>
      <c r="P206" s="92">
        <f>IFERROR(VALUE(MID($A207,5,4)),0)</f>
        <v/>
      </c>
      <c r="Q206" s="92">
        <f>IF(B207="","","NEW-"&amp;TEXT(MAX($P$2:$P206,Lists!$N$2)+1,"0000"))</f>
        <v/>
      </c>
    </row>
    <row r="207" ht="15" customHeight="1" s="93">
      <c r="A207" s="123">
        <f>IF(AND(B208="",C208="",D208="",E208="",F208="",G208="",H208="",J208="",L208="",M208="",N208=""),"",Q208)</f>
        <v/>
      </c>
      <c r="B207" s="124" t="n"/>
      <c r="C207" s="124" t="n"/>
      <c r="D207" s="124" t="n"/>
      <c r="E207" s="124" t="n"/>
      <c r="F207" s="124" t="n"/>
      <c r="G207" s="124" t="n"/>
      <c r="H207" s="124" t="n"/>
      <c r="I207" s="92">
        <f>IF($A208="","",IFERROR(IF(ISBLANK(INDEX(SprintPlanning[Sprint],MATCH($A208,SprintPlanning[Requirement ID],0))),"To Plan",INDEX(SprintPlanning[Sprint],MATCH($A208,SprintPlanning[Requirement ID],0))),"To Plan"))</f>
        <v/>
      </c>
      <c r="J207" s="124" t="n"/>
      <c r="K207" s="92">
        <f>IFERROR(IF(ISBLANK(INDEX(Release[Release],MATCH($A208,Release[Requirement ID],0))),"",INDEX(Release[Release],MATCH($A208,Release[Requirement ID],0))),"")</f>
        <v/>
      </c>
      <c r="L207" s="124" t="n"/>
      <c r="M207" s="124" t="n"/>
      <c r="N207" s="124" t="n"/>
      <c r="O207" s="92">
        <f>IF($N208="","","https://smartship.atlassian.net/browse/"&amp;$N208)</f>
        <v/>
      </c>
      <c r="P207" s="92">
        <f>IFERROR(VALUE(MID($A208,5,4)),0)</f>
        <v/>
      </c>
      <c r="Q207" s="92">
        <f>IF(B208="","","NEW-"&amp;TEXT(MAX($P$2:$P207,Lists!$N$2)+1,"0000"))</f>
        <v/>
      </c>
    </row>
    <row r="208" ht="15" customHeight="1" s="93">
      <c r="A208" s="123">
        <f>IF(AND(B209="",C209="",D209="",E209="",F209="",G209="",H209="",J209="",L209="",M209="",N209=""),"",Q209)</f>
        <v/>
      </c>
      <c r="B208" s="124" t="n"/>
      <c r="C208" s="124" t="n"/>
      <c r="D208" s="124" t="n"/>
      <c r="E208" s="124" t="n"/>
      <c r="F208" s="124" t="n"/>
      <c r="G208" s="124" t="n"/>
      <c r="H208" s="124" t="n"/>
      <c r="I208" s="92">
        <f>IF($A209="","",IFERROR(IF(ISBLANK(INDEX(SprintPlanning[Sprint],MATCH($A209,SprintPlanning[Requirement ID],0))),"To Plan",INDEX(SprintPlanning[Sprint],MATCH($A209,SprintPlanning[Requirement ID],0))),"To Plan"))</f>
        <v/>
      </c>
      <c r="J208" s="124" t="n"/>
      <c r="K208" s="92">
        <f>IFERROR(IF(ISBLANK(INDEX(Release[Release],MATCH($A209,Release[Requirement ID],0))),"",INDEX(Release[Release],MATCH($A209,Release[Requirement ID],0))),"")</f>
        <v/>
      </c>
      <c r="L208" s="124" t="n"/>
      <c r="M208" s="124" t="n"/>
      <c r="N208" s="124" t="n"/>
      <c r="O208" s="92">
        <f>IF($N209="","","https://smartship.atlassian.net/browse/"&amp;$N209)</f>
        <v/>
      </c>
      <c r="P208" s="92">
        <f>IFERROR(VALUE(MID($A209,5,4)),0)</f>
        <v/>
      </c>
      <c r="Q208" s="92">
        <f>IF(B209="","","NEW-"&amp;TEXT(MAX($P$2:$P208,Lists!$N$2)+1,"0000"))</f>
        <v/>
      </c>
    </row>
    <row r="209" ht="15" customHeight="1" s="93">
      <c r="A209" s="123">
        <f>IF(AND(B210="",C210="",D210="",E210="",F210="",G210="",H210="",J210="",L210="",M210="",N210=""),"",Q210)</f>
        <v/>
      </c>
      <c r="B209" s="124" t="n"/>
      <c r="C209" s="124" t="n"/>
      <c r="D209" s="124" t="n"/>
      <c r="E209" s="124" t="n"/>
      <c r="F209" s="124" t="n"/>
      <c r="G209" s="124" t="n"/>
      <c r="H209" s="124" t="n"/>
      <c r="I209" s="92">
        <f>IF($A210="","",IFERROR(IF(ISBLANK(INDEX(SprintPlanning[Sprint],MATCH($A210,SprintPlanning[Requirement ID],0))),"To Plan",INDEX(SprintPlanning[Sprint],MATCH($A210,SprintPlanning[Requirement ID],0))),"To Plan"))</f>
        <v/>
      </c>
      <c r="J209" s="124" t="n"/>
      <c r="K209" s="92">
        <f>IFERROR(IF(ISBLANK(INDEX(Release[Release],MATCH($A210,Release[Requirement ID],0))),"",INDEX(Release[Release],MATCH($A210,Release[Requirement ID],0))),"")</f>
        <v/>
      </c>
      <c r="L209" s="124" t="n"/>
      <c r="M209" s="124" t="n"/>
      <c r="N209" s="124" t="n"/>
      <c r="O209" s="92">
        <f>IF($N210="","","https://smartship.atlassian.net/browse/"&amp;$N210)</f>
        <v/>
      </c>
      <c r="P209" s="92">
        <f>IFERROR(VALUE(MID($A210,5,4)),0)</f>
        <v/>
      </c>
      <c r="Q209" s="92">
        <f>IF(B210="","","NEW-"&amp;TEXT(MAX($P$2:$P209,Lists!$N$2)+1,"0000"))</f>
        <v/>
      </c>
    </row>
    <row r="210" ht="15" customHeight="1" s="93">
      <c r="A210" s="123">
        <f>IF(AND(B211="",C211="",D211="",E211="",F211="",G211="",H211="",J211="",L211="",M211="",N211=""),"",Q211)</f>
        <v/>
      </c>
      <c r="B210" s="124" t="n"/>
      <c r="C210" s="124" t="n"/>
      <c r="D210" s="124" t="n"/>
      <c r="E210" s="124" t="n"/>
      <c r="F210" s="124" t="n"/>
      <c r="G210" s="124" t="n"/>
      <c r="H210" s="124" t="n"/>
      <c r="I210" s="92">
        <f>IF($A211="","",IFERROR(IF(ISBLANK(INDEX(SprintPlanning[Sprint],MATCH($A211,SprintPlanning[Requirement ID],0))),"To Plan",INDEX(SprintPlanning[Sprint],MATCH($A211,SprintPlanning[Requirement ID],0))),"To Plan"))</f>
        <v/>
      </c>
      <c r="J210" s="124" t="n"/>
      <c r="K210" s="92">
        <f>IFERROR(IF(ISBLANK(INDEX(Release[Release],MATCH($A211,Release[Requirement ID],0))),"",INDEX(Release[Release],MATCH($A211,Release[Requirement ID],0))),"")</f>
        <v/>
      </c>
      <c r="L210" s="124" t="n"/>
      <c r="M210" s="124" t="n"/>
      <c r="N210" s="124" t="n"/>
      <c r="O210" s="92">
        <f>IF($N211="","","https://smartship.atlassian.net/browse/"&amp;$N211)</f>
        <v/>
      </c>
      <c r="P210" s="92">
        <f>IFERROR(VALUE(MID($A211,5,4)),0)</f>
        <v/>
      </c>
      <c r="Q210" s="92">
        <f>IF(B211="","","NEW-"&amp;TEXT(MAX($P$2:$P210,Lists!$N$2)+1,"0000"))</f>
        <v/>
      </c>
    </row>
    <row r="211" ht="15" customHeight="1" s="93">
      <c r="A211" s="123">
        <f>IF(AND(B212="",C212="",D212="",E212="",F212="",G212="",H212="",J212="",L212="",M212="",N212=""),"",Q212)</f>
        <v/>
      </c>
      <c r="B211" s="124" t="n"/>
      <c r="C211" s="124" t="n"/>
      <c r="D211" s="124" t="n"/>
      <c r="E211" s="124" t="n"/>
      <c r="F211" s="124" t="n"/>
      <c r="G211" s="124" t="n"/>
      <c r="H211" s="124" t="n"/>
      <c r="I211" s="92">
        <f>IF($A212="","",IFERROR(IF(ISBLANK(INDEX(SprintPlanning[Sprint],MATCH($A212,SprintPlanning[Requirement ID],0))),"To Plan",INDEX(SprintPlanning[Sprint],MATCH($A212,SprintPlanning[Requirement ID],0))),"To Plan"))</f>
        <v/>
      </c>
      <c r="J211" s="124" t="n"/>
      <c r="K211" s="92">
        <f>IFERROR(IF(ISBLANK(INDEX(Release[Release],MATCH($A212,Release[Requirement ID],0))),"",INDEX(Release[Release],MATCH($A212,Release[Requirement ID],0))),"")</f>
        <v/>
      </c>
      <c r="L211" s="124" t="n"/>
      <c r="M211" s="124" t="n"/>
      <c r="N211" s="124" t="n"/>
      <c r="O211" s="92">
        <f>IF($N212="","","https://smartship.atlassian.net/browse/"&amp;$N212)</f>
        <v/>
      </c>
      <c r="P211" s="92">
        <f>IFERROR(VALUE(MID($A212,5,4)),0)</f>
        <v/>
      </c>
      <c r="Q211" s="92">
        <f>IF(B212="","","NEW-"&amp;TEXT(MAX($P$2:$P211,Lists!$N$2)+1,"0000"))</f>
        <v/>
      </c>
    </row>
    <row r="212" ht="15" customHeight="1" s="93">
      <c r="A212" s="123">
        <f>IF(AND(B213="",C213="",D213="",E213="",F213="",G213="",H213="",J213="",L213="",M213="",N213=""),"",Q213)</f>
        <v/>
      </c>
      <c r="B212" s="124" t="n"/>
      <c r="C212" s="124" t="n"/>
      <c r="D212" s="124" t="n"/>
      <c r="E212" s="124" t="n"/>
      <c r="F212" s="124" t="n"/>
      <c r="G212" s="124" t="n"/>
      <c r="H212" s="124" t="n"/>
      <c r="I212" s="92">
        <f>IF($A213="","",IFERROR(IF(ISBLANK(INDEX(SprintPlanning[Sprint],MATCH($A213,SprintPlanning[Requirement ID],0))),"To Plan",INDEX(SprintPlanning[Sprint],MATCH($A213,SprintPlanning[Requirement ID],0))),"To Plan"))</f>
        <v/>
      </c>
      <c r="J212" s="124" t="n"/>
      <c r="K212" s="92">
        <f>IFERROR(IF(ISBLANK(INDEX(Release[Release],MATCH($A213,Release[Requirement ID],0))),"",INDEX(Release[Release],MATCH($A213,Release[Requirement ID],0))),"")</f>
        <v/>
      </c>
      <c r="L212" s="124" t="n"/>
      <c r="M212" s="124" t="n"/>
      <c r="N212" s="124" t="n"/>
      <c r="O212" s="92">
        <f>IF($N213="","","https://smartship.atlassian.net/browse/"&amp;$N213)</f>
        <v/>
      </c>
      <c r="P212" s="92">
        <f>IFERROR(VALUE(MID($A213,5,4)),0)</f>
        <v/>
      </c>
      <c r="Q212" s="92">
        <f>IF(B213="","","NEW-"&amp;TEXT(MAX($P$2:$P212,Lists!$N$2)+1,"0000"))</f>
        <v/>
      </c>
    </row>
    <row r="213" ht="15" customHeight="1" s="93">
      <c r="A213" s="123">
        <f>IF(AND(B214="",C214="",D214="",E214="",F214="",G214="",H214="",J214="",L214="",M214="",N214=""),"",Q214)</f>
        <v/>
      </c>
      <c r="B213" s="124" t="n"/>
      <c r="C213" s="124" t="n"/>
      <c r="D213" s="124" t="n"/>
      <c r="E213" s="124" t="n"/>
      <c r="F213" s="124" t="n"/>
      <c r="G213" s="124" t="n"/>
      <c r="H213" s="124" t="n"/>
      <c r="I213" s="92">
        <f>IF($A214="","",IFERROR(IF(ISBLANK(INDEX(SprintPlanning[Sprint],MATCH($A214,SprintPlanning[Requirement ID],0))),"To Plan",INDEX(SprintPlanning[Sprint],MATCH($A214,SprintPlanning[Requirement ID],0))),"To Plan"))</f>
        <v/>
      </c>
      <c r="J213" s="124" t="n"/>
      <c r="K213" s="92">
        <f>IFERROR(IF(ISBLANK(INDEX(Release[Release],MATCH($A214,Release[Requirement ID],0))),"",INDEX(Release[Release],MATCH($A214,Release[Requirement ID],0))),"")</f>
        <v/>
      </c>
      <c r="L213" s="124" t="n"/>
      <c r="M213" s="124" t="n"/>
      <c r="N213" s="124" t="n"/>
      <c r="O213" s="92">
        <f>IF($N214="","","https://smartship.atlassian.net/browse/"&amp;$N214)</f>
        <v/>
      </c>
      <c r="P213" s="92">
        <f>IFERROR(VALUE(MID($A214,5,4)),0)</f>
        <v/>
      </c>
      <c r="Q213" s="92">
        <f>IF(B214="","","NEW-"&amp;TEXT(MAX($P$2:$P213,Lists!$N$2)+1,"0000"))</f>
        <v/>
      </c>
    </row>
    <row r="214" ht="15" customHeight="1" s="93">
      <c r="A214" s="123">
        <f>IF(AND(B215="",C215="",D215="",E215="",F215="",G215="",H215="",J215="",L215="",M215="",N215=""),"",Q215)</f>
        <v/>
      </c>
      <c r="B214" s="124" t="n"/>
      <c r="C214" s="124" t="n"/>
      <c r="D214" s="124" t="n"/>
      <c r="E214" s="124" t="n"/>
      <c r="F214" s="124" t="n"/>
      <c r="G214" s="124" t="n"/>
      <c r="H214" s="124" t="n"/>
      <c r="I214" s="92">
        <f>IF($A215="","",IFERROR(IF(ISBLANK(INDEX(SprintPlanning[Sprint],MATCH($A215,SprintPlanning[Requirement ID],0))),"To Plan",INDEX(SprintPlanning[Sprint],MATCH($A215,SprintPlanning[Requirement ID],0))),"To Plan"))</f>
        <v/>
      </c>
      <c r="J214" s="124" t="n"/>
      <c r="K214" s="92">
        <f>IFERROR(IF(ISBLANK(INDEX(Release[Release],MATCH($A215,Release[Requirement ID],0))),"",INDEX(Release[Release],MATCH($A215,Release[Requirement ID],0))),"")</f>
        <v/>
      </c>
      <c r="L214" s="124" t="n"/>
      <c r="M214" s="124" t="n"/>
      <c r="N214" s="124" t="n"/>
      <c r="O214" s="92">
        <f>IF($N215="","","https://smartship.atlassian.net/browse/"&amp;$N215)</f>
        <v/>
      </c>
      <c r="P214" s="92">
        <f>IFERROR(VALUE(MID($A215,5,4)),0)</f>
        <v/>
      </c>
      <c r="Q214" s="92">
        <f>IF(B215="","","NEW-"&amp;TEXT(MAX($P$2:$P214,Lists!$N$2)+1,"0000"))</f>
        <v/>
      </c>
    </row>
    <row r="215" ht="15" customHeight="1" s="93">
      <c r="A215" s="123">
        <f>IF(AND(B216="",C216="",D216="",E216="",F216="",G216="",H216="",J216="",L216="",M216="",N216=""),"",Q216)</f>
        <v/>
      </c>
      <c r="B215" s="124" t="n"/>
      <c r="C215" s="124" t="n"/>
      <c r="D215" s="124" t="n"/>
      <c r="E215" s="124" t="n"/>
      <c r="F215" s="124" t="n"/>
      <c r="G215" s="124" t="n"/>
      <c r="H215" s="124" t="n"/>
      <c r="I215" s="92">
        <f>IF($A216="","",IFERROR(IF(ISBLANK(INDEX(SprintPlanning[Sprint],MATCH($A216,SprintPlanning[Requirement ID],0))),"To Plan",INDEX(SprintPlanning[Sprint],MATCH($A216,SprintPlanning[Requirement ID],0))),"To Plan"))</f>
        <v/>
      </c>
      <c r="J215" s="124" t="n"/>
      <c r="K215" s="92">
        <f>IFERROR(IF(ISBLANK(INDEX(Release[Release],MATCH($A216,Release[Requirement ID],0))),"",INDEX(Release[Release],MATCH($A216,Release[Requirement ID],0))),"")</f>
        <v/>
      </c>
      <c r="L215" s="124" t="n"/>
      <c r="M215" s="124" t="n"/>
      <c r="N215" s="124" t="n"/>
      <c r="O215" s="92">
        <f>IF($N216="","","https://smartship.atlassian.net/browse/"&amp;$N216)</f>
        <v/>
      </c>
      <c r="P215" s="92">
        <f>IFERROR(VALUE(MID($A216,5,4)),0)</f>
        <v/>
      </c>
      <c r="Q215" s="92">
        <f>IF(B216="","","NEW-"&amp;TEXT(MAX($P$2:$P215,Lists!$N$2)+1,"0000"))</f>
        <v/>
      </c>
    </row>
    <row r="216" ht="15" customHeight="1" s="93">
      <c r="A216" s="123">
        <f>IF(AND(B217="",C217="",D217="",E217="",F217="",G217="",H217="",J217="",L217="",M217="",N217=""),"",Q217)</f>
        <v/>
      </c>
      <c r="B216" s="124" t="n"/>
      <c r="C216" s="124" t="n"/>
      <c r="D216" s="124" t="n"/>
      <c r="E216" s="124" t="n"/>
      <c r="F216" s="124" t="n"/>
      <c r="G216" s="124" t="n"/>
      <c r="H216" s="124" t="n"/>
      <c r="I216" s="92">
        <f>IF($A217="","",IFERROR(IF(ISBLANK(INDEX(SprintPlanning[Sprint],MATCH($A217,SprintPlanning[Requirement ID],0))),"To Plan",INDEX(SprintPlanning[Sprint],MATCH($A217,SprintPlanning[Requirement ID],0))),"To Plan"))</f>
        <v/>
      </c>
      <c r="J216" s="124" t="n"/>
      <c r="K216" s="92">
        <f>IFERROR(IF(ISBLANK(INDEX(Release[Release],MATCH($A217,Release[Requirement ID],0))),"",INDEX(Release[Release],MATCH($A217,Release[Requirement ID],0))),"")</f>
        <v/>
      </c>
      <c r="L216" s="124" t="n"/>
      <c r="M216" s="124" t="n"/>
      <c r="N216" s="124" t="n"/>
      <c r="O216" s="92">
        <f>IF($N217="","","https://smartship.atlassian.net/browse/"&amp;$N217)</f>
        <v/>
      </c>
      <c r="P216" s="92">
        <f>IFERROR(VALUE(MID($A217,5,4)),0)</f>
        <v/>
      </c>
      <c r="Q216" s="92">
        <f>IF(B217="","","NEW-"&amp;TEXT(MAX($P$2:$P216,Lists!$N$2)+1,"0000"))</f>
        <v/>
      </c>
    </row>
    <row r="217" ht="15" customHeight="1" s="93">
      <c r="A217" s="123">
        <f>IF(AND(B218="",C218="",D218="",E218="",F218="",G218="",H218="",J218="",L218="",M218="",N218=""),"",Q218)</f>
        <v/>
      </c>
      <c r="B217" s="124" t="n"/>
      <c r="C217" s="124" t="n"/>
      <c r="D217" s="124" t="n"/>
      <c r="E217" s="124" t="n"/>
      <c r="F217" s="124" t="n"/>
      <c r="G217" s="124" t="n"/>
      <c r="H217" s="124" t="n"/>
      <c r="I217" s="92">
        <f>IF($A218="","",IFERROR(IF(ISBLANK(INDEX(SprintPlanning[Sprint],MATCH($A218,SprintPlanning[Requirement ID],0))),"To Plan",INDEX(SprintPlanning[Sprint],MATCH($A218,SprintPlanning[Requirement ID],0))),"To Plan"))</f>
        <v/>
      </c>
      <c r="J217" s="124" t="n"/>
      <c r="K217" s="92">
        <f>IFERROR(IF(ISBLANK(INDEX(Release[Release],MATCH($A218,Release[Requirement ID],0))),"",INDEX(Release[Release],MATCH($A218,Release[Requirement ID],0))),"")</f>
        <v/>
      </c>
      <c r="L217" s="124" t="n"/>
      <c r="M217" s="124" t="n"/>
      <c r="N217" s="124" t="n"/>
      <c r="O217" s="92">
        <f>IF($N218="","","https://smartship.atlassian.net/browse/"&amp;$N218)</f>
        <v/>
      </c>
      <c r="P217" s="92">
        <f>IFERROR(VALUE(MID($A218,5,4)),0)</f>
        <v/>
      </c>
      <c r="Q217" s="92">
        <f>IF(B218="","","NEW-"&amp;TEXT(MAX($P$2:$P217,Lists!$N$2)+1,"0000"))</f>
        <v/>
      </c>
    </row>
    <row r="218" ht="15" customHeight="1" s="93">
      <c r="A218" s="123">
        <f>IF(AND(B219="",C219="",D219="",E219="",F219="",G219="",H219="",J219="",L219="",M219="",N219=""),"",Q219)</f>
        <v/>
      </c>
      <c r="B218" s="124" t="n"/>
      <c r="C218" s="124" t="n"/>
      <c r="D218" s="124" t="n"/>
      <c r="E218" s="124" t="n"/>
      <c r="F218" s="124" t="n"/>
      <c r="G218" s="124" t="n"/>
      <c r="H218" s="124" t="n"/>
      <c r="I218" s="92">
        <f>IF($A219="","",IFERROR(IF(ISBLANK(INDEX(SprintPlanning[Sprint],MATCH($A219,SprintPlanning[Requirement ID],0))),"To Plan",INDEX(SprintPlanning[Sprint],MATCH($A219,SprintPlanning[Requirement ID],0))),"To Plan"))</f>
        <v/>
      </c>
      <c r="J218" s="124" t="n"/>
      <c r="K218" s="92">
        <f>IFERROR(IF(ISBLANK(INDEX(Release[Release],MATCH($A219,Release[Requirement ID],0))),"",INDEX(Release[Release],MATCH($A219,Release[Requirement ID],0))),"")</f>
        <v/>
      </c>
      <c r="L218" s="124" t="n"/>
      <c r="M218" s="124" t="n"/>
      <c r="N218" s="124" t="n"/>
      <c r="O218" s="92">
        <f>IF($N219="","","https://smartship.atlassian.net/browse/"&amp;$N219)</f>
        <v/>
      </c>
      <c r="P218" s="92">
        <f>IFERROR(VALUE(MID($A219,5,4)),0)</f>
        <v/>
      </c>
      <c r="Q218" s="92">
        <f>IF(B219="","","NEW-"&amp;TEXT(MAX($P$2:$P218,Lists!$N$2)+1,"0000"))</f>
        <v/>
      </c>
    </row>
    <row r="219" ht="15" customHeight="1" s="93">
      <c r="A219" s="123">
        <f>IF(AND(B220="",C220="",D220="",E220="",F220="",G220="",H220="",J220="",L220="",M220="",N220=""),"",Q220)</f>
        <v/>
      </c>
      <c r="B219" s="124" t="n"/>
      <c r="C219" s="124" t="n"/>
      <c r="D219" s="124" t="n"/>
      <c r="E219" s="124" t="n"/>
      <c r="F219" s="124" t="n"/>
      <c r="G219" s="124" t="n"/>
      <c r="H219" s="124" t="n"/>
      <c r="I219" s="92">
        <f>IF($A220="","",IFERROR(IF(ISBLANK(INDEX(SprintPlanning[Sprint],MATCH($A220,SprintPlanning[Requirement ID],0))),"To Plan",INDEX(SprintPlanning[Sprint],MATCH($A220,SprintPlanning[Requirement ID],0))),"To Plan"))</f>
        <v/>
      </c>
      <c r="J219" s="124" t="n"/>
      <c r="K219" s="92">
        <f>IFERROR(IF(ISBLANK(INDEX(Release[Release],MATCH($A220,Release[Requirement ID],0))),"",INDEX(Release[Release],MATCH($A220,Release[Requirement ID],0))),"")</f>
        <v/>
      </c>
      <c r="L219" s="124" t="n"/>
      <c r="M219" s="124" t="n"/>
      <c r="N219" s="124" t="n"/>
      <c r="O219" s="92">
        <f>IF($N220="","","https://smartship.atlassian.net/browse/"&amp;$N220)</f>
        <v/>
      </c>
      <c r="P219" s="92">
        <f>IFERROR(VALUE(MID($A220,5,4)),0)</f>
        <v/>
      </c>
      <c r="Q219" s="92">
        <f>IF(B220="","","NEW-"&amp;TEXT(MAX($P$2:$P219,Lists!$N$2)+1,"0000"))</f>
        <v/>
      </c>
    </row>
    <row r="220" ht="15" customHeight="1" s="93">
      <c r="A220" s="123">
        <f>IF(AND(B221="",C221="",D221="",E221="",F221="",G221="",H221="",J221="",L221="",M221="",N221=""),"",Q221)</f>
        <v/>
      </c>
      <c r="B220" s="124" t="n"/>
      <c r="C220" s="124" t="n"/>
      <c r="D220" s="124" t="n"/>
      <c r="E220" s="124" t="n"/>
      <c r="F220" s="124" t="n"/>
      <c r="G220" s="124" t="n"/>
      <c r="H220" s="124" t="n"/>
      <c r="I220" s="92">
        <f>IF($A221="","",IFERROR(IF(ISBLANK(INDEX(SprintPlanning[Sprint],MATCH($A221,SprintPlanning[Requirement ID],0))),"To Plan",INDEX(SprintPlanning[Sprint],MATCH($A221,SprintPlanning[Requirement ID],0))),"To Plan"))</f>
        <v/>
      </c>
      <c r="J220" s="124" t="n"/>
      <c r="K220" s="92">
        <f>IFERROR(IF(ISBLANK(INDEX(Release[Release],MATCH($A221,Release[Requirement ID],0))),"",INDEX(Release[Release],MATCH($A221,Release[Requirement ID],0))),"")</f>
        <v/>
      </c>
      <c r="L220" s="124" t="n"/>
      <c r="M220" s="124" t="n"/>
      <c r="N220" s="124" t="n"/>
      <c r="O220" s="92">
        <f>IF($N221="","","https://smartship.atlassian.net/browse/"&amp;$N221)</f>
        <v/>
      </c>
      <c r="P220" s="92">
        <f>IFERROR(VALUE(MID($A221,5,4)),0)</f>
        <v/>
      </c>
      <c r="Q220" s="92">
        <f>IF(B221="","","NEW-"&amp;TEXT(MAX($P$2:$P220,Lists!$N$2)+1,"0000"))</f>
        <v/>
      </c>
    </row>
    <row r="221" ht="15" customHeight="1" s="93">
      <c r="A221" s="123">
        <f>IF(AND(B222="",C222="",D222="",E222="",F222="",G222="",H222="",J222="",L222="",M222="",N222=""),"",Q222)</f>
        <v/>
      </c>
      <c r="B221" s="124" t="n"/>
      <c r="C221" s="124" t="n"/>
      <c r="D221" s="124" t="n"/>
      <c r="E221" s="124" t="n"/>
      <c r="F221" s="124" t="n"/>
      <c r="G221" s="124" t="n"/>
      <c r="H221" s="124" t="n"/>
      <c r="I221" s="92">
        <f>IF($A222="","",IFERROR(IF(ISBLANK(INDEX(SprintPlanning[Sprint],MATCH($A222,SprintPlanning[Requirement ID],0))),"To Plan",INDEX(SprintPlanning[Sprint],MATCH($A222,SprintPlanning[Requirement ID],0))),"To Plan"))</f>
        <v/>
      </c>
      <c r="J221" s="124" t="n"/>
      <c r="K221" s="92">
        <f>IFERROR(IF(ISBLANK(INDEX(Release[Release],MATCH($A222,Release[Requirement ID],0))),"",INDEX(Release[Release],MATCH($A222,Release[Requirement ID],0))),"")</f>
        <v/>
      </c>
      <c r="L221" s="124" t="n"/>
      <c r="M221" s="124" t="n"/>
      <c r="N221" s="124" t="n"/>
      <c r="O221" s="92">
        <f>IF($N222="","","https://smartship.atlassian.net/browse/"&amp;$N222)</f>
        <v/>
      </c>
      <c r="P221" s="92">
        <f>IFERROR(VALUE(MID($A222,5,4)),0)</f>
        <v/>
      </c>
      <c r="Q221" s="92">
        <f>IF(B222="","","NEW-"&amp;TEXT(MAX($P$2:$P221,Lists!$N$2)+1,"0000"))</f>
        <v/>
      </c>
    </row>
    <row r="222" ht="15" customHeight="1" s="93">
      <c r="A222" s="123">
        <f>IF(AND(B223="",C223="",D223="",E223="",F223="",G223="",H223="",J223="",L223="",M223="",N223=""),"",Q223)</f>
        <v/>
      </c>
      <c r="B222" s="124" t="n"/>
      <c r="C222" s="124" t="n"/>
      <c r="D222" s="124" t="n"/>
      <c r="E222" s="124" t="n"/>
      <c r="F222" s="124" t="n"/>
      <c r="G222" s="124" t="n"/>
      <c r="H222" s="124" t="n"/>
      <c r="I222" s="92">
        <f>IF($A223="","",IFERROR(IF(ISBLANK(INDEX(SprintPlanning[Sprint],MATCH($A223,SprintPlanning[Requirement ID],0))),"To Plan",INDEX(SprintPlanning[Sprint],MATCH($A223,SprintPlanning[Requirement ID],0))),"To Plan"))</f>
        <v/>
      </c>
      <c r="J222" s="124" t="n"/>
      <c r="K222" s="92">
        <f>IFERROR(IF(ISBLANK(INDEX(Release[Release],MATCH($A223,Release[Requirement ID],0))),"",INDEX(Release[Release],MATCH($A223,Release[Requirement ID],0))),"")</f>
        <v/>
      </c>
      <c r="L222" s="124" t="n"/>
      <c r="M222" s="124" t="n"/>
      <c r="N222" s="124" t="n"/>
      <c r="O222" s="92">
        <f>IF($N223="","","https://smartship.atlassian.net/browse/"&amp;$N223)</f>
        <v/>
      </c>
      <c r="P222" s="92">
        <f>IFERROR(VALUE(MID($A223,5,4)),0)</f>
        <v/>
      </c>
      <c r="Q222" s="92">
        <f>IF(B223="","","NEW-"&amp;TEXT(MAX($P$2:$P222,Lists!$N$2)+1,"0000"))</f>
        <v/>
      </c>
    </row>
    <row r="223" ht="15" customHeight="1" s="93">
      <c r="A223" s="123">
        <f>IF(AND(B224="",C224="",D224="",E224="",F224="",G224="",H224="",J224="",L224="",M224="",N224=""),"",Q224)</f>
        <v/>
      </c>
      <c r="B223" s="124" t="n"/>
      <c r="C223" s="124" t="n"/>
      <c r="D223" s="124" t="n"/>
      <c r="E223" s="124" t="n"/>
      <c r="F223" s="124" t="n"/>
      <c r="G223" s="124" t="n"/>
      <c r="H223" s="124" t="n"/>
      <c r="I223" s="92">
        <f>IF($A224="","",IFERROR(IF(ISBLANK(INDEX(SprintPlanning[Sprint],MATCH($A224,SprintPlanning[Requirement ID],0))),"To Plan",INDEX(SprintPlanning[Sprint],MATCH($A224,SprintPlanning[Requirement ID],0))),"To Plan"))</f>
        <v/>
      </c>
      <c r="J223" s="124" t="n"/>
      <c r="K223" s="92">
        <f>IFERROR(IF(ISBLANK(INDEX(Release[Release],MATCH($A224,Release[Requirement ID],0))),"",INDEX(Release[Release],MATCH($A224,Release[Requirement ID],0))),"")</f>
        <v/>
      </c>
      <c r="L223" s="124" t="n"/>
      <c r="M223" s="124" t="n"/>
      <c r="N223" s="124" t="n"/>
      <c r="O223" s="92">
        <f>IF($N224="","","https://smartship.atlassian.net/browse/"&amp;$N224)</f>
        <v/>
      </c>
      <c r="P223" s="92">
        <f>IFERROR(VALUE(MID($A224,5,4)),0)</f>
        <v/>
      </c>
      <c r="Q223" s="92">
        <f>IF(B224="","","NEW-"&amp;TEXT(MAX($P$2:$P223,Lists!$N$2)+1,"0000"))</f>
        <v/>
      </c>
    </row>
    <row r="224" ht="15" customHeight="1" s="93">
      <c r="A224" s="123">
        <f>IF(AND(B225="",C225="",D225="",E225="",F225="",G225="",H225="",J225="",L225="",M225="",N225=""),"",Q225)</f>
        <v/>
      </c>
      <c r="B224" s="124" t="n"/>
      <c r="C224" s="124" t="n"/>
      <c r="D224" s="124" t="n"/>
      <c r="E224" s="124" t="n"/>
      <c r="F224" s="124" t="n"/>
      <c r="G224" s="124" t="n"/>
      <c r="H224" s="124" t="n"/>
      <c r="I224" s="92">
        <f>IF($A225="","",IFERROR(IF(ISBLANK(INDEX(SprintPlanning[Sprint],MATCH($A225,SprintPlanning[Requirement ID],0))),"To Plan",INDEX(SprintPlanning[Sprint],MATCH($A225,SprintPlanning[Requirement ID],0))),"To Plan"))</f>
        <v/>
      </c>
      <c r="J224" s="124" t="n"/>
      <c r="K224" s="92">
        <f>IFERROR(IF(ISBLANK(INDEX(Release[Release],MATCH($A225,Release[Requirement ID],0))),"",INDEX(Release[Release],MATCH($A225,Release[Requirement ID],0))),"")</f>
        <v/>
      </c>
      <c r="L224" s="124" t="n"/>
      <c r="M224" s="124" t="n"/>
      <c r="N224" s="124" t="n"/>
      <c r="O224" s="92">
        <f>IF($N225="","","https://smartship.atlassian.net/browse/"&amp;$N225)</f>
        <v/>
      </c>
      <c r="P224" s="92">
        <f>IFERROR(VALUE(MID($A225,5,4)),0)</f>
        <v/>
      </c>
      <c r="Q224" s="92">
        <f>IF(B225="","","NEW-"&amp;TEXT(MAX($P$2:$P224,Lists!$N$2)+1,"0000"))</f>
        <v/>
      </c>
    </row>
    <row r="225" ht="15" customHeight="1" s="93">
      <c r="A225" s="123">
        <f>IF(AND(B226="",C226="",D226="",E226="",F226="",G226="",H226="",J226="",L226="",M226="",N226=""),"",Q226)</f>
        <v/>
      </c>
      <c r="B225" s="124" t="n"/>
      <c r="C225" s="124" t="n"/>
      <c r="D225" s="124" t="n"/>
      <c r="E225" s="124" t="n"/>
      <c r="F225" s="124" t="n"/>
      <c r="G225" s="124" t="n"/>
      <c r="H225" s="124" t="n"/>
      <c r="I225" s="92">
        <f>IF($A226="","",IFERROR(IF(ISBLANK(INDEX(SprintPlanning[Sprint],MATCH($A226,SprintPlanning[Requirement ID],0))),"To Plan",INDEX(SprintPlanning[Sprint],MATCH($A226,SprintPlanning[Requirement ID],0))),"To Plan"))</f>
        <v/>
      </c>
      <c r="J225" s="124" t="n"/>
      <c r="K225" s="92">
        <f>IFERROR(IF(ISBLANK(INDEX(Release[Release],MATCH($A226,Release[Requirement ID],0))),"",INDEX(Release[Release],MATCH($A226,Release[Requirement ID],0))),"")</f>
        <v/>
      </c>
      <c r="L225" s="124" t="n"/>
      <c r="M225" s="124" t="n"/>
      <c r="N225" s="124" t="n"/>
      <c r="O225" s="92">
        <f>IF($N226="","","https://smartship.atlassian.net/browse/"&amp;$N226)</f>
        <v/>
      </c>
      <c r="P225" s="92">
        <f>IFERROR(VALUE(MID($A226,5,4)),0)</f>
        <v/>
      </c>
      <c r="Q225" s="92">
        <f>IF(B226="","","NEW-"&amp;TEXT(MAX($P$2:$P225,Lists!$N$2)+1,"0000"))</f>
        <v/>
      </c>
    </row>
    <row r="226" ht="23.25" customHeight="1" s="93">
      <c r="A226" s="123">
        <f>IF(AND(B227="",C227="",D227="",E227="",F227="",G227="",H227="",J227="",L227="",M227="",N227=""),"",Q227)</f>
        <v/>
      </c>
      <c r="B226" s="124" t="n"/>
      <c r="C226" s="124" t="n"/>
      <c r="D226" s="124" t="n"/>
      <c r="E226" s="124" t="n"/>
      <c r="F226" s="124" t="n"/>
      <c r="G226" s="124" t="n"/>
      <c r="H226" s="124" t="n"/>
      <c r="I226" s="92">
        <f>IF($A227="","",IFERROR(IF(ISBLANK(INDEX(SprintPlanning[Sprint],MATCH($A227,SprintPlanning[Requirement ID],0))),"To Plan",INDEX(SprintPlanning[Sprint],MATCH($A227,SprintPlanning[Requirement ID],0))),"To Plan"))</f>
        <v/>
      </c>
      <c r="J226" s="124" t="n"/>
      <c r="K226" s="92">
        <f>IFERROR(IF(ISBLANK(INDEX(Release[Release],MATCH($A227,Release[Requirement ID],0))),"",INDEX(Release[Release],MATCH($A227,Release[Requirement ID],0))),"")</f>
        <v/>
      </c>
      <c r="L226" s="124" t="n"/>
      <c r="M226" s="124" t="n"/>
      <c r="N226" s="124" t="n"/>
      <c r="O226" s="92">
        <f>IF($N227="","","https://smartship.atlassian.net/browse/"&amp;$N227)</f>
        <v/>
      </c>
      <c r="P226" s="92">
        <f>IFERROR(VALUE(MID($A227,5,4)),0)</f>
        <v/>
      </c>
      <c r="Q226" s="92">
        <f>IF(B227="","","NEW-"&amp;TEXT(MAX($P$2:$P226,Lists!$N$2)+1,"0000"))</f>
        <v/>
      </c>
    </row>
    <row r="227" ht="15" customHeight="1" s="93">
      <c r="A227" s="123">
        <f>IF(AND(B228="",C228="",D228="",E228="",F228="",G228="",H228="",J228="",L228="",M228="",N228=""),"",Q228)</f>
        <v/>
      </c>
      <c r="B227" s="124" t="n"/>
      <c r="C227" s="124" t="n"/>
      <c r="D227" s="124" t="n"/>
      <c r="E227" s="124" t="n"/>
      <c r="F227" s="124" t="n"/>
      <c r="G227" s="124" t="n"/>
      <c r="H227" s="124" t="n"/>
      <c r="I227" s="92">
        <f>IF($A228="","",IFERROR(IF(ISBLANK(INDEX(SprintPlanning[Sprint],MATCH($A228,SprintPlanning[Requirement ID],0))),"To Plan",INDEX(SprintPlanning[Sprint],MATCH($A228,SprintPlanning[Requirement ID],0))),"To Plan"))</f>
        <v/>
      </c>
      <c r="J227" s="124" t="n"/>
      <c r="K227" s="92">
        <f>IFERROR(IF(ISBLANK(INDEX(Release[Release],MATCH($A228,Release[Requirement ID],0))),"",INDEX(Release[Release],MATCH($A228,Release[Requirement ID],0))),"")</f>
        <v/>
      </c>
      <c r="L227" s="124" t="n"/>
      <c r="M227" s="124" t="n"/>
      <c r="N227" s="124" t="n"/>
      <c r="O227" s="92">
        <f>IF($N228="","","https://smartship.atlassian.net/browse/"&amp;$N228)</f>
        <v/>
      </c>
      <c r="P227" s="92">
        <f>IFERROR(VALUE(MID($A228,5,4)),0)</f>
        <v/>
      </c>
      <c r="Q227" s="92">
        <f>IF(B228="","","NEW-"&amp;TEXT(MAX($P$2:$P227,Lists!$N$2)+1,"0000"))</f>
        <v/>
      </c>
    </row>
    <row r="228" ht="15" customHeight="1" s="93">
      <c r="A228" s="123">
        <f>IF(AND(B229="",C229="",D229="",E229="",F229="",G229="",H229="",J229="",L229="",M229="",N229=""),"",Q229)</f>
        <v/>
      </c>
      <c r="B228" s="124" t="n"/>
      <c r="C228" s="124" t="n"/>
      <c r="D228" s="124" t="n"/>
      <c r="E228" s="124" t="n"/>
      <c r="F228" s="124" t="n"/>
      <c r="G228" s="124" t="n"/>
      <c r="H228" s="124" t="n"/>
      <c r="I228" s="92">
        <f>IF($A229="","",IFERROR(IF(ISBLANK(INDEX(SprintPlanning[Sprint],MATCH($A229,SprintPlanning[Requirement ID],0))),"To Plan",INDEX(SprintPlanning[Sprint],MATCH($A229,SprintPlanning[Requirement ID],0))),"To Plan"))</f>
        <v/>
      </c>
      <c r="J228" s="124" t="n"/>
      <c r="K228" s="92">
        <f>IFERROR(IF(ISBLANK(INDEX(Release[Release],MATCH($A229,Release[Requirement ID],0))),"",INDEX(Release[Release],MATCH($A229,Release[Requirement ID],0))),"")</f>
        <v/>
      </c>
      <c r="L228" s="124" t="n"/>
      <c r="M228" s="124" t="n"/>
      <c r="N228" s="124" t="n"/>
      <c r="O228" s="92">
        <f>IF($N229="","","https://smartship.atlassian.net/browse/"&amp;$N229)</f>
        <v/>
      </c>
      <c r="P228" s="92">
        <f>IFERROR(VALUE(MID($A229,5,4)),0)</f>
        <v/>
      </c>
      <c r="Q228" s="92">
        <f>IF(B229="","","NEW-"&amp;TEXT(MAX($P$2:$P228,Lists!$N$2)+1,"0000"))</f>
        <v/>
      </c>
    </row>
    <row r="229" ht="15" customHeight="1" s="93">
      <c r="A229" s="123">
        <f>IF(AND(B230="",C230="",D230="",E230="",F230="",G230="",H230="",J230="",L230="",M230="",N230=""),"",Q230)</f>
        <v/>
      </c>
      <c r="B229" s="124" t="n"/>
      <c r="C229" s="124" t="n"/>
      <c r="D229" s="124" t="n"/>
      <c r="E229" s="124" t="n"/>
      <c r="F229" s="124" t="n"/>
      <c r="G229" s="124" t="n"/>
      <c r="H229" s="124" t="n"/>
      <c r="I229" s="92">
        <f>IF($A230="","",IFERROR(IF(ISBLANK(INDEX(SprintPlanning[Sprint],MATCH($A230,SprintPlanning[Requirement ID],0))),"To Plan",INDEX(SprintPlanning[Sprint],MATCH($A230,SprintPlanning[Requirement ID],0))),"To Plan"))</f>
        <v/>
      </c>
      <c r="J229" s="124" t="n"/>
      <c r="K229" s="92">
        <f>IFERROR(IF(ISBLANK(INDEX(Release[Release],MATCH($A230,Release[Requirement ID],0))),"",INDEX(Release[Release],MATCH($A230,Release[Requirement ID],0))),"")</f>
        <v/>
      </c>
      <c r="L229" s="124" t="n"/>
      <c r="M229" s="124" t="n"/>
      <c r="N229" s="124" t="n"/>
      <c r="O229" s="92">
        <f>IF($N230="","","https://smartship.atlassian.net/browse/"&amp;$N230)</f>
        <v/>
      </c>
      <c r="P229" s="92">
        <f>IFERROR(VALUE(MID($A230,5,4)),0)</f>
        <v/>
      </c>
      <c r="Q229" s="92">
        <f>IF(B230="","","NEW-"&amp;TEXT(MAX($P$2:$P229,Lists!$N$2)+1,"0000"))</f>
        <v/>
      </c>
    </row>
    <row r="230" ht="15" customHeight="1" s="93">
      <c r="A230" s="123">
        <f>IF(AND(B231="",C231="",D231="",E231="",F231="",G231="",H231="",J231="",L231="",M231="",N231=""),"",Q231)</f>
        <v/>
      </c>
      <c r="B230" s="124" t="n"/>
      <c r="C230" s="124" t="n"/>
      <c r="D230" s="124" t="n"/>
      <c r="E230" s="124" t="n"/>
      <c r="F230" s="124" t="n"/>
      <c r="G230" s="124" t="n"/>
      <c r="H230" s="124" t="n"/>
      <c r="I230" s="92">
        <f>IF($A231="","",IFERROR(IF(ISBLANK(INDEX(SprintPlanning[Sprint],MATCH($A231,SprintPlanning[Requirement ID],0))),"To Plan",INDEX(SprintPlanning[Sprint],MATCH($A231,SprintPlanning[Requirement ID],0))),"To Plan"))</f>
        <v/>
      </c>
      <c r="J230" s="124" t="n"/>
      <c r="K230" s="92">
        <f>IFERROR(IF(ISBLANK(INDEX(Release[Release],MATCH($A231,Release[Requirement ID],0))),"",INDEX(Release[Release],MATCH($A231,Release[Requirement ID],0))),"")</f>
        <v/>
      </c>
      <c r="L230" s="124" t="n"/>
      <c r="M230" s="124" t="n"/>
      <c r="N230" s="124" t="n"/>
      <c r="O230" s="92">
        <f>IF($N231="","","https://smartship.atlassian.net/browse/"&amp;$N231)</f>
        <v/>
      </c>
      <c r="P230" s="92">
        <f>IFERROR(VALUE(MID($A231,5,4)),0)</f>
        <v/>
      </c>
      <c r="Q230" s="92">
        <f>IF(B231="","","NEW-"&amp;TEXT(MAX($P$2:$P230,Lists!$N$2)+1,"0000"))</f>
        <v/>
      </c>
    </row>
    <row r="231" ht="15" customHeight="1" s="93">
      <c r="A231" s="123">
        <f>IF(AND(B232="",C232="",D232="",E232="",F232="",G232="",H232="",J232="",L232="",M232="",N232=""),"",Q232)</f>
        <v/>
      </c>
      <c r="B231" s="124" t="n"/>
      <c r="C231" s="124" t="n"/>
      <c r="D231" s="124" t="n"/>
      <c r="E231" s="124" t="n"/>
      <c r="F231" s="124" t="n"/>
      <c r="G231" s="124" t="n"/>
      <c r="H231" s="124" t="n"/>
      <c r="I231" s="92">
        <f>IF($A232="","",IFERROR(IF(ISBLANK(INDEX(SprintPlanning[Sprint],MATCH($A232,SprintPlanning[Requirement ID],0))),"To Plan",INDEX(SprintPlanning[Sprint],MATCH($A232,SprintPlanning[Requirement ID],0))),"To Plan"))</f>
        <v/>
      </c>
      <c r="J231" s="124" t="n"/>
      <c r="K231" s="92">
        <f>IFERROR(IF(ISBLANK(INDEX(Release[Release],MATCH($A232,Release[Requirement ID],0))),"",INDEX(Release[Release],MATCH($A232,Release[Requirement ID],0))),"")</f>
        <v/>
      </c>
      <c r="L231" s="124" t="n"/>
      <c r="M231" s="124" t="n"/>
      <c r="N231" s="124" t="n"/>
      <c r="O231" s="92">
        <f>IF($N232="","","https://smartship.atlassian.net/browse/"&amp;$N232)</f>
        <v/>
      </c>
      <c r="P231" s="92">
        <f>IFERROR(VALUE(MID($A232,5,4)),0)</f>
        <v/>
      </c>
      <c r="Q231" s="92">
        <f>IF(B232="","","NEW-"&amp;TEXT(MAX($P$2:$P231,Lists!$N$2)+1,"0000"))</f>
        <v/>
      </c>
    </row>
    <row r="232" ht="15" customHeight="1" s="93">
      <c r="A232" s="123">
        <f>IF(AND(B233="",C233="",D233="",E233="",F233="",G233="",H233="",J233="",L233="",M233="",N233=""),"",Q233)</f>
        <v/>
      </c>
      <c r="B232" s="124" t="n"/>
      <c r="C232" s="124" t="n"/>
      <c r="D232" s="124" t="n"/>
      <c r="E232" s="124" t="n"/>
      <c r="F232" s="124" t="n"/>
      <c r="G232" s="124" t="n"/>
      <c r="H232" s="124" t="n"/>
      <c r="I232" s="92">
        <f>IF($A233="","",IFERROR(IF(ISBLANK(INDEX(SprintPlanning[Sprint],MATCH($A233,SprintPlanning[Requirement ID],0))),"To Plan",INDEX(SprintPlanning[Sprint],MATCH($A233,SprintPlanning[Requirement ID],0))),"To Plan"))</f>
        <v/>
      </c>
      <c r="J232" s="124" t="n"/>
      <c r="K232" s="92">
        <f>IFERROR(IF(ISBLANK(INDEX(Release[Release],MATCH($A233,Release[Requirement ID],0))),"",INDEX(Release[Release],MATCH($A233,Release[Requirement ID],0))),"")</f>
        <v/>
      </c>
      <c r="L232" s="124" t="n"/>
      <c r="M232" s="124" t="n"/>
      <c r="N232" s="124" t="n"/>
      <c r="O232" s="92">
        <f>IF($N233="","","https://smartship.atlassian.net/browse/"&amp;$N233)</f>
        <v/>
      </c>
      <c r="P232" s="92">
        <f>IFERROR(VALUE(MID($A233,5,4)),0)</f>
        <v/>
      </c>
      <c r="Q232" s="92">
        <f>IF(B233="","","NEW-"&amp;TEXT(MAX($P$2:$P232,Lists!$N$2)+1,"0000"))</f>
        <v/>
      </c>
    </row>
    <row r="233" ht="15" customHeight="1" s="93">
      <c r="A233" s="123">
        <f>IF(AND(B234="",C234="",D234="",E234="",F234="",G234="",H234="",J234="",L234="",M234="",N234=""),"",Q234)</f>
        <v/>
      </c>
      <c r="B233" s="124" t="n"/>
      <c r="C233" s="124" t="n"/>
      <c r="D233" s="124" t="n"/>
      <c r="E233" s="124" t="n"/>
      <c r="F233" s="124" t="n"/>
      <c r="G233" s="124" t="n"/>
      <c r="H233" s="124" t="n"/>
      <c r="I233" s="92">
        <f>IF($A234="","",IFERROR(IF(ISBLANK(INDEX(SprintPlanning[Sprint],MATCH($A234,SprintPlanning[Requirement ID],0))),"To Plan",INDEX(SprintPlanning[Sprint],MATCH($A234,SprintPlanning[Requirement ID],0))),"To Plan"))</f>
        <v/>
      </c>
      <c r="J233" s="124" t="n"/>
      <c r="K233" s="92">
        <f>IFERROR(IF(ISBLANK(INDEX(Release[Release],MATCH($A234,Release[Requirement ID],0))),"",INDEX(Release[Release],MATCH($A234,Release[Requirement ID],0))),"")</f>
        <v/>
      </c>
      <c r="L233" s="124" t="n"/>
      <c r="M233" s="124" t="n"/>
      <c r="N233" s="124" t="n"/>
      <c r="O233" s="92">
        <f>IF($N234="","","https://smartship.atlassian.net/browse/"&amp;$N234)</f>
        <v/>
      </c>
      <c r="P233" s="92">
        <f>IFERROR(VALUE(MID($A234,5,4)),0)</f>
        <v/>
      </c>
      <c r="Q233" s="92">
        <f>IF(B234="","","NEW-"&amp;TEXT(MAX($P$2:$P233,Lists!$N$2)+1,"0000"))</f>
        <v/>
      </c>
    </row>
    <row r="234" ht="15" customHeight="1" s="93">
      <c r="A234" s="123">
        <f>IF(AND(B235="",C235="",D235="",E235="",F235="",G235="",H235="",J235="",L235="",M235="",N235=""),"",Q235)</f>
        <v/>
      </c>
      <c r="B234" s="124" t="n"/>
      <c r="C234" s="124" t="n"/>
      <c r="D234" s="124" t="n"/>
      <c r="E234" s="124" t="n"/>
      <c r="F234" s="124" t="n"/>
      <c r="G234" s="124" t="n"/>
      <c r="H234" s="124" t="n"/>
      <c r="I234" s="92">
        <f>IF($A235="","",IFERROR(IF(ISBLANK(INDEX(SprintPlanning[Sprint],MATCH($A235,SprintPlanning[Requirement ID],0))),"To Plan",INDEX(SprintPlanning[Sprint],MATCH($A235,SprintPlanning[Requirement ID],0))),"To Plan"))</f>
        <v/>
      </c>
      <c r="J234" s="124" t="n"/>
      <c r="K234" s="92">
        <f>IFERROR(IF(ISBLANK(INDEX(Release[Release],MATCH($A235,Release[Requirement ID],0))),"",INDEX(Release[Release],MATCH($A235,Release[Requirement ID],0))),"")</f>
        <v/>
      </c>
      <c r="L234" s="124" t="n"/>
      <c r="M234" s="124" t="n"/>
      <c r="N234" s="124" t="n"/>
      <c r="O234" s="92">
        <f>IF($N235="","","https://smartship.atlassian.net/browse/"&amp;$N235)</f>
        <v/>
      </c>
      <c r="P234" s="92">
        <f>IFERROR(VALUE(MID($A235,5,4)),0)</f>
        <v/>
      </c>
      <c r="Q234" s="92">
        <f>IF(B235="","","NEW-"&amp;TEXT(MAX($P$2:$P234,Lists!$N$2)+1,"0000"))</f>
        <v/>
      </c>
    </row>
    <row r="235" ht="15" customHeight="1" s="93">
      <c r="A235" s="123">
        <f>IF(AND(B236="",C236="",D236="",E236="",F236="",G236="",H236="",J236="",L236="",M236="",N236=""),"",Q236)</f>
        <v/>
      </c>
      <c r="B235" s="124" t="n"/>
      <c r="C235" s="124" t="n"/>
      <c r="D235" s="124" t="n"/>
      <c r="E235" s="124" t="n"/>
      <c r="F235" s="124" t="n"/>
      <c r="G235" s="124" t="n"/>
      <c r="H235" s="124" t="n"/>
      <c r="I235" s="92">
        <f>IF($A236="","",IFERROR(IF(ISBLANK(INDEX(SprintPlanning[Sprint],MATCH($A236,SprintPlanning[Requirement ID],0))),"To Plan",INDEX(SprintPlanning[Sprint],MATCH($A236,SprintPlanning[Requirement ID],0))),"To Plan"))</f>
        <v/>
      </c>
      <c r="J235" s="124" t="n"/>
      <c r="K235" s="92">
        <f>IFERROR(IF(ISBLANK(INDEX(Release[Release],MATCH($A236,Release[Requirement ID],0))),"",INDEX(Release[Release],MATCH($A236,Release[Requirement ID],0))),"")</f>
        <v/>
      </c>
      <c r="L235" s="124" t="n"/>
      <c r="M235" s="124" t="n"/>
      <c r="N235" s="124" t="n"/>
      <c r="O235" s="92">
        <f>IF($N236="","","https://smartship.atlassian.net/browse/"&amp;$N236)</f>
        <v/>
      </c>
      <c r="P235" s="92">
        <f>IFERROR(VALUE(MID($A236,5,4)),0)</f>
        <v/>
      </c>
      <c r="Q235" s="92">
        <f>IF(B236="","","NEW-"&amp;TEXT(MAX($P$2:$P235,Lists!$N$2)+1,"0000"))</f>
        <v/>
      </c>
    </row>
    <row r="236" ht="15" customHeight="1" s="93">
      <c r="A236" s="123">
        <f>IF(AND(B237="",C237="",D237="",E237="",F237="",G237="",H237="",J237="",L237="",M237="",N237=""),"",Q237)</f>
        <v/>
      </c>
      <c r="B236" s="124" t="n"/>
      <c r="C236" s="124" t="n"/>
      <c r="D236" s="124" t="n"/>
      <c r="E236" s="124" t="n"/>
      <c r="F236" s="124" t="n"/>
      <c r="G236" s="124" t="n"/>
      <c r="H236" s="124" t="n"/>
      <c r="I236" s="92">
        <f>IF($A237="","",IFERROR(IF(ISBLANK(INDEX(SprintPlanning[Sprint],MATCH($A237,SprintPlanning[Requirement ID],0))),"To Plan",INDEX(SprintPlanning[Sprint],MATCH($A237,SprintPlanning[Requirement ID],0))),"To Plan"))</f>
        <v/>
      </c>
      <c r="J236" s="124" t="n"/>
      <c r="K236" s="92">
        <f>IFERROR(IF(ISBLANK(INDEX(Release[Release],MATCH($A237,Release[Requirement ID],0))),"",INDEX(Release[Release],MATCH($A237,Release[Requirement ID],0))),"")</f>
        <v/>
      </c>
      <c r="L236" s="124" t="n"/>
      <c r="M236" s="124" t="n"/>
      <c r="N236" s="124" t="n"/>
      <c r="O236" s="92">
        <f>IF($N237="","","https://smartship.atlassian.net/browse/"&amp;$N237)</f>
        <v/>
      </c>
      <c r="P236" s="92">
        <f>IFERROR(VALUE(MID($A237,5,4)),0)</f>
        <v/>
      </c>
      <c r="Q236" s="92">
        <f>IF(B237="","","NEW-"&amp;TEXT(MAX($P$2:$P236,Lists!$N$2)+1,"0000"))</f>
        <v/>
      </c>
    </row>
    <row r="237" ht="15" customHeight="1" s="93">
      <c r="A237" s="123">
        <f>IF(AND(B238="",C238="",D238="",E238="",F238="",G238="",H238="",J238="",L238="",M238="",N238=""),"",Q238)</f>
        <v/>
      </c>
      <c r="B237" s="124" t="n"/>
      <c r="C237" s="124" t="n"/>
      <c r="D237" s="124" t="n"/>
      <c r="E237" s="124" t="n"/>
      <c r="F237" s="124" t="n"/>
      <c r="G237" s="124" t="n"/>
      <c r="H237" s="124" t="n"/>
      <c r="I237" s="92">
        <f>IF($A238="","",IFERROR(IF(ISBLANK(INDEX(SprintPlanning[Sprint],MATCH($A238,SprintPlanning[Requirement ID],0))),"To Plan",INDEX(SprintPlanning[Sprint],MATCH($A238,SprintPlanning[Requirement ID],0))),"To Plan"))</f>
        <v/>
      </c>
      <c r="J237" s="124" t="n"/>
      <c r="K237" s="92">
        <f>IFERROR(IF(ISBLANK(INDEX(Release[Release],MATCH($A238,Release[Requirement ID],0))),"",INDEX(Release[Release],MATCH($A238,Release[Requirement ID],0))),"")</f>
        <v/>
      </c>
      <c r="L237" s="124" t="n"/>
      <c r="M237" s="124" t="n"/>
      <c r="N237" s="124" t="n"/>
      <c r="O237" s="92">
        <f>IF($N238="","","https://smartship.atlassian.net/browse/"&amp;$N238)</f>
        <v/>
      </c>
      <c r="P237" s="92">
        <f>IFERROR(VALUE(MID($A238,5,4)),0)</f>
        <v/>
      </c>
      <c r="Q237" s="92">
        <f>IF(B238="","","NEW-"&amp;TEXT(MAX($P$2:$P237,Lists!$N$2)+1,"0000"))</f>
        <v/>
      </c>
    </row>
    <row r="238" ht="15" customHeight="1" s="93">
      <c r="A238" s="123">
        <f>IF(AND(B239="",C239="",D239="",E239="",F239="",G239="",H239="",J239="",L239="",M239="",N239=""),"",Q239)</f>
        <v/>
      </c>
      <c r="B238" s="124" t="n"/>
      <c r="C238" s="124" t="n"/>
      <c r="D238" s="124" t="n"/>
      <c r="E238" s="124" t="n"/>
      <c r="F238" s="124" t="n"/>
      <c r="G238" s="124" t="n"/>
      <c r="H238" s="124" t="n"/>
      <c r="I238" s="92">
        <f>IF($A239="","",IFERROR(IF(ISBLANK(INDEX(SprintPlanning[Sprint],MATCH($A239,SprintPlanning[Requirement ID],0))),"To Plan",INDEX(SprintPlanning[Sprint],MATCH($A239,SprintPlanning[Requirement ID],0))),"To Plan"))</f>
        <v/>
      </c>
      <c r="J238" s="124" t="n"/>
      <c r="K238" s="92">
        <f>IFERROR(IF(ISBLANK(INDEX(Release[Release],MATCH($A239,Release[Requirement ID],0))),"",INDEX(Release[Release],MATCH($A239,Release[Requirement ID],0))),"")</f>
        <v/>
      </c>
      <c r="L238" s="124" t="n"/>
      <c r="M238" s="124" t="n"/>
      <c r="N238" s="124" t="n"/>
      <c r="O238" s="92">
        <f>IF($N239="","","https://smartship.atlassian.net/browse/"&amp;$N239)</f>
        <v/>
      </c>
      <c r="P238" s="92">
        <f>IFERROR(VALUE(MID($A239,5,4)),0)</f>
        <v/>
      </c>
      <c r="Q238" s="92">
        <f>IF(B239="","","NEW-"&amp;TEXT(MAX($P$2:$P238,Lists!$N$2)+1,"0000"))</f>
        <v/>
      </c>
    </row>
    <row r="239" ht="15" customHeight="1" s="93">
      <c r="A239" s="123">
        <f>IF(AND(B240="",C240="",D240="",E240="",F240="",G240="",H240="",J240="",L240="",M240="",N240=""),"",Q240)</f>
        <v/>
      </c>
      <c r="B239" s="124" t="n"/>
      <c r="C239" s="124" t="n"/>
      <c r="D239" s="124" t="n"/>
      <c r="E239" s="124" t="n"/>
      <c r="F239" s="124" t="n"/>
      <c r="G239" s="124" t="n"/>
      <c r="H239" s="124" t="n"/>
      <c r="I239" s="92">
        <f>IF($A240="","",IFERROR(IF(ISBLANK(INDEX(SprintPlanning[Sprint],MATCH($A240,SprintPlanning[Requirement ID],0))),"To Plan",INDEX(SprintPlanning[Sprint],MATCH($A240,SprintPlanning[Requirement ID],0))),"To Plan"))</f>
        <v/>
      </c>
      <c r="J239" s="124" t="n"/>
      <c r="K239" s="92">
        <f>IFERROR(IF(ISBLANK(INDEX(Release[Release],MATCH($A240,Release[Requirement ID],0))),"",INDEX(Release[Release],MATCH($A240,Release[Requirement ID],0))),"")</f>
        <v/>
      </c>
      <c r="L239" s="124" t="n"/>
      <c r="M239" s="124" t="n"/>
      <c r="N239" s="124" t="n"/>
      <c r="O239" s="92">
        <f>IF($N240="","","https://smartship.atlassian.net/browse/"&amp;$N240)</f>
        <v/>
      </c>
      <c r="P239" s="92">
        <f>IFERROR(VALUE(MID($A240,5,4)),0)</f>
        <v/>
      </c>
      <c r="Q239" s="92">
        <f>IF(B240="","","NEW-"&amp;TEXT(MAX($P$2:$P239,Lists!$N$2)+1,"0000"))</f>
        <v/>
      </c>
    </row>
    <row r="240" ht="15" customHeight="1" s="93">
      <c r="A240" s="123">
        <f>IF(AND(B241="",C241="",D241="",E241="",F241="",G241="",H241="",J241="",L241="",M241="",N241=""),"",Q241)</f>
        <v/>
      </c>
      <c r="B240" s="124" t="n"/>
      <c r="C240" s="124" t="n"/>
      <c r="D240" s="124" t="n"/>
      <c r="E240" s="124" t="n"/>
      <c r="F240" s="124" t="n"/>
      <c r="G240" s="124" t="n"/>
      <c r="H240" s="124" t="n"/>
      <c r="I240" s="92">
        <f>IF($A241="","",IFERROR(IF(ISBLANK(INDEX(SprintPlanning[Sprint],MATCH($A241,SprintPlanning[Requirement ID],0))),"To Plan",INDEX(SprintPlanning[Sprint],MATCH($A241,SprintPlanning[Requirement ID],0))),"To Plan"))</f>
        <v/>
      </c>
      <c r="J240" s="124" t="n"/>
      <c r="K240" s="92">
        <f>IFERROR(IF(ISBLANK(INDEX(Release[Release],MATCH($A241,Release[Requirement ID],0))),"",INDEX(Release[Release],MATCH($A241,Release[Requirement ID],0))),"")</f>
        <v/>
      </c>
      <c r="L240" s="124" t="n"/>
      <c r="M240" s="124" t="n"/>
      <c r="N240" s="124" t="n"/>
      <c r="O240" s="92">
        <f>IF($N241="","","https://smartship.atlassian.net/browse/"&amp;$N241)</f>
        <v/>
      </c>
      <c r="P240" s="92">
        <f>IFERROR(VALUE(MID($A241,5,4)),0)</f>
        <v/>
      </c>
      <c r="Q240" s="92">
        <f>IF(B241="","","NEW-"&amp;TEXT(MAX($P$2:$P240,Lists!$N$2)+1,"0000"))</f>
        <v/>
      </c>
    </row>
    <row r="241" ht="15" customHeight="1" s="93">
      <c r="A241" s="123">
        <f>IF(AND(B242="",C242="",D242="",E242="",F242="",G242="",H242="",J242="",L242="",M242="",N242=""),"",Q242)</f>
        <v/>
      </c>
      <c r="B241" s="124" t="n"/>
      <c r="C241" s="124" t="n"/>
      <c r="D241" s="124" t="n"/>
      <c r="E241" s="124" t="n"/>
      <c r="F241" s="124" t="n"/>
      <c r="G241" s="124" t="n"/>
      <c r="H241" s="124" t="n"/>
      <c r="I241" s="92">
        <f>IF($A242="","",IFERROR(IF(ISBLANK(INDEX(SprintPlanning[Sprint],MATCH($A242,SprintPlanning[Requirement ID],0))),"To Plan",INDEX(SprintPlanning[Sprint],MATCH($A242,SprintPlanning[Requirement ID],0))),"To Plan"))</f>
        <v/>
      </c>
      <c r="J241" s="124" t="n"/>
      <c r="K241" s="92">
        <f>IFERROR(IF(ISBLANK(INDEX(Release[Release],MATCH($A242,Release[Requirement ID],0))),"",INDEX(Release[Release],MATCH($A242,Release[Requirement ID],0))),"")</f>
        <v/>
      </c>
      <c r="L241" s="124" t="n"/>
      <c r="M241" s="124" t="n"/>
      <c r="N241" s="124" t="n"/>
      <c r="O241" s="92">
        <f>IF($N242="","","https://smartship.atlassian.net/browse/"&amp;$N242)</f>
        <v/>
      </c>
      <c r="P241" s="92">
        <f>IFERROR(VALUE(MID($A242,5,4)),0)</f>
        <v/>
      </c>
      <c r="Q241" s="92">
        <f>IF(B242="","","NEW-"&amp;TEXT(MAX($P$2:$P241,Lists!$N$2)+1,"0000"))</f>
        <v/>
      </c>
    </row>
    <row r="242" ht="15" customHeight="1" s="93">
      <c r="A242" s="123">
        <f>IF(AND(B243="",C243="",D243="",E243="",F243="",G243="",H243="",J243="",L243="",M243="",N243=""),"",Q243)</f>
        <v/>
      </c>
      <c r="B242" s="124" t="n"/>
      <c r="C242" s="124" t="n"/>
      <c r="D242" s="124" t="n"/>
      <c r="E242" s="124" t="n"/>
      <c r="F242" s="124" t="n"/>
      <c r="G242" s="124" t="n"/>
      <c r="H242" s="124" t="n"/>
      <c r="I242" s="92">
        <f>IF($A243="","",IFERROR(IF(ISBLANK(INDEX(SprintPlanning[Sprint],MATCH($A243,SprintPlanning[Requirement ID],0))),"To Plan",INDEX(SprintPlanning[Sprint],MATCH($A243,SprintPlanning[Requirement ID],0))),"To Plan"))</f>
        <v/>
      </c>
      <c r="J242" s="124" t="n"/>
      <c r="K242" s="92">
        <f>IFERROR(IF(ISBLANK(INDEX(Release[Release],MATCH($A243,Release[Requirement ID],0))),"",INDEX(Release[Release],MATCH($A243,Release[Requirement ID],0))),"")</f>
        <v/>
      </c>
      <c r="L242" s="124" t="n"/>
      <c r="M242" s="124" t="n"/>
      <c r="N242" s="124" t="n"/>
      <c r="O242" s="92">
        <f>IF($N243="","","https://smartship.atlassian.net/browse/"&amp;$N243)</f>
        <v/>
      </c>
      <c r="P242" s="92">
        <f>IFERROR(VALUE(MID($A243,5,4)),0)</f>
        <v/>
      </c>
      <c r="Q242" s="92">
        <f>IF(B243="","","NEW-"&amp;TEXT(MAX($P$2:$P242,Lists!$N$2)+1,"0000"))</f>
        <v/>
      </c>
    </row>
    <row r="243" ht="15" customHeight="1" s="93">
      <c r="A243" s="123">
        <f>IF(AND(B244="",C244="",D244="",E244="",F244="",G244="",H244="",J244="",L244="",M244="",N244=""),"",Q244)</f>
        <v/>
      </c>
      <c r="B243" s="124" t="n"/>
      <c r="C243" s="124" t="n"/>
      <c r="D243" s="124" t="n"/>
      <c r="E243" s="124" t="n"/>
      <c r="F243" s="124" t="n"/>
      <c r="G243" s="124" t="n"/>
      <c r="H243" s="124" t="n"/>
      <c r="I243" s="92">
        <f>IF($A244="","",IFERROR(IF(ISBLANK(INDEX(SprintPlanning[Sprint],MATCH($A244,SprintPlanning[Requirement ID],0))),"To Plan",INDEX(SprintPlanning[Sprint],MATCH($A244,SprintPlanning[Requirement ID],0))),"To Plan"))</f>
        <v/>
      </c>
      <c r="J243" s="124" t="n"/>
      <c r="K243" s="92">
        <f>IFERROR(IF(ISBLANK(INDEX(Release[Release],MATCH($A244,Release[Requirement ID],0))),"",INDEX(Release[Release],MATCH($A244,Release[Requirement ID],0))),"")</f>
        <v/>
      </c>
      <c r="L243" s="124" t="n"/>
      <c r="M243" s="124" t="n"/>
      <c r="N243" s="124" t="n"/>
      <c r="O243" s="92">
        <f>IF($N244="","","https://smartship.atlassian.net/browse/"&amp;$N244)</f>
        <v/>
      </c>
      <c r="P243" s="92">
        <f>IFERROR(VALUE(MID($A244,5,4)),0)</f>
        <v/>
      </c>
      <c r="Q243" s="92">
        <f>IF(B244="","","NEW-"&amp;TEXT(MAX($P$2:$P243,Lists!$N$2)+1,"0000"))</f>
        <v/>
      </c>
    </row>
    <row r="244" ht="15" customHeight="1" s="93">
      <c r="A244" s="123">
        <f>IF(AND(B245="",C245="",D245="",E245="",F245="",G245="",H245="",J245="",L245="",M245="",N245=""),"",Q245)</f>
        <v/>
      </c>
      <c r="B244" s="124" t="n"/>
      <c r="C244" s="124" t="n"/>
      <c r="D244" s="124" t="n"/>
      <c r="E244" s="124" t="n"/>
      <c r="F244" s="124" t="n"/>
      <c r="G244" s="124" t="n"/>
      <c r="H244" s="124" t="n"/>
      <c r="I244" s="92">
        <f>IF($A245="","",IFERROR(IF(ISBLANK(INDEX(SprintPlanning[Sprint],MATCH($A245,SprintPlanning[Requirement ID],0))),"To Plan",INDEX(SprintPlanning[Sprint],MATCH($A245,SprintPlanning[Requirement ID],0))),"To Plan"))</f>
        <v/>
      </c>
      <c r="J244" s="124" t="n"/>
      <c r="K244" s="92">
        <f>IFERROR(IF(ISBLANK(INDEX(Release[Release],MATCH($A245,Release[Requirement ID],0))),"",INDEX(Release[Release],MATCH($A245,Release[Requirement ID],0))),"")</f>
        <v/>
      </c>
      <c r="L244" s="124" t="n"/>
      <c r="M244" s="124" t="n"/>
      <c r="N244" s="124" t="n"/>
      <c r="O244" s="92">
        <f>IF($N245="","","https://smartship.atlassian.net/browse/"&amp;$N245)</f>
        <v/>
      </c>
      <c r="P244" s="92">
        <f>IFERROR(VALUE(MID($A245,5,4)),0)</f>
        <v/>
      </c>
      <c r="Q244" s="92">
        <f>IF(B245="","","NEW-"&amp;TEXT(MAX($P$2:$P244,Lists!$N$2)+1,"0000"))</f>
        <v/>
      </c>
    </row>
    <row r="245" ht="15" customHeight="1" s="93">
      <c r="A245" s="123">
        <f>IF(AND(B246="",C246="",D246="",E246="",F246="",G246="",H246="",J246="",L246="",M246="",N246=""),"",Q246)</f>
        <v/>
      </c>
      <c r="B245" s="124" t="n"/>
      <c r="C245" s="124" t="n"/>
      <c r="D245" s="124" t="n"/>
      <c r="E245" s="124" t="n"/>
      <c r="F245" s="124" t="n"/>
      <c r="G245" s="124" t="n"/>
      <c r="H245" s="124" t="n"/>
      <c r="I245" s="92">
        <f>IF($A246="","",IFERROR(IF(ISBLANK(INDEX(SprintPlanning[Sprint],MATCH($A246,SprintPlanning[Requirement ID],0))),"To Plan",INDEX(SprintPlanning[Sprint],MATCH($A246,SprintPlanning[Requirement ID],0))),"To Plan"))</f>
        <v/>
      </c>
      <c r="J245" s="124" t="n"/>
      <c r="K245" s="92">
        <f>IFERROR(IF(ISBLANK(INDEX(Release[Release],MATCH($A246,Release[Requirement ID],0))),"",INDEX(Release[Release],MATCH($A246,Release[Requirement ID],0))),"")</f>
        <v/>
      </c>
      <c r="L245" s="124" t="n"/>
      <c r="M245" s="124" t="n"/>
      <c r="N245" s="124" t="n"/>
      <c r="O245" s="92">
        <f>IF($N246="","","https://smartship.atlassian.net/browse/"&amp;$N246)</f>
        <v/>
      </c>
      <c r="P245" s="92">
        <f>IFERROR(VALUE(MID($A246,5,4)),0)</f>
        <v/>
      </c>
      <c r="Q245" s="92">
        <f>IF(B246="","","NEW-"&amp;TEXT(MAX($P$2:$P245,Lists!$N$2)+1,"0000"))</f>
        <v/>
      </c>
    </row>
    <row r="246" ht="15" customHeight="1" s="93">
      <c r="A246" s="123">
        <f>IF(AND(B247="",C247="",D247="",E247="",F247="",G247="",H247="",J247="",L247="",M247="",N247=""),"",Q247)</f>
        <v/>
      </c>
      <c r="B246" s="124" t="n"/>
      <c r="C246" s="124" t="n"/>
      <c r="D246" s="124" t="n"/>
      <c r="E246" s="124" t="n"/>
      <c r="F246" s="124" t="n"/>
      <c r="G246" s="124" t="n"/>
      <c r="H246" s="124" t="n"/>
      <c r="I246" s="92">
        <f>IF($A247="","",IFERROR(IF(ISBLANK(INDEX(SprintPlanning[Sprint],MATCH($A247,SprintPlanning[Requirement ID],0))),"To Plan",INDEX(SprintPlanning[Sprint],MATCH($A247,SprintPlanning[Requirement ID],0))),"To Plan"))</f>
        <v/>
      </c>
      <c r="J246" s="124" t="n"/>
      <c r="K246" s="92">
        <f>IFERROR(IF(ISBLANK(INDEX(Release[Release],MATCH($A247,Release[Requirement ID],0))),"",INDEX(Release[Release],MATCH($A247,Release[Requirement ID],0))),"")</f>
        <v/>
      </c>
      <c r="L246" s="124" t="n"/>
      <c r="M246" s="124" t="n"/>
      <c r="N246" s="124" t="n"/>
      <c r="O246" s="92">
        <f>IF($N247="","","https://smartship.atlassian.net/browse/"&amp;$N247)</f>
        <v/>
      </c>
      <c r="P246" s="92">
        <f>IFERROR(VALUE(MID($A247,5,4)),0)</f>
        <v/>
      </c>
      <c r="Q246" s="92">
        <f>IF(B247="","","NEW-"&amp;TEXT(MAX($P$2:$P246,Lists!$N$2)+1,"0000"))</f>
        <v/>
      </c>
    </row>
    <row r="247" ht="15" customHeight="1" s="93">
      <c r="A247" s="123">
        <f>IF(AND(B248="",C248="",D248="",E248="",F248="",G248="",H248="",J248="",L248="",M248="",N248=""),"",Q248)</f>
        <v/>
      </c>
      <c r="B247" s="124" t="n"/>
      <c r="C247" s="124" t="n"/>
      <c r="D247" s="124" t="n"/>
      <c r="E247" s="124" t="n"/>
      <c r="F247" s="124" t="n"/>
      <c r="G247" s="124" t="n"/>
      <c r="H247" s="124" t="n"/>
      <c r="I247" s="92">
        <f>IF($A248="","",IFERROR(IF(ISBLANK(INDEX(SprintPlanning[Sprint],MATCH($A248,SprintPlanning[Requirement ID],0))),"To Plan",INDEX(SprintPlanning[Sprint],MATCH($A248,SprintPlanning[Requirement ID],0))),"To Plan"))</f>
        <v/>
      </c>
      <c r="J247" s="124" t="n"/>
      <c r="K247" s="92">
        <f>IFERROR(IF(ISBLANK(INDEX(Release[Release],MATCH($A248,Release[Requirement ID],0))),"",INDEX(Release[Release],MATCH($A248,Release[Requirement ID],0))),"")</f>
        <v/>
      </c>
      <c r="L247" s="124" t="n"/>
      <c r="M247" s="124" t="n"/>
      <c r="N247" s="124" t="n"/>
      <c r="O247" s="92">
        <f>IF($N248="","","https://smartship.atlassian.net/browse/"&amp;$N248)</f>
        <v/>
      </c>
      <c r="P247" s="92">
        <f>IFERROR(VALUE(MID($A248,5,4)),0)</f>
        <v/>
      </c>
      <c r="Q247" s="92">
        <f>IF(B248="","","NEW-"&amp;TEXT(MAX($P$2:$P247,Lists!$N$2)+1,"0000"))</f>
        <v/>
      </c>
    </row>
    <row r="248" ht="15" customHeight="1" s="93">
      <c r="A248" s="123">
        <f>IF(AND(B249="",C249="",D249="",E249="",F249="",G249="",H249="",J249="",L249="",M249="",N249=""),"",Q249)</f>
        <v/>
      </c>
      <c r="B248" s="124" t="n"/>
      <c r="C248" s="124" t="n"/>
      <c r="D248" s="124" t="n"/>
      <c r="E248" s="124" t="n"/>
      <c r="F248" s="124" t="n"/>
      <c r="G248" s="124" t="n"/>
      <c r="H248" s="124" t="n"/>
      <c r="I248" s="92">
        <f>IF($A249="","",IFERROR(IF(ISBLANK(INDEX(SprintPlanning[Sprint],MATCH($A249,SprintPlanning[Requirement ID],0))),"To Plan",INDEX(SprintPlanning[Sprint],MATCH($A249,SprintPlanning[Requirement ID],0))),"To Plan"))</f>
        <v/>
      </c>
      <c r="J248" s="124" t="n"/>
      <c r="K248" s="92">
        <f>IFERROR(IF(ISBLANK(INDEX(Release[Release],MATCH($A249,Release[Requirement ID],0))),"",INDEX(Release[Release],MATCH($A249,Release[Requirement ID],0))),"")</f>
        <v/>
      </c>
      <c r="L248" s="124" t="n"/>
      <c r="M248" s="124" t="n"/>
      <c r="N248" s="124" t="n"/>
      <c r="O248" s="92">
        <f>IF($N249="","","https://smartship.atlassian.net/browse/"&amp;$N249)</f>
        <v/>
      </c>
      <c r="P248" s="92">
        <f>IFERROR(VALUE(MID($A249,5,4)),0)</f>
        <v/>
      </c>
      <c r="Q248" s="92">
        <f>IF(B249="","","NEW-"&amp;TEXT(MAX($P$2:$P248,Lists!$N$2)+1,"0000"))</f>
        <v/>
      </c>
    </row>
    <row r="249" ht="15" customHeight="1" s="93">
      <c r="A249" s="123">
        <f>IF(AND(B250="",C250="",D250="",E250="",F250="",G250="",H250="",J250="",L250="",M250="",N250=""),"",Q250)</f>
        <v/>
      </c>
      <c r="B249" s="124" t="n"/>
      <c r="C249" s="124" t="n"/>
      <c r="D249" s="124" t="n"/>
      <c r="E249" s="124" t="n"/>
      <c r="F249" s="124" t="n"/>
      <c r="G249" s="124" t="n"/>
      <c r="H249" s="124" t="n"/>
      <c r="I249" s="92">
        <f>IF($A250="","",IFERROR(IF(ISBLANK(INDEX(SprintPlanning[Sprint],MATCH($A250,SprintPlanning[Requirement ID],0))),"To Plan",INDEX(SprintPlanning[Sprint],MATCH($A250,SprintPlanning[Requirement ID],0))),"To Plan"))</f>
        <v/>
      </c>
      <c r="J249" s="124" t="n"/>
      <c r="K249" s="92">
        <f>IFERROR(IF(ISBLANK(INDEX(Release[Release],MATCH($A250,Release[Requirement ID],0))),"",INDEX(Release[Release],MATCH($A250,Release[Requirement ID],0))),"")</f>
        <v/>
      </c>
      <c r="L249" s="124" t="n"/>
      <c r="M249" s="124" t="n"/>
      <c r="N249" s="124" t="n"/>
      <c r="O249" s="92">
        <f>IF($N250="","","https://smartship.atlassian.net/browse/"&amp;$N250)</f>
        <v/>
      </c>
      <c r="P249" s="92">
        <f>IFERROR(VALUE(MID($A250,5,4)),0)</f>
        <v/>
      </c>
      <c r="Q249" s="92">
        <f>IF(B250="","","NEW-"&amp;TEXT(MAX($P$2:$P249,Lists!$N$2)+1,"0000"))</f>
        <v/>
      </c>
    </row>
    <row r="250" ht="15" customHeight="1" s="93">
      <c r="A250" s="123">
        <f>IF(AND(B251="",C251="",D251="",E251="",F251="",G251="",H251="",J251="",L251="",M251="",N251=""),"",Q251)</f>
        <v/>
      </c>
      <c r="B250" s="124" t="n"/>
      <c r="C250" s="124" t="n"/>
      <c r="D250" s="124" t="n"/>
      <c r="E250" s="124" t="n"/>
      <c r="F250" s="124" t="n"/>
      <c r="G250" s="124" t="n"/>
      <c r="H250" s="124" t="n"/>
      <c r="I250" s="92">
        <f>IF($A251="","",IFERROR(IF(ISBLANK(INDEX(SprintPlanning[Sprint],MATCH($A251,SprintPlanning[Requirement ID],0))),"To Plan",INDEX(SprintPlanning[Sprint],MATCH($A251,SprintPlanning[Requirement ID],0))),"To Plan"))</f>
        <v/>
      </c>
      <c r="J250" s="124" t="n"/>
      <c r="K250" s="92">
        <f>IFERROR(IF(ISBLANK(INDEX(Release[Release],MATCH($A251,Release[Requirement ID],0))),"",INDEX(Release[Release],MATCH($A251,Release[Requirement ID],0))),"")</f>
        <v/>
      </c>
      <c r="L250" s="124" t="n"/>
      <c r="M250" s="124" t="n"/>
      <c r="N250" s="124" t="n"/>
      <c r="O250" s="92">
        <f>IF($N251="","","https://smartship.atlassian.net/browse/"&amp;$N251)</f>
        <v/>
      </c>
      <c r="P250" s="92">
        <f>IFERROR(VALUE(MID($A251,5,4)),0)</f>
        <v/>
      </c>
      <c r="Q250" s="92">
        <f>IF(B251="","","NEW-"&amp;TEXT(MAX($P$2:$P250,Lists!$N$2)+1,"0000"))</f>
        <v/>
      </c>
    </row>
    <row r="251" ht="15" customHeight="1" s="93">
      <c r="A251" s="123">
        <f>IF(AND(B252="",C252="",D252="",E252="",F252="",G252="",H252="",J252="",L252="",M252="",N252=""),"",Q252)</f>
        <v/>
      </c>
      <c r="B251" s="124" t="n"/>
      <c r="C251" s="124" t="n"/>
      <c r="D251" s="124" t="n"/>
      <c r="E251" s="124" t="n"/>
      <c r="F251" s="124" t="n"/>
      <c r="G251" s="124" t="n"/>
      <c r="H251" s="124" t="n"/>
      <c r="I251" s="92">
        <f>IF($A252="","",IFERROR(IF(ISBLANK(INDEX(SprintPlanning[Sprint],MATCH($A252,SprintPlanning[Requirement ID],0))),"To Plan",INDEX(SprintPlanning[Sprint],MATCH($A252,SprintPlanning[Requirement ID],0))),"To Plan"))</f>
        <v/>
      </c>
      <c r="J251" s="124" t="n"/>
      <c r="K251" s="92">
        <f>IFERROR(IF(ISBLANK(INDEX(Release[Release],MATCH($A252,Release[Requirement ID],0))),"",INDEX(Release[Release],MATCH($A252,Release[Requirement ID],0))),"")</f>
        <v/>
      </c>
      <c r="L251" s="124" t="n"/>
      <c r="M251" s="124" t="n"/>
      <c r="N251" s="124" t="n"/>
      <c r="O251" s="92">
        <f>IF($N252="","","https://smartship.atlassian.net/browse/"&amp;$N252)</f>
        <v/>
      </c>
      <c r="P251" s="92">
        <f>IFERROR(VALUE(MID($A252,5,4)),0)</f>
        <v/>
      </c>
      <c r="Q251" s="92">
        <f>IF(B252="","","NEW-"&amp;TEXT(MAX($P$2:$P251,Lists!$N$2)+1,"0000"))</f>
        <v/>
      </c>
    </row>
    <row r="252" ht="15" customHeight="1" s="93">
      <c r="A252" s="123">
        <f>IF(AND(B253="",C253="",D253="",E253="",F253="",G253="",H253="",J253="",L253="",M253="",N253=""),"",Q253)</f>
        <v/>
      </c>
      <c r="B252" s="124" t="n"/>
      <c r="C252" s="124" t="n"/>
      <c r="D252" s="124" t="n"/>
      <c r="E252" s="124" t="n"/>
      <c r="F252" s="124" t="n"/>
      <c r="G252" s="124" t="n"/>
      <c r="H252" s="124" t="n"/>
      <c r="I252" s="92">
        <f>IF($A253="","",IFERROR(IF(ISBLANK(INDEX(SprintPlanning[Sprint],MATCH($A253,SprintPlanning[Requirement ID],0))),"To Plan",INDEX(SprintPlanning[Sprint],MATCH($A253,SprintPlanning[Requirement ID],0))),"To Plan"))</f>
        <v/>
      </c>
      <c r="J252" s="124" t="n"/>
      <c r="K252" s="92">
        <f>IFERROR(IF(ISBLANK(INDEX(Release[Release],MATCH($A253,Release[Requirement ID],0))),"",INDEX(Release[Release],MATCH($A253,Release[Requirement ID],0))),"")</f>
        <v/>
      </c>
      <c r="L252" s="124" t="n"/>
      <c r="M252" s="124" t="n"/>
      <c r="N252" s="124" t="n"/>
      <c r="O252" s="92">
        <f>IF($N253="","","https://smartship.atlassian.net/browse/"&amp;$N253)</f>
        <v/>
      </c>
      <c r="P252" s="92">
        <f>IFERROR(VALUE(MID($A253,5,4)),0)</f>
        <v/>
      </c>
      <c r="Q252" s="92">
        <f>IF(B253="","","NEW-"&amp;TEXT(MAX($P$2:$P252,Lists!$N$2)+1,"0000"))</f>
        <v/>
      </c>
    </row>
    <row r="253" ht="15" customHeight="1" s="93">
      <c r="A253" s="123">
        <f>IF(AND(B254="",C254="",D254="",E254="",F254="",G254="",H254="",J254="",L254="",M254="",N254=""),"",Q254)</f>
        <v/>
      </c>
      <c r="B253" s="124" t="n"/>
      <c r="C253" s="124" t="n"/>
      <c r="D253" s="124" t="n"/>
      <c r="E253" s="124" t="n"/>
      <c r="F253" s="124" t="n"/>
      <c r="G253" s="124" t="n"/>
      <c r="H253" s="124" t="n"/>
      <c r="I253" s="92">
        <f>IF($A254="","",IFERROR(IF(ISBLANK(INDEX(SprintPlanning[Sprint],MATCH($A254,SprintPlanning[Requirement ID],0))),"To Plan",INDEX(SprintPlanning[Sprint],MATCH($A254,SprintPlanning[Requirement ID],0))),"To Plan"))</f>
        <v/>
      </c>
      <c r="J253" s="124" t="n"/>
      <c r="K253" s="92">
        <f>IFERROR(IF(ISBLANK(INDEX(Release[Release],MATCH($A254,Release[Requirement ID],0))),"",INDEX(Release[Release],MATCH($A254,Release[Requirement ID],0))),"")</f>
        <v/>
      </c>
      <c r="L253" s="124" t="n"/>
      <c r="M253" s="124" t="n"/>
      <c r="N253" s="124" t="n"/>
      <c r="O253" s="92">
        <f>IF($N254="","","https://smartship.atlassian.net/browse/"&amp;$N254)</f>
        <v/>
      </c>
      <c r="P253" s="92">
        <f>IFERROR(VALUE(MID($A254,5,4)),0)</f>
        <v/>
      </c>
      <c r="Q253" s="92">
        <f>IF(B254="","","NEW-"&amp;TEXT(MAX($P$2:$P253,Lists!$N$2)+1,"0000"))</f>
        <v/>
      </c>
    </row>
    <row r="254" ht="15" customHeight="1" s="93">
      <c r="A254" s="123">
        <f>IF(AND(B255="",C255="",D255="",E255="",F255="",G255="",H255="",J255="",L255="",M255="",N255=""),"",Q255)</f>
        <v/>
      </c>
      <c r="B254" s="124" t="n"/>
      <c r="C254" s="124" t="n"/>
      <c r="D254" s="124" t="n"/>
      <c r="E254" s="124" t="n"/>
      <c r="F254" s="124" t="n"/>
      <c r="G254" s="124" t="n"/>
      <c r="H254" s="124" t="n"/>
      <c r="I254" s="92">
        <f>IF($A255="","",IFERROR(IF(ISBLANK(INDEX(SprintPlanning[Sprint],MATCH($A255,SprintPlanning[Requirement ID],0))),"To Plan",INDEX(SprintPlanning[Sprint],MATCH($A255,SprintPlanning[Requirement ID],0))),"To Plan"))</f>
        <v/>
      </c>
      <c r="J254" s="124" t="n"/>
      <c r="K254" s="92">
        <f>IFERROR(IF(ISBLANK(INDEX(Release[Release],MATCH($A255,Release[Requirement ID],0))),"",INDEX(Release[Release],MATCH($A255,Release[Requirement ID],0))),"")</f>
        <v/>
      </c>
      <c r="L254" s="124" t="n"/>
      <c r="M254" s="124" t="n"/>
      <c r="N254" s="124" t="n"/>
      <c r="O254" s="92">
        <f>IF($N255="","","https://smartship.atlassian.net/browse/"&amp;$N255)</f>
        <v/>
      </c>
      <c r="P254" s="92">
        <f>IFERROR(VALUE(MID($A255,5,4)),0)</f>
        <v/>
      </c>
      <c r="Q254" s="92">
        <f>IF(B255="","","NEW-"&amp;TEXT(MAX($P$2:$P254,Lists!$N$2)+1,"0000"))</f>
        <v/>
      </c>
    </row>
    <row r="255" ht="15" customHeight="1" s="93">
      <c r="A255" s="123">
        <f>IF(AND(B256="",C256="",D256="",E256="",F256="",G256="",H256="",J256="",L256="",M256="",N256=""),"",Q256)</f>
        <v/>
      </c>
      <c r="B255" s="124" t="n"/>
      <c r="C255" s="124" t="n"/>
      <c r="D255" s="124" t="n"/>
      <c r="E255" s="124" t="n"/>
      <c r="F255" s="124" t="n"/>
      <c r="G255" s="124" t="n"/>
      <c r="H255" s="124" t="n"/>
      <c r="I255" s="92">
        <f>IF($A256="","",IFERROR(IF(ISBLANK(INDEX(SprintPlanning[Sprint],MATCH($A256,SprintPlanning[Requirement ID],0))),"To Plan",INDEX(SprintPlanning[Sprint],MATCH($A256,SprintPlanning[Requirement ID],0))),"To Plan"))</f>
        <v/>
      </c>
      <c r="J255" s="124" t="n"/>
      <c r="K255" s="92">
        <f>IFERROR(IF(ISBLANK(INDEX(Release[Release],MATCH($A256,Release[Requirement ID],0))),"",INDEX(Release[Release],MATCH($A256,Release[Requirement ID],0))),"")</f>
        <v/>
      </c>
      <c r="L255" s="124" t="n"/>
      <c r="M255" s="124" t="n"/>
      <c r="N255" s="124" t="n"/>
      <c r="O255" s="92">
        <f>IF($N256="","","https://smartship.atlassian.net/browse/"&amp;$N256)</f>
        <v/>
      </c>
      <c r="P255" s="92">
        <f>IFERROR(VALUE(MID($A256,5,4)),0)</f>
        <v/>
      </c>
      <c r="Q255" s="92">
        <f>IF(B256="","","NEW-"&amp;TEXT(MAX($P$2:$P255,Lists!$N$2)+1,"0000"))</f>
        <v/>
      </c>
    </row>
    <row r="256" ht="15" customHeight="1" s="93">
      <c r="A256" s="123">
        <f>IF(AND(B257="",C257="",D257="",E257="",F257="",G257="",H257="",J257="",L257="",M257="",N257=""),"",Q257)</f>
        <v/>
      </c>
      <c r="B256" s="124" t="n"/>
      <c r="C256" s="124" t="n"/>
      <c r="D256" s="124" t="n"/>
      <c r="E256" s="124" t="n"/>
      <c r="F256" s="124" t="n"/>
      <c r="G256" s="124" t="n"/>
      <c r="H256" s="124" t="n"/>
      <c r="I256" s="92">
        <f>IF($A257="","",IFERROR(IF(ISBLANK(INDEX(SprintPlanning[Sprint],MATCH($A257,SprintPlanning[Requirement ID],0))),"To Plan",INDEX(SprintPlanning[Sprint],MATCH($A257,SprintPlanning[Requirement ID],0))),"To Plan"))</f>
        <v/>
      </c>
      <c r="J256" s="124" t="n"/>
      <c r="K256" s="92">
        <f>IFERROR(IF(ISBLANK(INDEX(Release[Release],MATCH($A257,Release[Requirement ID],0))),"",INDEX(Release[Release],MATCH($A257,Release[Requirement ID],0))),"")</f>
        <v/>
      </c>
      <c r="L256" s="124" t="n"/>
      <c r="M256" s="124" t="n"/>
      <c r="N256" s="124" t="n"/>
      <c r="O256" s="92">
        <f>IF($N257="","","https://smartship.atlassian.net/browse/"&amp;$N257)</f>
        <v/>
      </c>
      <c r="P256" s="92">
        <f>IFERROR(VALUE(MID($A257,5,4)),0)</f>
        <v/>
      </c>
      <c r="Q256" s="92">
        <f>IF(B257="","","NEW-"&amp;TEXT(MAX($P$2:$P256,Lists!$N$2)+1,"0000"))</f>
        <v/>
      </c>
    </row>
    <row r="257" ht="15" customHeight="1" s="93">
      <c r="A257" s="123">
        <f>IF(AND(B258="",C258="",D258="",E258="",F258="",G258="",H258="",J258="",L258="",M258="",N258=""),"",Q258)</f>
        <v/>
      </c>
      <c r="B257" s="124" t="n"/>
      <c r="C257" s="124" t="n"/>
      <c r="D257" s="124" t="n"/>
      <c r="E257" s="124" t="n"/>
      <c r="F257" s="124" t="n"/>
      <c r="G257" s="124" t="n"/>
      <c r="H257" s="124" t="n"/>
      <c r="I257" s="92">
        <f>IF($A258="","",IFERROR(IF(ISBLANK(INDEX(SprintPlanning[Sprint],MATCH($A258,SprintPlanning[Requirement ID],0))),"To Plan",INDEX(SprintPlanning[Sprint],MATCH($A258,SprintPlanning[Requirement ID],0))),"To Plan"))</f>
        <v/>
      </c>
      <c r="J257" s="124" t="n"/>
      <c r="K257" s="92">
        <f>IFERROR(IF(ISBLANK(INDEX(Release[Release],MATCH($A258,Release[Requirement ID],0))),"",INDEX(Release[Release],MATCH($A258,Release[Requirement ID],0))),"")</f>
        <v/>
      </c>
      <c r="L257" s="124" t="n"/>
      <c r="M257" s="124" t="n"/>
      <c r="N257" s="124" t="n"/>
      <c r="O257" s="92">
        <f>IF($N258="","","https://smartship.atlassian.net/browse/"&amp;$N258)</f>
        <v/>
      </c>
      <c r="P257" s="92">
        <f>IFERROR(VALUE(MID($A258,5,4)),0)</f>
        <v/>
      </c>
      <c r="Q257" s="92">
        <f>IF(B258="","","NEW-"&amp;TEXT(MAX($P$2:$P257,Lists!$N$2)+1,"0000"))</f>
        <v/>
      </c>
    </row>
    <row r="258" ht="15" customHeight="1" s="93">
      <c r="A258" s="123">
        <f>IF(AND(B259="",C259="",D259="",E259="",F259="",G259="",H259="",J259="",L259="",M259="",N259=""),"",Q259)</f>
        <v/>
      </c>
      <c r="B258" s="124" t="n"/>
      <c r="C258" s="124" t="n"/>
      <c r="D258" s="124" t="n"/>
      <c r="E258" s="124" t="n"/>
      <c r="F258" s="124" t="n"/>
      <c r="G258" s="124" t="n"/>
      <c r="H258" s="124" t="n"/>
      <c r="I258" s="92">
        <f>IF($A259="","",IFERROR(IF(ISBLANK(INDEX(SprintPlanning[Sprint],MATCH($A259,SprintPlanning[Requirement ID],0))),"To Plan",INDEX(SprintPlanning[Sprint],MATCH($A259,SprintPlanning[Requirement ID],0))),"To Plan"))</f>
        <v/>
      </c>
      <c r="J258" s="124" t="n"/>
      <c r="K258" s="92">
        <f>IFERROR(IF(ISBLANK(INDEX(Release[Release],MATCH($A259,Release[Requirement ID],0))),"",INDEX(Release[Release],MATCH($A259,Release[Requirement ID],0))),"")</f>
        <v/>
      </c>
      <c r="L258" s="124" t="n"/>
      <c r="M258" s="124" t="n"/>
      <c r="N258" s="124" t="n"/>
      <c r="O258" s="92">
        <f>IF($N259="","","https://smartship.atlassian.net/browse/"&amp;$N259)</f>
        <v/>
      </c>
      <c r="P258" s="92">
        <f>IFERROR(VALUE(MID($A259,5,4)),0)</f>
        <v/>
      </c>
      <c r="Q258" s="92">
        <f>IF(B259="","","NEW-"&amp;TEXT(MAX($P$2:$P258,Lists!$N$2)+1,"0000"))</f>
        <v/>
      </c>
    </row>
    <row r="259" ht="15" customHeight="1" s="93">
      <c r="A259" s="123">
        <f>IF(AND(B260="",C260="",D260="",E260="",F260="",G260="",H260="",J260="",L260="",M260="",N260=""),"",Q260)</f>
        <v/>
      </c>
      <c r="B259" s="124" t="n"/>
      <c r="C259" s="124" t="n"/>
      <c r="D259" s="124" t="n"/>
      <c r="E259" s="124" t="n"/>
      <c r="F259" s="124" t="n"/>
      <c r="G259" s="124" t="n"/>
      <c r="H259" s="124" t="n"/>
      <c r="I259" s="92">
        <f>IF($A260="","",IFERROR(IF(ISBLANK(INDEX(SprintPlanning[Sprint],MATCH($A260,SprintPlanning[Requirement ID],0))),"To Plan",INDEX(SprintPlanning[Sprint],MATCH($A260,SprintPlanning[Requirement ID],0))),"To Plan"))</f>
        <v/>
      </c>
      <c r="J259" s="124" t="n"/>
      <c r="K259" s="92">
        <f>IFERROR(IF(ISBLANK(INDEX(Release[Release],MATCH($A260,Release[Requirement ID],0))),"",INDEX(Release[Release],MATCH($A260,Release[Requirement ID],0))),"")</f>
        <v/>
      </c>
      <c r="L259" s="124" t="n"/>
      <c r="M259" s="124" t="n"/>
      <c r="N259" s="124" t="n"/>
      <c r="O259" s="92">
        <f>IF($N260="","","https://smartship.atlassian.net/browse/"&amp;$N260)</f>
        <v/>
      </c>
      <c r="P259" s="92">
        <f>IFERROR(VALUE(MID($A260,5,4)),0)</f>
        <v/>
      </c>
      <c r="Q259" s="92">
        <f>IF(B260="","","NEW-"&amp;TEXT(MAX($P$2:$P259,Lists!$N$2)+1,"0000"))</f>
        <v/>
      </c>
    </row>
    <row r="260" ht="15" customHeight="1" s="93">
      <c r="A260" s="123">
        <f>IF(AND(B261="",C261="",D261="",E261="",F261="",G261="",H261="",J261="",L261="",M261="",N261=""),"",Q261)</f>
        <v/>
      </c>
      <c r="B260" s="124" t="n"/>
      <c r="C260" s="124" t="n"/>
      <c r="D260" s="124" t="n"/>
      <c r="E260" s="124" t="n"/>
      <c r="F260" s="124" t="n"/>
      <c r="G260" s="124" t="n"/>
      <c r="H260" s="124" t="n"/>
      <c r="I260" s="92">
        <f>IF($A261="","",IFERROR(IF(ISBLANK(INDEX(SprintPlanning[Sprint],MATCH($A261,SprintPlanning[Requirement ID],0))),"To Plan",INDEX(SprintPlanning[Sprint],MATCH($A261,SprintPlanning[Requirement ID],0))),"To Plan"))</f>
        <v/>
      </c>
      <c r="J260" s="124" t="n"/>
      <c r="K260" s="92">
        <f>IFERROR(IF(ISBLANK(INDEX(Release[Release],MATCH($A261,Release[Requirement ID],0))),"",INDEX(Release[Release],MATCH($A261,Release[Requirement ID],0))),"")</f>
        <v/>
      </c>
      <c r="L260" s="124" t="n"/>
      <c r="M260" s="124" t="n"/>
      <c r="N260" s="124" t="n"/>
      <c r="O260" s="92">
        <f>IF($N261="","","https://smartship.atlassian.net/browse/"&amp;$N261)</f>
        <v/>
      </c>
      <c r="P260" s="92">
        <f>IFERROR(VALUE(MID($A261,5,4)),0)</f>
        <v/>
      </c>
      <c r="Q260" s="92">
        <f>IF(B261="","","NEW-"&amp;TEXT(MAX($P$2:$P260,Lists!$N$2)+1,"0000"))</f>
        <v/>
      </c>
    </row>
    <row r="261" ht="15" customHeight="1" s="93">
      <c r="A261" s="123">
        <f>IF(AND(B262="",C262="",D262="",E262="",F262="",G262="",H262="",J262="",L262="",M262="",N262=""),"",Q262)</f>
        <v/>
      </c>
      <c r="B261" s="124" t="n"/>
      <c r="C261" s="124" t="n"/>
      <c r="D261" s="124" t="n"/>
      <c r="E261" s="124" t="n"/>
      <c r="F261" s="124" t="n"/>
      <c r="G261" s="124" t="n"/>
      <c r="H261" s="124" t="n"/>
      <c r="I261" s="92">
        <f>IF($A262="","",IFERROR(IF(ISBLANK(INDEX(SprintPlanning[Sprint],MATCH($A262,SprintPlanning[Requirement ID],0))),"To Plan",INDEX(SprintPlanning[Sprint],MATCH($A262,SprintPlanning[Requirement ID],0))),"To Plan"))</f>
        <v/>
      </c>
      <c r="J261" s="124" t="n"/>
      <c r="K261" s="92">
        <f>IFERROR(IF(ISBLANK(INDEX(Release[Release],MATCH($A262,Release[Requirement ID],0))),"",INDEX(Release[Release],MATCH($A262,Release[Requirement ID],0))),"")</f>
        <v/>
      </c>
      <c r="L261" s="124" t="n"/>
      <c r="M261" s="124" t="n"/>
      <c r="N261" s="124" t="n"/>
      <c r="O261" s="92">
        <f>IF($N262="","","https://smartship.atlassian.net/browse/"&amp;$N262)</f>
        <v/>
      </c>
      <c r="P261" s="92">
        <f>IFERROR(VALUE(MID($A262,5,4)),0)</f>
        <v/>
      </c>
      <c r="Q261" s="92">
        <f>IF(B262="","","NEW-"&amp;TEXT(MAX($P$2:$P261,Lists!$N$2)+1,"0000"))</f>
        <v/>
      </c>
    </row>
    <row r="262" ht="15" customHeight="1" s="93">
      <c r="A262" s="123">
        <f>IF(AND(B263="",C263="",D263="",E263="",F263="",G263="",H263="",J263="",L263="",M263="",N263=""),"",Q263)</f>
        <v/>
      </c>
      <c r="B262" s="124" t="n"/>
      <c r="C262" s="124" t="n"/>
      <c r="D262" s="124" t="n"/>
      <c r="E262" s="124" t="n"/>
      <c r="F262" s="124" t="n"/>
      <c r="G262" s="124" t="n"/>
      <c r="H262" s="124" t="n"/>
      <c r="I262" s="92">
        <f>IF($A263="","",IFERROR(IF(ISBLANK(INDEX(SprintPlanning[Sprint],MATCH($A263,SprintPlanning[Requirement ID],0))),"To Plan",INDEX(SprintPlanning[Sprint],MATCH($A263,SprintPlanning[Requirement ID],0))),"To Plan"))</f>
        <v/>
      </c>
      <c r="J262" s="124" t="n"/>
      <c r="K262" s="92">
        <f>IFERROR(IF(ISBLANK(INDEX(Release[Release],MATCH($A263,Release[Requirement ID],0))),"",INDEX(Release[Release],MATCH($A263,Release[Requirement ID],0))),"")</f>
        <v/>
      </c>
      <c r="L262" s="124" t="n"/>
      <c r="M262" s="124" t="n"/>
      <c r="N262" s="124" t="n"/>
      <c r="O262" s="92">
        <f>IF($N263="","","https://smartship.atlassian.net/browse/"&amp;$N263)</f>
        <v/>
      </c>
      <c r="P262" s="92">
        <f>IFERROR(VALUE(MID($A263,5,4)),0)</f>
        <v/>
      </c>
      <c r="Q262" s="92">
        <f>IF(B263="","","NEW-"&amp;TEXT(MAX($P$2:$P262,Lists!$N$2)+1,"0000"))</f>
        <v/>
      </c>
    </row>
    <row r="263" ht="15" customHeight="1" s="93">
      <c r="A263" s="123">
        <f>IF(AND(B264="",C264="",D264="",E264="",F264="",G264="",H264="",J264="",L264="",M264="",N264=""),"",Q264)</f>
        <v/>
      </c>
      <c r="B263" s="124" t="n"/>
      <c r="C263" s="124" t="n"/>
      <c r="D263" s="124" t="n"/>
      <c r="E263" s="124" t="n"/>
      <c r="F263" s="124" t="n"/>
      <c r="G263" s="124" t="n"/>
      <c r="H263" s="124" t="n"/>
      <c r="I263" s="92">
        <f>IF($A264="","",IFERROR(IF(ISBLANK(INDEX(SprintPlanning[Sprint],MATCH($A264,SprintPlanning[Requirement ID],0))),"To Plan",INDEX(SprintPlanning[Sprint],MATCH($A264,SprintPlanning[Requirement ID],0))),"To Plan"))</f>
        <v/>
      </c>
      <c r="J263" s="124" t="n"/>
      <c r="K263" s="92">
        <f>IFERROR(IF(ISBLANK(INDEX(Release[Release],MATCH($A264,Release[Requirement ID],0))),"",INDEX(Release[Release],MATCH($A264,Release[Requirement ID],0))),"")</f>
        <v/>
      </c>
      <c r="L263" s="124" t="n"/>
      <c r="M263" s="124" t="n"/>
      <c r="N263" s="124" t="n"/>
      <c r="O263" s="92">
        <f>IF($N264="","","https://smartship.atlassian.net/browse/"&amp;$N264)</f>
        <v/>
      </c>
      <c r="P263" s="92">
        <f>IFERROR(VALUE(MID($A264,5,4)),0)</f>
        <v/>
      </c>
      <c r="Q263" s="92">
        <f>IF(B264="","","NEW-"&amp;TEXT(MAX($P$2:$P263,Lists!$N$2)+1,"0000"))</f>
        <v/>
      </c>
    </row>
    <row r="264" ht="15" customHeight="1" s="93">
      <c r="A264" s="123">
        <f>IF(AND(B265="",C265="",D265="",E265="",F265="",G265="",H265="",J265="",L265="",M265="",N265=""),"",Q265)</f>
        <v/>
      </c>
      <c r="B264" s="124" t="n"/>
      <c r="C264" s="124" t="n"/>
      <c r="D264" s="124" t="n"/>
      <c r="E264" s="124" t="n"/>
      <c r="F264" s="124" t="n"/>
      <c r="G264" s="124" t="n"/>
      <c r="H264" s="124" t="n"/>
      <c r="I264" s="92">
        <f>IF($A265="","",IFERROR(IF(ISBLANK(INDEX(SprintPlanning[Sprint],MATCH($A265,SprintPlanning[Requirement ID],0))),"To Plan",INDEX(SprintPlanning[Sprint],MATCH($A265,SprintPlanning[Requirement ID],0))),"To Plan"))</f>
        <v/>
      </c>
      <c r="J264" s="124" t="n"/>
      <c r="K264" s="92">
        <f>IFERROR(IF(ISBLANK(INDEX(Release[Release],MATCH($A265,Release[Requirement ID],0))),"",INDEX(Release[Release],MATCH($A265,Release[Requirement ID],0))),"")</f>
        <v/>
      </c>
      <c r="L264" s="124" t="n"/>
      <c r="M264" s="124" t="n"/>
      <c r="N264" s="124" t="n"/>
      <c r="O264" s="92">
        <f>IF($N265="","","https://smartship.atlassian.net/browse/"&amp;$N265)</f>
        <v/>
      </c>
      <c r="P264" s="92">
        <f>IFERROR(VALUE(MID($A265,5,4)),0)</f>
        <v/>
      </c>
      <c r="Q264" s="92">
        <f>IF(B265="","","NEW-"&amp;TEXT(MAX($P$2:$P264,Lists!$N$2)+1,"0000"))</f>
        <v/>
      </c>
    </row>
    <row r="265" ht="15" customHeight="1" s="93">
      <c r="A265" s="123">
        <f>IF(AND(B266="",C266="",D266="",E266="",F266="",G266="",H266="",J266="",L266="",M266="",N266=""),"",Q266)</f>
        <v/>
      </c>
      <c r="B265" s="124" t="n"/>
      <c r="C265" s="124" t="n"/>
      <c r="D265" s="124" t="n"/>
      <c r="E265" s="124" t="n"/>
      <c r="F265" s="124" t="n"/>
      <c r="G265" s="124" t="n"/>
      <c r="H265" s="124" t="n"/>
      <c r="I265" s="92">
        <f>IF($A266="","",IFERROR(IF(ISBLANK(INDEX(SprintPlanning[Sprint],MATCH($A266,SprintPlanning[Requirement ID],0))),"To Plan",INDEX(SprintPlanning[Sprint],MATCH($A266,SprintPlanning[Requirement ID],0))),"To Plan"))</f>
        <v/>
      </c>
      <c r="J265" s="124" t="n"/>
      <c r="K265" s="92">
        <f>IFERROR(IF(ISBLANK(INDEX(Release[Release],MATCH($A266,Release[Requirement ID],0))),"",INDEX(Release[Release],MATCH($A266,Release[Requirement ID],0))),"")</f>
        <v/>
      </c>
      <c r="L265" s="124" t="n"/>
      <c r="M265" s="124" t="n"/>
      <c r="N265" s="124" t="n"/>
      <c r="O265" s="92">
        <f>IF($N266="","","https://smartship.atlassian.net/browse/"&amp;$N266)</f>
        <v/>
      </c>
      <c r="P265" s="92">
        <f>IFERROR(VALUE(MID($A266,5,4)),0)</f>
        <v/>
      </c>
      <c r="Q265" s="92">
        <f>IF(B266="","","NEW-"&amp;TEXT(MAX($P$2:$P265,Lists!$N$2)+1,"0000"))</f>
        <v/>
      </c>
    </row>
    <row r="266" ht="15" customHeight="1" s="93">
      <c r="A266" s="123">
        <f>IF(AND(B267="",C267="",D267="",E267="",F267="",G267="",H267="",J267="",L267="",M267="",N267=""),"",Q267)</f>
        <v/>
      </c>
      <c r="B266" s="124" t="n"/>
      <c r="C266" s="124" t="n"/>
      <c r="D266" s="124" t="n"/>
      <c r="E266" s="124" t="n"/>
      <c r="F266" s="124" t="n"/>
      <c r="G266" s="124" t="n"/>
      <c r="H266" s="124" t="n"/>
      <c r="I266" s="92">
        <f>IF($A267="","",IFERROR(IF(ISBLANK(INDEX(SprintPlanning[Sprint],MATCH($A267,SprintPlanning[Requirement ID],0))),"To Plan",INDEX(SprintPlanning[Sprint],MATCH($A267,SprintPlanning[Requirement ID],0))),"To Plan"))</f>
        <v/>
      </c>
      <c r="J266" s="124" t="n"/>
      <c r="K266" s="92">
        <f>IFERROR(IF(ISBLANK(INDEX(Release[Release],MATCH($A267,Release[Requirement ID],0))),"",INDEX(Release[Release],MATCH($A267,Release[Requirement ID],0))),"")</f>
        <v/>
      </c>
      <c r="L266" s="124" t="n"/>
      <c r="M266" s="124" t="n"/>
      <c r="N266" s="124" t="n"/>
      <c r="O266" s="92">
        <f>IF($N267="","","https://smartship.atlassian.net/browse/"&amp;$N267)</f>
        <v/>
      </c>
      <c r="P266" s="92">
        <f>IFERROR(VALUE(MID($A267,5,4)),0)</f>
        <v/>
      </c>
      <c r="Q266" s="92">
        <f>IF(B267="","","NEW-"&amp;TEXT(MAX($P$2:$P266,Lists!$N$2)+1,"0000"))</f>
        <v/>
      </c>
    </row>
    <row r="267" ht="15" customHeight="1" s="93">
      <c r="A267" s="123">
        <f>IF(AND(B268="",C268="",D268="",E268="",F268="",G268="",H268="",J268="",L268="",M268="",N268=""),"",Q268)</f>
        <v/>
      </c>
      <c r="B267" s="124" t="n"/>
      <c r="C267" s="124" t="n"/>
      <c r="D267" s="124" t="n"/>
      <c r="E267" s="124" t="n"/>
      <c r="F267" s="124" t="n"/>
      <c r="G267" s="124" t="n"/>
      <c r="H267" s="124" t="n"/>
      <c r="I267" s="92">
        <f>IF($A268="","",IFERROR(IF(ISBLANK(INDEX(SprintPlanning[Sprint],MATCH($A268,SprintPlanning[Requirement ID],0))),"To Plan",INDEX(SprintPlanning[Sprint],MATCH($A268,SprintPlanning[Requirement ID],0))),"To Plan"))</f>
        <v/>
      </c>
      <c r="J267" s="124" t="n"/>
      <c r="K267" s="92">
        <f>IFERROR(IF(ISBLANK(INDEX(Release[Release],MATCH($A268,Release[Requirement ID],0))),"",INDEX(Release[Release],MATCH($A268,Release[Requirement ID],0))),"")</f>
        <v/>
      </c>
      <c r="L267" s="124" t="n"/>
      <c r="M267" s="124" t="n"/>
      <c r="N267" s="124" t="n"/>
      <c r="O267" s="92">
        <f>IF($N268="","","https://smartship.atlassian.net/browse/"&amp;$N268)</f>
        <v/>
      </c>
      <c r="P267" s="92">
        <f>IFERROR(VALUE(MID($A268,5,4)),0)</f>
        <v/>
      </c>
      <c r="Q267" s="92">
        <f>IF(B268="","","NEW-"&amp;TEXT(MAX($P$2:$P267,Lists!$N$2)+1,"0000"))</f>
        <v/>
      </c>
    </row>
    <row r="268" ht="15" customHeight="1" s="93">
      <c r="A268" s="123">
        <f>IF(AND(B269="",C269="",D269="",E269="",F269="",G269="",H269="",J269="",L269="",M269="",N269=""),"",Q269)</f>
        <v/>
      </c>
      <c r="B268" s="124" t="n"/>
      <c r="C268" s="124" t="n"/>
      <c r="D268" s="124" t="n"/>
      <c r="E268" s="124" t="n"/>
      <c r="F268" s="124" t="n"/>
      <c r="G268" s="124" t="n"/>
      <c r="H268" s="124" t="n"/>
      <c r="I268" s="92">
        <f>IF($A269="","",IFERROR(IF(ISBLANK(INDEX(SprintPlanning[Sprint],MATCH($A269,SprintPlanning[Requirement ID],0))),"To Plan",INDEX(SprintPlanning[Sprint],MATCH($A269,SprintPlanning[Requirement ID],0))),"To Plan"))</f>
        <v/>
      </c>
      <c r="J268" s="124" t="n"/>
      <c r="K268" s="92">
        <f>IFERROR(IF(ISBLANK(INDEX(Release[Release],MATCH($A269,Release[Requirement ID],0))),"",INDEX(Release[Release],MATCH($A269,Release[Requirement ID],0))),"")</f>
        <v/>
      </c>
      <c r="L268" s="124" t="n"/>
      <c r="M268" s="124" t="n"/>
      <c r="N268" s="124" t="n"/>
      <c r="O268" s="92">
        <f>IF($N269="","","https://smartship.atlassian.net/browse/"&amp;$N269)</f>
        <v/>
      </c>
      <c r="P268" s="92">
        <f>IFERROR(VALUE(MID($A269,5,4)),0)</f>
        <v/>
      </c>
      <c r="Q268" s="92">
        <f>IF(B269="","","NEW-"&amp;TEXT(MAX($P$2:$P268,Lists!$N$2)+1,"0000"))</f>
        <v/>
      </c>
    </row>
    <row r="269" ht="15" customHeight="1" s="93">
      <c r="A269" s="123">
        <f>IF(AND(B270="",C270="",D270="",E270="",F270="",G270="",H270="",J270="",L270="",M270="",N270=""),"",Q270)</f>
        <v/>
      </c>
      <c r="B269" s="124" t="n"/>
      <c r="C269" s="124" t="n"/>
      <c r="D269" s="124" t="n"/>
      <c r="E269" s="124" t="n"/>
      <c r="F269" s="124" t="n"/>
      <c r="G269" s="124" t="n"/>
      <c r="H269" s="124" t="n"/>
      <c r="I269" s="92">
        <f>IF($A270="","",IFERROR(IF(ISBLANK(INDEX(SprintPlanning[Sprint],MATCH($A270,SprintPlanning[Requirement ID],0))),"To Plan",INDEX(SprintPlanning[Sprint],MATCH($A270,SprintPlanning[Requirement ID],0))),"To Plan"))</f>
        <v/>
      </c>
      <c r="J269" s="124" t="n"/>
      <c r="K269" s="92">
        <f>IFERROR(IF(ISBLANK(INDEX(Release[Release],MATCH($A270,Release[Requirement ID],0))),"",INDEX(Release[Release],MATCH($A270,Release[Requirement ID],0))),"")</f>
        <v/>
      </c>
      <c r="L269" s="124" t="n"/>
      <c r="M269" s="124" t="n"/>
      <c r="N269" s="124" t="n"/>
      <c r="O269" s="92">
        <f>IF($N270="","","https://smartship.atlassian.net/browse/"&amp;$N270)</f>
        <v/>
      </c>
      <c r="P269" s="92">
        <f>IFERROR(VALUE(MID($A270,5,4)),0)</f>
        <v/>
      </c>
      <c r="Q269" s="92">
        <f>IF(B270="","","NEW-"&amp;TEXT(MAX($P$2:$P269,Lists!$N$2)+1,"0000"))</f>
        <v/>
      </c>
    </row>
    <row r="270" ht="15" customHeight="1" s="93">
      <c r="A270" s="123">
        <f>IF(AND(B271="",C271="",D271="",E271="",F271="",G271="",H271="",J271="",L271="",M271="",N271=""),"",Q271)</f>
        <v/>
      </c>
      <c r="B270" s="124" t="n"/>
      <c r="C270" s="124" t="n"/>
      <c r="D270" s="124" t="n"/>
      <c r="E270" s="124" t="n"/>
      <c r="F270" s="124" t="n"/>
      <c r="G270" s="124" t="n"/>
      <c r="H270" s="124" t="n"/>
      <c r="I270" s="92">
        <f>IF($A271="","",IFERROR(IF(ISBLANK(INDEX(SprintPlanning[Sprint],MATCH($A271,SprintPlanning[Requirement ID],0))),"To Plan",INDEX(SprintPlanning[Sprint],MATCH($A271,SprintPlanning[Requirement ID],0))),"To Plan"))</f>
        <v/>
      </c>
      <c r="J270" s="124" t="n"/>
      <c r="K270" s="92">
        <f>IFERROR(IF(ISBLANK(INDEX(Release[Release],MATCH($A271,Release[Requirement ID],0))),"",INDEX(Release[Release],MATCH($A271,Release[Requirement ID],0))),"")</f>
        <v/>
      </c>
      <c r="L270" s="124" t="n"/>
      <c r="M270" s="124" t="n"/>
      <c r="N270" s="124" t="n"/>
      <c r="O270" s="92">
        <f>IF($N271="","","https://smartship.atlassian.net/browse/"&amp;$N271)</f>
        <v/>
      </c>
      <c r="P270" s="92">
        <f>IFERROR(VALUE(MID($A271,5,4)),0)</f>
        <v/>
      </c>
      <c r="Q270" s="92">
        <f>IF(B271="","","NEW-"&amp;TEXT(MAX($P$2:$P270,Lists!$N$2)+1,"0000"))</f>
        <v/>
      </c>
    </row>
    <row r="271" ht="15" customHeight="1" s="93">
      <c r="A271" s="123">
        <f>IF(AND(B272="",C272="",D272="",E272="",F272="",G272="",H272="",J272="",L272="",M272="",N272=""),"",Q272)</f>
        <v/>
      </c>
      <c r="B271" s="124" t="n"/>
      <c r="C271" s="124" t="n"/>
      <c r="D271" s="124" t="n"/>
      <c r="E271" s="124" t="n"/>
      <c r="F271" s="124" t="n"/>
      <c r="G271" s="124" t="n"/>
      <c r="H271" s="124" t="n"/>
      <c r="I271" s="92">
        <f>IF($A272="","",IFERROR(IF(ISBLANK(INDEX(SprintPlanning[Sprint],MATCH($A272,SprintPlanning[Requirement ID],0))),"To Plan",INDEX(SprintPlanning[Sprint],MATCH($A272,SprintPlanning[Requirement ID],0))),"To Plan"))</f>
        <v/>
      </c>
      <c r="J271" s="124" t="n"/>
      <c r="K271" s="92">
        <f>IFERROR(IF(ISBLANK(INDEX(Release[Release],MATCH($A272,Release[Requirement ID],0))),"",INDEX(Release[Release],MATCH($A272,Release[Requirement ID],0))),"")</f>
        <v/>
      </c>
      <c r="L271" s="124" t="n"/>
      <c r="M271" s="124" t="n"/>
      <c r="N271" s="124" t="n"/>
      <c r="O271" s="92">
        <f>IF($N272="","","https://smartship.atlassian.net/browse/"&amp;$N272)</f>
        <v/>
      </c>
      <c r="P271" s="92">
        <f>IFERROR(VALUE(MID($A272,5,4)),0)</f>
        <v/>
      </c>
      <c r="Q271" s="92">
        <f>IF(B272="","","NEW-"&amp;TEXT(MAX($P$2:$P271,Lists!$N$2)+1,"0000"))</f>
        <v/>
      </c>
    </row>
    <row r="272" ht="15" customHeight="1" s="93">
      <c r="A272" s="123">
        <f>IF(AND(B273="",C273="",D273="",E273="",F273="",G273="",H273="",J273="",L273="",M273="",N273=""),"",Q273)</f>
        <v/>
      </c>
      <c r="B272" s="124" t="n"/>
      <c r="C272" s="124" t="n"/>
      <c r="D272" s="124" t="n"/>
      <c r="E272" s="124" t="n"/>
      <c r="F272" s="124" t="n"/>
      <c r="G272" s="124" t="n"/>
      <c r="H272" s="124" t="n"/>
      <c r="I272" s="92">
        <f>IF($A273="","",IFERROR(IF(ISBLANK(INDEX(SprintPlanning[Sprint],MATCH($A273,SprintPlanning[Requirement ID],0))),"To Plan",INDEX(SprintPlanning[Sprint],MATCH($A273,SprintPlanning[Requirement ID],0))),"To Plan"))</f>
        <v/>
      </c>
      <c r="J272" s="124" t="n"/>
      <c r="K272" s="92">
        <f>IFERROR(IF(ISBLANK(INDEX(Release[Release],MATCH($A273,Release[Requirement ID],0))),"",INDEX(Release[Release],MATCH($A273,Release[Requirement ID],0))),"")</f>
        <v/>
      </c>
      <c r="L272" s="124" t="n"/>
      <c r="M272" s="124" t="n"/>
      <c r="N272" s="124" t="n"/>
      <c r="O272" s="92">
        <f>IF($N273="","","https://smartship.atlassian.net/browse/"&amp;$N273)</f>
        <v/>
      </c>
      <c r="P272" s="92">
        <f>IFERROR(VALUE(MID($A273,5,4)),0)</f>
        <v/>
      </c>
      <c r="Q272" s="92">
        <f>IF(B273="","","NEW-"&amp;TEXT(MAX($P$2:$P272,Lists!$N$2)+1,"0000"))</f>
        <v/>
      </c>
    </row>
    <row r="273" ht="15" customHeight="1" s="93">
      <c r="A273" s="123">
        <f>IF(AND(B274="",C274="",D274="",E274="",F274="",G274="",H274="",J274="",L274="",M274="",N274=""),"",Q274)</f>
        <v/>
      </c>
      <c r="B273" s="124" t="n"/>
      <c r="C273" s="124" t="n"/>
      <c r="D273" s="124" t="n"/>
      <c r="E273" s="124" t="n"/>
      <c r="F273" s="124" t="n"/>
      <c r="G273" s="124" t="n"/>
      <c r="H273" s="124" t="n"/>
      <c r="I273" s="92">
        <f>IF($A274="","",IFERROR(IF(ISBLANK(INDEX(SprintPlanning[Sprint],MATCH($A274,SprintPlanning[Requirement ID],0))),"To Plan",INDEX(SprintPlanning[Sprint],MATCH($A274,SprintPlanning[Requirement ID],0))),"To Plan"))</f>
        <v/>
      </c>
      <c r="J273" s="124" t="n"/>
      <c r="K273" s="92">
        <f>IFERROR(IF(ISBLANK(INDEX(Release[Release],MATCH($A274,Release[Requirement ID],0))),"",INDEX(Release[Release],MATCH($A274,Release[Requirement ID],0))),"")</f>
        <v/>
      </c>
      <c r="L273" s="124" t="n"/>
      <c r="M273" s="124" t="n"/>
      <c r="N273" s="124" t="n"/>
      <c r="O273" s="92">
        <f>IF($N274="","","https://smartship.atlassian.net/browse/"&amp;$N274)</f>
        <v/>
      </c>
      <c r="P273" s="92">
        <f>IFERROR(VALUE(MID($A274,5,4)),0)</f>
        <v/>
      </c>
      <c r="Q273" s="92">
        <f>IF(B274="","","NEW-"&amp;TEXT(MAX($P$2:$P273,Lists!$N$2)+1,"0000"))</f>
        <v/>
      </c>
    </row>
    <row r="274" ht="15" customHeight="1" s="93">
      <c r="A274" s="123">
        <f>IF(AND(B275="",C275="",D275="",E275="",F275="",G275="",H275="",J275="",L275="",M275="",N275=""),"",Q275)</f>
        <v/>
      </c>
      <c r="B274" s="124" t="n"/>
      <c r="C274" s="124" t="n"/>
      <c r="D274" s="124" t="n"/>
      <c r="E274" s="124" t="n"/>
      <c r="F274" s="124" t="n"/>
      <c r="G274" s="124" t="n"/>
      <c r="H274" s="124" t="n"/>
      <c r="I274" s="92">
        <f>IF($A275="","",IFERROR(IF(ISBLANK(INDEX(SprintPlanning[Sprint],MATCH($A275,SprintPlanning[Requirement ID],0))),"To Plan",INDEX(SprintPlanning[Sprint],MATCH($A275,SprintPlanning[Requirement ID],0))),"To Plan"))</f>
        <v/>
      </c>
      <c r="J274" s="124" t="n"/>
      <c r="K274" s="92">
        <f>IFERROR(IF(ISBLANK(INDEX(Release[Release],MATCH($A275,Release[Requirement ID],0))),"",INDEX(Release[Release],MATCH($A275,Release[Requirement ID],0))),"")</f>
        <v/>
      </c>
      <c r="L274" s="124" t="n"/>
      <c r="M274" s="124" t="n"/>
      <c r="N274" s="124" t="n"/>
      <c r="O274" s="92">
        <f>IF($N275="","","https://smartship.atlassian.net/browse/"&amp;$N275)</f>
        <v/>
      </c>
      <c r="P274" s="92">
        <f>IFERROR(VALUE(MID($A275,5,4)),0)</f>
        <v/>
      </c>
      <c r="Q274" s="92">
        <f>IF(B275="","","NEW-"&amp;TEXT(MAX($P$2:$P274,Lists!$N$2)+1,"0000"))</f>
        <v/>
      </c>
    </row>
    <row r="275" ht="15" customHeight="1" s="93">
      <c r="A275" s="123">
        <f>IF(AND(B276="",C276="",D276="",E276="",F276="",G276="",H276="",J276="",L276="",M276="",N276=""),"",Q276)</f>
        <v/>
      </c>
      <c r="B275" s="124" t="n"/>
      <c r="C275" s="124" t="n"/>
      <c r="D275" s="124" t="n"/>
      <c r="E275" s="124" t="n"/>
      <c r="F275" s="124" t="n"/>
      <c r="G275" s="124" t="n"/>
      <c r="H275" s="124" t="n"/>
      <c r="I275" s="92">
        <f>IF($A276="","",IFERROR(IF(ISBLANK(INDEX(SprintPlanning[Sprint],MATCH($A276,SprintPlanning[Requirement ID],0))),"To Plan",INDEX(SprintPlanning[Sprint],MATCH($A276,SprintPlanning[Requirement ID],0))),"To Plan"))</f>
        <v/>
      </c>
      <c r="J275" s="124" t="n"/>
      <c r="K275" s="92">
        <f>IFERROR(IF(ISBLANK(INDEX(Release[Release],MATCH($A276,Release[Requirement ID],0))),"",INDEX(Release[Release],MATCH($A276,Release[Requirement ID],0))),"")</f>
        <v/>
      </c>
      <c r="L275" s="124" t="n"/>
      <c r="M275" s="124" t="n"/>
      <c r="N275" s="124" t="n"/>
      <c r="O275" s="92">
        <f>IF($N276="","","https://smartship.atlassian.net/browse/"&amp;$N276)</f>
        <v/>
      </c>
      <c r="P275" s="92">
        <f>IFERROR(VALUE(MID($A276,5,4)),0)</f>
        <v/>
      </c>
      <c r="Q275" s="92">
        <f>IF(B276="","","NEW-"&amp;TEXT(MAX($P$2:$P275,Lists!$N$2)+1,"0000"))</f>
        <v/>
      </c>
    </row>
    <row r="276" ht="15" customHeight="1" s="93">
      <c r="A276" s="123">
        <f>IF(AND(B277="",C277="",D277="",E277="",F277="",G277="",H277="",J277="",L277="",M277="",N277=""),"",Q277)</f>
        <v/>
      </c>
      <c r="B276" s="124" t="n"/>
      <c r="C276" s="124" t="n"/>
      <c r="D276" s="124" t="n"/>
      <c r="E276" s="124" t="n"/>
      <c r="F276" s="124" t="n"/>
      <c r="G276" s="124" t="n"/>
      <c r="H276" s="124" t="n"/>
      <c r="I276" s="92">
        <f>IF($A277="","",IFERROR(IF(ISBLANK(INDEX(SprintPlanning[Sprint],MATCH($A277,SprintPlanning[Requirement ID],0))),"To Plan",INDEX(SprintPlanning[Sprint],MATCH($A277,SprintPlanning[Requirement ID],0))),"To Plan"))</f>
        <v/>
      </c>
      <c r="J276" s="124" t="n"/>
      <c r="K276" s="92">
        <f>IFERROR(IF(ISBLANK(INDEX(Release[Release],MATCH($A277,Release[Requirement ID],0))),"",INDEX(Release[Release],MATCH($A277,Release[Requirement ID],0))),"")</f>
        <v/>
      </c>
      <c r="L276" s="124" t="n"/>
      <c r="M276" s="124" t="n"/>
      <c r="N276" s="124" t="n"/>
      <c r="O276" s="92">
        <f>IF($N277="","","https://smartship.atlassian.net/browse/"&amp;$N277)</f>
        <v/>
      </c>
      <c r="P276" s="92">
        <f>IFERROR(VALUE(MID($A277,5,4)),0)</f>
        <v/>
      </c>
      <c r="Q276" s="92">
        <f>IF(B277="","","NEW-"&amp;TEXT(MAX($P$2:$P276,Lists!$N$2)+1,"0000"))</f>
        <v/>
      </c>
    </row>
    <row r="277" ht="15" customHeight="1" s="93">
      <c r="A277" s="123">
        <f>IF(AND(B278="",C278="",D278="",E278="",F278="",G278="",H278="",J278="",L278="",M278="",N278=""),"",Q278)</f>
        <v/>
      </c>
      <c r="B277" s="124" t="n"/>
      <c r="C277" s="124" t="n"/>
      <c r="D277" s="124" t="n"/>
      <c r="E277" s="124" t="n"/>
      <c r="F277" s="124" t="n"/>
      <c r="G277" s="124" t="n"/>
      <c r="H277" s="124" t="n"/>
      <c r="I277" s="92">
        <f>IF($A278="","",IFERROR(IF(ISBLANK(INDEX(SprintPlanning[Sprint],MATCH($A278,SprintPlanning[Requirement ID],0))),"To Plan",INDEX(SprintPlanning[Sprint],MATCH($A278,SprintPlanning[Requirement ID],0))),"To Plan"))</f>
        <v/>
      </c>
      <c r="J277" s="124" t="n"/>
      <c r="K277" s="92">
        <f>IFERROR(IF(ISBLANK(INDEX(Release[Release],MATCH($A278,Release[Requirement ID],0))),"",INDEX(Release[Release],MATCH($A278,Release[Requirement ID],0))),"")</f>
        <v/>
      </c>
      <c r="L277" s="124" t="n"/>
      <c r="M277" s="124" t="n"/>
      <c r="N277" s="124" t="n"/>
      <c r="O277" s="92">
        <f>IF($N278="","","https://smartship.atlassian.net/browse/"&amp;$N278)</f>
        <v/>
      </c>
      <c r="P277" s="92">
        <f>IFERROR(VALUE(MID($A278,5,4)),0)</f>
        <v/>
      </c>
      <c r="Q277" s="92">
        <f>IF(B278="","","NEW-"&amp;TEXT(MAX($P$2:$P277,Lists!$N$2)+1,"0000"))</f>
        <v/>
      </c>
    </row>
    <row r="278" ht="15" customHeight="1" s="93">
      <c r="A278" s="123">
        <f>IF(AND(B279="",C279="",D279="",E279="",F279="",G279="",H279="",J279="",L279="",M279="",N279=""),"",Q279)</f>
        <v/>
      </c>
      <c r="B278" s="124" t="n"/>
      <c r="C278" s="124" t="n"/>
      <c r="D278" s="124" t="n"/>
      <c r="E278" s="124" t="n"/>
      <c r="F278" s="124" t="n"/>
      <c r="G278" s="124" t="n"/>
      <c r="H278" s="124" t="n"/>
      <c r="I278" s="92">
        <f>IF($A279="","",IFERROR(IF(ISBLANK(INDEX(SprintPlanning[Sprint],MATCH($A279,SprintPlanning[Requirement ID],0))),"To Plan",INDEX(SprintPlanning[Sprint],MATCH($A279,SprintPlanning[Requirement ID],0))),"To Plan"))</f>
        <v/>
      </c>
      <c r="J278" s="124" t="n"/>
      <c r="K278" s="92">
        <f>IFERROR(IF(ISBLANK(INDEX(Release[Release],MATCH($A279,Release[Requirement ID],0))),"",INDEX(Release[Release],MATCH($A279,Release[Requirement ID],0))),"")</f>
        <v/>
      </c>
      <c r="L278" s="124" t="n"/>
      <c r="M278" s="124" t="n"/>
      <c r="N278" s="124" t="n"/>
      <c r="O278" s="92">
        <f>IF($N279="","","https://smartship.atlassian.net/browse/"&amp;$N279)</f>
        <v/>
      </c>
      <c r="P278" s="92">
        <f>IFERROR(VALUE(MID($A279,5,4)),0)</f>
        <v/>
      </c>
      <c r="Q278" s="92">
        <f>IF(B279="","","NEW-"&amp;TEXT(MAX($P$2:$P278,Lists!$N$2)+1,"0000"))</f>
        <v/>
      </c>
    </row>
    <row r="279" ht="15" customHeight="1" s="93">
      <c r="A279" s="123">
        <f>IF(AND(B280="",C280="",D280="",E280="",F280="",G280="",H280="",J280="",L280="",M280="",N280=""),"",Q280)</f>
        <v/>
      </c>
      <c r="B279" s="124" t="n"/>
      <c r="C279" s="124" t="n"/>
      <c r="D279" s="124" t="n"/>
      <c r="E279" s="124" t="n"/>
      <c r="F279" s="124" t="n"/>
      <c r="G279" s="124" t="n"/>
      <c r="H279" s="124" t="n"/>
      <c r="I279" s="92">
        <f>IF($A280="","",IFERROR(IF(ISBLANK(INDEX(SprintPlanning[Sprint],MATCH($A280,SprintPlanning[Requirement ID],0))),"To Plan",INDEX(SprintPlanning[Sprint],MATCH($A280,SprintPlanning[Requirement ID],0))),"To Plan"))</f>
        <v/>
      </c>
      <c r="J279" s="124" t="n"/>
      <c r="K279" s="92">
        <f>IFERROR(IF(ISBLANK(INDEX(Release[Release],MATCH($A280,Release[Requirement ID],0))),"",INDEX(Release[Release],MATCH($A280,Release[Requirement ID],0))),"")</f>
        <v/>
      </c>
      <c r="L279" s="124" t="n"/>
      <c r="M279" s="124" t="n"/>
      <c r="N279" s="124" t="n"/>
      <c r="O279" s="92">
        <f>IF($N280="","","https://smartship.atlassian.net/browse/"&amp;$N280)</f>
        <v/>
      </c>
      <c r="P279" s="92">
        <f>IFERROR(VALUE(MID($A280,5,4)),0)</f>
        <v/>
      </c>
      <c r="Q279" s="92">
        <f>IF(B280="","","NEW-"&amp;TEXT(MAX($P$2:$P279,Lists!$N$2)+1,"0000"))</f>
        <v/>
      </c>
    </row>
    <row r="280" ht="15" customHeight="1" s="93">
      <c r="A280" s="123">
        <f>IF(AND(B281="",C281="",D281="",E281="",F281="",G281="",H281="",J281="",L281="",M281="",N281=""),"",Q281)</f>
        <v/>
      </c>
      <c r="B280" s="124" t="n"/>
      <c r="C280" s="124" t="n"/>
      <c r="D280" s="124" t="n"/>
      <c r="E280" s="124" t="n"/>
      <c r="F280" s="124" t="n"/>
      <c r="G280" s="124" t="n"/>
      <c r="H280" s="124" t="n"/>
      <c r="I280" s="92">
        <f>IF($A281="","",IFERROR(IF(ISBLANK(INDEX(SprintPlanning[Sprint],MATCH($A281,SprintPlanning[Requirement ID],0))),"To Plan",INDEX(SprintPlanning[Sprint],MATCH($A281,SprintPlanning[Requirement ID],0))),"To Plan"))</f>
        <v/>
      </c>
      <c r="J280" s="124" t="n"/>
      <c r="K280" s="92">
        <f>IFERROR(IF(ISBLANK(INDEX(Release[Release],MATCH($A281,Release[Requirement ID],0))),"",INDEX(Release[Release],MATCH($A281,Release[Requirement ID],0))),"")</f>
        <v/>
      </c>
      <c r="L280" s="124" t="n"/>
      <c r="M280" s="124" t="n"/>
      <c r="N280" s="124" t="n"/>
      <c r="O280" s="92">
        <f>IF($N281="","","https://smartship.atlassian.net/browse/"&amp;$N281)</f>
        <v/>
      </c>
      <c r="P280" s="92">
        <f>IFERROR(VALUE(MID($A281,5,4)),0)</f>
        <v/>
      </c>
      <c r="Q280" s="92">
        <f>IF(B281="","","NEW-"&amp;TEXT(MAX($P$2:$P280,Lists!$N$2)+1,"0000"))</f>
        <v/>
      </c>
    </row>
    <row r="281" ht="15" customHeight="1" s="93">
      <c r="A281" s="123">
        <f>IF(AND(B282="",C282="",D282="",E282="",F282="",G282="",H282="",J282="",L282="",M282="",N282=""),"",Q282)</f>
        <v/>
      </c>
      <c r="B281" s="124" t="n"/>
      <c r="C281" s="124" t="n"/>
      <c r="D281" s="124" t="n"/>
      <c r="E281" s="124" t="n"/>
      <c r="F281" s="124" t="n"/>
      <c r="G281" s="124" t="n"/>
      <c r="H281" s="124" t="n"/>
      <c r="I281" s="92">
        <f>IF($A282="","",IFERROR(IF(ISBLANK(INDEX(SprintPlanning[Sprint],MATCH($A282,SprintPlanning[Requirement ID],0))),"To Plan",INDEX(SprintPlanning[Sprint],MATCH($A282,SprintPlanning[Requirement ID],0))),"To Plan"))</f>
        <v/>
      </c>
      <c r="J281" s="124" t="n"/>
      <c r="K281" s="92">
        <f>IFERROR(IF(ISBLANK(INDEX(Release[Release],MATCH($A282,Release[Requirement ID],0))),"",INDEX(Release[Release],MATCH($A282,Release[Requirement ID],0))),"")</f>
        <v/>
      </c>
      <c r="L281" s="124" t="n"/>
      <c r="M281" s="124" t="n"/>
      <c r="N281" s="124" t="n"/>
      <c r="O281" s="92">
        <f>IF($N282="","","https://smartship.atlassian.net/browse/"&amp;$N282)</f>
        <v/>
      </c>
      <c r="P281" s="92">
        <f>IFERROR(VALUE(MID($A282,5,4)),0)</f>
        <v/>
      </c>
      <c r="Q281" s="92">
        <f>IF(B282="","","NEW-"&amp;TEXT(MAX($P$2:$P281,Lists!$N$2)+1,"0000"))</f>
        <v/>
      </c>
    </row>
    <row r="282" ht="15" customHeight="1" s="93">
      <c r="A282" s="123">
        <f>IF(AND(B283="",C283="",D283="",E283="",F283="",G283="",H283="",J283="",L283="",M283="",N283=""),"",Q283)</f>
        <v/>
      </c>
      <c r="B282" s="124" t="n"/>
      <c r="C282" s="124" t="n"/>
      <c r="D282" s="124" t="n"/>
      <c r="E282" s="124" t="n"/>
      <c r="F282" s="124" t="n"/>
      <c r="G282" s="124" t="n"/>
      <c r="H282" s="124" t="n"/>
      <c r="I282" s="92">
        <f>IF($A283="","",IFERROR(IF(ISBLANK(INDEX(SprintPlanning[Sprint],MATCH($A283,SprintPlanning[Requirement ID],0))),"To Plan",INDEX(SprintPlanning[Sprint],MATCH($A283,SprintPlanning[Requirement ID],0))),"To Plan"))</f>
        <v/>
      </c>
      <c r="J282" s="124" t="n"/>
      <c r="K282" s="92">
        <f>IFERROR(IF(ISBLANK(INDEX(Release[Release],MATCH($A283,Release[Requirement ID],0))),"",INDEX(Release[Release],MATCH($A283,Release[Requirement ID],0))),"")</f>
        <v/>
      </c>
      <c r="L282" s="124" t="n"/>
      <c r="M282" s="124" t="n"/>
      <c r="N282" s="124" t="n"/>
      <c r="O282" s="92">
        <f>IF($N283="","","https://smartship.atlassian.net/browse/"&amp;$N283)</f>
        <v/>
      </c>
      <c r="P282" s="92">
        <f>IFERROR(VALUE(MID($A283,5,4)),0)</f>
        <v/>
      </c>
      <c r="Q282" s="92">
        <f>IF(B283="","","NEW-"&amp;TEXT(MAX($P$2:$P282,Lists!$N$2)+1,"0000"))</f>
        <v/>
      </c>
    </row>
    <row r="283" ht="15" customHeight="1" s="93">
      <c r="A283" s="123">
        <f>IF(AND(B284="",C284="",D284="",E284="",F284="",G284="",H284="",J284="",L284="",M284="",N284=""),"",Q284)</f>
        <v/>
      </c>
      <c r="B283" s="124" t="n"/>
      <c r="C283" s="124" t="n"/>
      <c r="D283" s="124" t="n"/>
      <c r="E283" s="124" t="n"/>
      <c r="F283" s="124" t="n"/>
      <c r="G283" s="124" t="n"/>
      <c r="H283" s="124" t="n"/>
      <c r="I283" s="92">
        <f>IF($A284="","",IFERROR(IF(ISBLANK(INDEX(SprintPlanning[Sprint],MATCH($A284,SprintPlanning[Requirement ID],0))),"To Plan",INDEX(SprintPlanning[Sprint],MATCH($A284,SprintPlanning[Requirement ID],0))),"To Plan"))</f>
        <v/>
      </c>
      <c r="J283" s="124" t="n"/>
      <c r="K283" s="92">
        <f>IFERROR(IF(ISBLANK(INDEX(Release[Release],MATCH($A284,Release[Requirement ID],0))),"",INDEX(Release[Release],MATCH($A284,Release[Requirement ID],0))),"")</f>
        <v/>
      </c>
      <c r="L283" s="124" t="n"/>
      <c r="M283" s="124" t="n"/>
      <c r="N283" s="124" t="n"/>
      <c r="O283" s="92">
        <f>IF($N284="","","https://smartship.atlassian.net/browse/"&amp;$N284)</f>
        <v/>
      </c>
      <c r="P283" s="92">
        <f>IFERROR(VALUE(MID($A284,5,4)),0)</f>
        <v/>
      </c>
      <c r="Q283" s="92">
        <f>IF(B284="","","NEW-"&amp;TEXT(MAX($P$2:$P283,Lists!$N$2)+1,"0000"))</f>
        <v/>
      </c>
    </row>
    <row r="284" ht="15" customHeight="1" s="93">
      <c r="A284" s="123">
        <f>IF(AND(B285="",C285="",D285="",E285="",F285="",G285="",H285="",J285="",L285="",M285="",N285=""),"",Q285)</f>
        <v/>
      </c>
      <c r="B284" s="124" t="n"/>
      <c r="C284" s="124" t="n"/>
      <c r="D284" s="124" t="n"/>
      <c r="E284" s="124" t="n"/>
      <c r="F284" s="124" t="n"/>
      <c r="G284" s="124" t="n"/>
      <c r="H284" s="124" t="n"/>
      <c r="I284" s="92">
        <f>IF($A285="","",IFERROR(IF(ISBLANK(INDEX(SprintPlanning[Sprint],MATCH($A285,SprintPlanning[Requirement ID],0))),"To Plan",INDEX(SprintPlanning[Sprint],MATCH($A285,SprintPlanning[Requirement ID],0))),"To Plan"))</f>
        <v/>
      </c>
      <c r="J284" s="124" t="n"/>
      <c r="K284" s="92">
        <f>IFERROR(IF(ISBLANK(INDEX(Release[Release],MATCH($A285,Release[Requirement ID],0))),"",INDEX(Release[Release],MATCH($A285,Release[Requirement ID],0))),"")</f>
        <v/>
      </c>
      <c r="L284" s="124" t="n"/>
      <c r="M284" s="124" t="n"/>
      <c r="N284" s="124" t="n"/>
      <c r="O284" s="92">
        <f>IF($N285="","","https://smartship.atlassian.net/browse/"&amp;$N285)</f>
        <v/>
      </c>
      <c r="P284" s="92">
        <f>IFERROR(VALUE(MID($A285,5,4)),0)</f>
        <v/>
      </c>
      <c r="Q284" s="92">
        <f>IF(B285="","","NEW-"&amp;TEXT(MAX($P$2:$P284,Lists!$N$2)+1,"0000"))</f>
        <v/>
      </c>
    </row>
    <row r="285" ht="15" customHeight="1" s="93">
      <c r="A285" s="123">
        <f>IF(AND(B286="",C286="",D286="",E286="",F286="",G286="",H286="",J286="",L286="",M286="",N286=""),"",Q286)</f>
        <v/>
      </c>
      <c r="B285" s="124" t="n"/>
      <c r="C285" s="124" t="n"/>
      <c r="D285" s="124" t="n"/>
      <c r="E285" s="124" t="n"/>
      <c r="F285" s="124" t="n"/>
      <c r="G285" s="124" t="n"/>
      <c r="H285" s="124" t="n"/>
      <c r="I285" s="92">
        <f>IF($A286="","",IFERROR(IF(ISBLANK(INDEX(SprintPlanning[Sprint],MATCH($A286,SprintPlanning[Requirement ID],0))),"To Plan",INDEX(SprintPlanning[Sprint],MATCH($A286,SprintPlanning[Requirement ID],0))),"To Plan"))</f>
        <v/>
      </c>
      <c r="J285" s="124" t="n"/>
      <c r="K285" s="92">
        <f>IFERROR(IF(ISBLANK(INDEX(Release[Release],MATCH($A286,Release[Requirement ID],0))),"",INDEX(Release[Release],MATCH($A286,Release[Requirement ID],0))),"")</f>
        <v/>
      </c>
      <c r="L285" s="124" t="n"/>
      <c r="M285" s="124" t="n"/>
      <c r="N285" s="124" t="n"/>
      <c r="O285" s="92">
        <f>IF($N286="","","https://smartship.atlassian.net/browse/"&amp;$N286)</f>
        <v/>
      </c>
      <c r="P285" s="92">
        <f>IFERROR(VALUE(MID($A286,5,4)),0)</f>
        <v/>
      </c>
      <c r="Q285" s="92">
        <f>IF(B286="","","NEW-"&amp;TEXT(MAX($P$2:$P285,Lists!$N$2)+1,"0000"))</f>
        <v/>
      </c>
    </row>
    <row r="286" ht="15" customHeight="1" s="93">
      <c r="A286" s="123">
        <f>IF(AND(B287="",C287="",D287="",E287="",F287="",G287="",H287="",J287="",L287="",M287="",N287=""),"",Q287)</f>
        <v/>
      </c>
      <c r="B286" s="124" t="n"/>
      <c r="C286" s="124" t="n"/>
      <c r="D286" s="124" t="n"/>
      <c r="E286" s="124" t="n"/>
      <c r="F286" s="124" t="n"/>
      <c r="G286" s="124" t="n"/>
      <c r="H286" s="124" t="n"/>
      <c r="I286" s="92">
        <f>IF($A287="","",IFERROR(IF(ISBLANK(INDEX(SprintPlanning[Sprint],MATCH($A287,SprintPlanning[Requirement ID],0))),"To Plan",INDEX(SprintPlanning[Sprint],MATCH($A287,SprintPlanning[Requirement ID],0))),"To Plan"))</f>
        <v/>
      </c>
      <c r="J286" s="124" t="n"/>
      <c r="K286" s="92">
        <f>IFERROR(IF(ISBLANK(INDEX(Release[Release],MATCH($A287,Release[Requirement ID],0))),"",INDEX(Release[Release],MATCH($A287,Release[Requirement ID],0))),"")</f>
        <v/>
      </c>
      <c r="L286" s="124" t="n"/>
      <c r="M286" s="124" t="n"/>
      <c r="N286" s="124" t="n"/>
      <c r="O286" s="92">
        <f>IF($N287="","","https://smartship.atlassian.net/browse/"&amp;$N287)</f>
        <v/>
      </c>
      <c r="P286" s="92">
        <f>IFERROR(VALUE(MID($A287,5,4)),0)</f>
        <v/>
      </c>
      <c r="Q286" s="92">
        <f>IF(B287="","","NEW-"&amp;TEXT(MAX($P$2:$P286,Lists!$N$2)+1,"0000"))</f>
        <v/>
      </c>
    </row>
    <row r="287" ht="15" customHeight="1" s="93">
      <c r="A287" s="123">
        <f>IF(AND(B288="",C288="",D288="",E288="",F288="",G288="",H288="",J288="",L288="",M288="",N288=""),"",Q288)</f>
        <v/>
      </c>
      <c r="B287" s="124" t="n"/>
      <c r="C287" s="124" t="n"/>
      <c r="D287" s="124" t="n"/>
      <c r="E287" s="124" t="n"/>
      <c r="F287" s="124" t="n"/>
      <c r="G287" s="124" t="n"/>
      <c r="H287" s="124" t="n"/>
      <c r="I287" s="92">
        <f>IF($A288="","",IFERROR(IF(ISBLANK(INDEX(SprintPlanning[Sprint],MATCH($A288,SprintPlanning[Requirement ID],0))),"To Plan",INDEX(SprintPlanning[Sprint],MATCH($A288,SprintPlanning[Requirement ID],0))),"To Plan"))</f>
        <v/>
      </c>
      <c r="J287" s="124" t="n"/>
      <c r="K287" s="92">
        <f>IFERROR(IF(ISBLANK(INDEX(Release[Release],MATCH($A288,Release[Requirement ID],0))),"",INDEX(Release[Release],MATCH($A288,Release[Requirement ID],0))),"")</f>
        <v/>
      </c>
      <c r="L287" s="124" t="n"/>
      <c r="M287" s="124" t="n"/>
      <c r="N287" s="124" t="n"/>
      <c r="O287" s="92">
        <f>IF($N288="","","https://smartship.atlassian.net/browse/"&amp;$N288)</f>
        <v/>
      </c>
      <c r="P287" s="92">
        <f>IFERROR(VALUE(MID($A288,5,4)),0)</f>
        <v/>
      </c>
      <c r="Q287" s="92">
        <f>IF(B288="","","NEW-"&amp;TEXT(MAX($P$2:$P287,Lists!$N$2)+1,"0000"))</f>
        <v/>
      </c>
    </row>
    <row r="288" ht="15" customHeight="1" s="93">
      <c r="A288" s="123">
        <f>IF(AND(B289="",C289="",D289="",E289="",F289="",G289="",H289="",J289="",L289="",M289="",N289=""),"",Q289)</f>
        <v/>
      </c>
      <c r="B288" s="124" t="n"/>
      <c r="C288" s="124" t="n"/>
      <c r="D288" s="124" t="n"/>
      <c r="E288" s="124" t="n"/>
      <c r="F288" s="124" t="n"/>
      <c r="G288" s="124" t="n"/>
      <c r="H288" s="124" t="n"/>
      <c r="I288" s="92">
        <f>IF($A289="","",IFERROR(IF(ISBLANK(INDEX(SprintPlanning[Sprint],MATCH($A289,SprintPlanning[Requirement ID],0))),"To Plan",INDEX(SprintPlanning[Sprint],MATCH($A289,SprintPlanning[Requirement ID],0))),"To Plan"))</f>
        <v/>
      </c>
      <c r="J288" s="124" t="n"/>
      <c r="K288" s="92">
        <f>IFERROR(IF(ISBLANK(INDEX(Release[Release],MATCH($A289,Release[Requirement ID],0))),"",INDEX(Release[Release],MATCH($A289,Release[Requirement ID],0))),"")</f>
        <v/>
      </c>
      <c r="L288" s="124" t="n"/>
      <c r="M288" s="124" t="n"/>
      <c r="N288" s="124" t="n"/>
      <c r="O288" s="92">
        <f>IF($N289="","","https://smartship.atlassian.net/browse/"&amp;$N289)</f>
        <v/>
      </c>
      <c r="P288" s="92">
        <f>IFERROR(VALUE(MID($A289,5,4)),0)</f>
        <v/>
      </c>
      <c r="Q288" s="92">
        <f>IF(B289="","","NEW-"&amp;TEXT(MAX($P$2:$P288,Lists!$N$2)+1,"0000"))</f>
        <v/>
      </c>
    </row>
    <row r="289" ht="15" customHeight="1" s="93">
      <c r="A289" s="123">
        <f>IF(AND(B290="",C290="",D290="",E290="",F290="",G290="",H290="",J290="",L290="",M290="",N290=""),"",Q290)</f>
        <v/>
      </c>
      <c r="B289" s="124" t="n"/>
      <c r="C289" s="124" t="n"/>
      <c r="D289" s="124" t="n"/>
      <c r="E289" s="124" t="n"/>
      <c r="F289" s="124" t="n"/>
      <c r="G289" s="124" t="n"/>
      <c r="H289" s="124" t="n"/>
      <c r="I289" s="92">
        <f>IF($A290="","",IFERROR(IF(ISBLANK(INDEX(SprintPlanning[Sprint],MATCH($A290,SprintPlanning[Requirement ID],0))),"To Plan",INDEX(SprintPlanning[Sprint],MATCH($A290,SprintPlanning[Requirement ID],0))),"To Plan"))</f>
        <v/>
      </c>
      <c r="J289" s="124" t="n"/>
      <c r="K289" s="92">
        <f>IFERROR(IF(ISBLANK(INDEX(Release[Release],MATCH($A290,Release[Requirement ID],0))),"",INDEX(Release[Release],MATCH($A290,Release[Requirement ID],0))),"")</f>
        <v/>
      </c>
      <c r="L289" s="124" t="n"/>
      <c r="M289" s="124" t="n"/>
      <c r="N289" s="124" t="n"/>
      <c r="O289" s="92">
        <f>IF($N290="","","https://smartship.atlassian.net/browse/"&amp;$N290)</f>
        <v/>
      </c>
      <c r="P289" s="92">
        <f>IFERROR(VALUE(MID($A290,5,4)),0)</f>
        <v/>
      </c>
      <c r="Q289" s="92">
        <f>IF(B290="","","NEW-"&amp;TEXT(MAX($P$2:$P289,Lists!$N$2)+1,"0000"))</f>
        <v/>
      </c>
    </row>
    <row r="290" ht="15" customHeight="1" s="93">
      <c r="A290" s="123">
        <f>IF(AND(B291="",C291="",D291="",E291="",F291="",G291="",H291="",J291="",L291="",M291="",N291=""),"",Q291)</f>
        <v/>
      </c>
      <c r="B290" s="124" t="n"/>
      <c r="C290" s="124" t="n"/>
      <c r="D290" s="124" t="n"/>
      <c r="E290" s="124" t="n"/>
      <c r="F290" s="124" t="n"/>
      <c r="G290" s="124" t="n"/>
      <c r="H290" s="124" t="n"/>
      <c r="I290" s="92">
        <f>IF($A291="","",IFERROR(IF(ISBLANK(INDEX(SprintPlanning[Sprint],MATCH($A291,SprintPlanning[Requirement ID],0))),"To Plan",INDEX(SprintPlanning[Sprint],MATCH($A291,SprintPlanning[Requirement ID],0))),"To Plan"))</f>
        <v/>
      </c>
      <c r="J290" s="124" t="n"/>
      <c r="K290" s="92">
        <f>IFERROR(IF(ISBLANK(INDEX(Release[Release],MATCH($A291,Release[Requirement ID],0))),"",INDEX(Release[Release],MATCH($A291,Release[Requirement ID],0))),"")</f>
        <v/>
      </c>
      <c r="L290" s="124" t="n"/>
      <c r="M290" s="124" t="n"/>
      <c r="N290" s="124" t="n"/>
      <c r="O290" s="92">
        <f>IF($N291="","","https://smartship.atlassian.net/browse/"&amp;$N291)</f>
        <v/>
      </c>
      <c r="P290" s="92">
        <f>IFERROR(VALUE(MID($A291,5,4)),0)</f>
        <v/>
      </c>
      <c r="Q290" s="92">
        <f>IF(B291="","","NEW-"&amp;TEXT(MAX($P$2:$P290,Lists!$N$2)+1,"0000"))</f>
        <v/>
      </c>
    </row>
    <row r="291" ht="15" customHeight="1" s="93">
      <c r="A291" s="123">
        <f>IF(AND(B292="",C292="",D292="",E292="",F292="",G292="",H292="",J292="",L292="",M292="",N292=""),"",Q292)</f>
        <v/>
      </c>
      <c r="B291" s="124" t="n"/>
      <c r="C291" s="124" t="n"/>
      <c r="D291" s="124" t="n"/>
      <c r="E291" s="124" t="n"/>
      <c r="F291" s="124" t="n"/>
      <c r="G291" s="124" t="n"/>
      <c r="H291" s="124" t="n"/>
      <c r="I291" s="92">
        <f>IF($A292="","",IFERROR(IF(ISBLANK(INDEX(SprintPlanning[Sprint],MATCH($A292,SprintPlanning[Requirement ID],0))),"To Plan",INDEX(SprintPlanning[Sprint],MATCH($A292,SprintPlanning[Requirement ID],0))),"To Plan"))</f>
        <v/>
      </c>
      <c r="J291" s="124" t="n"/>
      <c r="K291" s="92">
        <f>IFERROR(IF(ISBLANK(INDEX(Release[Release],MATCH($A292,Release[Requirement ID],0))),"",INDEX(Release[Release],MATCH($A292,Release[Requirement ID],0))),"")</f>
        <v/>
      </c>
      <c r="L291" s="124" t="n"/>
      <c r="M291" s="124" t="n"/>
      <c r="N291" s="124" t="n"/>
      <c r="O291" s="92">
        <f>IF($N292="","","https://smartship.atlassian.net/browse/"&amp;$N292)</f>
        <v/>
      </c>
      <c r="P291" s="92">
        <f>IFERROR(VALUE(MID($A292,5,4)),0)</f>
        <v/>
      </c>
      <c r="Q291" s="92">
        <f>IF(B292="","","NEW-"&amp;TEXT(MAX($P$2:$P291,Lists!$N$2)+1,"0000"))</f>
        <v/>
      </c>
    </row>
    <row r="292" ht="15" customHeight="1" s="93">
      <c r="A292" s="123">
        <f>IF(AND(B293="",C293="",D293="",E293="",F293="",G293="",H293="",J293="",L293="",M293="",N293=""),"",Q293)</f>
        <v/>
      </c>
      <c r="B292" s="124" t="n"/>
      <c r="C292" s="124" t="n"/>
      <c r="D292" s="124" t="n"/>
      <c r="E292" s="124" t="n"/>
      <c r="F292" s="124" t="n"/>
      <c r="G292" s="124" t="n"/>
      <c r="H292" s="124" t="n"/>
      <c r="I292" s="92">
        <f>IF($A293="","",IFERROR(IF(ISBLANK(INDEX(SprintPlanning[Sprint],MATCH($A293,SprintPlanning[Requirement ID],0))),"To Plan",INDEX(SprintPlanning[Sprint],MATCH($A293,SprintPlanning[Requirement ID],0))),"To Plan"))</f>
        <v/>
      </c>
      <c r="J292" s="124" t="n"/>
      <c r="K292" s="92">
        <f>IFERROR(IF(ISBLANK(INDEX(Release[Release],MATCH($A293,Release[Requirement ID],0))),"",INDEX(Release[Release],MATCH($A293,Release[Requirement ID],0))),"")</f>
        <v/>
      </c>
      <c r="L292" s="124" t="n"/>
      <c r="M292" s="124" t="n"/>
      <c r="N292" s="124" t="n"/>
      <c r="O292" s="92">
        <f>IF($N293="","","https://smartship.atlassian.net/browse/"&amp;$N293)</f>
        <v/>
      </c>
      <c r="P292" s="92">
        <f>IFERROR(VALUE(MID($A293,5,4)),0)</f>
        <v/>
      </c>
      <c r="Q292" s="92">
        <f>IF(B293="","","NEW-"&amp;TEXT(MAX($P$2:$P292,Lists!$N$2)+1,"0000"))</f>
        <v/>
      </c>
    </row>
    <row r="293" ht="15" customHeight="1" s="93">
      <c r="A293" s="123">
        <f>IF(AND(B294="",C294="",D294="",E294="",F294="",G294="",H294="",J294="",L294="",M294="",N294=""),"",Q294)</f>
        <v/>
      </c>
      <c r="B293" s="124" t="n"/>
      <c r="C293" s="124" t="n"/>
      <c r="D293" s="124" t="n"/>
      <c r="E293" s="124" t="n"/>
      <c r="F293" s="124" t="n"/>
      <c r="G293" s="124" t="n"/>
      <c r="H293" s="124" t="n"/>
      <c r="I293" s="92">
        <f>IF($A294="","",IFERROR(IF(ISBLANK(INDEX(SprintPlanning[Sprint],MATCH($A294,SprintPlanning[Requirement ID],0))),"To Plan",INDEX(SprintPlanning[Sprint],MATCH($A294,SprintPlanning[Requirement ID],0))),"To Plan"))</f>
        <v/>
      </c>
      <c r="J293" s="124" t="n"/>
      <c r="K293" s="92">
        <f>IFERROR(IF(ISBLANK(INDEX(Release[Release],MATCH($A294,Release[Requirement ID],0))),"",INDEX(Release[Release],MATCH($A294,Release[Requirement ID],0))),"")</f>
        <v/>
      </c>
      <c r="L293" s="124" t="n"/>
      <c r="M293" s="124" t="n"/>
      <c r="N293" s="124" t="n"/>
      <c r="O293" s="92">
        <f>IF($N294="","","https://smartship.atlassian.net/browse/"&amp;$N294)</f>
        <v/>
      </c>
      <c r="P293" s="92">
        <f>IFERROR(VALUE(MID($A294,5,4)),0)</f>
        <v/>
      </c>
      <c r="Q293" s="92">
        <f>IF(B294="","","NEW-"&amp;TEXT(MAX($P$2:$P293,Lists!$N$2)+1,"0000"))</f>
        <v/>
      </c>
    </row>
    <row r="294" ht="15" customHeight="1" s="93">
      <c r="A294" s="123">
        <f>IF(AND(B295="",C295="",D295="",E295="",F295="",G295="",H295="",J295="",L295="",M295="",N295=""),"",Q295)</f>
        <v/>
      </c>
      <c r="B294" s="124" t="n"/>
      <c r="C294" s="124" t="n"/>
      <c r="D294" s="124" t="n"/>
      <c r="E294" s="124" t="n"/>
      <c r="F294" s="124" t="n"/>
      <c r="G294" s="124" t="n"/>
      <c r="H294" s="124" t="n"/>
      <c r="I294" s="92">
        <f>IF($A295="","",IFERROR(IF(ISBLANK(INDEX(SprintPlanning[Sprint],MATCH($A295,SprintPlanning[Requirement ID],0))),"To Plan",INDEX(SprintPlanning[Sprint],MATCH($A295,SprintPlanning[Requirement ID],0))),"To Plan"))</f>
        <v/>
      </c>
      <c r="J294" s="124" t="n"/>
      <c r="K294" s="92">
        <f>IFERROR(IF(ISBLANK(INDEX(Release[Release],MATCH($A295,Release[Requirement ID],0))),"",INDEX(Release[Release],MATCH($A295,Release[Requirement ID],0))),"")</f>
        <v/>
      </c>
      <c r="L294" s="124" t="n"/>
      <c r="M294" s="124" t="n"/>
      <c r="N294" s="124" t="n"/>
      <c r="O294" s="92">
        <f>IF($N295="","","https://smartship.atlassian.net/browse/"&amp;$N295)</f>
        <v/>
      </c>
      <c r="P294" s="92">
        <f>IFERROR(VALUE(MID($A295,5,4)),0)</f>
        <v/>
      </c>
      <c r="Q294" s="92">
        <f>IF(B295="","","NEW-"&amp;TEXT(MAX($P$2:$P294,Lists!$N$2)+1,"0000"))</f>
        <v/>
      </c>
    </row>
    <row r="295" ht="15" customHeight="1" s="93">
      <c r="A295" s="123">
        <f>IF(AND(B296="",C296="",D296="",E296="",F296="",G296="",H296="",J296="",L296="",M296="",N296=""),"",Q296)</f>
        <v/>
      </c>
      <c r="B295" s="124" t="n"/>
      <c r="C295" s="124" t="n"/>
      <c r="D295" s="124" t="n"/>
      <c r="E295" s="124" t="n"/>
      <c r="F295" s="124" t="n"/>
      <c r="G295" s="124" t="n"/>
      <c r="H295" s="124" t="n"/>
      <c r="I295" s="92">
        <f>IF($A296="","",IFERROR(IF(ISBLANK(INDEX(SprintPlanning[Sprint],MATCH($A296,SprintPlanning[Requirement ID],0))),"To Plan",INDEX(SprintPlanning[Sprint],MATCH($A296,SprintPlanning[Requirement ID],0))),"To Plan"))</f>
        <v/>
      </c>
      <c r="J295" s="124" t="n"/>
      <c r="K295" s="92">
        <f>IFERROR(IF(ISBLANK(INDEX(Release[Release],MATCH($A296,Release[Requirement ID],0))),"",INDEX(Release[Release],MATCH($A296,Release[Requirement ID],0))),"")</f>
        <v/>
      </c>
      <c r="L295" s="124" t="n"/>
      <c r="M295" s="124" t="n"/>
      <c r="N295" s="124" t="n"/>
      <c r="O295" s="92">
        <f>IF($N296="","","https://smartship.atlassian.net/browse/"&amp;$N296)</f>
        <v/>
      </c>
      <c r="P295" s="92">
        <f>IFERROR(VALUE(MID($A296,5,4)),0)</f>
        <v/>
      </c>
      <c r="Q295" s="92">
        <f>IF(B296="","","NEW-"&amp;TEXT(MAX($P$2:$P295,Lists!$N$2)+1,"0000"))</f>
        <v/>
      </c>
    </row>
    <row r="296" ht="15" customHeight="1" s="93">
      <c r="A296" s="123">
        <f>IF(AND(B297="",C297="",D297="",E297="",F297="",G297="",H297="",J297="",L297="",M297="",N297=""),"",Q297)</f>
        <v/>
      </c>
      <c r="B296" s="124" t="n"/>
      <c r="C296" s="124" t="n"/>
      <c r="D296" s="124" t="n"/>
      <c r="E296" s="124" t="n"/>
      <c r="F296" s="124" t="n"/>
      <c r="G296" s="124" t="n"/>
      <c r="H296" s="124" t="n"/>
      <c r="I296" s="92">
        <f>IF($A297="","",IFERROR(IF(ISBLANK(INDEX(SprintPlanning[Sprint],MATCH($A297,SprintPlanning[Requirement ID],0))),"To Plan",INDEX(SprintPlanning[Sprint],MATCH($A297,SprintPlanning[Requirement ID],0))),"To Plan"))</f>
        <v/>
      </c>
      <c r="J296" s="124" t="n"/>
      <c r="K296" s="92">
        <f>IFERROR(IF(ISBLANK(INDEX(Release[Release],MATCH($A297,Release[Requirement ID],0))),"",INDEX(Release[Release],MATCH($A297,Release[Requirement ID],0))),"")</f>
        <v/>
      </c>
      <c r="L296" s="124" t="n"/>
      <c r="M296" s="124" t="n"/>
      <c r="N296" s="124" t="n"/>
      <c r="O296" s="92">
        <f>IF($N297="","","https://smartship.atlassian.net/browse/"&amp;$N297)</f>
        <v/>
      </c>
      <c r="P296" s="92">
        <f>IFERROR(VALUE(MID($A297,5,4)),0)</f>
        <v/>
      </c>
      <c r="Q296" s="92">
        <f>IF(B297="","","NEW-"&amp;TEXT(MAX($P$2:$P296,Lists!$N$2)+1,"0000"))</f>
        <v/>
      </c>
    </row>
    <row r="297" ht="15" customHeight="1" s="93">
      <c r="A297" s="123">
        <f>IF(AND(B298="",C298="",D298="",E298="",F298="",G298="",H298="",J298="",L298="",M298="",N298=""),"",Q298)</f>
        <v/>
      </c>
      <c r="B297" s="124" t="n"/>
      <c r="C297" s="124" t="n"/>
      <c r="D297" s="124" t="n"/>
      <c r="E297" s="124" t="n"/>
      <c r="F297" s="124" t="n"/>
      <c r="G297" s="124" t="n"/>
      <c r="H297" s="124" t="n"/>
      <c r="I297" s="92">
        <f>IF($A298="","",IFERROR(IF(ISBLANK(INDEX(SprintPlanning[Sprint],MATCH($A298,SprintPlanning[Requirement ID],0))),"To Plan",INDEX(SprintPlanning[Sprint],MATCH($A298,SprintPlanning[Requirement ID],0))),"To Plan"))</f>
        <v/>
      </c>
      <c r="J297" s="124" t="n"/>
      <c r="K297" s="92">
        <f>IFERROR(IF(ISBLANK(INDEX(Release[Release],MATCH($A298,Release[Requirement ID],0))),"",INDEX(Release[Release],MATCH($A298,Release[Requirement ID],0))),"")</f>
        <v/>
      </c>
      <c r="L297" s="124" t="n"/>
      <c r="M297" s="124" t="n"/>
      <c r="N297" s="124" t="n"/>
      <c r="O297" s="92">
        <f>IF($N298="","","https://smartship.atlassian.net/browse/"&amp;$N298)</f>
        <v/>
      </c>
      <c r="P297" s="92">
        <f>IFERROR(VALUE(MID($A298,5,4)),0)</f>
        <v/>
      </c>
      <c r="Q297" s="92">
        <f>IF(B298="","","NEW-"&amp;TEXT(MAX($P$2:$P297,Lists!$N$2)+1,"0000"))</f>
        <v/>
      </c>
    </row>
    <row r="298" ht="15" customHeight="1" s="93">
      <c r="A298" s="123">
        <f>IF(AND(B299="",C299="",D299="",E299="",F299="",G299="",H299="",J299="",L299="",M299="",N299=""),"",Q299)</f>
        <v/>
      </c>
      <c r="B298" s="124" t="n"/>
      <c r="C298" s="124" t="n"/>
      <c r="D298" s="124" t="n"/>
      <c r="E298" s="124" t="n"/>
      <c r="F298" s="124" t="n"/>
      <c r="G298" s="124" t="n"/>
      <c r="H298" s="124" t="n"/>
      <c r="I298" s="92">
        <f>IF($A299="","",IFERROR(IF(ISBLANK(INDEX(SprintPlanning[Sprint],MATCH($A299,SprintPlanning[Requirement ID],0))),"To Plan",INDEX(SprintPlanning[Sprint],MATCH($A299,SprintPlanning[Requirement ID],0))),"To Plan"))</f>
        <v/>
      </c>
      <c r="J298" s="124" t="n"/>
      <c r="K298" s="92">
        <f>IFERROR(IF(ISBLANK(INDEX(Release[Release],MATCH($A299,Release[Requirement ID],0))),"",INDEX(Release[Release],MATCH($A299,Release[Requirement ID],0))),"")</f>
        <v/>
      </c>
      <c r="L298" s="124" t="n"/>
      <c r="M298" s="124" t="n"/>
      <c r="N298" s="124" t="n"/>
      <c r="O298" s="92">
        <f>IF($N299="","","https://smartship.atlassian.net/browse/"&amp;$N299)</f>
        <v/>
      </c>
      <c r="P298" s="92">
        <f>IFERROR(VALUE(MID($A299,5,4)),0)</f>
        <v/>
      </c>
      <c r="Q298" s="92">
        <f>IF(B299="","","NEW-"&amp;TEXT(MAX($P$2:$P298,Lists!$N$2)+1,"0000"))</f>
        <v/>
      </c>
    </row>
    <row r="299" ht="15" customHeight="1" s="93">
      <c r="A299" s="123">
        <f>IF(AND(B300="",C300="",D300="",E300="",F300="",G300="",H300="",J300="",L300="",M300="",N300=""),"",Q300)</f>
        <v/>
      </c>
      <c r="B299" s="124" t="n"/>
      <c r="C299" s="124" t="n"/>
      <c r="D299" s="124" t="n"/>
      <c r="E299" s="124" t="n"/>
      <c r="F299" s="124" t="n"/>
      <c r="G299" s="124" t="n"/>
      <c r="H299" s="124" t="n"/>
      <c r="I299" s="92">
        <f>IF($A300="","",IFERROR(IF(ISBLANK(INDEX(SprintPlanning[Sprint],MATCH($A300,SprintPlanning[Requirement ID],0))),"To Plan",INDEX(SprintPlanning[Sprint],MATCH($A300,SprintPlanning[Requirement ID],0))),"To Plan"))</f>
        <v/>
      </c>
      <c r="J299" s="124" t="n"/>
      <c r="K299" s="92">
        <f>IFERROR(IF(ISBLANK(INDEX(Release[Release],MATCH($A300,Release[Requirement ID],0))),"",INDEX(Release[Release],MATCH($A300,Release[Requirement ID],0))),"")</f>
        <v/>
      </c>
      <c r="L299" s="124" t="n"/>
      <c r="M299" s="124" t="n"/>
      <c r="N299" s="124" t="n"/>
      <c r="O299" s="92">
        <f>IF($N300="","","https://smartship.atlassian.net/browse/"&amp;$N300)</f>
        <v/>
      </c>
      <c r="P299" s="92">
        <f>IFERROR(VALUE(MID($A300,5,4)),0)</f>
        <v/>
      </c>
      <c r="Q299" s="92">
        <f>IF(B300="","","NEW-"&amp;TEXT(MAX($P$2:$P299,Lists!$N$2)+1,"0000"))</f>
        <v/>
      </c>
    </row>
    <row r="300" ht="15" customHeight="1" s="93">
      <c r="A300" s="123">
        <f>IF(AND(B301="",C301="",D301="",E301="",F301="",G301="",H301="",J301="",L301="",M301="",N301=""),"",Q301)</f>
        <v/>
      </c>
      <c r="B300" s="124" t="n"/>
      <c r="C300" s="124" t="n"/>
      <c r="D300" s="124" t="n"/>
      <c r="E300" s="124" t="n"/>
      <c r="F300" s="124" t="n"/>
      <c r="G300" s="124" t="n"/>
      <c r="H300" s="124" t="n"/>
      <c r="I300" s="92">
        <f>IF($A301="","",IFERROR(IF(ISBLANK(INDEX(SprintPlanning[Sprint],MATCH($A301,SprintPlanning[Requirement ID],0))),"To Plan",INDEX(SprintPlanning[Sprint],MATCH($A301,SprintPlanning[Requirement ID],0))),"To Plan"))</f>
        <v/>
      </c>
      <c r="J300" s="124" t="n"/>
      <c r="K300" s="92">
        <f>IFERROR(IF(ISBLANK(INDEX(Release[Release],MATCH($A301,Release[Requirement ID],0))),"",INDEX(Release[Release],MATCH($A301,Release[Requirement ID],0))),"")</f>
        <v/>
      </c>
      <c r="L300" s="124" t="n"/>
      <c r="M300" s="124" t="n"/>
      <c r="N300" s="124" t="n"/>
      <c r="O300" s="92">
        <f>IF($N301="","","https://smartship.atlassian.net/browse/"&amp;$N301)</f>
        <v/>
      </c>
      <c r="P300" s="92">
        <f>IFERROR(VALUE(MID($A301,5,4)),0)</f>
        <v/>
      </c>
      <c r="Q300" s="92">
        <f>IF(B301="","","NEW-"&amp;TEXT(MAX($P$2:$P300,Lists!$N$2)+1,"0000"))</f>
        <v/>
      </c>
    </row>
    <row r="301" ht="15" customHeight="1" s="93">
      <c r="A301" s="123">
        <f>IF(AND(B302="",C302="",D302="",E302="",F302="",G302="",H302="",J302="",L302="",M302="",N302=""),"",Q302)</f>
        <v/>
      </c>
      <c r="B301" s="124" t="n"/>
      <c r="C301" s="124" t="n"/>
      <c r="D301" s="124" t="n"/>
      <c r="E301" s="124" t="n"/>
      <c r="F301" s="124" t="n"/>
      <c r="G301" s="124" t="n"/>
      <c r="H301" s="124" t="n"/>
      <c r="I301" s="92">
        <f>IF($A302="","",IFERROR(IF(ISBLANK(INDEX(SprintPlanning[Sprint],MATCH($A302,SprintPlanning[Requirement ID],0))),"To Plan",INDEX(SprintPlanning[Sprint],MATCH($A302,SprintPlanning[Requirement ID],0))),"To Plan"))</f>
        <v/>
      </c>
      <c r="J301" s="124" t="n"/>
      <c r="K301" s="92">
        <f>IFERROR(IF(ISBLANK(INDEX(Release[Release],MATCH($A302,Release[Requirement ID],0))),"",INDEX(Release[Release],MATCH($A302,Release[Requirement ID],0))),"")</f>
        <v/>
      </c>
      <c r="L301" s="124" t="n"/>
      <c r="M301" s="124" t="n"/>
      <c r="N301" s="124" t="n"/>
      <c r="O301" s="92">
        <f>IF($N302="","","https://smartship.atlassian.net/browse/"&amp;$N302)</f>
        <v/>
      </c>
      <c r="P301" s="92">
        <f>IFERROR(VALUE(MID($A302,5,4)),0)</f>
        <v/>
      </c>
      <c r="Q301" s="92">
        <f>IF(B302="","","NEW-"&amp;TEXT(MAX($P$2:$P301,Lists!$N$2)+1,"0000"))</f>
        <v/>
      </c>
    </row>
    <row r="302" ht="15" customHeight="1" s="93">
      <c r="A302" s="123">
        <f>IF(AND(B303="",C303="",D303="",E303="",F303="",G303="",H303="",J303="",L303="",M303="",N303=""),"",Q303)</f>
        <v/>
      </c>
      <c r="B302" s="124" t="n"/>
      <c r="C302" s="124" t="n"/>
      <c r="D302" s="124" t="n"/>
      <c r="E302" s="124" t="n"/>
      <c r="F302" s="124" t="n"/>
      <c r="G302" s="124" t="n"/>
      <c r="H302" s="124" t="n"/>
      <c r="I302" s="92">
        <f>IF($A303="","",IFERROR(IF(ISBLANK(INDEX(SprintPlanning[Sprint],MATCH($A303,SprintPlanning[Requirement ID],0))),"To Plan",INDEX(SprintPlanning[Sprint],MATCH($A303,SprintPlanning[Requirement ID],0))),"To Plan"))</f>
        <v/>
      </c>
      <c r="J302" s="124" t="n"/>
      <c r="K302" s="92">
        <f>IFERROR(IF(ISBLANK(INDEX(Release[Release],MATCH($A303,Release[Requirement ID],0))),"",INDEX(Release[Release],MATCH($A303,Release[Requirement ID],0))),"")</f>
        <v/>
      </c>
      <c r="L302" s="124" t="n"/>
      <c r="M302" s="124" t="n"/>
      <c r="N302" s="124" t="n"/>
      <c r="O302" s="92">
        <f>IF($N303="","","https://smartship.atlassian.net/browse/"&amp;$N303)</f>
        <v/>
      </c>
      <c r="P302" s="92">
        <f>IFERROR(VALUE(MID($A303,5,4)),0)</f>
        <v/>
      </c>
      <c r="Q302" s="92">
        <f>IF(B303="","","NEW-"&amp;TEXT(MAX($P$2:$P302,Lists!$N$2)+1,"0000"))</f>
        <v/>
      </c>
    </row>
    <row r="303" ht="15" customHeight="1" s="93">
      <c r="A303" s="123">
        <f>IF(AND(B304="",C304="",D304="",E304="",F304="",G304="",H304="",J304="",L304="",M304="",N304=""),"",Q304)</f>
        <v/>
      </c>
      <c r="B303" s="124" t="n"/>
      <c r="C303" s="124" t="n"/>
      <c r="D303" s="124" t="n"/>
      <c r="E303" s="124" t="n"/>
      <c r="F303" s="124" t="n"/>
      <c r="G303" s="124" t="n"/>
      <c r="H303" s="124" t="n"/>
      <c r="I303" s="92">
        <f>IF($A304="","",IFERROR(IF(ISBLANK(INDEX(SprintPlanning[Sprint],MATCH($A304,SprintPlanning[Requirement ID],0))),"To Plan",INDEX(SprintPlanning[Sprint],MATCH($A304,SprintPlanning[Requirement ID],0))),"To Plan"))</f>
        <v/>
      </c>
      <c r="J303" s="124" t="n"/>
      <c r="K303" s="92">
        <f>IFERROR(IF(ISBLANK(INDEX(Release[Release],MATCH($A304,Release[Requirement ID],0))),"",INDEX(Release[Release],MATCH($A304,Release[Requirement ID],0))),"")</f>
        <v/>
      </c>
      <c r="L303" s="124" t="n"/>
      <c r="M303" s="124" t="n"/>
      <c r="N303" s="124" t="n"/>
      <c r="O303" s="92">
        <f>IF($N304="","","https://smartship.atlassian.net/browse/"&amp;$N304)</f>
        <v/>
      </c>
      <c r="P303" s="92">
        <f>IFERROR(VALUE(MID($A304,5,4)),0)</f>
        <v/>
      </c>
      <c r="Q303" s="92">
        <f>IF(B304="","","NEW-"&amp;TEXT(MAX($P$2:$P303,Lists!$N$2)+1,"0000"))</f>
        <v/>
      </c>
    </row>
    <row r="304" ht="15" customHeight="1" s="93">
      <c r="A304" s="123">
        <f>IF(AND(B305="",C305="",D305="",E305="",F305="",G305="",H305="",J305="",L305="",M305="",N305=""),"",Q305)</f>
        <v/>
      </c>
      <c r="B304" s="124" t="n"/>
      <c r="C304" s="124" t="n"/>
      <c r="D304" s="124" t="n"/>
      <c r="E304" s="124" t="n"/>
      <c r="F304" s="124" t="n"/>
      <c r="G304" s="124" t="n"/>
      <c r="H304" s="124" t="n"/>
      <c r="I304" s="92">
        <f>IF($A305="","",IFERROR(IF(ISBLANK(INDEX(SprintPlanning[Sprint],MATCH($A305,SprintPlanning[Requirement ID],0))),"To Plan",INDEX(SprintPlanning[Sprint],MATCH($A305,SprintPlanning[Requirement ID],0))),"To Plan"))</f>
        <v/>
      </c>
      <c r="J304" s="124" t="n"/>
      <c r="K304" s="92">
        <f>IFERROR(IF(ISBLANK(INDEX(Release[Release],MATCH($A305,Release[Requirement ID],0))),"",INDEX(Release[Release],MATCH($A305,Release[Requirement ID],0))),"")</f>
        <v/>
      </c>
      <c r="L304" s="124" t="n"/>
      <c r="M304" s="124" t="n"/>
      <c r="N304" s="124" t="n"/>
      <c r="O304" s="92">
        <f>IF($N305="","","https://smartship.atlassian.net/browse/"&amp;$N305)</f>
        <v/>
      </c>
      <c r="P304" s="92">
        <f>IFERROR(VALUE(MID($A305,5,4)),0)</f>
        <v/>
      </c>
      <c r="Q304" s="92">
        <f>IF(B305="","","NEW-"&amp;TEXT(MAX($P$2:$P304,Lists!$N$2)+1,"0000"))</f>
        <v/>
      </c>
    </row>
    <row r="305" ht="15" customHeight="1" s="93">
      <c r="A305" s="123">
        <f>IF(AND(B306="",C306="",D306="",E306="",F306="",G306="",H306="",J306="",L306="",M306="",N306=""),"",Q306)</f>
        <v/>
      </c>
      <c r="B305" s="124" t="n"/>
      <c r="C305" s="124" t="n"/>
      <c r="D305" s="124" t="n"/>
      <c r="E305" s="124" t="n"/>
      <c r="F305" s="124" t="n"/>
      <c r="G305" s="124" t="n"/>
      <c r="H305" s="124" t="n"/>
      <c r="I305" s="92">
        <f>IF($A306="","",IFERROR(IF(ISBLANK(INDEX(SprintPlanning[Sprint],MATCH($A306,SprintPlanning[Requirement ID],0))),"To Plan",INDEX(SprintPlanning[Sprint],MATCH($A306,SprintPlanning[Requirement ID],0))),"To Plan"))</f>
        <v/>
      </c>
      <c r="J305" s="124" t="n"/>
      <c r="K305" s="92">
        <f>IFERROR(IF(ISBLANK(INDEX(Release[Release],MATCH($A306,Release[Requirement ID],0))),"",INDEX(Release[Release],MATCH($A306,Release[Requirement ID],0))),"")</f>
        <v/>
      </c>
      <c r="L305" s="124" t="n"/>
      <c r="M305" s="124" t="n"/>
      <c r="N305" s="124" t="n"/>
      <c r="O305" s="92">
        <f>IF($N306="","","https://smartship.atlassian.net/browse/"&amp;$N306)</f>
        <v/>
      </c>
      <c r="P305" s="92">
        <f>IFERROR(VALUE(MID($A306,5,4)),0)</f>
        <v/>
      </c>
      <c r="Q305" s="92">
        <f>IF(B306="","","NEW-"&amp;TEXT(MAX($P$2:$P305,Lists!$N$2)+1,"0000"))</f>
        <v/>
      </c>
    </row>
    <row r="306" ht="15" customHeight="1" s="93">
      <c r="A306" s="123">
        <f>IF(AND(B307="",C307="",D307="",E307="",F307="",G307="",H307="",J307="",L307="",M307="",N307=""),"",Q307)</f>
        <v/>
      </c>
      <c r="B306" s="124" t="n"/>
      <c r="C306" s="124" t="n"/>
      <c r="D306" s="124" t="n"/>
      <c r="E306" s="124" t="n"/>
      <c r="F306" s="124" t="n"/>
      <c r="G306" s="124" t="n"/>
      <c r="H306" s="124" t="n"/>
      <c r="I306" s="92">
        <f>IF($A307="","",IFERROR(IF(ISBLANK(INDEX(SprintPlanning[Sprint],MATCH($A307,SprintPlanning[Requirement ID],0))),"To Plan",INDEX(SprintPlanning[Sprint],MATCH($A307,SprintPlanning[Requirement ID],0))),"To Plan"))</f>
        <v/>
      </c>
      <c r="J306" s="124" t="n"/>
      <c r="K306" s="92">
        <f>IFERROR(IF(ISBLANK(INDEX(Release[Release],MATCH($A307,Release[Requirement ID],0))),"",INDEX(Release[Release],MATCH($A307,Release[Requirement ID],0))),"")</f>
        <v/>
      </c>
      <c r="L306" s="124" t="n"/>
      <c r="M306" s="124" t="n"/>
      <c r="N306" s="124" t="n"/>
      <c r="O306" s="92">
        <f>IF($N307="","","https://smartship.atlassian.net/browse/"&amp;$N307)</f>
        <v/>
      </c>
      <c r="P306" s="92">
        <f>IFERROR(VALUE(MID($A307,5,4)),0)</f>
        <v/>
      </c>
      <c r="Q306" s="92">
        <f>IF(B307="","","NEW-"&amp;TEXT(MAX($P$2:$P306,Lists!$N$2)+1,"0000"))</f>
        <v/>
      </c>
    </row>
    <row r="307" ht="15" customHeight="1" s="93">
      <c r="A307" s="123">
        <f>IF(AND(B308="",C308="",D308="",E308="",F308="",G308="",H308="",J308="",L308="",M308="",N308=""),"",Q308)</f>
        <v/>
      </c>
      <c r="B307" s="124" t="n"/>
      <c r="C307" s="124" t="n"/>
      <c r="D307" s="124" t="n"/>
      <c r="E307" s="124" t="n"/>
      <c r="F307" s="124" t="n"/>
      <c r="G307" s="124" t="n"/>
      <c r="H307" s="124" t="n"/>
      <c r="I307" s="92">
        <f>IF($A308="","",IFERROR(IF(ISBLANK(INDEX(SprintPlanning[Sprint],MATCH($A308,SprintPlanning[Requirement ID],0))),"To Plan",INDEX(SprintPlanning[Sprint],MATCH($A308,SprintPlanning[Requirement ID],0))),"To Plan"))</f>
        <v/>
      </c>
      <c r="J307" s="124" t="n"/>
      <c r="K307" s="92">
        <f>IFERROR(IF(ISBLANK(INDEX(Release[Release],MATCH($A308,Release[Requirement ID],0))),"",INDEX(Release[Release],MATCH($A308,Release[Requirement ID],0))),"")</f>
        <v/>
      </c>
      <c r="L307" s="124" t="n"/>
      <c r="M307" s="124" t="n"/>
      <c r="N307" s="124" t="n"/>
      <c r="O307" s="92">
        <f>IF($N308="","","https://smartship.atlassian.net/browse/"&amp;$N308)</f>
        <v/>
      </c>
      <c r="P307" s="92">
        <f>IFERROR(VALUE(MID($A308,5,4)),0)</f>
        <v/>
      </c>
      <c r="Q307" s="92">
        <f>IF(B308="","","NEW-"&amp;TEXT(MAX($P$2:$P307,Lists!$N$2)+1,"0000"))</f>
        <v/>
      </c>
    </row>
    <row r="308" ht="15" customHeight="1" s="93">
      <c r="A308" s="123">
        <f>IF(AND(B309="",C309="",D309="",E309="",F309="",G309="",H309="",J309="",L309="",M309="",N309=""),"",Q309)</f>
        <v/>
      </c>
      <c r="B308" s="124" t="n"/>
      <c r="C308" s="124" t="n"/>
      <c r="D308" s="124" t="n"/>
      <c r="E308" s="124" t="n"/>
      <c r="F308" s="124" t="n"/>
      <c r="G308" s="124" t="n"/>
      <c r="H308" s="124" t="n"/>
      <c r="I308" s="92">
        <f>IF($A309="","",IFERROR(IF(ISBLANK(INDEX(SprintPlanning[Sprint],MATCH($A309,SprintPlanning[Requirement ID],0))),"To Plan",INDEX(SprintPlanning[Sprint],MATCH($A309,SprintPlanning[Requirement ID],0))),"To Plan"))</f>
        <v/>
      </c>
      <c r="J308" s="124" t="n"/>
      <c r="K308" s="92">
        <f>IFERROR(IF(ISBLANK(INDEX(Release[Release],MATCH($A309,Release[Requirement ID],0))),"",INDEX(Release[Release],MATCH($A309,Release[Requirement ID],0))),"")</f>
        <v/>
      </c>
      <c r="L308" s="124" t="n"/>
      <c r="M308" s="124" t="n"/>
      <c r="N308" s="124" t="n"/>
      <c r="O308" s="92">
        <f>IF($N309="","","https://smartship.atlassian.net/browse/"&amp;$N309)</f>
        <v/>
      </c>
      <c r="P308" s="92">
        <f>IFERROR(VALUE(MID($A309,5,4)),0)</f>
        <v/>
      </c>
      <c r="Q308" s="92">
        <f>IF(B309="","","NEW-"&amp;TEXT(MAX($P$2:$P308,Lists!$N$2)+1,"0000"))</f>
        <v/>
      </c>
    </row>
    <row r="309" ht="15" customHeight="1" s="93">
      <c r="A309" s="123">
        <f>IF(AND(B310="",C310="",D310="",E310="",F310="",G310="",H310="",J310="",L310="",M310="",N310=""),"",Q310)</f>
        <v/>
      </c>
      <c r="B309" s="124" t="n"/>
      <c r="C309" s="124" t="n"/>
      <c r="D309" s="124" t="n"/>
      <c r="E309" s="124" t="n"/>
      <c r="F309" s="124" t="n"/>
      <c r="G309" s="124" t="n"/>
      <c r="H309" s="124" t="n"/>
      <c r="I309" s="92">
        <f>IF($A310="","",IFERROR(IF(ISBLANK(INDEX(SprintPlanning[Sprint],MATCH($A310,SprintPlanning[Requirement ID],0))),"To Plan",INDEX(SprintPlanning[Sprint],MATCH($A310,SprintPlanning[Requirement ID],0))),"To Plan"))</f>
        <v/>
      </c>
      <c r="J309" s="124" t="n"/>
      <c r="K309" s="92">
        <f>IFERROR(IF(ISBLANK(INDEX(Release[Release],MATCH($A310,Release[Requirement ID],0))),"",INDEX(Release[Release],MATCH($A310,Release[Requirement ID],0))),"")</f>
        <v/>
      </c>
      <c r="L309" s="124" t="n"/>
      <c r="M309" s="124" t="n"/>
      <c r="N309" s="124" t="n"/>
      <c r="O309" s="92">
        <f>IF($N310="","","https://smartship.atlassian.net/browse/"&amp;$N310)</f>
        <v/>
      </c>
      <c r="P309" s="92">
        <f>IFERROR(VALUE(MID($A310,5,4)),0)</f>
        <v/>
      </c>
      <c r="Q309" s="92">
        <f>IF(B310="","","NEW-"&amp;TEXT(MAX($P$2:$P309,Lists!$N$2)+1,"0000"))</f>
        <v/>
      </c>
    </row>
    <row r="310" ht="15" customHeight="1" s="93">
      <c r="A310" s="123">
        <f>IF(AND(B311="",C311="",D311="",E311="",F311="",G311="",H311="",J311="",L311="",M311="",N311=""),"",Q311)</f>
        <v/>
      </c>
      <c r="B310" s="124" t="n"/>
      <c r="C310" s="124" t="n"/>
      <c r="D310" s="124" t="n"/>
      <c r="E310" s="124" t="n"/>
      <c r="F310" s="124" t="n"/>
      <c r="G310" s="124" t="n"/>
      <c r="H310" s="124" t="n"/>
      <c r="I310" s="92">
        <f>IF($A311="","",IFERROR(IF(ISBLANK(INDEX(SprintPlanning[Sprint],MATCH($A311,SprintPlanning[Requirement ID],0))),"To Plan",INDEX(SprintPlanning[Sprint],MATCH($A311,SprintPlanning[Requirement ID],0))),"To Plan"))</f>
        <v/>
      </c>
      <c r="J310" s="124" t="n"/>
      <c r="K310" s="92">
        <f>IFERROR(IF(ISBLANK(INDEX(Release[Release],MATCH($A311,Release[Requirement ID],0))),"",INDEX(Release[Release],MATCH($A311,Release[Requirement ID],0))),"")</f>
        <v/>
      </c>
      <c r="L310" s="124" t="n"/>
      <c r="M310" s="124" t="n"/>
      <c r="N310" s="124" t="n"/>
      <c r="O310" s="92">
        <f>IF($N311="","","https://smartship.atlassian.net/browse/"&amp;$N311)</f>
        <v/>
      </c>
      <c r="P310" s="92">
        <f>IFERROR(VALUE(MID($A311,5,4)),0)</f>
        <v/>
      </c>
      <c r="Q310" s="92">
        <f>IF(B311="","","NEW-"&amp;TEXT(MAX($P$2:$P310,Lists!$N$2)+1,"0000"))</f>
        <v/>
      </c>
    </row>
    <row r="311" ht="15" customHeight="1" s="93">
      <c r="A311" s="123">
        <f>IF(AND(B312="",C312="",D312="",E312="",F312="",G312="",H312="",J312="",L312="",M312="",N312=""),"",Q312)</f>
        <v/>
      </c>
      <c r="B311" s="124" t="n"/>
      <c r="C311" s="124" t="n"/>
      <c r="D311" s="124" t="n"/>
      <c r="E311" s="124" t="n"/>
      <c r="F311" s="124" t="n"/>
      <c r="G311" s="124" t="n"/>
      <c r="H311" s="124" t="n"/>
      <c r="I311" s="92">
        <f>IF($A312="","",IFERROR(IF(ISBLANK(INDEX(SprintPlanning[Sprint],MATCH($A312,SprintPlanning[Requirement ID],0))),"To Plan",INDEX(SprintPlanning[Sprint],MATCH($A312,SprintPlanning[Requirement ID],0))),"To Plan"))</f>
        <v/>
      </c>
      <c r="J311" s="124" t="n"/>
      <c r="K311" s="92">
        <f>IFERROR(IF(ISBLANK(INDEX(Release[Release],MATCH($A312,Release[Requirement ID],0))),"",INDEX(Release[Release],MATCH($A312,Release[Requirement ID],0))),"")</f>
        <v/>
      </c>
      <c r="L311" s="124" t="n"/>
      <c r="M311" s="124" t="n"/>
      <c r="N311" s="124" t="n"/>
      <c r="O311" s="92">
        <f>IF($N312="","","https://smartship.atlassian.net/browse/"&amp;$N312)</f>
        <v/>
      </c>
      <c r="P311" s="92">
        <f>IFERROR(VALUE(MID($A312,5,4)),0)</f>
        <v/>
      </c>
      <c r="Q311" s="92">
        <f>IF(B312="","","NEW-"&amp;TEXT(MAX($P$2:$P311,Lists!$N$2)+1,"0000"))</f>
        <v/>
      </c>
    </row>
    <row r="312" ht="15" customHeight="1" s="93">
      <c r="A312" s="123">
        <f>IF(AND(B313="",C313="",D313="",E313="",F313="",G313="",H313="",J313="",L313="",M313="",N313=""),"",Q313)</f>
        <v/>
      </c>
      <c r="B312" s="124" t="n"/>
      <c r="C312" s="124" t="n"/>
      <c r="D312" s="124" t="n"/>
      <c r="E312" s="124" t="n"/>
      <c r="F312" s="124" t="n"/>
      <c r="G312" s="124" t="n"/>
      <c r="H312" s="124" t="n"/>
      <c r="I312" s="92">
        <f>IF($A313="","",IFERROR(IF(ISBLANK(INDEX(SprintPlanning[Sprint],MATCH($A313,SprintPlanning[Requirement ID],0))),"To Plan",INDEX(SprintPlanning[Sprint],MATCH($A313,SprintPlanning[Requirement ID],0))),"To Plan"))</f>
        <v/>
      </c>
      <c r="J312" s="124" t="n"/>
      <c r="K312" s="92">
        <f>IFERROR(IF(ISBLANK(INDEX(Release[Release],MATCH($A313,Release[Requirement ID],0))),"",INDEX(Release[Release],MATCH($A313,Release[Requirement ID],0))),"")</f>
        <v/>
      </c>
      <c r="L312" s="124" t="n"/>
      <c r="M312" s="124" t="n"/>
      <c r="N312" s="124" t="n"/>
      <c r="O312" s="92">
        <f>IF($N313="","","https://smartship.atlassian.net/browse/"&amp;$N313)</f>
        <v/>
      </c>
      <c r="P312" s="92">
        <f>IFERROR(VALUE(MID($A313,5,4)),0)</f>
        <v/>
      </c>
      <c r="Q312" s="92">
        <f>IF(B313="","","NEW-"&amp;TEXT(MAX($P$2:$P312,Lists!$N$2)+1,"0000"))</f>
        <v/>
      </c>
    </row>
    <row r="313" ht="15" customHeight="1" s="93">
      <c r="A313" s="123">
        <f>IF(AND(B314="",C314="",D314="",E314="",F314="",G314="",H314="",J314="",L314="",M314="",N314=""),"",Q314)</f>
        <v/>
      </c>
      <c r="B313" s="124" t="n"/>
      <c r="C313" s="124" t="n"/>
      <c r="D313" s="124" t="n"/>
      <c r="E313" s="124" t="n"/>
      <c r="F313" s="124" t="n"/>
      <c r="G313" s="124" t="n"/>
      <c r="H313" s="124" t="n"/>
      <c r="I313" s="92">
        <f>IF($A314="","",IFERROR(IF(ISBLANK(INDEX(SprintPlanning[Sprint],MATCH($A314,SprintPlanning[Requirement ID],0))),"To Plan",INDEX(SprintPlanning[Sprint],MATCH($A314,SprintPlanning[Requirement ID],0))),"To Plan"))</f>
        <v/>
      </c>
      <c r="J313" s="124" t="n"/>
      <c r="K313" s="92">
        <f>IFERROR(IF(ISBLANK(INDEX(Release[Release],MATCH($A314,Release[Requirement ID],0))),"",INDEX(Release[Release],MATCH($A314,Release[Requirement ID],0))),"")</f>
        <v/>
      </c>
      <c r="L313" s="124" t="n"/>
      <c r="M313" s="124" t="n"/>
      <c r="N313" s="124" t="n"/>
      <c r="O313" s="92">
        <f>IF($N314="","","https://smartship.atlassian.net/browse/"&amp;$N314)</f>
        <v/>
      </c>
      <c r="P313" s="92">
        <f>IFERROR(VALUE(MID($A314,5,4)),0)</f>
        <v/>
      </c>
      <c r="Q313" s="92">
        <f>IF(B314="","","NEW-"&amp;TEXT(MAX($P$2:$P313,Lists!$N$2)+1,"0000"))</f>
        <v/>
      </c>
    </row>
    <row r="314" ht="15" customHeight="1" s="93">
      <c r="A314" s="123">
        <f>IF(AND(B315="",C315="",D315="",E315="",F315="",G315="",H315="",J315="",L315="",M315="",N315=""),"",Q315)</f>
        <v/>
      </c>
      <c r="B314" s="124" t="n"/>
      <c r="C314" s="124" t="n"/>
      <c r="D314" s="124" t="n"/>
      <c r="E314" s="124" t="n"/>
      <c r="F314" s="124" t="n"/>
      <c r="G314" s="124" t="n"/>
      <c r="H314" s="124" t="n"/>
      <c r="I314" s="92">
        <f>IF($A315="","",IFERROR(IF(ISBLANK(INDEX(SprintPlanning[Sprint],MATCH($A315,SprintPlanning[Requirement ID],0))),"To Plan",INDEX(SprintPlanning[Sprint],MATCH($A315,SprintPlanning[Requirement ID],0))),"To Plan"))</f>
        <v/>
      </c>
      <c r="J314" s="124" t="n"/>
      <c r="K314" s="92">
        <f>IFERROR(IF(ISBLANK(INDEX(Release[Release],MATCH($A315,Release[Requirement ID],0))),"",INDEX(Release[Release],MATCH($A315,Release[Requirement ID],0))),"")</f>
        <v/>
      </c>
      <c r="L314" s="124" t="n"/>
      <c r="M314" s="124" t="n"/>
      <c r="N314" s="124" t="n"/>
      <c r="O314" s="92">
        <f>IF($N315="","","https://smartship.atlassian.net/browse/"&amp;$N315)</f>
        <v/>
      </c>
      <c r="P314" s="92">
        <f>IFERROR(VALUE(MID($A315,5,4)),0)</f>
        <v/>
      </c>
      <c r="Q314" s="92">
        <f>IF(B315="","","NEW-"&amp;TEXT(MAX($P$2:$P314,Lists!$N$2)+1,"0000"))</f>
        <v/>
      </c>
    </row>
    <row r="315" ht="15" customHeight="1" s="93">
      <c r="A315" s="123">
        <f>IF(AND(B316="",C316="",D316="",E316="",F316="",G316="",H316="",J316="",L316="",M316="",N316=""),"",Q316)</f>
        <v/>
      </c>
      <c r="B315" s="124" t="n"/>
      <c r="C315" s="124" t="n"/>
      <c r="D315" s="124" t="n"/>
      <c r="E315" s="124" t="n"/>
      <c r="F315" s="124" t="n"/>
      <c r="G315" s="124" t="n"/>
      <c r="H315" s="124" t="n"/>
      <c r="I315" s="92">
        <f>IF($A316="","",IFERROR(IF(ISBLANK(INDEX(SprintPlanning[Sprint],MATCH($A316,SprintPlanning[Requirement ID],0))),"To Plan",INDEX(SprintPlanning[Sprint],MATCH($A316,SprintPlanning[Requirement ID],0))),"To Plan"))</f>
        <v/>
      </c>
      <c r="J315" s="124" t="n"/>
      <c r="K315" s="92">
        <f>IFERROR(IF(ISBLANK(INDEX(Release[Release],MATCH($A316,Release[Requirement ID],0))),"",INDEX(Release[Release],MATCH($A316,Release[Requirement ID],0))),"")</f>
        <v/>
      </c>
      <c r="L315" s="124" t="n"/>
      <c r="M315" s="124" t="n"/>
      <c r="N315" s="124" t="n"/>
      <c r="O315" s="92">
        <f>IF($N316="","","https://smartship.atlassian.net/browse/"&amp;$N316)</f>
        <v/>
      </c>
      <c r="P315" s="92">
        <f>IFERROR(VALUE(MID($A316,5,4)),0)</f>
        <v/>
      </c>
      <c r="Q315" s="92">
        <f>IF(B316="","","NEW-"&amp;TEXT(MAX($P$2:$P315,Lists!$N$2)+1,"0000"))</f>
        <v/>
      </c>
    </row>
    <row r="316" ht="15" customHeight="1" s="93">
      <c r="A316" s="123">
        <f>IF(AND(B317="",C317="",D317="",E317="",F317="",G317="",H317="",J317="",L317="",M317="",N317=""),"",Q317)</f>
        <v/>
      </c>
      <c r="B316" s="124" t="n"/>
      <c r="C316" s="124" t="n"/>
      <c r="D316" s="124" t="n"/>
      <c r="E316" s="124" t="n"/>
      <c r="F316" s="124" t="n"/>
      <c r="G316" s="124" t="n"/>
      <c r="H316" s="124" t="n"/>
      <c r="I316" s="92">
        <f>IF($A317="","",IFERROR(IF(ISBLANK(INDEX(SprintPlanning[Sprint],MATCH($A317,SprintPlanning[Requirement ID],0))),"To Plan",INDEX(SprintPlanning[Sprint],MATCH($A317,SprintPlanning[Requirement ID],0))),"To Plan"))</f>
        <v/>
      </c>
      <c r="J316" s="124" t="n"/>
      <c r="K316" s="92">
        <f>IFERROR(IF(ISBLANK(INDEX(Release[Release],MATCH($A317,Release[Requirement ID],0))),"",INDEX(Release[Release],MATCH($A317,Release[Requirement ID],0))),"")</f>
        <v/>
      </c>
      <c r="L316" s="124" t="n"/>
      <c r="M316" s="124" t="n"/>
      <c r="N316" s="124" t="n"/>
      <c r="O316" s="92">
        <f>IF($N317="","","https://smartship.atlassian.net/browse/"&amp;$N317)</f>
        <v/>
      </c>
      <c r="P316" s="92">
        <f>IFERROR(VALUE(MID($A317,5,4)),0)</f>
        <v/>
      </c>
      <c r="Q316" s="92">
        <f>IF(B317="","","NEW-"&amp;TEXT(MAX($P$2:$P316,Lists!$N$2)+1,"0000"))</f>
        <v/>
      </c>
    </row>
    <row r="317" ht="15" customHeight="1" s="93">
      <c r="A317" s="123">
        <f>IF(AND(B318="",C318="",D318="",E318="",F318="",G318="",H318="",J318="",L318="",M318="",N318=""),"",Q318)</f>
        <v/>
      </c>
      <c r="B317" s="124" t="n"/>
      <c r="C317" s="124" t="n"/>
      <c r="D317" s="124" t="n"/>
      <c r="E317" s="124" t="n"/>
      <c r="F317" s="124" t="n"/>
      <c r="G317" s="124" t="n"/>
      <c r="H317" s="124" t="n"/>
      <c r="I317" s="92">
        <f>IF($A318="","",IFERROR(IF(ISBLANK(INDEX(SprintPlanning[Sprint],MATCH($A318,SprintPlanning[Requirement ID],0))),"To Plan",INDEX(SprintPlanning[Sprint],MATCH($A318,SprintPlanning[Requirement ID],0))),"To Plan"))</f>
        <v/>
      </c>
      <c r="J317" s="124" t="n"/>
      <c r="K317" s="92">
        <f>IFERROR(IF(ISBLANK(INDEX(Release[Release],MATCH($A318,Release[Requirement ID],0))),"",INDEX(Release[Release],MATCH($A318,Release[Requirement ID],0))),"")</f>
        <v/>
      </c>
      <c r="L317" s="124" t="n"/>
      <c r="M317" s="124" t="n"/>
      <c r="N317" s="124" t="n"/>
      <c r="O317" s="92">
        <f>IF($N318="","","https://smartship.atlassian.net/browse/"&amp;$N318)</f>
        <v/>
      </c>
      <c r="P317" s="92">
        <f>IFERROR(VALUE(MID($A318,5,4)),0)</f>
        <v/>
      </c>
      <c r="Q317" s="92">
        <f>IF(B318="","","NEW-"&amp;TEXT(MAX($P$2:$P317,Lists!$N$2)+1,"0000"))</f>
        <v/>
      </c>
    </row>
    <row r="318" ht="15" customHeight="1" s="93">
      <c r="A318" s="123">
        <f>IF(AND(B319="",C319="",D319="",E319="",F319="",G319="",H319="",J319="",L319="",M319="",N319=""),"",Q319)</f>
        <v/>
      </c>
      <c r="B318" s="124" t="n"/>
      <c r="C318" s="124" t="n"/>
      <c r="D318" s="124" t="n"/>
      <c r="E318" s="124" t="n"/>
      <c r="F318" s="124" t="n"/>
      <c r="G318" s="124" t="n"/>
      <c r="H318" s="124" t="n"/>
      <c r="I318" s="92">
        <f>IF($A319="","",IFERROR(IF(ISBLANK(INDEX(SprintPlanning[Sprint],MATCH($A319,SprintPlanning[Requirement ID],0))),"To Plan",INDEX(SprintPlanning[Sprint],MATCH($A319,SprintPlanning[Requirement ID],0))),"To Plan"))</f>
        <v/>
      </c>
      <c r="J318" s="124" t="n"/>
      <c r="K318" s="92">
        <f>IFERROR(IF(ISBLANK(INDEX(Release[Release],MATCH($A319,Release[Requirement ID],0))),"",INDEX(Release[Release],MATCH($A319,Release[Requirement ID],0))),"")</f>
        <v/>
      </c>
      <c r="L318" s="124" t="n"/>
      <c r="M318" s="124" t="n"/>
      <c r="N318" s="124" t="n"/>
      <c r="O318" s="92">
        <f>IF($N319="","","https://smartship.atlassian.net/browse/"&amp;$N319)</f>
        <v/>
      </c>
      <c r="P318" s="92">
        <f>IFERROR(VALUE(MID($A319,5,4)),0)</f>
        <v/>
      </c>
      <c r="Q318" s="92">
        <f>IF(B319="","","NEW-"&amp;TEXT(MAX($P$2:$P318,Lists!$N$2)+1,"0000"))</f>
        <v/>
      </c>
    </row>
    <row r="319" ht="15" customHeight="1" s="93">
      <c r="A319" s="123">
        <f>IF(AND(B320="",C320="",D320="",E320="",F320="",G320="",H320="",J320="",L320="",M320="",N320=""),"",Q320)</f>
        <v/>
      </c>
      <c r="B319" s="124" t="n"/>
      <c r="C319" s="124" t="n"/>
      <c r="D319" s="124" t="n"/>
      <c r="E319" s="124" t="n"/>
      <c r="F319" s="124" t="n"/>
      <c r="G319" s="124" t="n"/>
      <c r="H319" s="124" t="n"/>
      <c r="I319" s="92">
        <f>IF($A320="","",IFERROR(IF(ISBLANK(INDEX(SprintPlanning[Sprint],MATCH($A320,SprintPlanning[Requirement ID],0))),"To Plan",INDEX(SprintPlanning[Sprint],MATCH($A320,SprintPlanning[Requirement ID],0))),"To Plan"))</f>
        <v/>
      </c>
      <c r="J319" s="124" t="n"/>
      <c r="K319" s="92">
        <f>IFERROR(IF(ISBLANK(INDEX(Release[Release],MATCH($A320,Release[Requirement ID],0))),"",INDEX(Release[Release],MATCH($A320,Release[Requirement ID],0))),"")</f>
        <v/>
      </c>
      <c r="L319" s="124" t="n"/>
      <c r="M319" s="124" t="n"/>
      <c r="N319" s="124" t="n"/>
      <c r="O319" s="92">
        <f>IF($N320="","","https://smartship.atlassian.net/browse/"&amp;$N320)</f>
        <v/>
      </c>
      <c r="P319" s="92">
        <f>IFERROR(VALUE(MID($A320,5,4)),0)</f>
        <v/>
      </c>
      <c r="Q319" s="92">
        <f>IF(B320="","","NEW-"&amp;TEXT(MAX($P$2:$P319,Lists!$N$2)+1,"0000"))</f>
        <v/>
      </c>
    </row>
    <row r="320" ht="15" customHeight="1" s="93">
      <c r="A320" s="123">
        <f>IF(AND(B321="",C321="",D321="",E321="",F321="",G321="",H321="",J321="",L321="",M321="",N321=""),"",Q321)</f>
        <v/>
      </c>
      <c r="B320" s="124" t="n"/>
      <c r="C320" s="124" t="n"/>
      <c r="D320" s="124" t="n"/>
      <c r="E320" s="124" t="n"/>
      <c r="F320" s="124" t="n"/>
      <c r="G320" s="124" t="n"/>
      <c r="H320" s="124" t="n"/>
      <c r="I320" s="92">
        <f>IF($A321="","",IFERROR(IF(ISBLANK(INDEX(SprintPlanning[Sprint],MATCH($A321,SprintPlanning[Requirement ID],0))),"To Plan",INDEX(SprintPlanning[Sprint],MATCH($A321,SprintPlanning[Requirement ID],0))),"To Plan"))</f>
        <v/>
      </c>
      <c r="J320" s="124" t="n"/>
      <c r="K320" s="92">
        <f>IFERROR(IF(ISBLANK(INDEX(Release[Release],MATCH($A321,Release[Requirement ID],0))),"",INDEX(Release[Release],MATCH($A321,Release[Requirement ID],0))),"")</f>
        <v/>
      </c>
      <c r="L320" s="124" t="n"/>
      <c r="M320" s="124" t="n"/>
      <c r="N320" s="124" t="n"/>
      <c r="O320" s="92">
        <f>IF($N321="","","https://smartship.atlassian.net/browse/"&amp;$N321)</f>
        <v/>
      </c>
      <c r="P320" s="92">
        <f>IFERROR(VALUE(MID($A321,5,4)),0)</f>
        <v/>
      </c>
      <c r="Q320" s="92">
        <f>IF(B321="","","NEW-"&amp;TEXT(MAX($P$2:$P320,Lists!$N$2)+1,"0000"))</f>
        <v/>
      </c>
    </row>
    <row r="321" ht="15" customHeight="1" s="93">
      <c r="A321" s="123">
        <f>IF(AND(B322="",C322="",D322="",E322="",F322="",G322="",H322="",J322="",L322="",M322="",N322=""),"",Q322)</f>
        <v/>
      </c>
      <c r="B321" s="124" t="n"/>
      <c r="C321" s="124" t="n"/>
      <c r="D321" s="124" t="n"/>
      <c r="E321" s="124" t="n"/>
      <c r="F321" s="124" t="n"/>
      <c r="G321" s="124" t="n"/>
      <c r="H321" s="124" t="n"/>
      <c r="I321" s="92">
        <f>IF($A322="","",IFERROR(IF(ISBLANK(INDEX(SprintPlanning[Sprint],MATCH($A322,SprintPlanning[Requirement ID],0))),"To Plan",INDEX(SprintPlanning[Sprint],MATCH($A322,SprintPlanning[Requirement ID],0))),"To Plan"))</f>
        <v/>
      </c>
      <c r="J321" s="124" t="n"/>
      <c r="K321" s="92">
        <f>IFERROR(IF(ISBLANK(INDEX(Release[Release],MATCH($A322,Release[Requirement ID],0))),"",INDEX(Release[Release],MATCH($A322,Release[Requirement ID],0))),"")</f>
        <v/>
      </c>
      <c r="L321" s="124" t="n"/>
      <c r="M321" s="124" t="n"/>
      <c r="N321" s="124" t="n"/>
      <c r="O321" s="92">
        <f>IF($N322="","","https://smartship.atlassian.net/browse/"&amp;$N322)</f>
        <v/>
      </c>
      <c r="P321" s="92">
        <f>IFERROR(VALUE(MID($A322,5,4)),0)</f>
        <v/>
      </c>
      <c r="Q321" s="92">
        <f>IF(B322="","","NEW-"&amp;TEXT(MAX($P$2:$P321,Lists!$N$2)+1,"0000"))</f>
        <v/>
      </c>
    </row>
    <row r="322" ht="15" customHeight="1" s="93">
      <c r="A322" s="123">
        <f>IF(AND(B323="",C323="",D323="",E323="",F323="",G323="",H323="",J323="",L323="",M323="",N323=""),"",Q323)</f>
        <v/>
      </c>
      <c r="B322" s="124" t="n"/>
      <c r="C322" s="124" t="n"/>
      <c r="D322" s="124" t="n"/>
      <c r="E322" s="124" t="n"/>
      <c r="F322" s="124" t="n"/>
      <c r="G322" s="124" t="n"/>
      <c r="H322" s="124" t="n"/>
      <c r="I322" s="92">
        <f>IF($A323="","",IFERROR(IF(ISBLANK(INDEX(SprintPlanning[Sprint],MATCH($A323,SprintPlanning[Requirement ID],0))),"To Plan",INDEX(SprintPlanning[Sprint],MATCH($A323,SprintPlanning[Requirement ID],0))),"To Plan"))</f>
        <v/>
      </c>
      <c r="J322" s="124" t="n"/>
      <c r="K322" s="92">
        <f>IFERROR(IF(ISBLANK(INDEX(Release[Release],MATCH($A323,Release[Requirement ID],0))),"",INDEX(Release[Release],MATCH($A323,Release[Requirement ID],0))),"")</f>
        <v/>
      </c>
      <c r="L322" s="124" t="n"/>
      <c r="M322" s="124" t="n"/>
      <c r="N322" s="124" t="n"/>
      <c r="O322" s="92">
        <f>IF($N323="","","https://smartship.atlassian.net/browse/"&amp;$N323)</f>
        <v/>
      </c>
      <c r="P322" s="92">
        <f>IFERROR(VALUE(MID($A323,5,4)),0)</f>
        <v/>
      </c>
      <c r="Q322" s="92">
        <f>IF(B323="","","NEW-"&amp;TEXT(MAX($P$2:$P322,Lists!$N$2)+1,"0000"))</f>
        <v/>
      </c>
    </row>
    <row r="323" ht="15" customHeight="1" s="93">
      <c r="A323" s="123">
        <f>IF(AND(B324="",C324="",D324="",E324="",F324="",G324="",H324="",J324="",L324="",M324="",N324=""),"",Q324)</f>
        <v/>
      </c>
      <c r="B323" s="124" t="n"/>
      <c r="C323" s="124" t="n"/>
      <c r="D323" s="124" t="n"/>
      <c r="E323" s="124" t="n"/>
      <c r="F323" s="124" t="n"/>
      <c r="G323" s="124" t="n"/>
      <c r="H323" s="124" t="n"/>
      <c r="I323" s="92">
        <f>IF($A324="","",IFERROR(IF(ISBLANK(INDEX(SprintPlanning[Sprint],MATCH($A324,SprintPlanning[Requirement ID],0))),"To Plan",INDEX(SprintPlanning[Sprint],MATCH($A324,SprintPlanning[Requirement ID],0))),"To Plan"))</f>
        <v/>
      </c>
      <c r="J323" s="124" t="n"/>
      <c r="K323" s="92">
        <f>IFERROR(IF(ISBLANK(INDEX(Release[Release],MATCH($A324,Release[Requirement ID],0))),"",INDEX(Release[Release],MATCH($A324,Release[Requirement ID],0))),"")</f>
        <v/>
      </c>
      <c r="L323" s="124" t="n"/>
      <c r="M323" s="124" t="n"/>
      <c r="N323" s="124" t="n"/>
      <c r="O323" s="92">
        <f>IF($N324="","","https://smartship.atlassian.net/browse/"&amp;$N324)</f>
        <v/>
      </c>
      <c r="P323" s="92">
        <f>IFERROR(VALUE(MID($A324,5,4)),0)</f>
        <v/>
      </c>
      <c r="Q323" s="92">
        <f>IF(B324="","","NEW-"&amp;TEXT(MAX($P$2:$P323,Lists!$N$2)+1,"0000"))</f>
        <v/>
      </c>
    </row>
    <row r="324" ht="15" customHeight="1" s="93">
      <c r="A324" s="123">
        <f>IF(AND(B325="",C325="",D325="",E325="",F325="",G325="",H325="",J325="",L325="",M325="",N325=""),"",Q325)</f>
        <v/>
      </c>
      <c r="B324" s="124" t="n"/>
      <c r="C324" s="124" t="n"/>
      <c r="D324" s="124" t="n"/>
      <c r="E324" s="124" t="n"/>
      <c r="F324" s="124" t="n"/>
      <c r="G324" s="124" t="n"/>
      <c r="H324" s="124" t="n"/>
      <c r="I324" s="92">
        <f>IF($A325="","",IFERROR(IF(ISBLANK(INDEX(SprintPlanning[Sprint],MATCH($A325,SprintPlanning[Requirement ID],0))),"To Plan",INDEX(SprintPlanning[Sprint],MATCH($A325,SprintPlanning[Requirement ID],0))),"To Plan"))</f>
        <v/>
      </c>
      <c r="J324" s="124" t="n"/>
      <c r="K324" s="92">
        <f>IFERROR(IF(ISBLANK(INDEX(Release[Release],MATCH($A325,Release[Requirement ID],0))),"",INDEX(Release[Release],MATCH($A325,Release[Requirement ID],0))),"")</f>
        <v/>
      </c>
      <c r="L324" s="124" t="n"/>
      <c r="M324" s="124" t="n"/>
      <c r="N324" s="124" t="n"/>
      <c r="O324" s="92">
        <f>IF($N325="","","https://smartship.atlassian.net/browse/"&amp;$N325)</f>
        <v/>
      </c>
      <c r="P324" s="92">
        <f>IFERROR(VALUE(MID($A325,5,4)),0)</f>
        <v/>
      </c>
      <c r="Q324" s="92">
        <f>IF(B325="","","NEW-"&amp;TEXT(MAX($P$2:$P324,Lists!$N$2)+1,"0000"))</f>
        <v/>
      </c>
    </row>
    <row r="325" ht="15" customHeight="1" s="93"/>
    <row r="326" ht="15" customHeight="1" s="93"/>
    <row r="327" ht="15" customHeight="1" s="93"/>
    <row r="328" hidden="1" ht="15" customHeight="1" s="93"/>
    <row r="329" hidden="1" ht="15" customHeight="1" s="93"/>
    <row r="330" hidden="1" ht="15" customHeight="1" s="93"/>
    <row r="331" hidden="1" ht="15" customHeight="1" s="93"/>
    <row r="332" hidden="1" ht="15" customHeight="1" s="93"/>
    <row r="333" hidden="1" ht="15" customHeight="1" s="93"/>
    <row r="334" hidden="1" ht="15" customHeight="1" s="93"/>
    <row r="335" hidden="1" ht="15" customHeight="1" s="93"/>
    <row r="336" hidden="1" ht="15" customHeight="1" s="93"/>
    <row r="337" hidden="1" ht="15" customHeight="1" s="93"/>
    <row r="338" hidden="1" ht="15" customHeight="1" s="93"/>
    <row r="339" hidden="1" ht="15" customHeight="1" s="93"/>
    <row r="340" hidden="1" ht="15" customHeight="1" s="93"/>
    <row r="341" hidden="1" ht="15" customHeight="1" s="93"/>
    <row r="342" hidden="1" ht="15" customHeight="1" s="93"/>
    <row r="343" hidden="1" ht="15" customHeight="1" s="93"/>
    <row r="344" hidden="1" ht="15" customHeight="1" s="93"/>
    <row r="345" hidden="1" ht="15" customHeight="1" s="93"/>
    <row r="346" hidden="1" ht="15" customHeight="1" s="93"/>
    <row r="347" hidden="1" ht="15" customHeight="1" s="93"/>
    <row r="348" hidden="1" ht="15" customHeight="1" s="93"/>
    <row r="349" hidden="1" ht="15" customHeight="1" s="93"/>
    <row r="350" hidden="1" ht="15" customHeight="1" s="93"/>
    <row r="351" hidden="1" ht="15" customHeight="1" s="93"/>
    <row r="352" hidden="1" ht="15" customHeight="1" s="93"/>
    <row r="353" hidden="1" ht="15" customHeight="1" s="93"/>
    <row r="354" hidden="1" ht="15" customHeight="1" s="93"/>
    <row r="355" hidden="1" ht="15" customHeight="1" s="93"/>
    <row r="356" hidden="1" ht="15" customHeight="1" s="93"/>
    <row r="357" hidden="1" ht="15" customHeight="1" s="93"/>
    <row r="358" hidden="1" ht="15" customHeight="1" s="93"/>
    <row r="359" hidden="1" ht="15" customHeight="1" s="93"/>
    <row r="360" hidden="1" ht="15" customHeight="1" s="93"/>
    <row r="361" hidden="1" ht="15" customHeight="1" s="93"/>
    <row r="362" hidden="1" ht="15" customHeight="1" s="93"/>
    <row r="363" hidden="1" ht="15" customHeight="1" s="93"/>
    <row r="364" hidden="1" ht="15" customHeight="1" s="93"/>
    <row r="365" hidden="1" ht="15" customHeight="1" s="93"/>
    <row r="366" hidden="1" ht="15" customHeight="1" s="93"/>
    <row r="367" hidden="1" ht="15" customHeight="1" s="93"/>
    <row r="368" hidden="1" ht="15" customHeight="1" s="93"/>
    <row r="369" hidden="1" ht="15" customHeight="1" s="93"/>
    <row r="370" hidden="1" ht="15" customHeight="1" s="93"/>
    <row r="371" hidden="1" ht="15" customHeight="1" s="93"/>
    <row r="372" hidden="1" ht="15" customHeight="1" s="93"/>
    <row r="373" hidden="1" ht="15" customHeight="1" s="93"/>
    <row r="374" hidden="1" ht="15" customHeight="1" s="93"/>
    <row r="375" hidden="1" ht="15" customHeight="1" s="93"/>
    <row r="376" hidden="1" ht="15" customHeight="1" s="93"/>
    <row r="377" hidden="1" ht="15" customHeight="1" s="93"/>
    <row r="378" hidden="1" ht="15" customHeight="1" s="93"/>
    <row r="379" hidden="1" ht="15" customHeight="1" s="93"/>
    <row r="380" hidden="1" ht="15" customHeight="1" s="93"/>
    <row r="381" hidden="1" ht="15" customHeight="1" s="93"/>
    <row r="382" hidden="1" ht="15" customHeight="1" s="93"/>
    <row r="383" hidden="1" ht="15" customHeight="1" s="93"/>
    <row r="384" hidden="1" ht="15" customHeight="1" s="93"/>
    <row r="385" hidden="1" ht="15" customHeight="1" s="93"/>
    <row r="386" hidden="1" ht="15" customHeight="1" s="93"/>
    <row r="387" hidden="1" ht="15" customHeight="1" s="93"/>
    <row r="388" hidden="1" ht="15" customHeight="1" s="93"/>
    <row r="389" hidden="1" ht="15" customHeight="1" s="93"/>
    <row r="390" hidden="1" ht="15" customHeight="1" s="93"/>
    <row r="391" hidden="1" ht="15" customHeight="1" s="93"/>
    <row r="392" hidden="1" ht="15" customHeight="1" s="93"/>
    <row r="393" hidden="1" ht="15" customHeight="1" s="93"/>
    <row r="394" hidden="1" ht="15" customHeight="1" s="93"/>
    <row r="395" hidden="1" ht="15" customHeight="1" s="93"/>
    <row r="396" hidden="1" ht="15" customHeight="1" s="93"/>
    <row r="397" hidden="1" ht="15" customHeight="1" s="93"/>
    <row r="398" hidden="1" ht="15" customHeight="1" s="93"/>
    <row r="399" hidden="1" ht="15" customHeight="1" s="93"/>
    <row r="400" hidden="1" ht="15" customHeight="1" s="93"/>
    <row r="401" hidden="1" ht="15" customHeight="1" s="93"/>
    <row r="402" hidden="1" ht="15" customHeight="1" s="93"/>
    <row r="403" hidden="1" ht="15" customHeight="1" s="93"/>
    <row r="404" hidden="1" ht="15" customHeight="1" s="93"/>
    <row r="405" hidden="1" ht="15" customHeight="1" s="93"/>
    <row r="406" hidden="1" ht="15" customHeight="1" s="93"/>
    <row r="407" hidden="1" ht="15" customHeight="1" s="93"/>
    <row r="408" hidden="1" ht="15" customHeight="1" s="93"/>
    <row r="409" hidden="1" ht="15" customHeight="1" s="93"/>
    <row r="410" hidden="1" ht="15" customHeight="1" s="93"/>
    <row r="411" hidden="1" ht="15" customHeight="1" s="93"/>
    <row r="412" hidden="1" ht="15" customHeight="1" s="93"/>
    <row r="413" hidden="1" ht="15" customHeight="1" s="93"/>
    <row r="414" hidden="1" ht="15" customHeight="1" s="93"/>
    <row r="415" hidden="1" ht="15" customHeight="1" s="93"/>
    <row r="416" hidden="1" ht="15" customHeight="1" s="93"/>
    <row r="417" hidden="1" ht="15" customHeight="1" s="93"/>
    <row r="418" hidden="1" ht="15" customHeight="1" s="93"/>
    <row r="419" hidden="1" ht="15" customHeight="1" s="93"/>
    <row r="420" hidden="1" ht="15" customHeight="1" s="93"/>
    <row r="421" hidden="1" ht="15" customHeight="1" s="93"/>
    <row r="422" hidden="1" ht="15" customHeight="1" s="93"/>
    <row r="423" hidden="1" ht="15" customHeight="1" s="93"/>
    <row r="424" hidden="1" ht="15" customHeight="1" s="93"/>
    <row r="425" hidden="1" ht="15" customHeight="1" s="93"/>
    <row r="426" hidden="1" ht="15" customHeight="1" s="93"/>
    <row r="427" hidden="1" ht="15" customHeight="1" s="93"/>
    <row r="428" hidden="1" ht="15" customHeight="1" s="93"/>
    <row r="429" hidden="1" ht="15" customHeight="1" s="93"/>
    <row r="430" hidden="1" ht="15" customHeight="1" s="93"/>
    <row r="431" hidden="1" ht="15" customHeight="1" s="93"/>
    <row r="432" hidden="1" ht="15" customHeight="1" s="93"/>
    <row r="433" hidden="1" ht="15" customHeight="1" s="93"/>
    <row r="434" hidden="1" ht="15" customHeight="1" s="93"/>
    <row r="435" hidden="1" ht="15" customHeight="1" s="93"/>
    <row r="436" hidden="1" ht="15" customHeight="1" s="93"/>
    <row r="437" hidden="1" ht="15" customHeight="1" s="93"/>
    <row r="438" hidden="1" ht="15" customHeight="1" s="93"/>
    <row r="439" hidden="1" ht="15" customHeight="1" s="93"/>
    <row r="440" hidden="1" ht="15" customHeight="1" s="93"/>
    <row r="441" hidden="1" ht="15" customHeight="1" s="93"/>
    <row r="442" hidden="1" ht="15" customHeight="1" s="93"/>
    <row r="443" hidden="1" ht="15" customHeight="1" s="93"/>
    <row r="444" hidden="1" ht="15" customHeight="1" s="93"/>
    <row r="445" hidden="1" ht="15" customHeight="1" s="93"/>
    <row r="446" hidden="1" ht="15" customHeight="1" s="93"/>
    <row r="447" hidden="1" ht="15" customHeight="1" s="93"/>
    <row r="448" hidden="1" ht="15" customHeight="1" s="93"/>
    <row r="449" hidden="1" ht="15" customHeight="1" s="93"/>
    <row r="450" hidden="1" ht="15" customHeight="1" s="93"/>
    <row r="451" hidden="1" ht="15" customHeight="1" s="93"/>
    <row r="452" hidden="1" ht="15" customHeight="1" s="93"/>
    <row r="453" hidden="1" ht="15" customHeight="1" s="93"/>
    <row r="454" hidden="1" ht="15" customHeight="1" s="93"/>
    <row r="455" hidden="1" ht="15" customHeight="1" s="93"/>
    <row r="456" hidden="1" ht="15" customHeight="1" s="93"/>
    <row r="457" hidden="1" ht="15" customHeight="1" s="93"/>
    <row r="458" hidden="1" ht="15" customHeight="1" s="93"/>
    <row r="459" hidden="1" ht="15" customHeight="1" s="93"/>
    <row r="460" hidden="1" ht="15" customHeight="1" s="93"/>
    <row r="461" hidden="1" ht="15" customHeight="1" s="93"/>
    <row r="462" hidden="1" ht="15" customHeight="1" s="93"/>
    <row r="463" hidden="1" ht="15" customHeight="1" s="93"/>
    <row r="464" hidden="1" ht="15" customHeight="1" s="93"/>
    <row r="465" hidden="1" ht="15" customHeight="1" s="93"/>
    <row r="466" hidden="1" ht="15" customHeight="1" s="93"/>
    <row r="467" hidden="1" ht="15" customHeight="1" s="93"/>
    <row r="468" hidden="1" ht="15" customHeight="1" s="93"/>
    <row r="469" hidden="1" ht="15" customHeight="1" s="93"/>
    <row r="470" hidden="1" ht="15" customHeight="1" s="93"/>
    <row r="471" hidden="1" ht="15" customHeight="1" s="93"/>
    <row r="472" hidden="1" ht="15" customHeight="1" s="93"/>
    <row r="473" hidden="1" ht="15" customHeight="1" s="93"/>
    <row r="474" hidden="1" ht="15" customHeight="1" s="93"/>
    <row r="475" hidden="1" ht="15" customHeight="1" s="93"/>
    <row r="476" hidden="1" ht="15" customHeight="1" s="93"/>
    <row r="477" hidden="1" ht="15" customHeight="1" s="93"/>
    <row r="478" hidden="1" ht="15" customHeight="1" s="93"/>
    <row r="479" hidden="1" ht="15" customHeight="1" s="93"/>
    <row r="480" hidden="1" ht="15" customHeight="1" s="93"/>
    <row r="481" hidden="1" ht="15" customHeight="1" s="93"/>
    <row r="482" hidden="1" ht="15" customHeight="1" s="93"/>
    <row r="483" hidden="1" ht="15" customHeight="1" s="93"/>
    <row r="484" hidden="1" ht="15" customHeight="1" s="93"/>
    <row r="485" hidden="1" ht="15" customHeight="1" s="93"/>
    <row r="486" hidden="1" ht="15" customHeight="1" s="93"/>
    <row r="487" hidden="1" ht="15" customHeight="1" s="93"/>
    <row r="488" hidden="1" ht="15" customHeight="1" s="93"/>
    <row r="489" hidden="1" ht="15" customHeight="1" s="93"/>
    <row r="490" hidden="1" ht="15" customHeight="1" s="93"/>
    <row r="491" hidden="1" ht="15" customHeight="1" s="93"/>
    <row r="492" ht="15" customHeight="1" s="93"/>
    <row r="493" ht="15" customHeight="1" s="93"/>
    <row r="494" hidden="1" ht="15" customHeight="1" s="93"/>
    <row r="495" hidden="1" ht="15" customHeight="1" s="93"/>
    <row r="496" ht="15" customHeight="1" s="93"/>
    <row r="497" ht="15" customHeight="1" s="93"/>
    <row r="498" ht="15" customHeight="1" s="93"/>
    <row r="499" ht="15" customHeight="1" s="93"/>
  </sheetData>
  <conditionalFormatting sqref="A2:Q50 A51:M51 A52:Q106 A107 A108:Q999 C107:Q107 O51:Q51">
    <cfRule type="expression" rank="0" priority="2" equalAverage="0" aboveAverage="0" dxfId="11" text="" percent="0" bottom="0">
      <formula>$D2="US"</formula>
    </cfRule>
    <cfRule type="expression" rank="0" priority="3" equalAverage="0" aboveAverage="0" dxfId="12" text="" percent="0" bottom="0">
      <formula>$D2="MyMSC"</formula>
    </cfRule>
    <cfRule type="expression" rank="0" priority="4" equalAverage="0" aboveAverage="0" dxfId="13" text="" percent="0" bottom="0">
      <formula>$D2="Rollout"</formula>
    </cfRule>
    <cfRule type="expression" rank="0" priority="5" equalAverage="0" aboveAverage="0" dxfId="13" text="" percent="0" bottom="0">
      <formula>$D2="MVP Rollout"</formula>
    </cfRule>
    <cfRule type="expression" rank="0" priority="6" equalAverage="0" aboveAverage="0" dxfId="14" text="" percent="0" bottom="0">
      <formula>$D2="Backlog"</formula>
    </cfRule>
    <cfRule type="expression" rank="0" priority="7" equalAverage="0" aboveAverage="0" dxfId="14" text="" percent="0" bottom="0">
      <formula>$D2="Growth"</formula>
    </cfRule>
    <cfRule type="expression" rank="0" priority="8" equalAverage="0" aboveAverage="0" dxfId="15" text="" percent="0" bottom="0">
      <formula>$D2="Tech Enhancements"</formula>
    </cfRule>
    <cfRule type="expression" rank="0" priority="9" equalAverage="0" aboveAverage="0" dxfId="16" text="" percent="0" bottom="0">
      <formula>LEFT($D2,2)="PI"</formula>
    </cfRule>
  </conditionalFormatting>
  <dataValidations count="6">
    <dataValidation sqref="C2:C203 C205:C499" showDropDown="0" showInputMessage="0" showErrorMessage="0" allowBlank="1" type="list" errorStyle="stop" operator="between">
      <formula1>"Config,CR,New,TBC,Bug,Tech Task,Tech Story"</formula1>
      <formula2>0</formula2>
    </dataValidation>
    <dataValidation sqref="M2:M499" showDropDown="0" showInputMessage="0" showErrorMessage="0" allowBlank="1" type="list" errorStyle="stop" operator="between">
      <formula1>"Yes,Created"</formula1>
      <formula2>0</formula2>
    </dataValidation>
    <dataValidation sqref="D2:D499" showDropDown="0" showInputMessage="0" showErrorMessage="0" allowBlank="1" type="list" errorStyle="stop" operator="between">
      <formula1>"US,MyMSC,Growth,MVP Rollout,Cross,PI11,PI12,Backlog,Tech Enhancements,PP,HR,PI9,PI10,M4M"</formula1>
      <formula2>0</formula2>
    </dataValidation>
    <dataValidation sqref="E2:E499" showDropDown="0" showInputMessage="0" showErrorMessage="0" allowBlank="1" type="list" errorStyle="stop" operator="between">
      <formula1>"ALL,DTS,MA,B2CW,S&amp;S,EPAM B2C,CHUB,CRMASIS,M4M"</formula1>
      <formula2>0</formula2>
    </dataValidation>
    <dataValidation sqref="F2:F499" showDropDown="0" showInputMessage="0" showErrorMessage="0" allowBlank="1" type="list" errorStyle="stop" operator="between">
      <formula1>"NEW,IN PROGRESS,DONE,ON HOLD,NA"</formula1>
      <formula2>0</formula2>
    </dataValidation>
    <dataValidation sqref="G2:G499" showDropDown="0" showInputMessage="0" showErrorMessage="0" allowBlank="1" type="list" errorStyle="stop" operator="between">
      <formula1>"Critical,High,Medium,Low"</formula1>
      <formula2>0</formula2>
    </dataValidation>
  </dataValidations>
  <hyperlinks>
    <hyperlink xmlns:r="http://schemas.openxmlformats.org/officeDocument/2006/relationships" ref="O51" display="https://smartship.atlassian.net/browse/DTTP25-29399"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tableParts count="1">
    <tablePart xmlns:r="http://schemas.openxmlformats.org/officeDocument/2006/relationships" r:id="rId2"/>
  </tableParts>
</worksheet>
</file>

<file path=xl/worksheets/sheet3.xml><?xml version="1.0" encoding="utf-8"?>
<worksheet xmlns="http://schemas.openxmlformats.org/spreadsheetml/2006/main">
  <sheetPr filterMode="0">
    <outlinePr summaryBelow="1" summaryRight="1"/>
    <pageSetUpPr fitToPage="0"/>
  </sheetPr>
  <dimension ref="A1:M997"/>
  <sheetViews>
    <sheetView showFormulas="0" showGridLines="1" showRowColHeaders="1" showZeros="1" rightToLeft="0" tabSelected="0" showOutlineSymbols="1" defaultGridColor="1" view="normal" topLeftCell="B1" colorId="64" zoomScale="157" zoomScaleNormal="157" zoomScalePageLayoutView="100" workbookViewId="0">
      <pane xSplit="0" ySplit="1" topLeftCell="A14" activePane="bottomLeft" state="frozen"/>
      <selection pane="topLeft" activeCell="B1" activeCellId="0" sqref="B1"/>
      <selection pane="bottomLeft" activeCell="I109" activeCellId="0" sqref="I109"/>
    </sheetView>
  </sheetViews>
  <sheetFormatPr baseColWidth="8" defaultColWidth="8.66796875" defaultRowHeight="15" customHeight="0" zeroHeight="0" outlineLevelRow="0"/>
  <cols>
    <col width="16" customWidth="1" style="92" min="1" max="1"/>
    <col width="97.83" customWidth="1" style="97" min="2" max="2"/>
    <col width="12" customWidth="1" style="92" min="3" max="3"/>
    <col width="42" customWidth="1" style="92" min="4" max="4"/>
    <col width="14.16" customWidth="1" style="92" min="5" max="5"/>
    <col width="14" customWidth="1" style="92" min="6" max="6"/>
    <col width="14" customWidth="1" style="135" min="7" max="7"/>
    <col width="17" customWidth="1" style="135" min="8" max="8"/>
    <col width="16" customWidth="1" style="135" min="9" max="9"/>
    <col width="12" customWidth="1" style="92" min="10" max="10"/>
    <col width="20.33" customWidth="1" style="92" min="11" max="11"/>
    <col width="12" customWidth="1" style="92" min="12" max="12"/>
  </cols>
  <sheetData>
    <row r="1" ht="27.75" customHeight="1" s="93">
      <c r="A1" s="113" t="inlineStr">
        <is>
          <t>Requirement ID</t>
        </is>
      </c>
      <c r="B1" s="114" t="inlineStr">
        <is>
          <t>Requirement Name</t>
        </is>
      </c>
      <c r="C1" s="114" t="inlineStr">
        <is>
          <t>Stream</t>
        </is>
      </c>
      <c r="D1" s="114" t="inlineStr">
        <is>
          <t>Jira Link</t>
        </is>
      </c>
      <c r="E1" s="114" t="inlineStr">
        <is>
          <t>Status</t>
        </is>
      </c>
      <c r="F1" s="114" t="inlineStr">
        <is>
          <t>Sprint</t>
        </is>
      </c>
      <c r="G1" s="136" t="inlineStr">
        <is>
          <t>RAML Required</t>
        </is>
      </c>
      <c r="H1" s="136" t="inlineStr">
        <is>
          <t>RAML Delivery Date</t>
        </is>
      </c>
      <c r="I1" s="136" t="inlineStr">
        <is>
          <t>Assignee</t>
        </is>
      </c>
      <c r="J1" s="114" t="inlineStr">
        <is>
          <t>Priority</t>
        </is>
      </c>
      <c r="K1" s="113" t="inlineStr">
        <is>
          <t>Design Status</t>
        </is>
      </c>
      <c r="L1" s="113" t="inlineStr">
        <is>
          <t>Handover</t>
        </is>
      </c>
      <c r="M1" s="92" t="inlineStr">
        <is>
          <t>Column1</t>
        </is>
      </c>
    </row>
    <row r="2" hidden="1" ht="15" customHeight="1" s="93">
      <c r="A2" s="115">
        <f>Backlog!A2</f>
        <v/>
      </c>
      <c r="B2" s="137">
        <f>IFERROR(IF(ISBLANK(INDEX(Backlog[Requirement Name],MATCH($A2,Backlog[Requirement ID],0))),"",INDEX(Backlog[Requirement Name],MATCH($A2,Backlog[Requirement ID],0))),"")</f>
        <v/>
      </c>
      <c r="C2" s="117">
        <f>IFERROR(IF(ISBLANK(INDEX(Backlog[Stream],MATCH($A2,Backlog[Requirement ID],0))),"",INDEX(Backlog[Stream],MATCH($A2,Backlog[Requirement ID],0))),"")</f>
        <v/>
      </c>
      <c r="D2" s="117">
        <f>IFERROR(IF(ISBLANK(INDEX(Backlog[Jira Link],MATCH($A2,Backlog[Requirement ID],0))),"",INDEX(Backlog[Jira Link],MATCH($A2,Backlog[Requirement ID],0))),"")</f>
        <v/>
      </c>
      <c r="E2" s="117">
        <f>IFERROR(IF(ISBLANK(INDEX(Backlog[Status],MATCH($A2,Backlog[Requirement ID],0))),"",INDEX(Backlog[Status],MATCH($A2,Backlog[Requirement ID],0))),"")</f>
        <v/>
      </c>
      <c r="F2" s="117">
        <f>IFERROR(IF(ISBLANK(INDEX(SprintPlanning[Sprint],MATCH($A2,SprintPlanning[Requirement ID],0))),"",INDEX(SprintPlanning[Sprint],MATCH($A2,SprintPlanning[Requirement ID],0))),"")</f>
        <v/>
      </c>
      <c r="G2" s="138" t="n"/>
      <c r="H2" s="139" t="n"/>
      <c r="I2" s="138" t="n"/>
      <c r="J2" s="117">
        <f>IFERROR(IF(ISBLANK(INDEX(Backlog[Priority],MATCH($A2,Backlog[Requirement ID],0))),"",INDEX(Backlog[Priority],MATCH($A2,Backlog[Requirement ID],0))),"")</f>
        <v/>
      </c>
      <c r="K2" s="115" t="inlineStr">
        <is>
          <t>Pending Solution</t>
        </is>
      </c>
      <c r="L2" s="115" t="n"/>
    </row>
    <row r="3" hidden="1" ht="15" customHeight="1" s="93">
      <c r="A3" s="115">
        <f>Backlog!A3</f>
        <v/>
      </c>
      <c r="B3" s="137">
        <f>IFERROR(IF(ISBLANK(INDEX(Backlog[Requirement Name],MATCH($A3,Backlog[Requirement ID],0))),"",INDEX(Backlog[Requirement Name],MATCH($A3,Backlog[Requirement ID],0))),"")</f>
        <v/>
      </c>
      <c r="C3" s="117">
        <f>IFERROR(IF(ISBLANK(INDEX(Backlog[Stream],MATCH($A3,Backlog[Requirement ID],0))),"",INDEX(Backlog[Stream],MATCH($A3,Backlog[Requirement ID],0))),"")</f>
        <v/>
      </c>
      <c r="D3" s="117">
        <f>IFERROR(IF(ISBLANK(INDEX(Backlog[Jira Link],MATCH($A3,Backlog[Requirement ID],0))),"",INDEX(Backlog[Jira Link],MATCH($A3,Backlog[Requirement ID],0))),"")</f>
        <v/>
      </c>
      <c r="E3" s="117">
        <f>IFERROR(IF(ISBLANK(INDEX(Backlog[Status],MATCH($A3,Backlog[Requirement ID],0))),"",INDEX(Backlog[Status],MATCH($A3,Backlog[Requirement ID],0))),"")</f>
        <v/>
      </c>
      <c r="F3" s="117">
        <f>IFERROR(IF(ISBLANK(INDEX(SprintPlanning[Sprint],MATCH($A3,SprintPlanning[Requirement ID],0))),"",INDEX(SprintPlanning[Sprint],MATCH($A3,SprintPlanning[Requirement ID],0))),"")</f>
        <v/>
      </c>
      <c r="G3" s="138" t="n"/>
      <c r="H3" s="139" t="n"/>
      <c r="I3" s="138" t="n"/>
      <c r="J3" s="117">
        <f>IFERROR(IF(ISBLANK(INDEX(Backlog[Priority],MATCH($A3,Backlog[Requirement ID],0))),"",INDEX(Backlog[Priority],MATCH($A3,Backlog[Requirement ID],0))),"")</f>
        <v/>
      </c>
      <c r="K3" s="115" t="inlineStr">
        <is>
          <t>No Design Required</t>
        </is>
      </c>
      <c r="L3" s="115" t="n"/>
    </row>
    <row r="4" hidden="1" ht="15" customHeight="1" s="93">
      <c r="A4" s="115">
        <f>Backlog!A4</f>
        <v/>
      </c>
      <c r="B4" s="137">
        <f>IFERROR(IF(ISBLANK(INDEX(Backlog[Requirement Name],MATCH($A4,Backlog[Requirement ID],0))),"",INDEX(Backlog[Requirement Name],MATCH($A4,Backlog[Requirement ID],0))),"")</f>
        <v/>
      </c>
      <c r="C4" s="117">
        <f>IFERROR(IF(ISBLANK(INDEX(Backlog[Stream],MATCH($A4,Backlog[Requirement ID],0))),"",INDEX(Backlog[Stream],MATCH($A4,Backlog[Requirement ID],0))),"")</f>
        <v/>
      </c>
      <c r="D4" s="117">
        <f>IFERROR(IF(ISBLANK(INDEX(Backlog[Jira Link],MATCH($A4,Backlog[Requirement ID],0))),"",INDEX(Backlog[Jira Link],MATCH($A4,Backlog[Requirement ID],0))),"")</f>
        <v/>
      </c>
      <c r="E4" s="117">
        <f>IFERROR(IF(ISBLANK(INDEX(Backlog[Status],MATCH($A4,Backlog[Requirement ID],0))),"",INDEX(Backlog[Status],MATCH($A4,Backlog[Requirement ID],0))),"")</f>
        <v/>
      </c>
      <c r="F4" s="117">
        <f>IFERROR(IF(ISBLANK(INDEX(SprintPlanning[Sprint],MATCH($A4,SprintPlanning[Requirement ID],0))),"",INDEX(SprintPlanning[Sprint],MATCH($A4,SprintPlanning[Requirement ID],0))),"")</f>
        <v/>
      </c>
      <c r="G4" s="138" t="n"/>
      <c r="H4" s="139" t="n"/>
      <c r="I4" s="138" t="n"/>
      <c r="J4" s="117">
        <f>IFERROR(IF(ISBLANK(INDEX(Backlog[Priority],MATCH($A4,Backlog[Requirement ID],0))),"",INDEX(Backlog[Priority],MATCH($A4,Backlog[Requirement ID],0))),"")</f>
        <v/>
      </c>
      <c r="K4" s="115" t="inlineStr">
        <is>
          <t>Ready for Development</t>
        </is>
      </c>
      <c r="L4" s="115" t="n"/>
    </row>
    <row r="5" hidden="1" ht="15" customHeight="1" s="93">
      <c r="A5" s="115">
        <f>Backlog!A5</f>
        <v/>
      </c>
      <c r="B5" s="137">
        <f>IFERROR(IF(ISBLANK(INDEX(Backlog[Requirement Name],MATCH($A5,Backlog[Requirement ID],0))),"",INDEX(Backlog[Requirement Name],MATCH($A5,Backlog[Requirement ID],0))),"")</f>
        <v/>
      </c>
      <c r="C5" s="117">
        <f>IFERROR(IF(ISBLANK(INDEX(Backlog[Stream],MATCH($A5,Backlog[Requirement ID],0))),"",INDEX(Backlog[Stream],MATCH($A5,Backlog[Requirement ID],0))),"")</f>
        <v/>
      </c>
      <c r="D5" s="117">
        <f>IFERROR(IF(ISBLANK(INDEX(Backlog[Jira Link],MATCH($A5,Backlog[Requirement ID],0))),"",INDEX(Backlog[Jira Link],MATCH($A5,Backlog[Requirement ID],0))),"")</f>
        <v/>
      </c>
      <c r="E5" s="117">
        <f>IFERROR(IF(ISBLANK(INDEX(Backlog[Status],MATCH($A5,Backlog[Requirement ID],0))),"",INDEX(Backlog[Status],MATCH($A5,Backlog[Requirement ID],0))),"")</f>
        <v/>
      </c>
      <c r="F5" s="117">
        <f>IFERROR(IF(ISBLANK(INDEX(SprintPlanning[Sprint],MATCH($A5,SprintPlanning[Requirement ID],0))),"",INDEX(SprintPlanning[Sprint],MATCH($A5,SprintPlanning[Requirement ID],0))),"")</f>
        <v/>
      </c>
      <c r="G5" s="138" t="n"/>
      <c r="H5" s="139" t="n"/>
      <c r="I5" s="138" t="n"/>
      <c r="J5" s="117">
        <f>IFERROR(IF(ISBLANK(INDEX(Backlog[Priority],MATCH($A5,Backlog[Requirement ID],0))),"",INDEX(Backlog[Priority],MATCH($A5,Backlog[Requirement ID],0))),"")</f>
        <v/>
      </c>
      <c r="K5" s="115" t="inlineStr">
        <is>
          <t>No Design Required</t>
        </is>
      </c>
      <c r="L5" s="115" t="n"/>
    </row>
    <row r="6" hidden="1" ht="15" customHeight="1" s="93">
      <c r="A6" s="115">
        <f>Backlog!A6</f>
        <v/>
      </c>
      <c r="B6" s="137">
        <f>IFERROR(IF(ISBLANK(INDEX(Backlog[Requirement Name],MATCH($A6,Backlog[Requirement ID],0))),"",INDEX(Backlog[Requirement Name],MATCH($A6,Backlog[Requirement ID],0))),"")</f>
        <v/>
      </c>
      <c r="C6" s="117">
        <f>IFERROR(IF(ISBLANK(INDEX(Backlog[Stream],MATCH($A6,Backlog[Requirement ID],0))),"",INDEX(Backlog[Stream],MATCH($A6,Backlog[Requirement ID],0))),"")</f>
        <v/>
      </c>
      <c r="D6" s="117">
        <f>IFERROR(IF(ISBLANK(INDEX(Backlog[Jira Link],MATCH($A6,Backlog[Requirement ID],0))),"",INDEX(Backlog[Jira Link],MATCH($A6,Backlog[Requirement ID],0))),"")</f>
        <v/>
      </c>
      <c r="E6" s="117">
        <f>IFERROR(IF(ISBLANK(INDEX(Backlog[Status],MATCH($A6,Backlog[Requirement ID],0))),"",INDEX(Backlog[Status],MATCH($A6,Backlog[Requirement ID],0))),"")</f>
        <v/>
      </c>
      <c r="F6" s="117">
        <f>IFERROR(IF(ISBLANK(INDEX(SprintPlanning[Sprint],MATCH($A6,SprintPlanning[Requirement ID],0))),"",INDEX(SprintPlanning[Sprint],MATCH($A6,SprintPlanning[Requirement ID],0))),"")</f>
        <v/>
      </c>
      <c r="G6" s="138" t="n"/>
      <c r="H6" s="139" t="n"/>
      <c r="I6" s="138" t="n"/>
      <c r="J6" s="117">
        <f>IFERROR(IF(ISBLANK(INDEX(Backlog[Priority],MATCH($A6,Backlog[Requirement ID],0))),"",INDEX(Backlog[Priority],MATCH($A6,Backlog[Requirement ID],0))),"")</f>
        <v/>
      </c>
      <c r="K6" s="115" t="inlineStr">
        <is>
          <t>No Design Required</t>
        </is>
      </c>
      <c r="L6" s="115" t="n"/>
    </row>
    <row r="7" hidden="1" ht="15" customHeight="1" s="93">
      <c r="A7" s="115">
        <f>Backlog!A7</f>
        <v/>
      </c>
      <c r="B7" s="137">
        <f>IFERROR(IF(ISBLANK(INDEX(Backlog[Requirement Name],MATCH($A7,Backlog[Requirement ID],0))),"",INDEX(Backlog[Requirement Name],MATCH($A7,Backlog[Requirement ID],0))),"")</f>
        <v/>
      </c>
      <c r="C7" s="117">
        <f>IFERROR(IF(ISBLANK(INDEX(Backlog[Stream],MATCH($A7,Backlog[Requirement ID],0))),"",INDEX(Backlog[Stream],MATCH($A7,Backlog[Requirement ID],0))),"")</f>
        <v/>
      </c>
      <c r="D7" s="117">
        <f>IFERROR(IF(ISBLANK(INDEX(Backlog[Jira Link],MATCH($A7,Backlog[Requirement ID],0))),"",INDEX(Backlog[Jira Link],MATCH($A7,Backlog[Requirement ID],0))),"")</f>
        <v/>
      </c>
      <c r="E7" s="117">
        <f>IFERROR(IF(ISBLANK(INDEX(Backlog[Status],MATCH($A7,Backlog[Requirement ID],0))),"",INDEX(Backlog[Status],MATCH($A7,Backlog[Requirement ID],0))),"")</f>
        <v/>
      </c>
      <c r="F7" s="117">
        <f>IFERROR(IF(ISBLANK(INDEX(SprintPlanning[Sprint],MATCH($A7,SprintPlanning[Requirement ID],0))),"",INDEX(SprintPlanning[Sprint],MATCH($A7,SprintPlanning[Requirement ID],0))),"")</f>
        <v/>
      </c>
      <c r="G7" s="138" t="n"/>
      <c r="H7" s="139" t="n"/>
      <c r="I7" s="138" t="n"/>
      <c r="J7" s="117">
        <f>IFERROR(IF(ISBLANK(INDEX(Backlog[Priority],MATCH($A7,Backlog[Requirement ID],0))),"",INDEX(Backlog[Priority],MATCH($A7,Backlog[Requirement ID],0))),"")</f>
        <v/>
      </c>
      <c r="K7" s="115" t="inlineStr">
        <is>
          <t>No Design Required</t>
        </is>
      </c>
      <c r="L7" s="115" t="n"/>
    </row>
    <row r="8" hidden="1" ht="15" customHeight="1" s="93">
      <c r="A8" s="115">
        <f>Backlog!A8</f>
        <v/>
      </c>
      <c r="B8" s="137">
        <f>IFERROR(IF(ISBLANK(INDEX(Backlog[Requirement Name],MATCH($A8,Backlog[Requirement ID],0))),"",INDEX(Backlog[Requirement Name],MATCH($A8,Backlog[Requirement ID],0))),"")</f>
        <v/>
      </c>
      <c r="C8" s="117">
        <f>IFERROR(IF(ISBLANK(INDEX(Backlog[Stream],MATCH($A8,Backlog[Requirement ID],0))),"",INDEX(Backlog[Stream],MATCH($A8,Backlog[Requirement ID],0))),"")</f>
        <v/>
      </c>
      <c r="D8" s="117">
        <f>IFERROR(IF(ISBLANK(INDEX(Backlog[Jira Link],MATCH($A8,Backlog[Requirement ID],0))),"",INDEX(Backlog[Jira Link],MATCH($A8,Backlog[Requirement ID],0))),"")</f>
        <v/>
      </c>
      <c r="E8" s="117">
        <f>IFERROR(IF(ISBLANK(INDEX(Backlog[Status],MATCH($A8,Backlog[Requirement ID],0))),"",INDEX(Backlog[Status],MATCH($A8,Backlog[Requirement ID],0))),"")</f>
        <v/>
      </c>
      <c r="F8" s="117">
        <f>IFERROR(IF(ISBLANK(INDEX(SprintPlanning[Sprint],MATCH($A8,SprintPlanning[Requirement ID],0))),"",INDEX(SprintPlanning[Sprint],MATCH($A8,SprintPlanning[Requirement ID],0))),"")</f>
        <v/>
      </c>
      <c r="G8" s="138" t="n"/>
      <c r="H8" s="139" t="n"/>
      <c r="I8" s="138" t="n"/>
      <c r="J8" s="117">
        <f>IFERROR(IF(ISBLANK(INDEX(Backlog[Priority],MATCH($A8,Backlog[Requirement ID],0))),"",INDEX(Backlog[Priority],MATCH($A8,Backlog[Requirement ID],0))),"")</f>
        <v/>
      </c>
      <c r="K8" s="115" t="inlineStr">
        <is>
          <t>Ready for Development</t>
        </is>
      </c>
      <c r="L8" s="115" t="inlineStr">
        <is>
          <t>Yes</t>
        </is>
      </c>
    </row>
    <row r="9" hidden="1" ht="28.5" customHeight="1" s="93">
      <c r="A9" s="115">
        <f>Backlog!A9</f>
        <v/>
      </c>
      <c r="B9" s="137">
        <f>IFERROR(IF(ISBLANK(INDEX(Backlog[Requirement Name],MATCH($A9,Backlog[Requirement ID],0))),"",INDEX(Backlog[Requirement Name],MATCH($A9,Backlog[Requirement ID],0))),"")</f>
        <v/>
      </c>
      <c r="C9" s="117">
        <f>IFERROR(IF(ISBLANK(INDEX(Backlog[Stream],MATCH($A9,Backlog[Requirement ID],0))),"",INDEX(Backlog[Stream],MATCH($A9,Backlog[Requirement ID],0))),"")</f>
        <v/>
      </c>
      <c r="D9" s="117">
        <f>IFERROR(IF(ISBLANK(INDEX(Backlog[Jira Link],MATCH($A9,Backlog[Requirement ID],0))),"",INDEX(Backlog[Jira Link],MATCH($A9,Backlog[Requirement ID],0))),"")</f>
        <v/>
      </c>
      <c r="E9" s="117">
        <f>IFERROR(IF(ISBLANK(INDEX(Backlog[Status],MATCH($A9,Backlog[Requirement ID],0))),"",INDEX(Backlog[Status],MATCH($A9,Backlog[Requirement ID],0))),"")</f>
        <v/>
      </c>
      <c r="F9" s="117">
        <f>IFERROR(IF(ISBLANK(INDEX(SprintPlanning[Sprint],MATCH($A9,SprintPlanning[Requirement ID],0))),"",INDEX(SprintPlanning[Sprint],MATCH($A9,SprintPlanning[Requirement ID],0))),"")</f>
        <v/>
      </c>
      <c r="G9" s="138" t="n"/>
      <c r="H9" s="139" t="n"/>
      <c r="I9" s="138" t="n"/>
      <c r="J9" s="117">
        <f>IFERROR(IF(ISBLANK(INDEX(Backlog[Priority],MATCH($A9,Backlog[Requirement ID],0))),"",INDEX(Backlog[Priority],MATCH($A9,Backlog[Requirement ID],0))),"")</f>
        <v/>
      </c>
      <c r="K9" s="115" t="inlineStr">
        <is>
          <t>Ready for Development</t>
        </is>
      </c>
      <c r="L9" s="115" t="inlineStr">
        <is>
          <t>Yes</t>
        </is>
      </c>
    </row>
    <row r="10" hidden="1" ht="15" customHeight="1" s="93">
      <c r="A10" s="115">
        <f>Backlog!A10</f>
        <v/>
      </c>
      <c r="B10" s="137">
        <f>IFERROR(IF(ISBLANK(INDEX(Backlog[Requirement Name],MATCH($A10,Backlog[Requirement ID],0))),"",INDEX(Backlog[Requirement Name],MATCH($A10,Backlog[Requirement ID],0))),"")</f>
        <v/>
      </c>
      <c r="C10" s="117">
        <f>IFERROR(IF(ISBLANK(INDEX(Backlog[Stream],MATCH($A10,Backlog[Requirement ID],0))),"",INDEX(Backlog[Stream],MATCH($A10,Backlog[Requirement ID],0))),"")</f>
        <v/>
      </c>
      <c r="D10" s="117">
        <f>IFERROR(IF(ISBLANK(INDEX(Backlog[Jira Link],MATCH($A10,Backlog[Requirement ID],0))),"",INDEX(Backlog[Jira Link],MATCH($A10,Backlog[Requirement ID],0))),"")</f>
        <v/>
      </c>
      <c r="E10" s="117">
        <f>IFERROR(IF(ISBLANK(INDEX(Backlog[Status],MATCH($A10,Backlog[Requirement ID],0))),"",INDEX(Backlog[Status],MATCH($A10,Backlog[Requirement ID],0))),"")</f>
        <v/>
      </c>
      <c r="F10" s="117">
        <f>IFERROR(IF(ISBLANK(INDEX(SprintPlanning[Sprint],MATCH($A10,SprintPlanning[Requirement ID],0))),"",INDEX(SprintPlanning[Sprint],MATCH($A10,SprintPlanning[Requirement ID],0))),"")</f>
        <v/>
      </c>
      <c r="G10" s="138" t="n"/>
      <c r="H10" s="139" t="n"/>
      <c r="I10" s="138" t="n"/>
      <c r="J10" s="117">
        <f>IFERROR(IF(ISBLANK(INDEX(Backlog[Priority],MATCH($A10,Backlog[Requirement ID],0))),"",INDEX(Backlog[Priority],MATCH($A10,Backlog[Requirement ID],0))),"")</f>
        <v/>
      </c>
      <c r="K10" s="115" t="inlineStr">
        <is>
          <t>Ready for Development</t>
        </is>
      </c>
      <c r="L10" s="115" t="inlineStr">
        <is>
          <t>Yes</t>
        </is>
      </c>
    </row>
    <row r="11" hidden="1" ht="15" customHeight="1" s="93">
      <c r="A11" s="115">
        <f>Backlog!A11</f>
        <v/>
      </c>
      <c r="B11" s="137">
        <f>IFERROR(IF(ISBLANK(INDEX(Backlog[Requirement Name],MATCH($A11,Backlog[Requirement ID],0))),"",INDEX(Backlog[Requirement Name],MATCH($A11,Backlog[Requirement ID],0))),"")</f>
        <v/>
      </c>
      <c r="C11" s="117">
        <f>IFERROR(IF(ISBLANK(INDEX(Backlog[Stream],MATCH($A11,Backlog[Requirement ID],0))),"",INDEX(Backlog[Stream],MATCH($A11,Backlog[Requirement ID],0))),"")</f>
        <v/>
      </c>
      <c r="D11" s="117">
        <f>IFERROR(IF(ISBLANK(INDEX(Backlog[Jira Link],MATCH($A11,Backlog[Requirement ID],0))),"",INDEX(Backlog[Jira Link],MATCH($A11,Backlog[Requirement ID],0))),"")</f>
        <v/>
      </c>
      <c r="E11" s="117">
        <f>IFERROR(IF(ISBLANK(INDEX(Backlog[Status],MATCH($A11,Backlog[Requirement ID],0))),"",INDEX(Backlog[Status],MATCH($A11,Backlog[Requirement ID],0))),"")</f>
        <v/>
      </c>
      <c r="F11" s="117">
        <f>IFERROR(IF(ISBLANK(INDEX(SprintPlanning[Sprint],MATCH($A11,SprintPlanning[Requirement ID],0))),"",INDEX(SprintPlanning[Sprint],MATCH($A11,SprintPlanning[Requirement ID],0))),"")</f>
        <v/>
      </c>
      <c r="G11" s="138" t="n"/>
      <c r="H11" s="139" t="n"/>
      <c r="I11" s="138" t="n"/>
      <c r="J11" s="117">
        <f>IFERROR(IF(ISBLANK(INDEX(Backlog[Priority],MATCH($A11,Backlog[Requirement ID],0))),"",INDEX(Backlog[Priority],MATCH($A11,Backlog[Requirement ID],0))),"")</f>
        <v/>
      </c>
      <c r="K11" s="115" t="inlineStr">
        <is>
          <t>Ready for Development</t>
        </is>
      </c>
      <c r="L11" s="115" t="inlineStr">
        <is>
          <t>Yes</t>
        </is>
      </c>
    </row>
    <row r="12" hidden="1" ht="15" customHeight="1" s="93">
      <c r="A12" s="115">
        <f>Backlog!A12</f>
        <v/>
      </c>
      <c r="B12" s="137">
        <f>IFERROR(IF(ISBLANK(INDEX(Backlog[Requirement Name],MATCH($A12,Backlog[Requirement ID],0))),"",INDEX(Backlog[Requirement Name],MATCH($A12,Backlog[Requirement ID],0))),"")</f>
        <v/>
      </c>
      <c r="C12" s="117">
        <f>IFERROR(IF(ISBLANK(INDEX(Backlog[Stream],MATCH($A12,Backlog[Requirement ID],0))),"",INDEX(Backlog[Stream],MATCH($A12,Backlog[Requirement ID],0))),"")</f>
        <v/>
      </c>
      <c r="D12" s="117">
        <f>IFERROR(IF(ISBLANK(INDEX(Backlog[Jira Link],MATCH($A12,Backlog[Requirement ID],0))),"",INDEX(Backlog[Jira Link],MATCH($A12,Backlog[Requirement ID],0))),"")</f>
        <v/>
      </c>
      <c r="E12" s="117">
        <f>IFERROR(IF(ISBLANK(INDEX(Backlog[Status],MATCH($A12,Backlog[Requirement ID],0))),"",INDEX(Backlog[Status],MATCH($A12,Backlog[Requirement ID],0))),"")</f>
        <v/>
      </c>
      <c r="F12" s="117">
        <f>IFERROR(IF(ISBLANK(INDEX(SprintPlanning[Sprint],MATCH($A12,SprintPlanning[Requirement ID],0))),"",INDEX(SprintPlanning[Sprint],MATCH($A12,SprintPlanning[Requirement ID],0))),"")</f>
        <v/>
      </c>
      <c r="G12" s="138" t="n"/>
      <c r="H12" s="139" t="n"/>
      <c r="I12" s="138" t="n"/>
      <c r="J12" s="117">
        <f>IFERROR(IF(ISBLANK(INDEX(Backlog[Priority],MATCH($A12,Backlog[Requirement ID],0))),"",INDEX(Backlog[Priority],MATCH($A12,Backlog[Requirement ID],0))),"")</f>
        <v/>
      </c>
      <c r="K12" s="115" t="inlineStr">
        <is>
          <t>No Design Required</t>
        </is>
      </c>
      <c r="L12" s="115" t="n"/>
    </row>
    <row r="13" hidden="1" ht="15" customHeight="1" s="93">
      <c r="A13" s="128">
        <f>Backlog!A13</f>
        <v/>
      </c>
      <c r="B13" s="140">
        <f>IFERROR(IF(ISBLANK(INDEX(Backlog[Requirement Name],MATCH($A13,Backlog[Requirement ID],0))),"",INDEX(Backlog[Requirement Name],MATCH($A13,Backlog[Requirement ID],0))),"")</f>
        <v/>
      </c>
      <c r="C13" s="128">
        <f>IFERROR(IF(ISBLANK(INDEX(Backlog[Stream],MATCH($A13,Backlog[Requirement ID],0))),"",INDEX(Backlog[Stream],MATCH($A13,Backlog[Requirement ID],0))),"")</f>
        <v/>
      </c>
      <c r="D13" s="128">
        <f>IFERROR(IF(ISBLANK(INDEX(Backlog[Jira Link],MATCH($A13,Backlog[Requirement ID],0))),"",INDEX(Backlog[Jira Link],MATCH($A13,Backlog[Requirement ID],0))),"")</f>
        <v/>
      </c>
      <c r="E13" s="128">
        <f>IFERROR(IF(ISBLANK(INDEX(Backlog[Status],MATCH($A13,Backlog[Requirement ID],0))),"",INDEX(Backlog[Status],MATCH($A13,Backlog[Requirement ID],0))),"")</f>
        <v/>
      </c>
      <c r="F13" s="128">
        <f>IFERROR(IF(ISBLANK(INDEX(SprintPlanning[Sprint],MATCH($A13,SprintPlanning[Requirement ID],0))),"",INDEX(SprintPlanning[Sprint],MATCH($A13,SprintPlanning[Requirement ID],0))),"")</f>
        <v/>
      </c>
      <c r="G13" s="141" t="n"/>
      <c r="H13" s="142" t="n"/>
      <c r="I13" s="141" t="inlineStr">
        <is>
          <t>Luke</t>
        </is>
      </c>
      <c r="J13" s="128">
        <f>IFERROR(IF(ISBLANK(INDEX(Backlog[Priority],MATCH($A13,Backlog[Requirement ID],0))),"",INDEX(Backlog[Priority],MATCH($A13,Backlog[Requirement ID],0))),"")</f>
        <v/>
      </c>
      <c r="K13" s="128" t="inlineStr">
        <is>
          <t>Pending Design</t>
        </is>
      </c>
      <c r="L13" s="128" t="n"/>
      <c r="M13" s="92" t="inlineStr">
        <is>
          <t>merges required post prod release</t>
        </is>
      </c>
    </row>
    <row r="14" ht="15" customHeight="1" s="93">
      <c r="A14" s="128">
        <f>Backlog!A14</f>
        <v/>
      </c>
      <c r="B14" s="140">
        <f>IFERROR(IF(ISBLANK(INDEX(Backlog[Requirement Name],MATCH($A14,Backlog[Requirement ID],0))),"",INDEX(Backlog[Requirement Name],MATCH($A14,Backlog[Requirement ID],0))),"")</f>
        <v/>
      </c>
      <c r="C14" s="128">
        <f>IFERROR(IF(ISBLANK(INDEX(Backlog[Stream],MATCH($A14,Backlog[Requirement ID],0))),"",INDEX(Backlog[Stream],MATCH($A14,Backlog[Requirement ID],0))),"")</f>
        <v/>
      </c>
      <c r="D14" s="128">
        <f>IFERROR(IF(ISBLANK(INDEX(Backlog[Jira Link],MATCH($A14,Backlog[Requirement ID],0))),"",INDEX(Backlog[Jira Link],MATCH($A14,Backlog[Requirement ID],0))),"")</f>
        <v/>
      </c>
      <c r="E14" s="128">
        <f>IFERROR(IF(ISBLANK(INDEX(Backlog[Status],MATCH($A14,Backlog[Requirement ID],0))),"",INDEX(Backlog[Status],MATCH($A14,Backlog[Requirement ID],0))),"")</f>
        <v/>
      </c>
      <c r="F14" s="128">
        <f>IFERROR(IF(ISBLANK(INDEX(SprintPlanning[Sprint],MATCH($A14,SprintPlanning[Requirement ID],0))),"",INDEX(SprintPlanning[Sprint],MATCH($A14,SprintPlanning[Requirement ID],0))),"")</f>
        <v/>
      </c>
      <c r="G14" s="141" t="inlineStr">
        <is>
          <t>No</t>
        </is>
      </c>
      <c r="H14" s="142" t="n"/>
      <c r="I14" s="141" t="n"/>
      <c r="J14" s="128">
        <f>IFERROR(IF(ISBLANK(INDEX(Backlog[Priority],MATCH($A14,Backlog[Requirement ID],0))),"",INDEX(Backlog[Priority],MATCH($A14,Backlog[Requirement ID],0))),"")</f>
        <v/>
      </c>
      <c r="K14" s="128" t="inlineStr">
        <is>
          <t>No Design Required</t>
        </is>
      </c>
      <c r="L14" s="128" t="n"/>
    </row>
    <row r="15" hidden="1" ht="15" customHeight="1" s="93">
      <c r="A15" s="128">
        <f>Backlog!A15</f>
        <v/>
      </c>
      <c r="B15" s="140">
        <f>IFERROR(IF(ISBLANK(INDEX(Backlog[Requirement Name],MATCH($A15,Backlog[Requirement ID],0))),"",INDEX(Backlog[Requirement Name],MATCH($A15,Backlog[Requirement ID],0))),"")</f>
        <v/>
      </c>
      <c r="C15" s="128">
        <f>IFERROR(IF(ISBLANK(INDEX(Backlog[Stream],MATCH($A15,Backlog[Requirement ID],0))),"",INDEX(Backlog[Stream],MATCH($A15,Backlog[Requirement ID],0))),"")</f>
        <v/>
      </c>
      <c r="D15" s="128">
        <f>IFERROR(IF(ISBLANK(INDEX(Backlog[Jira Link],MATCH($A15,Backlog[Requirement ID],0))),"",INDEX(Backlog[Jira Link],MATCH($A15,Backlog[Requirement ID],0))),"")</f>
        <v/>
      </c>
      <c r="E15" s="128">
        <f>IFERROR(IF(ISBLANK(INDEX(Backlog[Status],MATCH($A15,Backlog[Requirement ID],0))),"",INDEX(Backlog[Status],MATCH($A15,Backlog[Requirement ID],0))),"")</f>
        <v/>
      </c>
      <c r="F15" s="128">
        <f>IFERROR(IF(ISBLANK(INDEX(SprintPlanning[Sprint],MATCH($A15,SprintPlanning[Requirement ID],0))),"",INDEX(SprintPlanning[Sprint],MATCH($A15,SprintPlanning[Requirement ID],0))),"")</f>
        <v/>
      </c>
      <c r="G15" s="141" t="inlineStr">
        <is>
          <t>No</t>
        </is>
      </c>
      <c r="H15" s="142" t="n"/>
      <c r="I15" s="141" t="n"/>
      <c r="J15" s="128">
        <f>IFERROR(IF(ISBLANK(INDEX(Backlog[Priority],MATCH($A15,Backlog[Requirement ID],0))),"",INDEX(Backlog[Priority],MATCH($A15,Backlog[Requirement ID],0))),"")</f>
        <v/>
      </c>
      <c r="K15" s="128" t="inlineStr">
        <is>
          <t>No Design Required</t>
        </is>
      </c>
      <c r="L15" s="128" t="n"/>
    </row>
    <row r="16" hidden="1" ht="15" customHeight="1" s="93">
      <c r="A16" s="115">
        <f>Backlog!A16</f>
        <v/>
      </c>
      <c r="B16" s="137">
        <f>IFERROR(IF(ISBLANK(INDEX(Backlog[Requirement Name],MATCH($A16,Backlog[Requirement ID],0))),"",INDEX(Backlog[Requirement Name],MATCH($A16,Backlog[Requirement ID],0))),"")</f>
        <v/>
      </c>
      <c r="C16" s="117">
        <f>IFERROR(IF(ISBLANK(INDEX(Backlog[Stream],MATCH($A16,Backlog[Requirement ID],0))),"",INDEX(Backlog[Stream],MATCH($A16,Backlog[Requirement ID],0))),"")</f>
        <v/>
      </c>
      <c r="D16" s="117">
        <f>IFERROR(IF(ISBLANK(INDEX(Backlog[Jira Link],MATCH($A16,Backlog[Requirement ID],0))),"",INDEX(Backlog[Jira Link],MATCH($A16,Backlog[Requirement ID],0))),"")</f>
        <v/>
      </c>
      <c r="E16" s="117">
        <f>IFERROR(IF(ISBLANK(INDEX(Backlog[Status],MATCH($A16,Backlog[Requirement ID],0))),"",INDEX(Backlog[Status],MATCH($A16,Backlog[Requirement ID],0))),"")</f>
        <v/>
      </c>
      <c r="F16" s="117">
        <f>IFERROR(IF(ISBLANK(INDEX(SprintPlanning[Sprint],MATCH($A16,SprintPlanning[Requirement ID],0))),"",INDEX(SprintPlanning[Sprint],MATCH($A16,SprintPlanning[Requirement ID],0))),"")</f>
        <v/>
      </c>
      <c r="G16" s="138" t="inlineStr">
        <is>
          <t>Yes</t>
        </is>
      </c>
      <c r="H16" s="139" t="n"/>
      <c r="I16" s="138" t="n"/>
      <c r="J16" s="117">
        <f>IFERROR(IF(ISBLANK(INDEX(Backlog[Priority],MATCH($A16,Backlog[Requirement ID],0))),"",INDEX(Backlog[Priority],MATCH($A16,Backlog[Requirement ID],0))),"")</f>
        <v/>
      </c>
      <c r="K16" s="115" t="n"/>
      <c r="L16" s="115" t="n"/>
    </row>
    <row r="17" hidden="1" ht="15" customHeight="1" s="93">
      <c r="A17" s="115">
        <f>Backlog!A17</f>
        <v/>
      </c>
      <c r="B17" s="137">
        <f>IFERROR(IF(ISBLANK(INDEX(Backlog[Requirement Name],MATCH($A17,Backlog[Requirement ID],0))),"",INDEX(Backlog[Requirement Name],MATCH($A17,Backlog[Requirement ID],0))),"")</f>
        <v/>
      </c>
      <c r="C17" s="117">
        <f>IFERROR(IF(ISBLANK(INDEX(Backlog[Stream],MATCH($A17,Backlog[Requirement ID],0))),"",INDEX(Backlog[Stream],MATCH($A17,Backlog[Requirement ID],0))),"")</f>
        <v/>
      </c>
      <c r="D17" s="117">
        <f>IFERROR(IF(ISBLANK(INDEX(Backlog[Jira Link],MATCH($A17,Backlog[Requirement ID],0))),"",INDEX(Backlog[Jira Link],MATCH($A17,Backlog[Requirement ID],0))),"")</f>
        <v/>
      </c>
      <c r="E17" s="117">
        <f>IFERROR(IF(ISBLANK(INDEX(Backlog[Status],MATCH($A17,Backlog[Requirement ID],0))),"",INDEX(Backlog[Status],MATCH($A17,Backlog[Requirement ID],0))),"")</f>
        <v/>
      </c>
      <c r="F17" s="117">
        <f>IFERROR(IF(ISBLANK(INDEX(SprintPlanning[Sprint],MATCH($A17,SprintPlanning[Requirement ID],0))),"",INDEX(SprintPlanning[Sprint],MATCH($A17,SprintPlanning[Requirement ID],0))),"")</f>
        <v/>
      </c>
      <c r="G17" s="138" t="inlineStr">
        <is>
          <t>Yes</t>
        </is>
      </c>
      <c r="H17" s="139" t="n"/>
      <c r="I17" s="138" t="n"/>
      <c r="J17" s="117">
        <f>IFERROR(IF(ISBLANK(INDEX(Backlog[Priority],MATCH($A17,Backlog[Requirement ID],0))),"",INDEX(Backlog[Priority],MATCH($A17,Backlog[Requirement ID],0))),"")</f>
        <v/>
      </c>
      <c r="K17" s="115" t="n"/>
      <c r="L17" s="115" t="n"/>
    </row>
    <row r="18" hidden="1" ht="15" customHeight="1" s="93">
      <c r="A18" s="115">
        <f>Backlog!A18</f>
        <v/>
      </c>
      <c r="B18" s="137">
        <f>IFERROR(IF(ISBLANK(INDEX(Backlog[Requirement Name],MATCH($A18,Backlog[Requirement ID],0))),"",INDEX(Backlog[Requirement Name],MATCH($A18,Backlog[Requirement ID],0))),"")</f>
        <v/>
      </c>
      <c r="C18" s="117">
        <f>IFERROR(IF(ISBLANK(INDEX(Backlog[Stream],MATCH($A18,Backlog[Requirement ID],0))),"",INDEX(Backlog[Stream],MATCH($A18,Backlog[Requirement ID],0))),"")</f>
        <v/>
      </c>
      <c r="D18" s="117">
        <f>IFERROR(IF(ISBLANK(INDEX(Backlog[Jira Link],MATCH($A18,Backlog[Requirement ID],0))),"",INDEX(Backlog[Jira Link],MATCH($A18,Backlog[Requirement ID],0))),"")</f>
        <v/>
      </c>
      <c r="E18" s="117">
        <f>IFERROR(IF(ISBLANK(INDEX(Backlog[Status],MATCH($A18,Backlog[Requirement ID],0))),"",INDEX(Backlog[Status],MATCH($A18,Backlog[Requirement ID],0))),"")</f>
        <v/>
      </c>
      <c r="F18" s="117">
        <f>IFERROR(IF(ISBLANK(INDEX(SprintPlanning[Sprint],MATCH($A18,SprintPlanning[Requirement ID],0))),"",INDEX(SprintPlanning[Sprint],MATCH($A18,SprintPlanning[Requirement ID],0))),"")</f>
        <v/>
      </c>
      <c r="G18" s="138" t="inlineStr">
        <is>
          <t>No</t>
        </is>
      </c>
      <c r="H18" s="139" t="n"/>
      <c r="I18" s="138" t="n"/>
      <c r="J18" s="117">
        <f>IFERROR(IF(ISBLANK(INDEX(Backlog[Priority],MATCH($A18,Backlog[Requirement ID],0))),"",INDEX(Backlog[Priority],MATCH($A18,Backlog[Requirement ID],0))),"")</f>
        <v/>
      </c>
      <c r="K18" s="115" t="inlineStr">
        <is>
          <t>No Design Required</t>
        </is>
      </c>
      <c r="L18" s="115" t="n"/>
    </row>
    <row r="19" hidden="1" ht="15" customHeight="1" s="93">
      <c r="A19" s="115">
        <f>Backlog!A19</f>
        <v/>
      </c>
      <c r="B19" s="137">
        <f>IFERROR(IF(ISBLANK(INDEX(Backlog[Requirement Name],MATCH($A19,Backlog[Requirement ID],0))),"",INDEX(Backlog[Requirement Name],MATCH($A19,Backlog[Requirement ID],0))),"")</f>
        <v/>
      </c>
      <c r="C19" s="117">
        <f>IFERROR(IF(ISBLANK(INDEX(Backlog[Stream],MATCH($A19,Backlog[Requirement ID],0))),"",INDEX(Backlog[Stream],MATCH($A19,Backlog[Requirement ID],0))),"")</f>
        <v/>
      </c>
      <c r="D19" s="117">
        <f>IFERROR(IF(ISBLANK(INDEX(Backlog[Jira Link],MATCH($A19,Backlog[Requirement ID],0))),"",INDEX(Backlog[Jira Link],MATCH($A19,Backlog[Requirement ID],0))),"")</f>
        <v/>
      </c>
      <c r="E19" s="117">
        <f>IFERROR(IF(ISBLANK(INDEX(Backlog[Status],MATCH($A19,Backlog[Requirement ID],0))),"",INDEX(Backlog[Status],MATCH($A19,Backlog[Requirement ID],0))),"")</f>
        <v/>
      </c>
      <c r="F19" s="117">
        <f>IFERROR(IF(ISBLANK(INDEX(SprintPlanning[Sprint],MATCH($A19,SprintPlanning[Requirement ID],0))),"",INDEX(SprintPlanning[Sprint],MATCH($A19,SprintPlanning[Requirement ID],0))),"")</f>
        <v/>
      </c>
      <c r="G19" s="138" t="inlineStr">
        <is>
          <t>No</t>
        </is>
      </c>
      <c r="H19" s="139" t="n"/>
      <c r="I19" s="138" t="n"/>
      <c r="J19" s="117">
        <f>IFERROR(IF(ISBLANK(INDEX(Backlog[Priority],MATCH($A19,Backlog[Requirement ID],0))),"",INDEX(Backlog[Priority],MATCH($A19,Backlog[Requirement ID],0))),"")</f>
        <v/>
      </c>
      <c r="K19" s="115" t="inlineStr">
        <is>
          <t>No Design Required</t>
        </is>
      </c>
      <c r="L19" s="115" t="n"/>
    </row>
    <row r="20" ht="28.5" customHeight="1" s="93">
      <c r="A20" s="115">
        <f>Backlog!A20</f>
        <v/>
      </c>
      <c r="B20" s="137">
        <f>IFERROR(IF(ISBLANK(INDEX(Backlog[Requirement Name],MATCH($A20,Backlog[Requirement ID],0))),"",INDEX(Backlog[Requirement Name],MATCH($A20,Backlog[Requirement ID],0))),"")</f>
        <v/>
      </c>
      <c r="C20" s="117">
        <f>IFERROR(IF(ISBLANK(INDEX(Backlog[Stream],MATCH($A20,Backlog[Requirement ID],0))),"",INDEX(Backlog[Stream],MATCH($A20,Backlog[Requirement ID],0))),"")</f>
        <v/>
      </c>
      <c r="D20" s="117">
        <f>IFERROR(IF(ISBLANK(INDEX(Backlog[Jira Link],MATCH($A20,Backlog[Requirement ID],0))),"",INDEX(Backlog[Jira Link],MATCH($A20,Backlog[Requirement ID],0))),"")</f>
        <v/>
      </c>
      <c r="E20" s="117">
        <f>IFERROR(IF(ISBLANK(INDEX(Backlog[Status],MATCH($A20,Backlog[Requirement ID],0))),"",INDEX(Backlog[Status],MATCH($A20,Backlog[Requirement ID],0))),"")</f>
        <v/>
      </c>
      <c r="F20" s="117">
        <f>IFERROR(IF(ISBLANK(INDEX(SprintPlanning[Sprint],MATCH($A20,SprintPlanning[Requirement ID],0))),"",INDEX(SprintPlanning[Sprint],MATCH($A20,SprintPlanning[Requirement ID],0))),"")</f>
        <v/>
      </c>
      <c r="G20" s="138" t="inlineStr">
        <is>
          <t>Yes</t>
        </is>
      </c>
      <c r="H20" s="139" t="n">
        <v>46255</v>
      </c>
      <c r="I20" s="138" t="n"/>
      <c r="J20" s="117">
        <f>IFERROR(IF(ISBLANK(INDEX(Backlog[Priority],MATCH($A20,Backlog[Requirement ID],0))),"",INDEX(Backlog[Priority],MATCH($A20,Backlog[Requirement ID],0))),"")</f>
        <v/>
      </c>
      <c r="K20" s="115" t="inlineStr">
        <is>
          <t>Ready for Development</t>
        </is>
      </c>
      <c r="L20" s="115" t="n"/>
    </row>
    <row r="21" hidden="1" ht="15" customHeight="1" s="93">
      <c r="A21" s="115">
        <f>Backlog!A21</f>
        <v/>
      </c>
      <c r="B21" s="137">
        <f>IFERROR(IF(ISBLANK(INDEX(Backlog[Requirement Name],MATCH($A21,Backlog[Requirement ID],0))),"",INDEX(Backlog[Requirement Name],MATCH($A21,Backlog[Requirement ID],0))),"")</f>
        <v/>
      </c>
      <c r="C21" s="117">
        <f>IFERROR(IF(ISBLANK(INDEX(Backlog[Stream],MATCH($A21,Backlog[Requirement ID],0))),"",INDEX(Backlog[Stream],MATCH($A21,Backlog[Requirement ID],0))),"")</f>
        <v/>
      </c>
      <c r="D21" s="117">
        <f>IFERROR(IF(ISBLANK(INDEX(Backlog[Jira Link],MATCH($A21,Backlog[Requirement ID],0))),"",INDEX(Backlog[Jira Link],MATCH($A21,Backlog[Requirement ID],0))),"")</f>
        <v/>
      </c>
      <c r="E21" s="117">
        <f>IFERROR(IF(ISBLANK(INDEX(Backlog[Status],MATCH($A21,Backlog[Requirement ID],0))),"",INDEX(Backlog[Status],MATCH($A21,Backlog[Requirement ID],0))),"")</f>
        <v/>
      </c>
      <c r="F21" s="117">
        <f>IFERROR(IF(ISBLANK(INDEX(SprintPlanning[Sprint],MATCH($A21,SprintPlanning[Requirement ID],0))),"",INDEX(SprintPlanning[Sprint],MATCH($A21,SprintPlanning[Requirement ID],0))),"")</f>
        <v/>
      </c>
      <c r="G21" s="138" t="inlineStr">
        <is>
          <t>Yes</t>
        </is>
      </c>
      <c r="H21" s="139" t="n"/>
      <c r="I21" s="138" t="n"/>
      <c r="J21" s="117">
        <f>IFERROR(IF(ISBLANK(INDEX(Backlog[Priority],MATCH($A21,Backlog[Requirement ID],0))),"",INDEX(Backlog[Priority],MATCH($A21,Backlog[Requirement ID],0))),"")</f>
        <v/>
      </c>
      <c r="K21" s="115" t="n"/>
      <c r="L21" s="115" t="n"/>
    </row>
    <row r="22" hidden="1" ht="15.75" customHeight="1" s="93">
      <c r="A22" s="128">
        <f>Backlog!A22</f>
        <v/>
      </c>
      <c r="B22" s="140">
        <f>IFERROR(IF(ISBLANK(INDEX(Backlog[Requirement Name],MATCH($A22,Backlog[Requirement ID],0))),"",INDEX(Backlog[Requirement Name],MATCH($A22,Backlog[Requirement ID],0))),"")</f>
        <v/>
      </c>
      <c r="C22" s="128">
        <f>IFERROR(IF(ISBLANK(INDEX(Backlog[Stream],MATCH($A22,Backlog[Requirement ID],0))),"",INDEX(Backlog[Stream],MATCH($A22,Backlog[Requirement ID],0))),"")</f>
        <v/>
      </c>
      <c r="D22" s="128">
        <f>IFERROR(IF(ISBLANK(INDEX(Backlog[Jira Link],MATCH($A22,Backlog[Requirement ID],0))),"",INDEX(Backlog[Jira Link],MATCH($A22,Backlog[Requirement ID],0))),"")</f>
        <v/>
      </c>
      <c r="E22" s="128">
        <f>IFERROR(IF(ISBLANK(INDEX(Backlog[Status],MATCH($A22,Backlog[Requirement ID],0))),"",INDEX(Backlog[Status],MATCH($A22,Backlog[Requirement ID],0))),"")</f>
        <v/>
      </c>
      <c r="F22" s="128">
        <f>IFERROR(IF(ISBLANK(INDEX(SprintPlanning[Sprint],MATCH($A22,SprintPlanning[Requirement ID],0))),"",INDEX(SprintPlanning[Sprint],MATCH($A22,SprintPlanning[Requirement ID],0))),"")</f>
        <v/>
      </c>
      <c r="G22" s="141" t="n"/>
      <c r="H22" s="142" t="n"/>
      <c r="I22" s="141" t="n"/>
      <c r="J22" s="128">
        <f>IFERROR(IF(ISBLANK(INDEX(Backlog[Priority],MATCH($A22,Backlog[Requirement ID],0))),"",INDEX(Backlog[Priority],MATCH($A22,Backlog[Requirement ID],0))),"")</f>
        <v/>
      </c>
      <c r="K22" s="128" t="n"/>
      <c r="L22" s="128" t="n"/>
    </row>
    <row r="23" hidden="1" ht="15" customHeight="1" s="93">
      <c r="A23" s="128">
        <f>Backlog!A23</f>
        <v/>
      </c>
      <c r="B23" s="140">
        <f>IFERROR(IF(ISBLANK(INDEX(Backlog[Requirement Name],MATCH($A23,Backlog[Requirement ID],0))),"",INDEX(Backlog[Requirement Name],MATCH($A23,Backlog[Requirement ID],0))),"")</f>
        <v/>
      </c>
      <c r="C23" s="128">
        <f>IFERROR(IF(ISBLANK(INDEX(Backlog[Stream],MATCH($A23,Backlog[Requirement ID],0))),"",INDEX(Backlog[Stream],MATCH($A23,Backlog[Requirement ID],0))),"")</f>
        <v/>
      </c>
      <c r="D23" s="128">
        <f>IFERROR(IF(ISBLANK(INDEX(Backlog[Jira Link],MATCH($A23,Backlog[Requirement ID],0))),"",INDEX(Backlog[Jira Link],MATCH($A23,Backlog[Requirement ID],0))),"")</f>
        <v/>
      </c>
      <c r="E23" s="128">
        <f>IFERROR(IF(ISBLANK(INDEX(Backlog[Status],MATCH($A23,Backlog[Requirement ID],0))),"",INDEX(Backlog[Status],MATCH($A23,Backlog[Requirement ID],0))),"")</f>
        <v/>
      </c>
      <c r="F23" s="128">
        <f>IFERROR(IF(ISBLANK(INDEX(SprintPlanning[Sprint],MATCH($A23,SprintPlanning[Requirement ID],0))),"",INDEX(SprintPlanning[Sprint],MATCH($A23,SprintPlanning[Requirement ID],0))),"")</f>
        <v/>
      </c>
      <c r="G23" s="141" t="n"/>
      <c r="H23" s="142" t="n"/>
      <c r="I23" s="141" t="n"/>
      <c r="J23" s="128">
        <f>IFERROR(IF(ISBLANK(INDEX(Backlog[Priority],MATCH($A23,Backlog[Requirement ID],0))),"",INDEX(Backlog[Priority],MATCH($A23,Backlog[Requirement ID],0))),"")</f>
        <v/>
      </c>
      <c r="K23" s="128" t="n"/>
      <c r="L23" s="128" t="n"/>
    </row>
    <row r="24" ht="15" customHeight="1" s="93">
      <c r="A24" s="115">
        <f>Backlog!A24</f>
        <v/>
      </c>
      <c r="B24" s="137">
        <f>IFERROR(IF(ISBLANK(INDEX(Backlog[Requirement Name],MATCH($A24,Backlog[Requirement ID],0))),"",INDEX(Backlog[Requirement Name],MATCH($A24,Backlog[Requirement ID],0))),"")</f>
        <v/>
      </c>
      <c r="C24" s="117">
        <f>IFERROR(IF(ISBLANK(INDEX(Backlog[Stream],MATCH($A24,Backlog[Requirement ID],0))),"",INDEX(Backlog[Stream],MATCH($A24,Backlog[Requirement ID],0))),"")</f>
        <v/>
      </c>
      <c r="D24" s="117">
        <f>IFERROR(IF(ISBLANK(INDEX(Backlog[Jira Link],MATCH($A24,Backlog[Requirement ID],0))),"",INDEX(Backlog[Jira Link],MATCH($A24,Backlog[Requirement ID],0))),"")</f>
        <v/>
      </c>
      <c r="E24" s="117">
        <f>IFERROR(IF(ISBLANK(INDEX(Backlog[Status],MATCH($A24,Backlog[Requirement ID],0))),"",INDEX(Backlog[Status],MATCH($A24,Backlog[Requirement ID],0))),"")</f>
        <v/>
      </c>
      <c r="F24" s="117">
        <f>IFERROR(IF(ISBLANK(INDEX(SprintPlanning[Sprint],MATCH($A24,SprintPlanning[Requirement ID],0))),"",INDEX(SprintPlanning[Sprint],MATCH($A24,SprintPlanning[Requirement ID],0))),"")</f>
        <v/>
      </c>
      <c r="G24" s="138" t="inlineStr">
        <is>
          <t>Yes</t>
        </is>
      </c>
      <c r="H24" s="139" t="n"/>
      <c r="I24" s="138" t="inlineStr">
        <is>
          <t>Luke</t>
        </is>
      </c>
      <c r="J24" s="117">
        <f>IFERROR(IF(ISBLANK(INDEX(Backlog[Priority],MATCH($A24,Backlog[Requirement ID],0))),"",INDEX(Backlog[Priority],MATCH($A24,Backlog[Requirement ID],0))),"")</f>
        <v/>
      </c>
      <c r="K24" s="115" t="inlineStr">
        <is>
          <t>Design in Progress</t>
        </is>
      </c>
      <c r="L24" s="115" t="n"/>
      <c r="M24" s="92" t="inlineStr">
        <is>
          <t>130/142 ready for dev, 139/140/137 in review</t>
        </is>
      </c>
    </row>
    <row r="25" hidden="1" ht="15" customHeight="1" s="93">
      <c r="A25" s="115">
        <f>Backlog!A25</f>
        <v/>
      </c>
      <c r="B25" s="137">
        <f>IFERROR(IF(ISBLANK(INDEX(Backlog[Requirement Name],MATCH($A25,Backlog[Requirement ID],0))),"",INDEX(Backlog[Requirement Name],MATCH($A25,Backlog[Requirement ID],0))),"")</f>
        <v/>
      </c>
      <c r="C25" s="117">
        <f>IFERROR(IF(ISBLANK(INDEX(Backlog[Stream],MATCH($A25,Backlog[Requirement ID],0))),"",INDEX(Backlog[Stream],MATCH($A25,Backlog[Requirement ID],0))),"")</f>
        <v/>
      </c>
      <c r="D25" s="117">
        <f>IFERROR(IF(ISBLANK(INDEX(Backlog[Jira Link],MATCH($A25,Backlog[Requirement ID],0))),"",INDEX(Backlog[Jira Link],MATCH($A25,Backlog[Requirement ID],0))),"")</f>
        <v/>
      </c>
      <c r="E25" s="117">
        <f>IFERROR(IF(ISBLANK(INDEX(Backlog[Status],MATCH($A25,Backlog[Requirement ID],0))),"",INDEX(Backlog[Status],MATCH($A25,Backlog[Requirement ID],0))),"")</f>
        <v/>
      </c>
      <c r="F25" s="117">
        <f>IFERROR(IF(ISBLANK(INDEX(SprintPlanning[Sprint],MATCH($A25,SprintPlanning[Requirement ID],0))),"",INDEX(SprintPlanning[Sprint],MATCH($A25,SprintPlanning[Requirement ID],0))),"")</f>
        <v/>
      </c>
      <c r="G25" s="138" t="inlineStr">
        <is>
          <t>No</t>
        </is>
      </c>
      <c r="H25" s="139" t="n"/>
      <c r="I25" s="138" t="n"/>
      <c r="J25" s="117">
        <f>IFERROR(IF(ISBLANK(INDEX(Backlog[Priority],MATCH($A25,Backlog[Requirement ID],0))),"",INDEX(Backlog[Priority],MATCH($A25,Backlog[Requirement ID],0))),"")</f>
        <v/>
      </c>
      <c r="K25" s="115" t="inlineStr">
        <is>
          <t>Pending Solution</t>
        </is>
      </c>
      <c r="L25" s="115" t="n"/>
    </row>
    <row r="26" hidden="1" ht="15" customHeight="1" s="93">
      <c r="A26" s="115">
        <f>Backlog!A26</f>
        <v/>
      </c>
      <c r="B26" s="137">
        <f>IFERROR(IF(ISBLANK(INDEX(Backlog[Requirement Name],MATCH($A26,Backlog[Requirement ID],0))),"",INDEX(Backlog[Requirement Name],MATCH($A26,Backlog[Requirement ID],0))),"")</f>
        <v/>
      </c>
      <c r="C26" s="117">
        <f>IFERROR(IF(ISBLANK(INDEX(Backlog[Stream],MATCH($A26,Backlog[Requirement ID],0))),"",INDEX(Backlog[Stream],MATCH($A26,Backlog[Requirement ID],0))),"")</f>
        <v/>
      </c>
      <c r="D26" s="117">
        <f>IFERROR(IF(ISBLANK(INDEX(Backlog[Jira Link],MATCH($A26,Backlog[Requirement ID],0))),"",INDEX(Backlog[Jira Link],MATCH($A26,Backlog[Requirement ID],0))),"")</f>
        <v/>
      </c>
      <c r="E26" s="117">
        <f>IFERROR(IF(ISBLANK(INDEX(Backlog[Status],MATCH($A26,Backlog[Requirement ID],0))),"",INDEX(Backlog[Status],MATCH($A26,Backlog[Requirement ID],0))),"")</f>
        <v/>
      </c>
      <c r="F26" s="117">
        <f>IFERROR(IF(ISBLANK(INDEX(SprintPlanning[Sprint],MATCH($A26,SprintPlanning[Requirement ID],0))),"",INDEX(SprintPlanning[Sprint],MATCH($A26,SprintPlanning[Requirement ID],0))),"")</f>
        <v/>
      </c>
      <c r="G26" s="138" t="inlineStr">
        <is>
          <t>No</t>
        </is>
      </c>
      <c r="H26" s="139" t="n"/>
      <c r="I26" s="138" t="n"/>
      <c r="J26" s="117">
        <f>IFERROR(IF(ISBLANK(INDEX(Backlog[Priority],MATCH($A26,Backlog[Requirement ID],0))),"",INDEX(Backlog[Priority],MATCH($A26,Backlog[Requirement ID],0))),"")</f>
        <v/>
      </c>
      <c r="K26" s="115" t="inlineStr">
        <is>
          <t>No Design Required</t>
        </is>
      </c>
      <c r="L26" s="115" t="n"/>
    </row>
    <row r="27" hidden="1" ht="15" customHeight="1" s="93">
      <c r="A27" s="115">
        <f>Backlog!A27</f>
        <v/>
      </c>
      <c r="B27" s="137">
        <f>IFERROR(IF(ISBLANK(INDEX(Backlog[Requirement Name],MATCH($A27,Backlog[Requirement ID],0))),"",INDEX(Backlog[Requirement Name],MATCH($A27,Backlog[Requirement ID],0))),"")</f>
        <v/>
      </c>
      <c r="C27" s="117">
        <f>IFERROR(IF(ISBLANK(INDEX(Backlog[Stream],MATCH($A27,Backlog[Requirement ID],0))),"",INDEX(Backlog[Stream],MATCH($A27,Backlog[Requirement ID],0))),"")</f>
        <v/>
      </c>
      <c r="D27" s="117">
        <f>IFERROR(IF(ISBLANK(INDEX(Backlog[Jira Link],MATCH($A27,Backlog[Requirement ID],0))),"",INDEX(Backlog[Jira Link],MATCH($A27,Backlog[Requirement ID],0))),"")</f>
        <v/>
      </c>
      <c r="E27" s="117">
        <f>IFERROR(IF(ISBLANK(INDEX(Backlog[Status],MATCH($A27,Backlog[Requirement ID],0))),"",INDEX(Backlog[Status],MATCH($A27,Backlog[Requirement ID],0))),"")</f>
        <v/>
      </c>
      <c r="F27" s="117">
        <f>IFERROR(IF(ISBLANK(INDEX(SprintPlanning[Sprint],MATCH($A27,SprintPlanning[Requirement ID],0))),"",INDEX(SprintPlanning[Sprint],MATCH($A27,SprintPlanning[Requirement ID],0))),"")</f>
        <v/>
      </c>
      <c r="G27" s="138" t="inlineStr">
        <is>
          <t>TBC</t>
        </is>
      </c>
      <c r="H27" s="139" t="n"/>
      <c r="I27" s="138" t="n"/>
      <c r="J27" s="117">
        <f>IFERROR(IF(ISBLANK(INDEX(Backlog[Priority],MATCH($A27,Backlog[Requirement ID],0))),"",INDEX(Backlog[Priority],MATCH($A27,Backlog[Requirement ID],0))),"")</f>
        <v/>
      </c>
      <c r="K27" s="115" t="n"/>
      <c r="L27" s="115" t="n"/>
    </row>
    <row r="28" hidden="1" ht="15" customHeight="1" s="93">
      <c r="A28" s="115">
        <f>Backlog!A28</f>
        <v/>
      </c>
      <c r="B28" s="137">
        <f>IFERROR(IF(ISBLANK(INDEX(Backlog[Requirement Name],MATCH($A28,Backlog[Requirement ID],0))),"",INDEX(Backlog[Requirement Name],MATCH($A28,Backlog[Requirement ID],0))),"")</f>
        <v/>
      </c>
      <c r="C28" s="117">
        <f>IFERROR(IF(ISBLANK(INDEX(Backlog[Stream],MATCH($A28,Backlog[Requirement ID],0))),"",INDEX(Backlog[Stream],MATCH($A28,Backlog[Requirement ID],0))),"")</f>
        <v/>
      </c>
      <c r="D28" s="117">
        <f>IFERROR(IF(ISBLANK(INDEX(Backlog[Jira Link],MATCH($A28,Backlog[Requirement ID],0))),"",INDEX(Backlog[Jira Link],MATCH($A28,Backlog[Requirement ID],0))),"")</f>
        <v/>
      </c>
      <c r="E28" s="117">
        <f>IFERROR(IF(ISBLANK(INDEX(Backlog[Status],MATCH($A28,Backlog[Requirement ID],0))),"",INDEX(Backlog[Status],MATCH($A28,Backlog[Requirement ID],0))),"")</f>
        <v/>
      </c>
      <c r="F28" s="117">
        <f>IFERROR(IF(ISBLANK(INDEX(SprintPlanning[Sprint],MATCH($A28,SprintPlanning[Requirement ID],0))),"",INDEX(SprintPlanning[Sprint],MATCH($A28,SprintPlanning[Requirement ID],0))),"")</f>
        <v/>
      </c>
      <c r="G28" s="138" t="inlineStr">
        <is>
          <t>TBC</t>
        </is>
      </c>
      <c r="H28" s="139" t="n"/>
      <c r="I28" s="138" t="n"/>
      <c r="J28" s="117">
        <f>IFERROR(IF(ISBLANK(INDEX(Backlog[Priority],MATCH($A28,Backlog[Requirement ID],0))),"",INDEX(Backlog[Priority],MATCH($A28,Backlog[Requirement ID],0))),"")</f>
        <v/>
      </c>
      <c r="K28" s="115" t="n"/>
      <c r="L28" s="115" t="n"/>
    </row>
    <row r="29" hidden="1" ht="15" customHeight="1" s="93">
      <c r="A29" s="115">
        <f>Backlog!A29</f>
        <v/>
      </c>
      <c r="B29" s="137">
        <f>IFERROR(IF(ISBLANK(INDEX(Backlog[Requirement Name],MATCH($A29,Backlog[Requirement ID],0))),"",INDEX(Backlog[Requirement Name],MATCH($A29,Backlog[Requirement ID],0))),"")</f>
        <v/>
      </c>
      <c r="C29" s="117">
        <f>IFERROR(IF(ISBLANK(INDEX(Backlog[Stream],MATCH($A29,Backlog[Requirement ID],0))),"",INDEX(Backlog[Stream],MATCH($A29,Backlog[Requirement ID],0))),"")</f>
        <v/>
      </c>
      <c r="D29" s="117">
        <f>IFERROR(IF(ISBLANK(INDEX(Backlog[Jira Link],MATCH($A29,Backlog[Requirement ID],0))),"",INDEX(Backlog[Jira Link],MATCH($A29,Backlog[Requirement ID],0))),"")</f>
        <v/>
      </c>
      <c r="E29" s="117">
        <f>IFERROR(IF(ISBLANK(INDEX(Backlog[Status],MATCH($A29,Backlog[Requirement ID],0))),"",INDEX(Backlog[Status],MATCH($A29,Backlog[Requirement ID],0))),"")</f>
        <v/>
      </c>
      <c r="F29" s="117">
        <f>IFERROR(IF(ISBLANK(INDEX(SprintPlanning[Sprint],MATCH($A29,SprintPlanning[Requirement ID],0))),"",INDEX(SprintPlanning[Sprint],MATCH($A29,SprintPlanning[Requirement ID],0))),"")</f>
        <v/>
      </c>
      <c r="G29" s="138" t="inlineStr">
        <is>
          <t>TBC</t>
        </is>
      </c>
      <c r="H29" s="139" t="n"/>
      <c r="I29" s="138" t="n"/>
      <c r="J29" s="117">
        <f>IFERROR(IF(ISBLANK(INDEX(Backlog[Priority],MATCH($A29,Backlog[Requirement ID],0))),"",INDEX(Backlog[Priority],MATCH($A29,Backlog[Requirement ID],0))),"")</f>
        <v/>
      </c>
      <c r="K29" s="115" t="n"/>
      <c r="L29" s="115" t="n"/>
    </row>
    <row r="30" hidden="1" ht="15" customHeight="1" s="93">
      <c r="A30" s="115">
        <f>Backlog!A30</f>
        <v/>
      </c>
      <c r="B30" s="137">
        <f>IFERROR(IF(ISBLANK(INDEX(Backlog[Requirement Name],MATCH($A30,Backlog[Requirement ID],0))),"",INDEX(Backlog[Requirement Name],MATCH($A30,Backlog[Requirement ID],0))),"")</f>
        <v/>
      </c>
      <c r="C30" s="117">
        <f>IFERROR(IF(ISBLANK(INDEX(Backlog[Stream],MATCH($A30,Backlog[Requirement ID],0))),"",INDEX(Backlog[Stream],MATCH($A30,Backlog[Requirement ID],0))),"")</f>
        <v/>
      </c>
      <c r="D30" s="117">
        <f>IFERROR(IF(ISBLANK(INDEX(Backlog[Jira Link],MATCH($A30,Backlog[Requirement ID],0))),"",INDEX(Backlog[Jira Link],MATCH($A30,Backlog[Requirement ID],0))),"")</f>
        <v/>
      </c>
      <c r="E30" s="117">
        <f>IFERROR(IF(ISBLANK(INDEX(Backlog[Status],MATCH($A30,Backlog[Requirement ID],0))),"",INDEX(Backlog[Status],MATCH($A30,Backlog[Requirement ID],0))),"")</f>
        <v/>
      </c>
      <c r="F30" s="117">
        <f>IFERROR(IF(ISBLANK(INDEX(SprintPlanning[Sprint],MATCH($A30,SprintPlanning[Requirement ID],0))),"",INDEX(SprintPlanning[Sprint],MATCH($A30,SprintPlanning[Requirement ID],0))),"")</f>
        <v/>
      </c>
      <c r="G30" s="138" t="inlineStr">
        <is>
          <t>TBC</t>
        </is>
      </c>
      <c r="H30" s="139" t="n"/>
      <c r="I30" s="138" t="n"/>
      <c r="J30" s="117">
        <f>IFERROR(IF(ISBLANK(INDEX(Backlog[Priority],MATCH($A30,Backlog[Requirement ID],0))),"",INDEX(Backlog[Priority],MATCH($A30,Backlog[Requirement ID],0))),"")</f>
        <v/>
      </c>
      <c r="K30" s="115" t="inlineStr">
        <is>
          <t>Pending Solution</t>
        </is>
      </c>
      <c r="L30" s="115" t="n"/>
    </row>
    <row r="31" hidden="1" ht="15" customHeight="1" s="93">
      <c r="A31" s="115">
        <f>Backlog!A31</f>
        <v/>
      </c>
      <c r="B31" s="137">
        <f>IFERROR(IF(ISBLANK(INDEX(Backlog[Requirement Name],MATCH($A31,Backlog[Requirement ID],0))),"",INDEX(Backlog[Requirement Name],MATCH($A31,Backlog[Requirement ID],0))),"")</f>
        <v/>
      </c>
      <c r="C31" s="117">
        <f>IFERROR(IF(ISBLANK(INDEX(Backlog[Stream],MATCH($A31,Backlog[Requirement ID],0))),"",INDEX(Backlog[Stream],MATCH($A31,Backlog[Requirement ID],0))),"")</f>
        <v/>
      </c>
      <c r="D31" s="117">
        <f>IFERROR(IF(ISBLANK(INDEX(Backlog[Jira Link],MATCH($A31,Backlog[Requirement ID],0))),"",INDEX(Backlog[Jira Link],MATCH($A31,Backlog[Requirement ID],0))),"")</f>
        <v/>
      </c>
      <c r="E31" s="117">
        <f>IFERROR(IF(ISBLANK(INDEX(Backlog[Status],MATCH($A31,Backlog[Requirement ID],0))),"",INDEX(Backlog[Status],MATCH($A31,Backlog[Requirement ID],0))),"")</f>
        <v/>
      </c>
      <c r="F31" s="117">
        <f>IFERROR(IF(ISBLANK(INDEX(SprintPlanning[Sprint],MATCH($A31,SprintPlanning[Requirement ID],0))),"",INDEX(SprintPlanning[Sprint],MATCH($A31,SprintPlanning[Requirement ID],0))),"")</f>
        <v/>
      </c>
      <c r="G31" s="138" t="inlineStr">
        <is>
          <t>TBC</t>
        </is>
      </c>
      <c r="H31" s="139" t="n"/>
      <c r="I31" s="138" t="n"/>
      <c r="J31" s="117">
        <f>IFERROR(IF(ISBLANK(INDEX(Backlog[Priority],MATCH($A31,Backlog[Requirement ID],0))),"",INDEX(Backlog[Priority],MATCH($A31,Backlog[Requirement ID],0))),"")</f>
        <v/>
      </c>
      <c r="K31" s="115" t="n"/>
      <c r="L31" s="115" t="n"/>
    </row>
    <row r="32" hidden="1" ht="15" customHeight="1" s="93">
      <c r="A32" s="115">
        <f>Backlog!A32</f>
        <v/>
      </c>
      <c r="B32" s="137">
        <f>IFERROR(IF(ISBLANK(INDEX(Backlog[Requirement Name],MATCH($A32,Backlog[Requirement ID],0))),"",INDEX(Backlog[Requirement Name],MATCH($A32,Backlog[Requirement ID],0))),"")</f>
        <v/>
      </c>
      <c r="C32" s="117">
        <f>IFERROR(IF(ISBLANK(INDEX(Backlog[Stream],MATCH($A32,Backlog[Requirement ID],0))),"",INDEX(Backlog[Stream],MATCH($A32,Backlog[Requirement ID],0))),"")</f>
        <v/>
      </c>
      <c r="D32" s="117">
        <f>IFERROR(IF(ISBLANK(INDEX(Backlog[Jira Link],MATCH($A32,Backlog[Requirement ID],0))),"",INDEX(Backlog[Jira Link],MATCH($A32,Backlog[Requirement ID],0))),"")</f>
        <v/>
      </c>
      <c r="E32" s="117">
        <f>IFERROR(IF(ISBLANK(INDEX(Backlog[Status],MATCH($A32,Backlog[Requirement ID],0))),"",INDEX(Backlog[Status],MATCH($A32,Backlog[Requirement ID],0))),"")</f>
        <v/>
      </c>
      <c r="F32" s="117">
        <f>IFERROR(IF(ISBLANK(INDEX(SprintPlanning[Sprint],MATCH($A32,SprintPlanning[Requirement ID],0))),"",INDEX(SprintPlanning[Sprint],MATCH($A32,SprintPlanning[Requirement ID],0))),"")</f>
        <v/>
      </c>
      <c r="G32" s="138" t="inlineStr">
        <is>
          <t>TBC</t>
        </is>
      </c>
      <c r="H32" s="139" t="n"/>
      <c r="I32" s="138" t="n"/>
      <c r="J32" s="117">
        <f>IFERROR(IF(ISBLANK(INDEX(Backlog[Priority],MATCH($A32,Backlog[Requirement ID],0))),"",INDEX(Backlog[Priority],MATCH($A32,Backlog[Requirement ID],0))),"")</f>
        <v/>
      </c>
      <c r="K32" s="115" t="n"/>
      <c r="L32" s="115" t="n"/>
    </row>
    <row r="33" hidden="1" ht="15" customHeight="1" s="93">
      <c r="A33" s="115">
        <f>Backlog!A33</f>
        <v/>
      </c>
      <c r="B33" s="137">
        <f>IFERROR(IF(ISBLANK(INDEX(Backlog[Requirement Name],MATCH($A33,Backlog[Requirement ID],0))),"",INDEX(Backlog[Requirement Name],MATCH($A33,Backlog[Requirement ID],0))),"")</f>
        <v/>
      </c>
      <c r="C33" s="117">
        <f>IFERROR(IF(ISBLANK(INDEX(Backlog[Stream],MATCH($A33,Backlog[Requirement ID],0))),"",INDEX(Backlog[Stream],MATCH($A33,Backlog[Requirement ID],0))),"")</f>
        <v/>
      </c>
      <c r="D33" s="117">
        <f>IFERROR(IF(ISBLANK(INDEX(Backlog[Jira Link],MATCH($A33,Backlog[Requirement ID],0))),"",INDEX(Backlog[Jira Link],MATCH($A33,Backlog[Requirement ID],0))),"")</f>
        <v/>
      </c>
      <c r="E33" s="117">
        <f>IFERROR(IF(ISBLANK(INDEX(Backlog[Status],MATCH($A33,Backlog[Requirement ID],0))),"",INDEX(Backlog[Status],MATCH($A33,Backlog[Requirement ID],0))),"")</f>
        <v/>
      </c>
      <c r="F33" s="117">
        <f>IFERROR(IF(ISBLANK(INDEX(SprintPlanning[Sprint],MATCH($A33,SprintPlanning[Requirement ID],0))),"",INDEX(SprintPlanning[Sprint],MATCH($A33,SprintPlanning[Requirement ID],0))),"")</f>
        <v/>
      </c>
      <c r="G33" s="138" t="n"/>
      <c r="H33" s="139" t="n"/>
      <c r="I33" s="138" t="n"/>
      <c r="J33" s="117">
        <f>IFERROR(IF(ISBLANK(INDEX(Backlog[Priority],MATCH($A33,Backlog[Requirement ID],0))),"",INDEX(Backlog[Priority],MATCH($A33,Backlog[Requirement ID],0))),"")</f>
        <v/>
      </c>
      <c r="K33" s="115" t="n"/>
      <c r="L33" s="115" t="n"/>
    </row>
    <row r="34" hidden="1" ht="15" customHeight="1" s="93">
      <c r="A34" s="115">
        <f>Backlog!A34</f>
        <v/>
      </c>
      <c r="B34" s="137">
        <f>IFERROR(IF(ISBLANK(INDEX(Backlog[Requirement Name],MATCH($A34,Backlog[Requirement ID],0))),"",INDEX(Backlog[Requirement Name],MATCH($A34,Backlog[Requirement ID],0))),"")</f>
        <v/>
      </c>
      <c r="C34" s="117">
        <f>IFERROR(IF(ISBLANK(INDEX(Backlog[Stream],MATCH($A34,Backlog[Requirement ID],0))),"",INDEX(Backlog[Stream],MATCH($A34,Backlog[Requirement ID],0))),"")</f>
        <v/>
      </c>
      <c r="D34" s="117">
        <f>IFERROR(IF(ISBLANK(INDEX(Backlog[Jira Link],MATCH($A34,Backlog[Requirement ID],0))),"",INDEX(Backlog[Jira Link],MATCH($A34,Backlog[Requirement ID],0))),"")</f>
        <v/>
      </c>
      <c r="E34" s="117">
        <f>IFERROR(IF(ISBLANK(INDEX(Backlog[Status],MATCH($A34,Backlog[Requirement ID],0))),"",INDEX(Backlog[Status],MATCH($A34,Backlog[Requirement ID],0))),"")</f>
        <v/>
      </c>
      <c r="F34" s="117">
        <f>IFERROR(IF(ISBLANK(INDEX(SprintPlanning[Sprint],MATCH($A34,SprintPlanning[Requirement ID],0))),"",INDEX(SprintPlanning[Sprint],MATCH($A34,SprintPlanning[Requirement ID],0))),"")</f>
        <v/>
      </c>
      <c r="G34" s="138" t="n"/>
      <c r="H34" s="139" t="n"/>
      <c r="I34" s="138" t="n"/>
      <c r="J34" s="117">
        <f>IFERROR(IF(ISBLANK(INDEX(Backlog[Priority],MATCH($A34,Backlog[Requirement ID],0))),"",INDEX(Backlog[Priority],MATCH($A34,Backlog[Requirement ID],0))),"")</f>
        <v/>
      </c>
      <c r="K34" s="115" t="n"/>
      <c r="L34" s="115" t="n"/>
    </row>
    <row r="35" hidden="1" ht="15" customHeight="1" s="93">
      <c r="A35" s="115">
        <f>Backlog!A35</f>
        <v/>
      </c>
      <c r="B35" s="137">
        <f>IFERROR(IF(ISBLANK(INDEX(Backlog[Requirement Name],MATCH($A35,Backlog[Requirement ID],0))),"",INDEX(Backlog[Requirement Name],MATCH($A35,Backlog[Requirement ID],0))),"")</f>
        <v/>
      </c>
      <c r="C35" s="117">
        <f>IFERROR(IF(ISBLANK(INDEX(Backlog[Stream],MATCH($A35,Backlog[Requirement ID],0))),"",INDEX(Backlog[Stream],MATCH($A35,Backlog[Requirement ID],0))),"")</f>
        <v/>
      </c>
      <c r="D35" s="117">
        <f>IFERROR(IF(ISBLANK(INDEX(Backlog[Jira Link],MATCH($A35,Backlog[Requirement ID],0))),"",INDEX(Backlog[Jira Link],MATCH($A35,Backlog[Requirement ID],0))),"")</f>
        <v/>
      </c>
      <c r="E35" s="117">
        <f>IFERROR(IF(ISBLANK(INDEX(Backlog[Status],MATCH($A35,Backlog[Requirement ID],0))),"",INDEX(Backlog[Status],MATCH($A35,Backlog[Requirement ID],0))),"")</f>
        <v/>
      </c>
      <c r="F35" s="117">
        <f>IFERROR(IF(ISBLANK(INDEX(SprintPlanning[Sprint],MATCH($A35,SprintPlanning[Requirement ID],0))),"",INDEX(SprintPlanning[Sprint],MATCH($A35,SprintPlanning[Requirement ID],0))),"")</f>
        <v/>
      </c>
      <c r="G35" s="138" t="n"/>
      <c r="H35" s="139" t="n"/>
      <c r="I35" s="138" t="n"/>
      <c r="J35" s="117">
        <f>IFERROR(IF(ISBLANK(INDEX(Backlog[Priority],MATCH($A35,Backlog[Requirement ID],0))),"",INDEX(Backlog[Priority],MATCH($A35,Backlog[Requirement ID],0))),"")</f>
        <v/>
      </c>
      <c r="K35" s="115" t="n"/>
      <c r="L35" s="115" t="n"/>
    </row>
    <row r="36" hidden="1" ht="15" customHeight="1" s="93">
      <c r="A36" s="115">
        <f>Backlog!A36</f>
        <v/>
      </c>
      <c r="B36" s="137">
        <f>IFERROR(IF(ISBLANK(INDEX(Backlog[Requirement Name],MATCH($A36,Backlog[Requirement ID],0))),"",INDEX(Backlog[Requirement Name],MATCH($A36,Backlog[Requirement ID],0))),"")</f>
        <v/>
      </c>
      <c r="C36" s="117">
        <f>IFERROR(IF(ISBLANK(INDEX(Backlog[Stream],MATCH($A36,Backlog[Requirement ID],0))),"",INDEX(Backlog[Stream],MATCH($A36,Backlog[Requirement ID],0))),"")</f>
        <v/>
      </c>
      <c r="D36" s="117">
        <f>IFERROR(IF(ISBLANK(INDEX(Backlog[Jira Link],MATCH($A36,Backlog[Requirement ID],0))),"",INDEX(Backlog[Jira Link],MATCH($A36,Backlog[Requirement ID],0))),"")</f>
        <v/>
      </c>
      <c r="E36" s="117">
        <f>IFERROR(IF(ISBLANK(INDEX(Backlog[Status],MATCH($A36,Backlog[Requirement ID],0))),"",INDEX(Backlog[Status],MATCH($A36,Backlog[Requirement ID],0))),"")</f>
        <v/>
      </c>
      <c r="F36" s="117">
        <f>IFERROR(IF(ISBLANK(INDEX(SprintPlanning[Sprint],MATCH($A36,SprintPlanning[Requirement ID],0))),"",INDEX(SprintPlanning[Sprint],MATCH($A36,SprintPlanning[Requirement ID],0))),"")</f>
        <v/>
      </c>
      <c r="G36" s="138" t="n"/>
      <c r="H36" s="139" t="n"/>
      <c r="I36" s="138" t="n"/>
      <c r="J36" s="117">
        <f>IFERROR(IF(ISBLANK(INDEX(Backlog[Priority],MATCH($A36,Backlog[Requirement ID],0))),"",INDEX(Backlog[Priority],MATCH($A36,Backlog[Requirement ID],0))),"")</f>
        <v/>
      </c>
      <c r="K36" s="115" t="n"/>
      <c r="L36" s="115" t="n"/>
    </row>
    <row r="37" hidden="1" ht="15" customHeight="1" s="93">
      <c r="A37" s="115">
        <f>Backlog!A37</f>
        <v/>
      </c>
      <c r="B37" s="137">
        <f>IFERROR(IF(ISBLANK(INDEX(Backlog[Requirement Name],MATCH($A37,Backlog[Requirement ID],0))),"",INDEX(Backlog[Requirement Name],MATCH($A37,Backlog[Requirement ID],0))),"")</f>
        <v/>
      </c>
      <c r="C37" s="117">
        <f>IFERROR(IF(ISBLANK(INDEX(Backlog[Stream],MATCH($A37,Backlog[Requirement ID],0))),"",INDEX(Backlog[Stream],MATCH($A37,Backlog[Requirement ID],0))),"")</f>
        <v/>
      </c>
      <c r="D37" s="117">
        <f>IFERROR(IF(ISBLANK(INDEX(Backlog[Jira Link],MATCH($A37,Backlog[Requirement ID],0))),"",INDEX(Backlog[Jira Link],MATCH($A37,Backlog[Requirement ID],0))),"")</f>
        <v/>
      </c>
      <c r="E37" s="117">
        <f>IFERROR(IF(ISBLANK(INDEX(Backlog[Status],MATCH($A37,Backlog[Requirement ID],0))),"",INDEX(Backlog[Status],MATCH($A37,Backlog[Requirement ID],0))),"")</f>
        <v/>
      </c>
      <c r="F37" s="117">
        <f>IFERROR(IF(ISBLANK(INDEX(SprintPlanning[Sprint],MATCH($A37,SprintPlanning[Requirement ID],0))),"",INDEX(SprintPlanning[Sprint],MATCH($A37,SprintPlanning[Requirement ID],0))),"")</f>
        <v/>
      </c>
      <c r="G37" s="138" t="n"/>
      <c r="H37" s="139" t="n"/>
      <c r="I37" s="138" t="n"/>
      <c r="J37" s="117">
        <f>IFERROR(IF(ISBLANK(INDEX(Backlog[Priority],MATCH($A37,Backlog[Requirement ID],0))),"",INDEX(Backlog[Priority],MATCH($A37,Backlog[Requirement ID],0))),"")</f>
        <v/>
      </c>
      <c r="K37" s="115" t="n"/>
      <c r="L37" s="115" t="n"/>
    </row>
    <row r="38" hidden="1" ht="15" customHeight="1" s="93">
      <c r="A38" s="115">
        <f>Backlog!A38</f>
        <v/>
      </c>
      <c r="B38" s="137">
        <f>IFERROR(IF(ISBLANK(INDEX(Backlog[Requirement Name],MATCH($A38,Backlog[Requirement ID],0))),"",INDEX(Backlog[Requirement Name],MATCH($A38,Backlog[Requirement ID],0))),"")</f>
        <v/>
      </c>
      <c r="C38" s="117">
        <f>IFERROR(IF(ISBLANK(INDEX(Backlog[Stream],MATCH($A38,Backlog[Requirement ID],0))),"",INDEX(Backlog[Stream],MATCH($A38,Backlog[Requirement ID],0))),"")</f>
        <v/>
      </c>
      <c r="D38" s="117">
        <f>IFERROR(IF(ISBLANK(INDEX(Backlog[Jira Link],MATCH($A38,Backlog[Requirement ID],0))),"",INDEX(Backlog[Jira Link],MATCH($A38,Backlog[Requirement ID],0))),"")</f>
        <v/>
      </c>
      <c r="E38" s="117">
        <f>IFERROR(IF(ISBLANK(INDEX(Backlog[Status],MATCH($A38,Backlog[Requirement ID],0))),"",INDEX(Backlog[Status],MATCH($A38,Backlog[Requirement ID],0))),"")</f>
        <v/>
      </c>
      <c r="F38" s="117">
        <f>IFERROR(IF(ISBLANK(INDEX(SprintPlanning[Sprint],MATCH($A38,SprintPlanning[Requirement ID],0))),"",INDEX(SprintPlanning[Sprint],MATCH($A38,SprintPlanning[Requirement ID],0))),"")</f>
        <v/>
      </c>
      <c r="G38" s="138" t="n"/>
      <c r="H38" s="139" t="n"/>
      <c r="I38" s="138" t="n"/>
      <c r="J38" s="117">
        <f>IFERROR(IF(ISBLANK(INDEX(Backlog[Priority],MATCH($A38,Backlog[Requirement ID],0))),"",INDEX(Backlog[Priority],MATCH($A38,Backlog[Requirement ID],0))),"")</f>
        <v/>
      </c>
      <c r="K38" s="115" t="n"/>
      <c r="L38" s="115" t="n"/>
    </row>
    <row r="39" hidden="1" ht="15" customHeight="1" s="93">
      <c r="A39" s="115">
        <f>Backlog!A39</f>
        <v/>
      </c>
      <c r="B39" s="137">
        <f>IFERROR(IF(ISBLANK(INDEX(Backlog[Requirement Name],MATCH($A39,Backlog[Requirement ID],0))),"",INDEX(Backlog[Requirement Name],MATCH($A39,Backlog[Requirement ID],0))),"")</f>
        <v/>
      </c>
      <c r="C39" s="117">
        <f>IFERROR(IF(ISBLANK(INDEX(Backlog[Stream],MATCH($A39,Backlog[Requirement ID],0))),"",INDEX(Backlog[Stream],MATCH($A39,Backlog[Requirement ID],0))),"")</f>
        <v/>
      </c>
      <c r="D39" s="117">
        <f>IFERROR(IF(ISBLANK(INDEX(Backlog[Jira Link],MATCH($A39,Backlog[Requirement ID],0))),"",INDEX(Backlog[Jira Link],MATCH($A39,Backlog[Requirement ID],0))),"")</f>
        <v/>
      </c>
      <c r="E39" s="117">
        <f>IFERROR(IF(ISBLANK(INDEX(Backlog[Status],MATCH($A39,Backlog[Requirement ID],0))),"",INDEX(Backlog[Status],MATCH($A39,Backlog[Requirement ID],0))),"")</f>
        <v/>
      </c>
      <c r="F39" s="117">
        <f>IFERROR(IF(ISBLANK(INDEX(SprintPlanning[Sprint],MATCH($A39,SprintPlanning[Requirement ID],0))),"",INDEX(SprintPlanning[Sprint],MATCH($A39,SprintPlanning[Requirement ID],0))),"")</f>
        <v/>
      </c>
      <c r="G39" s="138" t="n"/>
      <c r="H39" s="139" t="n"/>
      <c r="I39" s="138" t="n"/>
      <c r="J39" s="117">
        <f>IFERROR(IF(ISBLANK(INDEX(Backlog[Priority],MATCH($A39,Backlog[Requirement ID],0))),"",INDEX(Backlog[Priority],MATCH($A39,Backlog[Requirement ID],0))),"")</f>
        <v/>
      </c>
      <c r="K39" s="115" t="n"/>
      <c r="L39" s="115" t="n"/>
    </row>
    <row r="40" hidden="1" ht="15" customHeight="1" s="93">
      <c r="A40" s="115">
        <f>Backlog!A40</f>
        <v/>
      </c>
      <c r="B40" s="137">
        <f>IFERROR(IF(ISBLANK(INDEX(Backlog[Requirement Name],MATCH($A40,Backlog[Requirement ID],0))),"",INDEX(Backlog[Requirement Name],MATCH($A40,Backlog[Requirement ID],0))),"")</f>
        <v/>
      </c>
      <c r="C40" s="117">
        <f>IFERROR(IF(ISBLANK(INDEX(Backlog[Stream],MATCH($A40,Backlog[Requirement ID],0))),"",INDEX(Backlog[Stream],MATCH($A40,Backlog[Requirement ID],0))),"")</f>
        <v/>
      </c>
      <c r="D40" s="117">
        <f>IFERROR(IF(ISBLANK(INDEX(Backlog[Jira Link],MATCH($A40,Backlog[Requirement ID],0))),"",INDEX(Backlog[Jira Link],MATCH($A40,Backlog[Requirement ID],0))),"")</f>
        <v/>
      </c>
      <c r="E40" s="117">
        <f>IFERROR(IF(ISBLANK(INDEX(Backlog[Status],MATCH($A40,Backlog[Requirement ID],0))),"",INDEX(Backlog[Status],MATCH($A40,Backlog[Requirement ID],0))),"")</f>
        <v/>
      </c>
      <c r="F40" s="117">
        <f>IFERROR(IF(ISBLANK(INDEX(SprintPlanning[Sprint],MATCH($A40,SprintPlanning[Requirement ID],0))),"",INDEX(SprintPlanning[Sprint],MATCH($A40,SprintPlanning[Requirement ID],0))),"")</f>
        <v/>
      </c>
      <c r="G40" s="138" t="n"/>
      <c r="H40" s="139" t="n"/>
      <c r="I40" s="138" t="n"/>
      <c r="J40" s="117">
        <f>IFERROR(IF(ISBLANK(INDEX(Backlog[Priority],MATCH($A40,Backlog[Requirement ID],0))),"",INDEX(Backlog[Priority],MATCH($A40,Backlog[Requirement ID],0))),"")</f>
        <v/>
      </c>
      <c r="K40" s="115" t="n"/>
      <c r="L40" s="115" t="n"/>
    </row>
    <row r="41" hidden="1" ht="15" customHeight="1" s="93">
      <c r="A41" s="115">
        <f>Backlog!A41</f>
        <v/>
      </c>
      <c r="B41" s="137">
        <f>IFERROR(IF(ISBLANK(INDEX(Backlog[Requirement Name],MATCH($A41,Backlog[Requirement ID],0))),"",INDEX(Backlog[Requirement Name],MATCH($A41,Backlog[Requirement ID],0))),"")</f>
        <v/>
      </c>
      <c r="C41" s="117">
        <f>IFERROR(IF(ISBLANK(INDEX(Backlog[Stream],MATCH($A41,Backlog[Requirement ID],0))),"",INDEX(Backlog[Stream],MATCH($A41,Backlog[Requirement ID],0))),"")</f>
        <v/>
      </c>
      <c r="D41" s="117">
        <f>IFERROR(IF(ISBLANK(INDEX(Backlog[Jira Link],MATCH($A41,Backlog[Requirement ID],0))),"",INDEX(Backlog[Jira Link],MATCH($A41,Backlog[Requirement ID],0))),"")</f>
        <v/>
      </c>
      <c r="E41" s="117">
        <f>IFERROR(IF(ISBLANK(INDEX(Backlog[Status],MATCH($A41,Backlog[Requirement ID],0))),"",INDEX(Backlog[Status],MATCH($A41,Backlog[Requirement ID],0))),"")</f>
        <v/>
      </c>
      <c r="F41" s="117">
        <f>IFERROR(IF(ISBLANK(INDEX(SprintPlanning[Sprint],MATCH($A41,SprintPlanning[Requirement ID],0))),"",INDEX(SprintPlanning[Sprint],MATCH($A41,SprintPlanning[Requirement ID],0))),"")</f>
        <v/>
      </c>
      <c r="G41" s="138" t="n"/>
      <c r="H41" s="139" t="n"/>
      <c r="I41" s="138" t="n"/>
      <c r="J41" s="117">
        <f>IFERROR(IF(ISBLANK(INDEX(Backlog[Priority],MATCH($A41,Backlog[Requirement ID],0))),"",INDEX(Backlog[Priority],MATCH($A41,Backlog[Requirement ID],0))),"")</f>
        <v/>
      </c>
      <c r="K41" s="115" t="n"/>
      <c r="L41" s="115" t="n"/>
    </row>
    <row r="42" hidden="1" ht="15" customHeight="1" s="93">
      <c r="A42" s="115">
        <f>Backlog!A42</f>
        <v/>
      </c>
      <c r="B42" s="137">
        <f>IFERROR(IF(ISBLANK(INDEX(Backlog[Requirement Name],MATCH($A42,Backlog[Requirement ID],0))),"",INDEX(Backlog[Requirement Name],MATCH($A42,Backlog[Requirement ID],0))),"")</f>
        <v/>
      </c>
      <c r="C42" s="117">
        <f>IFERROR(IF(ISBLANK(INDEX(Backlog[Stream],MATCH($A42,Backlog[Requirement ID],0))),"",INDEX(Backlog[Stream],MATCH($A42,Backlog[Requirement ID],0))),"")</f>
        <v/>
      </c>
      <c r="D42" s="117">
        <f>IFERROR(IF(ISBLANK(INDEX(Backlog[Jira Link],MATCH($A42,Backlog[Requirement ID],0))),"",INDEX(Backlog[Jira Link],MATCH($A42,Backlog[Requirement ID],0))),"")</f>
        <v/>
      </c>
      <c r="E42" s="117">
        <f>IFERROR(IF(ISBLANK(INDEX(Backlog[Status],MATCH($A42,Backlog[Requirement ID],0))),"",INDEX(Backlog[Status],MATCH($A42,Backlog[Requirement ID],0))),"")</f>
        <v/>
      </c>
      <c r="F42" s="117">
        <f>IFERROR(IF(ISBLANK(INDEX(SprintPlanning[Sprint],MATCH($A42,SprintPlanning[Requirement ID],0))),"",INDEX(SprintPlanning[Sprint],MATCH($A42,SprintPlanning[Requirement ID],0))),"")</f>
        <v/>
      </c>
      <c r="G42" s="138" t="n"/>
      <c r="H42" s="139" t="n"/>
      <c r="I42" s="138" t="n"/>
      <c r="J42" s="117">
        <f>IFERROR(IF(ISBLANK(INDEX(Backlog[Priority],MATCH($A42,Backlog[Requirement ID],0))),"",INDEX(Backlog[Priority],MATCH($A42,Backlog[Requirement ID],0))),"")</f>
        <v/>
      </c>
      <c r="K42" s="115" t="n"/>
      <c r="L42" s="115" t="n"/>
    </row>
    <row r="43" hidden="1" ht="15" customHeight="1" s="93">
      <c r="A43" s="115">
        <f>Backlog!A43</f>
        <v/>
      </c>
      <c r="B43" s="137">
        <f>IFERROR(IF(ISBLANK(INDEX(Backlog[Requirement Name],MATCH($A43,Backlog[Requirement ID],0))),"",INDEX(Backlog[Requirement Name],MATCH($A43,Backlog[Requirement ID],0))),"")</f>
        <v/>
      </c>
      <c r="C43" s="117">
        <f>IFERROR(IF(ISBLANK(INDEX(Backlog[Stream],MATCH($A43,Backlog[Requirement ID],0))),"",INDEX(Backlog[Stream],MATCH($A43,Backlog[Requirement ID],0))),"")</f>
        <v/>
      </c>
      <c r="D43" s="117">
        <f>IFERROR(IF(ISBLANK(INDEX(Backlog[Jira Link],MATCH($A43,Backlog[Requirement ID],0))),"",INDEX(Backlog[Jira Link],MATCH($A43,Backlog[Requirement ID],0))),"")</f>
        <v/>
      </c>
      <c r="E43" s="117">
        <f>IFERROR(IF(ISBLANK(INDEX(Backlog[Status],MATCH($A43,Backlog[Requirement ID],0))),"",INDEX(Backlog[Status],MATCH($A43,Backlog[Requirement ID],0))),"")</f>
        <v/>
      </c>
      <c r="F43" s="117">
        <f>IFERROR(IF(ISBLANK(INDEX(SprintPlanning[Sprint],MATCH($A43,SprintPlanning[Requirement ID],0))),"",INDEX(SprintPlanning[Sprint],MATCH($A43,SprintPlanning[Requirement ID],0))),"")</f>
        <v/>
      </c>
      <c r="G43" s="138" t="n"/>
      <c r="H43" s="139" t="n"/>
      <c r="I43" s="138" t="n"/>
      <c r="J43" s="117">
        <f>IFERROR(IF(ISBLANK(INDEX(Backlog[Priority],MATCH($A43,Backlog[Requirement ID],0))),"",INDEX(Backlog[Priority],MATCH($A43,Backlog[Requirement ID],0))),"")</f>
        <v/>
      </c>
      <c r="K43" s="115" t="n"/>
      <c r="L43" s="115" t="n"/>
    </row>
    <row r="44" hidden="1" ht="15" customHeight="1" s="93">
      <c r="A44" s="115">
        <f>Backlog!A44</f>
        <v/>
      </c>
      <c r="B44" s="137">
        <f>IFERROR(IF(ISBLANK(INDEX(Backlog[Requirement Name],MATCH($A44,Backlog[Requirement ID],0))),"",INDEX(Backlog[Requirement Name],MATCH($A44,Backlog[Requirement ID],0))),"")</f>
        <v/>
      </c>
      <c r="C44" s="117">
        <f>IFERROR(IF(ISBLANK(INDEX(Backlog[Stream],MATCH($A44,Backlog[Requirement ID],0))),"",INDEX(Backlog[Stream],MATCH($A44,Backlog[Requirement ID],0))),"")</f>
        <v/>
      </c>
      <c r="D44" s="117">
        <f>IFERROR(IF(ISBLANK(INDEX(Backlog[Jira Link],MATCH($A44,Backlog[Requirement ID],0))),"",INDEX(Backlog[Jira Link],MATCH($A44,Backlog[Requirement ID],0))),"")</f>
        <v/>
      </c>
      <c r="E44" s="117">
        <f>IFERROR(IF(ISBLANK(INDEX(Backlog[Status],MATCH($A44,Backlog[Requirement ID],0))),"",INDEX(Backlog[Status],MATCH($A44,Backlog[Requirement ID],0))),"")</f>
        <v/>
      </c>
      <c r="F44" s="117">
        <f>IFERROR(IF(ISBLANK(INDEX(SprintPlanning[Sprint],MATCH($A44,SprintPlanning[Requirement ID],0))),"",INDEX(SprintPlanning[Sprint],MATCH($A44,SprintPlanning[Requirement ID],0))),"")</f>
        <v/>
      </c>
      <c r="G44" s="138" t="n"/>
      <c r="H44" s="139" t="n"/>
      <c r="I44" s="138" t="n"/>
      <c r="J44" s="117">
        <f>IFERROR(IF(ISBLANK(INDEX(Backlog[Priority],MATCH($A44,Backlog[Requirement ID],0))),"",INDEX(Backlog[Priority],MATCH($A44,Backlog[Requirement ID],0))),"")</f>
        <v/>
      </c>
      <c r="K44" s="115" t="n"/>
      <c r="L44" s="115" t="n"/>
    </row>
    <row r="45" hidden="1" ht="15" customHeight="1" s="93">
      <c r="A45" s="115">
        <f>Backlog!A45</f>
        <v/>
      </c>
      <c r="B45" s="137">
        <f>IFERROR(IF(ISBLANK(INDEX(Backlog[Requirement Name],MATCH($A45,Backlog[Requirement ID],0))),"",INDEX(Backlog[Requirement Name],MATCH($A45,Backlog[Requirement ID],0))),"")</f>
        <v/>
      </c>
      <c r="C45" s="117">
        <f>IFERROR(IF(ISBLANK(INDEX(Backlog[Stream],MATCH($A45,Backlog[Requirement ID],0))),"",INDEX(Backlog[Stream],MATCH($A45,Backlog[Requirement ID],0))),"")</f>
        <v/>
      </c>
      <c r="D45" s="117">
        <f>IFERROR(IF(ISBLANK(INDEX(Backlog[Jira Link],MATCH($A45,Backlog[Requirement ID],0))),"",INDEX(Backlog[Jira Link],MATCH($A45,Backlog[Requirement ID],0))),"")</f>
        <v/>
      </c>
      <c r="E45" s="117">
        <f>IFERROR(IF(ISBLANK(INDEX(Backlog[Status],MATCH($A45,Backlog[Requirement ID],0))),"",INDEX(Backlog[Status],MATCH($A45,Backlog[Requirement ID],0))),"")</f>
        <v/>
      </c>
      <c r="F45" s="117">
        <f>IFERROR(IF(ISBLANK(INDEX(SprintPlanning[Sprint],MATCH($A45,SprintPlanning[Requirement ID],0))),"",INDEX(SprintPlanning[Sprint],MATCH($A45,SprintPlanning[Requirement ID],0))),"")</f>
        <v/>
      </c>
      <c r="G45" s="138" t="n"/>
      <c r="H45" s="139" t="n"/>
      <c r="I45" s="138" t="n"/>
      <c r="J45" s="117">
        <f>IFERROR(IF(ISBLANK(INDEX(Backlog[Priority],MATCH($A45,Backlog[Requirement ID],0))),"",INDEX(Backlog[Priority],MATCH($A45,Backlog[Requirement ID],0))),"")</f>
        <v/>
      </c>
      <c r="K45" s="115" t="inlineStr">
        <is>
          <t>Pending Solution</t>
        </is>
      </c>
      <c r="L45" s="115" t="n"/>
    </row>
    <row r="46" hidden="1" ht="15" customHeight="1" s="93">
      <c r="A46" s="115">
        <f>Backlog!A46</f>
        <v/>
      </c>
      <c r="B46" s="137">
        <f>IFERROR(IF(ISBLANK(INDEX(Backlog[Requirement Name],MATCH($A46,Backlog[Requirement ID],0))),"",INDEX(Backlog[Requirement Name],MATCH($A46,Backlog[Requirement ID],0))),"")</f>
        <v/>
      </c>
      <c r="C46" s="117">
        <f>IFERROR(IF(ISBLANK(INDEX(Backlog[Stream],MATCH($A46,Backlog[Requirement ID],0))),"",INDEX(Backlog[Stream],MATCH($A46,Backlog[Requirement ID],0))),"")</f>
        <v/>
      </c>
      <c r="D46" s="117">
        <f>IFERROR(IF(ISBLANK(INDEX(Backlog[Jira Link],MATCH($A46,Backlog[Requirement ID],0))),"",INDEX(Backlog[Jira Link],MATCH($A46,Backlog[Requirement ID],0))),"")</f>
        <v/>
      </c>
      <c r="E46" s="117">
        <f>IFERROR(IF(ISBLANK(INDEX(Backlog[Status],MATCH($A46,Backlog[Requirement ID],0))),"",INDEX(Backlog[Status],MATCH($A46,Backlog[Requirement ID],0))),"")</f>
        <v/>
      </c>
      <c r="F46" s="117">
        <f>IFERROR(IF(ISBLANK(INDEX(SprintPlanning[Sprint],MATCH($A46,SprintPlanning[Requirement ID],0))),"",INDEX(SprintPlanning[Sprint],MATCH($A46,SprintPlanning[Requirement ID],0))),"")</f>
        <v/>
      </c>
      <c r="G46" s="138" t="n"/>
      <c r="H46" s="139" t="n"/>
      <c r="I46" s="138" t="n"/>
      <c r="J46" s="117">
        <f>IFERROR(IF(ISBLANK(INDEX(Backlog[Priority],MATCH($A46,Backlog[Requirement ID],0))),"",INDEX(Backlog[Priority],MATCH($A46,Backlog[Requirement ID],0))),"")</f>
        <v/>
      </c>
      <c r="K46" s="115" t="inlineStr">
        <is>
          <t>Pending Solution</t>
        </is>
      </c>
      <c r="L46" s="115" t="n"/>
    </row>
    <row r="47" hidden="1" ht="15" customHeight="1" s="93">
      <c r="A47" s="115">
        <f>Backlog!A47</f>
        <v/>
      </c>
      <c r="B47" s="137">
        <f>IFERROR(IF(ISBLANK(INDEX(Backlog[Requirement Name],MATCH($A47,Backlog[Requirement ID],0))),"",INDEX(Backlog[Requirement Name],MATCH($A47,Backlog[Requirement ID],0))),"")</f>
        <v/>
      </c>
      <c r="C47" s="117">
        <f>IFERROR(IF(ISBLANK(INDEX(Backlog[Stream],MATCH($A47,Backlog[Requirement ID],0))),"",INDEX(Backlog[Stream],MATCH($A47,Backlog[Requirement ID],0))),"")</f>
        <v/>
      </c>
      <c r="D47" s="117">
        <f>IFERROR(IF(ISBLANK(INDEX(Backlog[Jira Link],MATCH($A47,Backlog[Requirement ID],0))),"",INDEX(Backlog[Jira Link],MATCH($A47,Backlog[Requirement ID],0))),"")</f>
        <v/>
      </c>
      <c r="E47" s="117">
        <f>IFERROR(IF(ISBLANK(INDEX(Backlog[Status],MATCH($A47,Backlog[Requirement ID],0))),"",INDEX(Backlog[Status],MATCH($A47,Backlog[Requirement ID],0))),"")</f>
        <v/>
      </c>
      <c r="F47" s="117">
        <f>IFERROR(IF(ISBLANK(INDEX(SprintPlanning[Sprint],MATCH($A47,SprintPlanning[Requirement ID],0))),"",INDEX(SprintPlanning[Sprint],MATCH($A47,SprintPlanning[Requirement ID],0))),"")</f>
        <v/>
      </c>
      <c r="G47" s="138" t="n"/>
      <c r="H47" s="139" t="n"/>
      <c r="I47" s="138" t="n"/>
      <c r="J47" s="117">
        <f>IFERROR(IF(ISBLANK(INDEX(Backlog[Priority],MATCH($A47,Backlog[Requirement ID],0))),"",INDEX(Backlog[Priority],MATCH($A47,Backlog[Requirement ID],0))),"")</f>
        <v/>
      </c>
      <c r="K47" s="115" t="inlineStr">
        <is>
          <t>Pending Solution</t>
        </is>
      </c>
      <c r="L47" s="115" t="n"/>
    </row>
    <row r="48" hidden="1" ht="15" customHeight="1" s="93">
      <c r="A48" s="115">
        <f>Backlog!A48</f>
        <v/>
      </c>
      <c r="B48" s="137">
        <f>IFERROR(IF(ISBLANK(INDEX(Backlog[Requirement Name],MATCH($A48,Backlog[Requirement ID],0))),"",INDEX(Backlog[Requirement Name],MATCH($A48,Backlog[Requirement ID],0))),"")</f>
        <v/>
      </c>
      <c r="C48" s="117">
        <f>IFERROR(IF(ISBLANK(INDEX(Backlog[Stream],MATCH($A48,Backlog[Requirement ID],0))),"",INDEX(Backlog[Stream],MATCH($A48,Backlog[Requirement ID],0))),"")</f>
        <v/>
      </c>
      <c r="D48" s="117">
        <f>IFERROR(IF(ISBLANK(INDEX(Backlog[Jira Link],MATCH($A48,Backlog[Requirement ID],0))),"",INDEX(Backlog[Jira Link],MATCH($A48,Backlog[Requirement ID],0))),"")</f>
        <v/>
      </c>
      <c r="E48" s="117">
        <f>IFERROR(IF(ISBLANK(INDEX(Backlog[Status],MATCH($A48,Backlog[Requirement ID],0))),"",INDEX(Backlog[Status],MATCH($A48,Backlog[Requirement ID],0))),"")</f>
        <v/>
      </c>
      <c r="F48" s="117">
        <f>IFERROR(IF(ISBLANK(INDEX(SprintPlanning[Sprint],MATCH($A48,SprintPlanning[Requirement ID],0))),"",INDEX(SprintPlanning[Sprint],MATCH($A48,SprintPlanning[Requirement ID],0))),"")</f>
        <v/>
      </c>
      <c r="G48" s="138" t="n"/>
      <c r="H48" s="139" t="n"/>
      <c r="I48" s="138" t="n"/>
      <c r="J48" s="117">
        <f>IFERROR(IF(ISBLANK(INDEX(Backlog[Priority],MATCH($A48,Backlog[Requirement ID],0))),"",INDEX(Backlog[Priority],MATCH($A48,Backlog[Requirement ID],0))),"")</f>
        <v/>
      </c>
      <c r="K48" s="115" t="inlineStr">
        <is>
          <t>Pending Design</t>
        </is>
      </c>
      <c r="L48" s="115" t="inlineStr">
        <is>
          <t>Yes</t>
        </is>
      </c>
    </row>
    <row r="49" hidden="1" ht="15" customHeight="1" s="93">
      <c r="A49" s="115">
        <f>Backlog!A49</f>
        <v/>
      </c>
      <c r="B49" s="137">
        <f>IFERROR(IF(ISBLANK(INDEX(Backlog[Requirement Name],MATCH($A49,Backlog[Requirement ID],0))),"",INDEX(Backlog[Requirement Name],MATCH($A49,Backlog[Requirement ID],0))),"")</f>
        <v/>
      </c>
      <c r="C49" s="117">
        <f>IFERROR(IF(ISBLANK(INDEX(Backlog[Stream],MATCH($A49,Backlog[Requirement ID],0))),"",INDEX(Backlog[Stream],MATCH($A49,Backlog[Requirement ID],0))),"")</f>
        <v/>
      </c>
      <c r="D49" s="117">
        <f>IFERROR(IF(ISBLANK(INDEX(Backlog[Jira Link],MATCH($A49,Backlog[Requirement ID],0))),"",INDEX(Backlog[Jira Link],MATCH($A49,Backlog[Requirement ID],0))),"")</f>
        <v/>
      </c>
      <c r="E49" s="117">
        <f>IFERROR(IF(ISBLANK(INDEX(Backlog[Status],MATCH($A49,Backlog[Requirement ID],0))),"",INDEX(Backlog[Status],MATCH($A49,Backlog[Requirement ID],0))),"")</f>
        <v/>
      </c>
      <c r="F49" s="117">
        <f>IFERROR(IF(ISBLANK(INDEX(SprintPlanning[Sprint],MATCH($A49,SprintPlanning[Requirement ID],0))),"",INDEX(SprintPlanning[Sprint],MATCH($A49,SprintPlanning[Requirement ID],0))),"")</f>
        <v/>
      </c>
      <c r="G49" s="138" t="n"/>
      <c r="H49" s="139" t="n"/>
      <c r="I49" s="138" t="n"/>
      <c r="J49" s="117">
        <f>IFERROR(IF(ISBLANK(INDEX(Backlog[Priority],MATCH($A49,Backlog[Requirement ID],0))),"",INDEX(Backlog[Priority],MATCH($A49,Backlog[Requirement ID],0))),"")</f>
        <v/>
      </c>
      <c r="K49" s="115" t="inlineStr">
        <is>
          <t>Ready for Development</t>
        </is>
      </c>
      <c r="L49" s="115" t="n"/>
    </row>
    <row r="50" hidden="1" ht="15" customHeight="1" s="93">
      <c r="A50" s="115">
        <f>Backlog!A50</f>
        <v/>
      </c>
      <c r="B50" s="137">
        <f>IFERROR(IF(ISBLANK(INDEX(Backlog[Requirement Name],MATCH($A50,Backlog[Requirement ID],0))),"",INDEX(Backlog[Requirement Name],MATCH($A50,Backlog[Requirement ID],0))),"")</f>
        <v/>
      </c>
      <c r="C50" s="117">
        <f>IFERROR(IF(ISBLANK(INDEX(Backlog[Stream],MATCH($A50,Backlog[Requirement ID],0))),"",INDEX(Backlog[Stream],MATCH($A50,Backlog[Requirement ID],0))),"")</f>
        <v/>
      </c>
      <c r="D50" s="117">
        <f>IFERROR(IF(ISBLANK(INDEX(Backlog[Jira Link],MATCH($A50,Backlog[Requirement ID],0))),"",INDEX(Backlog[Jira Link],MATCH($A50,Backlog[Requirement ID],0))),"")</f>
        <v/>
      </c>
      <c r="E50" s="117">
        <f>IFERROR(IF(ISBLANK(INDEX(Backlog[Status],MATCH($A50,Backlog[Requirement ID],0))),"",INDEX(Backlog[Status],MATCH($A50,Backlog[Requirement ID],0))),"")</f>
        <v/>
      </c>
      <c r="F50" s="117">
        <f>IFERROR(IF(ISBLANK(INDEX(SprintPlanning[Sprint],MATCH($A50,SprintPlanning[Requirement ID],0))),"",INDEX(SprintPlanning[Sprint],MATCH($A50,SprintPlanning[Requirement ID],0))),"")</f>
        <v/>
      </c>
      <c r="G50" s="138" t="n"/>
      <c r="H50" s="139" t="n"/>
      <c r="I50" s="138" t="n"/>
      <c r="J50" s="117">
        <f>IFERROR(IF(ISBLANK(INDEX(Backlog[Priority],MATCH($A50,Backlog[Requirement ID],0))),"",INDEX(Backlog[Priority],MATCH($A50,Backlog[Requirement ID],0))),"")</f>
        <v/>
      </c>
      <c r="K50" s="115" t="inlineStr">
        <is>
          <t>Ready for Development</t>
        </is>
      </c>
      <c r="L50" s="115" t="inlineStr">
        <is>
          <t>Yes</t>
        </is>
      </c>
    </row>
    <row r="51" ht="15" customHeight="1" s="93">
      <c r="A51" s="115">
        <f>Backlog!A51</f>
        <v/>
      </c>
      <c r="B51" s="137">
        <f>IFERROR(IF(ISBLANK(INDEX(Backlog[Requirement Name],MATCH($A51,Backlog[Requirement ID],0))),"",INDEX(Backlog[Requirement Name],MATCH($A51,Backlog[Requirement ID],0))),"")</f>
        <v/>
      </c>
      <c r="C51" s="117">
        <f>IFERROR(IF(ISBLANK(INDEX(Backlog[Stream],MATCH($A51,Backlog[Requirement ID],0))),"",INDEX(Backlog[Stream],MATCH($A51,Backlog[Requirement ID],0))),"")</f>
        <v/>
      </c>
      <c r="D51" s="117">
        <f>IFERROR(IF(ISBLANK(INDEX(Backlog[Jira Link],MATCH($A51,Backlog[Requirement ID],0))),"",INDEX(Backlog[Jira Link],MATCH($A51,Backlog[Requirement ID],0))),"")</f>
        <v/>
      </c>
      <c r="E51" s="117">
        <f>IFERROR(IF(ISBLANK(INDEX(Backlog[Status],MATCH($A51,Backlog[Requirement ID],0))),"",INDEX(Backlog[Status],MATCH($A51,Backlog[Requirement ID],0))),"")</f>
        <v/>
      </c>
      <c r="F51" s="117">
        <f>IFERROR(IF(ISBLANK(INDEX(SprintPlanning[Sprint],MATCH($A51,SprintPlanning[Requirement ID],0))),"",INDEX(SprintPlanning[Sprint],MATCH($A51,SprintPlanning[Requirement ID],0))),"")</f>
        <v/>
      </c>
      <c r="G51" s="138" t="inlineStr">
        <is>
          <t>No</t>
        </is>
      </c>
      <c r="H51" s="139" t="n"/>
      <c r="I51" s="138" t="n"/>
      <c r="J51" s="117">
        <f>IFERROR(IF(ISBLANK(INDEX(Backlog[Priority],MATCH($A51,Backlog[Requirement ID],0))),"",INDEX(Backlog[Priority],MATCH($A51,Backlog[Requirement ID],0))),"")</f>
        <v/>
      </c>
      <c r="K51" s="115" t="inlineStr">
        <is>
          <t>No Design Required</t>
        </is>
      </c>
      <c r="L51" s="115" t="inlineStr">
        <is>
          <t>Yes</t>
        </is>
      </c>
    </row>
    <row r="52" hidden="1" ht="15" customHeight="1" s="93">
      <c r="A52" s="115">
        <f>Backlog!A52</f>
        <v/>
      </c>
      <c r="B52" s="137">
        <f>IFERROR(IF(ISBLANK(INDEX(Backlog[Requirement Name],MATCH($A52,Backlog[Requirement ID],0))),"",INDEX(Backlog[Requirement Name],MATCH($A52,Backlog[Requirement ID],0))),"")</f>
        <v/>
      </c>
      <c r="C52" s="117">
        <f>IFERROR(IF(ISBLANK(INDEX(Backlog[Stream],MATCH($A52,Backlog[Requirement ID],0))),"",INDEX(Backlog[Stream],MATCH($A52,Backlog[Requirement ID],0))),"")</f>
        <v/>
      </c>
      <c r="D52" s="117">
        <f>IFERROR(IF(ISBLANK(INDEX(Backlog[Jira Link],MATCH($A52,Backlog[Requirement ID],0))),"",INDEX(Backlog[Jira Link],MATCH($A52,Backlog[Requirement ID],0))),"")</f>
        <v/>
      </c>
      <c r="E52" s="117">
        <f>IFERROR(IF(ISBLANK(INDEX(Backlog[Status],MATCH($A52,Backlog[Requirement ID],0))),"",INDEX(Backlog[Status],MATCH($A52,Backlog[Requirement ID],0))),"")</f>
        <v/>
      </c>
      <c r="F52" s="117">
        <f>IFERROR(IF(ISBLANK(INDEX(SprintPlanning[Sprint],MATCH($A52,SprintPlanning[Requirement ID],0))),"",INDEX(SprintPlanning[Sprint],MATCH($A52,SprintPlanning[Requirement ID],0))),"")</f>
        <v/>
      </c>
      <c r="G52" s="138" t="n"/>
      <c r="H52" s="139" t="n"/>
      <c r="I52" s="138" t="n"/>
      <c r="J52" s="117">
        <f>IFERROR(IF(ISBLANK(INDEX(Backlog[Priority],MATCH($A52,Backlog[Requirement ID],0))),"",INDEX(Backlog[Priority],MATCH($A52,Backlog[Requirement ID],0))),"")</f>
        <v/>
      </c>
      <c r="K52" s="115" t="inlineStr">
        <is>
          <t>Pending Solution</t>
        </is>
      </c>
      <c r="L52" s="115" t="n"/>
    </row>
    <row r="53" hidden="1" ht="15" customHeight="1" s="93">
      <c r="A53" s="115">
        <f>Backlog!A53</f>
        <v/>
      </c>
      <c r="B53" s="137">
        <f>IFERROR(IF(ISBLANK(INDEX(Backlog[Requirement Name],MATCH($A53,Backlog[Requirement ID],0))),"",INDEX(Backlog[Requirement Name],MATCH($A53,Backlog[Requirement ID],0))),"")</f>
        <v/>
      </c>
      <c r="C53" s="117">
        <f>IFERROR(IF(ISBLANK(INDEX(Backlog[Stream],MATCH($A53,Backlog[Requirement ID],0))),"",INDEX(Backlog[Stream],MATCH($A53,Backlog[Requirement ID],0))),"")</f>
        <v/>
      </c>
      <c r="D53" s="117">
        <f>IFERROR(IF(ISBLANK(INDEX(Backlog[Jira Link],MATCH($A53,Backlog[Requirement ID],0))),"",INDEX(Backlog[Jira Link],MATCH($A53,Backlog[Requirement ID],0))),"")</f>
        <v/>
      </c>
      <c r="E53" s="117">
        <f>IFERROR(IF(ISBLANK(INDEX(Backlog[Status],MATCH($A53,Backlog[Requirement ID],0))),"",INDEX(Backlog[Status],MATCH($A53,Backlog[Requirement ID],0))),"")</f>
        <v/>
      </c>
      <c r="F53" s="117">
        <f>IFERROR(IF(ISBLANK(INDEX(SprintPlanning[Sprint],MATCH($A53,SprintPlanning[Requirement ID],0))),"",INDEX(SprintPlanning[Sprint],MATCH($A53,SprintPlanning[Requirement ID],0))),"")</f>
        <v/>
      </c>
      <c r="G53" s="138" t="n"/>
      <c r="H53" s="139" t="n"/>
      <c r="I53" s="138" t="n"/>
      <c r="J53" s="117">
        <f>IFERROR(IF(ISBLANK(INDEX(Backlog[Priority],MATCH($A53,Backlog[Requirement ID],0))),"",INDEX(Backlog[Priority],MATCH($A53,Backlog[Requirement ID],0))),"")</f>
        <v/>
      </c>
      <c r="K53" s="115" t="inlineStr">
        <is>
          <t>Pending Solution</t>
        </is>
      </c>
      <c r="L53" s="115" t="n"/>
    </row>
    <row r="54" hidden="1" ht="15" customHeight="1" s="93">
      <c r="A54" s="115">
        <f>Backlog!A54</f>
        <v/>
      </c>
      <c r="B54" s="137">
        <f>IFERROR(IF(ISBLANK(INDEX(Backlog[Requirement Name],MATCH($A54,Backlog[Requirement ID],0))),"",INDEX(Backlog[Requirement Name],MATCH($A54,Backlog[Requirement ID],0))),"")</f>
        <v/>
      </c>
      <c r="C54" s="117">
        <f>IFERROR(IF(ISBLANK(INDEX(Backlog[Stream],MATCH($A54,Backlog[Requirement ID],0))),"",INDEX(Backlog[Stream],MATCH($A54,Backlog[Requirement ID],0))),"")</f>
        <v/>
      </c>
      <c r="D54" s="117">
        <f>IFERROR(IF(ISBLANK(INDEX(Backlog[Jira Link],MATCH($A54,Backlog[Requirement ID],0))),"",INDEX(Backlog[Jira Link],MATCH($A54,Backlog[Requirement ID],0))),"")</f>
        <v/>
      </c>
      <c r="E54" s="117">
        <f>IFERROR(IF(ISBLANK(INDEX(Backlog[Status],MATCH($A54,Backlog[Requirement ID],0))),"",INDEX(Backlog[Status],MATCH($A54,Backlog[Requirement ID],0))),"")</f>
        <v/>
      </c>
      <c r="F54" s="117">
        <f>IFERROR(IF(ISBLANK(INDEX(SprintPlanning[Sprint],MATCH($A54,SprintPlanning[Requirement ID],0))),"",INDEX(SprintPlanning[Sprint],MATCH($A54,SprintPlanning[Requirement ID],0))),"")</f>
        <v/>
      </c>
      <c r="G54" s="138" t="n"/>
      <c r="H54" s="139" t="n"/>
      <c r="I54" s="138" t="n"/>
      <c r="J54" s="117">
        <f>IFERROR(IF(ISBLANK(INDEX(Backlog[Priority],MATCH($A54,Backlog[Requirement ID],0))),"",INDEX(Backlog[Priority],MATCH($A54,Backlog[Requirement ID],0))),"")</f>
        <v/>
      </c>
      <c r="K54" s="115" t="inlineStr">
        <is>
          <t>Pending Design</t>
        </is>
      </c>
      <c r="L54" s="115" t="n"/>
    </row>
    <row r="55" hidden="1" ht="15" customHeight="1" s="93">
      <c r="A55" s="115">
        <f>Backlog!A55</f>
        <v/>
      </c>
      <c r="B55" s="137">
        <f>IFERROR(IF(ISBLANK(INDEX(Backlog[Requirement Name],MATCH($A55,Backlog[Requirement ID],0))),"",INDEX(Backlog[Requirement Name],MATCH($A55,Backlog[Requirement ID],0))),"")</f>
        <v/>
      </c>
      <c r="C55" s="117">
        <f>IFERROR(IF(ISBLANK(INDEX(Backlog[Stream],MATCH($A55,Backlog[Requirement ID],0))),"",INDEX(Backlog[Stream],MATCH($A55,Backlog[Requirement ID],0))),"")</f>
        <v/>
      </c>
      <c r="D55" s="117">
        <f>IFERROR(IF(ISBLANK(INDEX(Backlog[Jira Link],MATCH($A55,Backlog[Requirement ID],0))),"",INDEX(Backlog[Jira Link],MATCH($A55,Backlog[Requirement ID],0))),"")</f>
        <v/>
      </c>
      <c r="E55" s="117">
        <f>IFERROR(IF(ISBLANK(INDEX(Backlog[Status],MATCH($A55,Backlog[Requirement ID],0))),"",INDEX(Backlog[Status],MATCH($A55,Backlog[Requirement ID],0))),"")</f>
        <v/>
      </c>
      <c r="F55" s="117">
        <f>IFERROR(IF(ISBLANK(INDEX(SprintPlanning[Sprint],MATCH($A55,SprintPlanning[Requirement ID],0))),"",INDEX(SprintPlanning[Sprint],MATCH($A55,SprintPlanning[Requirement ID],0))),"")</f>
        <v/>
      </c>
      <c r="G55" s="138" t="n"/>
      <c r="H55" s="139" t="n"/>
      <c r="I55" s="138" t="n"/>
      <c r="J55" s="117">
        <f>IFERROR(IF(ISBLANK(INDEX(Backlog[Priority],MATCH($A55,Backlog[Requirement ID],0))),"",INDEX(Backlog[Priority],MATCH($A55,Backlog[Requirement ID],0))),"")</f>
        <v/>
      </c>
      <c r="K55" s="115" t="inlineStr">
        <is>
          <t>Pending Solution</t>
        </is>
      </c>
      <c r="L55" s="115" t="n"/>
    </row>
    <row r="56" hidden="1" ht="15" customHeight="1" s="93">
      <c r="A56" s="115">
        <f>Backlog!A56</f>
        <v/>
      </c>
      <c r="B56" s="137">
        <f>IFERROR(IF(ISBLANK(INDEX(Backlog[Requirement Name],MATCH($A56,Backlog[Requirement ID],0))),"",INDEX(Backlog[Requirement Name],MATCH($A56,Backlog[Requirement ID],0))),"")</f>
        <v/>
      </c>
      <c r="C56" s="117">
        <f>IFERROR(IF(ISBLANK(INDEX(Backlog[Stream],MATCH($A56,Backlog[Requirement ID],0))),"",INDEX(Backlog[Stream],MATCH($A56,Backlog[Requirement ID],0))),"")</f>
        <v/>
      </c>
      <c r="D56" s="117">
        <f>IFERROR(IF(ISBLANK(INDEX(Backlog[Jira Link],MATCH($A56,Backlog[Requirement ID],0))),"",INDEX(Backlog[Jira Link],MATCH($A56,Backlog[Requirement ID],0))),"")</f>
        <v/>
      </c>
      <c r="E56" s="117">
        <f>IFERROR(IF(ISBLANK(INDEX(Backlog[Status],MATCH($A56,Backlog[Requirement ID],0))),"",INDEX(Backlog[Status],MATCH($A56,Backlog[Requirement ID],0))),"")</f>
        <v/>
      </c>
      <c r="F56" s="117">
        <f>IFERROR(IF(ISBLANK(INDEX(SprintPlanning[Sprint],MATCH($A56,SprintPlanning[Requirement ID],0))),"",INDEX(SprintPlanning[Sprint],MATCH($A56,SprintPlanning[Requirement ID],0))),"")</f>
        <v/>
      </c>
      <c r="G56" s="138" t="n"/>
      <c r="H56" s="139" t="n"/>
      <c r="I56" s="138" t="n"/>
      <c r="J56" s="117">
        <f>IFERROR(IF(ISBLANK(INDEX(Backlog[Priority],MATCH($A56,Backlog[Requirement ID],0))),"",INDEX(Backlog[Priority],MATCH($A56,Backlog[Requirement ID],0))),"")</f>
        <v/>
      </c>
      <c r="K56" s="115" t="n"/>
      <c r="L56" s="115" t="n"/>
    </row>
    <row r="57" hidden="1" ht="15" customHeight="1" s="93">
      <c r="A57" s="115">
        <f>Backlog!A57</f>
        <v/>
      </c>
      <c r="B57" s="137">
        <f>IFERROR(IF(ISBLANK(INDEX(Backlog[Requirement Name],MATCH($A57,Backlog[Requirement ID],0))),"",INDEX(Backlog[Requirement Name],MATCH($A57,Backlog[Requirement ID],0))),"")</f>
        <v/>
      </c>
      <c r="C57" s="117">
        <f>IFERROR(IF(ISBLANK(INDEX(Backlog[Stream],MATCH($A57,Backlog[Requirement ID],0))),"",INDEX(Backlog[Stream],MATCH($A57,Backlog[Requirement ID],0))),"")</f>
        <v/>
      </c>
      <c r="D57" s="117">
        <f>IFERROR(IF(ISBLANK(INDEX(Backlog[Jira Link],MATCH($A57,Backlog[Requirement ID],0))),"",INDEX(Backlog[Jira Link],MATCH($A57,Backlog[Requirement ID],0))),"")</f>
        <v/>
      </c>
      <c r="E57" s="117">
        <f>IFERROR(IF(ISBLANK(INDEX(Backlog[Status],MATCH($A57,Backlog[Requirement ID],0))),"",INDEX(Backlog[Status],MATCH($A57,Backlog[Requirement ID],0))),"")</f>
        <v/>
      </c>
      <c r="F57" s="117">
        <f>IFERROR(IF(ISBLANK(INDEX(SprintPlanning[Sprint],MATCH($A57,SprintPlanning[Requirement ID],0))),"",INDEX(SprintPlanning[Sprint],MATCH($A57,SprintPlanning[Requirement ID],0))),"")</f>
        <v/>
      </c>
      <c r="G57" s="138" t="n"/>
      <c r="H57" s="139" t="n"/>
      <c r="I57" s="138" t="n"/>
      <c r="J57" s="117">
        <f>IFERROR(IF(ISBLANK(INDEX(Backlog[Priority],MATCH($A57,Backlog[Requirement ID],0))),"",INDEX(Backlog[Priority],MATCH($A57,Backlog[Requirement ID],0))),"")</f>
        <v/>
      </c>
      <c r="K57" s="115" t="inlineStr">
        <is>
          <t>Pending Solution</t>
        </is>
      </c>
      <c r="L57" s="115" t="n"/>
    </row>
    <row r="58" hidden="1" ht="15" customHeight="1" s="93">
      <c r="A58" s="115">
        <f>Backlog!A58</f>
        <v/>
      </c>
      <c r="B58" s="137">
        <f>IFERROR(IF(ISBLANK(INDEX(Backlog[Requirement Name],MATCH($A58,Backlog[Requirement ID],0))),"",INDEX(Backlog[Requirement Name],MATCH($A58,Backlog[Requirement ID],0))),"")</f>
        <v/>
      </c>
      <c r="C58" s="117">
        <f>IFERROR(IF(ISBLANK(INDEX(Backlog[Stream],MATCH($A58,Backlog[Requirement ID],0))),"",INDEX(Backlog[Stream],MATCH($A58,Backlog[Requirement ID],0))),"")</f>
        <v/>
      </c>
      <c r="D58" s="117">
        <f>IFERROR(IF(ISBLANK(INDEX(Backlog[Jira Link],MATCH($A58,Backlog[Requirement ID],0))),"",INDEX(Backlog[Jira Link],MATCH($A58,Backlog[Requirement ID],0))),"")</f>
        <v/>
      </c>
      <c r="E58" s="117">
        <f>IFERROR(IF(ISBLANK(INDEX(Backlog[Status],MATCH($A58,Backlog[Requirement ID],0))),"",INDEX(Backlog[Status],MATCH($A58,Backlog[Requirement ID],0))),"")</f>
        <v/>
      </c>
      <c r="F58" s="117">
        <f>IFERROR(IF(ISBLANK(INDEX(SprintPlanning[Sprint],MATCH($A58,SprintPlanning[Requirement ID],0))),"",INDEX(SprintPlanning[Sprint],MATCH($A58,SprintPlanning[Requirement ID],0))),"")</f>
        <v/>
      </c>
      <c r="G58" s="138" t="n"/>
      <c r="H58" s="139" t="n"/>
      <c r="I58" s="138" t="n"/>
      <c r="J58" s="117">
        <f>IFERROR(IF(ISBLANK(INDEX(Backlog[Priority],MATCH($A58,Backlog[Requirement ID],0))),"",INDEX(Backlog[Priority],MATCH($A58,Backlog[Requirement ID],0))),"")</f>
        <v/>
      </c>
      <c r="K58" s="115" t="inlineStr">
        <is>
          <t>Pending Solution</t>
        </is>
      </c>
      <c r="L58" s="115" t="n"/>
    </row>
    <row r="59" hidden="1" ht="15" customHeight="1" s="93">
      <c r="A59" s="115">
        <f>Backlog!A59</f>
        <v/>
      </c>
      <c r="B59" s="137">
        <f>IFERROR(IF(ISBLANK(INDEX(Backlog[Requirement Name],MATCH($A59,Backlog[Requirement ID],0))),"",INDEX(Backlog[Requirement Name],MATCH($A59,Backlog[Requirement ID],0))),"")</f>
        <v/>
      </c>
      <c r="C59" s="117">
        <f>IFERROR(IF(ISBLANK(INDEX(Backlog[Stream],MATCH($A59,Backlog[Requirement ID],0))),"",INDEX(Backlog[Stream],MATCH($A59,Backlog[Requirement ID],0))),"")</f>
        <v/>
      </c>
      <c r="D59" s="117">
        <f>IFERROR(IF(ISBLANK(INDEX(Backlog[Jira Link],MATCH($A59,Backlog[Requirement ID],0))),"",INDEX(Backlog[Jira Link],MATCH($A59,Backlog[Requirement ID],0))),"")</f>
        <v/>
      </c>
      <c r="E59" s="117">
        <f>IFERROR(IF(ISBLANK(INDEX(Backlog[Status],MATCH($A59,Backlog[Requirement ID],0))),"",INDEX(Backlog[Status],MATCH($A59,Backlog[Requirement ID],0))),"")</f>
        <v/>
      </c>
      <c r="F59" s="117">
        <f>IFERROR(IF(ISBLANK(INDEX(SprintPlanning[Sprint],MATCH($A59,SprintPlanning[Requirement ID],0))),"",INDEX(SprintPlanning[Sprint],MATCH($A59,SprintPlanning[Requirement ID],0))),"")</f>
        <v/>
      </c>
      <c r="G59" s="138" t="n"/>
      <c r="H59" s="139" t="n"/>
      <c r="I59" s="138" t="n"/>
      <c r="J59" s="117">
        <f>IFERROR(IF(ISBLANK(INDEX(Backlog[Priority],MATCH($A59,Backlog[Requirement ID],0))),"",INDEX(Backlog[Priority],MATCH($A59,Backlog[Requirement ID],0))),"")</f>
        <v/>
      </c>
      <c r="K59" s="115" t="inlineStr">
        <is>
          <t>Pending Solution</t>
        </is>
      </c>
      <c r="L59" s="115" t="n"/>
    </row>
    <row r="60" hidden="1" ht="15" customHeight="1" s="93">
      <c r="A60" s="115">
        <f>Backlog!A60</f>
        <v/>
      </c>
      <c r="B60" s="137">
        <f>IFERROR(IF(ISBLANK(INDEX(Backlog[Requirement Name],MATCH($A60,Backlog[Requirement ID],0))),"",INDEX(Backlog[Requirement Name],MATCH($A60,Backlog[Requirement ID],0))),"")</f>
        <v/>
      </c>
      <c r="C60" s="117">
        <f>IFERROR(IF(ISBLANK(INDEX(Backlog[Stream],MATCH($A60,Backlog[Requirement ID],0))),"",INDEX(Backlog[Stream],MATCH($A60,Backlog[Requirement ID],0))),"")</f>
        <v/>
      </c>
      <c r="D60" s="117">
        <f>IFERROR(IF(ISBLANK(INDEX(Backlog[Jira Link],MATCH($A60,Backlog[Requirement ID],0))),"",INDEX(Backlog[Jira Link],MATCH($A60,Backlog[Requirement ID],0))),"")</f>
        <v/>
      </c>
      <c r="E60" s="117">
        <f>IFERROR(IF(ISBLANK(INDEX(Backlog[Status],MATCH($A60,Backlog[Requirement ID],0))),"",INDEX(Backlog[Status],MATCH($A60,Backlog[Requirement ID],0))),"")</f>
        <v/>
      </c>
      <c r="F60" s="117">
        <f>IFERROR(IF(ISBLANK(INDEX(SprintPlanning[Sprint],MATCH($A60,SprintPlanning[Requirement ID],0))),"",INDEX(SprintPlanning[Sprint],MATCH($A60,SprintPlanning[Requirement ID],0))),"")</f>
        <v/>
      </c>
      <c r="G60" s="138" t="n"/>
      <c r="H60" s="139" t="n"/>
      <c r="I60" s="138" t="n"/>
      <c r="J60" s="117">
        <f>IFERROR(IF(ISBLANK(INDEX(Backlog[Priority],MATCH($A60,Backlog[Requirement ID],0))),"",INDEX(Backlog[Priority],MATCH($A60,Backlog[Requirement ID],0))),"")</f>
        <v/>
      </c>
      <c r="K60" s="115" t="n"/>
      <c r="L60" s="115" t="n"/>
    </row>
    <row r="61" hidden="1" ht="15" customHeight="1" s="93">
      <c r="A61" s="115">
        <f>Backlog!A61</f>
        <v/>
      </c>
      <c r="B61" s="137">
        <f>IFERROR(IF(ISBLANK(INDEX(Backlog[Requirement Name],MATCH($A61,Backlog[Requirement ID],0))),"",INDEX(Backlog[Requirement Name],MATCH($A61,Backlog[Requirement ID],0))),"")</f>
        <v/>
      </c>
      <c r="C61" s="117">
        <f>IFERROR(IF(ISBLANK(INDEX(Backlog[Stream],MATCH($A61,Backlog[Requirement ID],0))),"",INDEX(Backlog[Stream],MATCH($A61,Backlog[Requirement ID],0))),"")</f>
        <v/>
      </c>
      <c r="D61" s="117">
        <f>IFERROR(IF(ISBLANK(INDEX(Backlog[Jira Link],MATCH($A61,Backlog[Requirement ID],0))),"",INDEX(Backlog[Jira Link],MATCH($A61,Backlog[Requirement ID],0))),"")</f>
        <v/>
      </c>
      <c r="E61" s="117">
        <f>IFERROR(IF(ISBLANK(INDEX(Backlog[Status],MATCH($A61,Backlog[Requirement ID],0))),"",INDEX(Backlog[Status],MATCH($A61,Backlog[Requirement ID],0))),"")</f>
        <v/>
      </c>
      <c r="F61" s="117">
        <f>IFERROR(IF(ISBLANK(INDEX(SprintPlanning[Sprint],MATCH($A61,SprintPlanning[Requirement ID],0))),"",INDEX(SprintPlanning[Sprint],MATCH($A61,SprintPlanning[Requirement ID],0))),"")</f>
        <v/>
      </c>
      <c r="G61" s="138" t="n"/>
      <c r="H61" s="139" t="n"/>
      <c r="I61" s="138" t="n"/>
      <c r="J61" s="117">
        <f>IFERROR(IF(ISBLANK(INDEX(Backlog[Priority],MATCH($A61,Backlog[Requirement ID],0))),"",INDEX(Backlog[Priority],MATCH($A61,Backlog[Requirement ID],0))),"")</f>
        <v/>
      </c>
      <c r="K61" s="115" t="n"/>
      <c r="L61" s="115" t="n"/>
    </row>
    <row r="62" hidden="1" ht="15" customHeight="1" s="93">
      <c r="A62" s="115">
        <f>Backlog!A62</f>
        <v/>
      </c>
      <c r="B62" s="137">
        <f>IFERROR(IF(ISBLANK(INDEX(Backlog[Requirement Name],MATCH($A62,Backlog[Requirement ID],0))),"",INDEX(Backlog[Requirement Name],MATCH($A62,Backlog[Requirement ID],0))),"")</f>
        <v/>
      </c>
      <c r="C62" s="117">
        <f>IFERROR(IF(ISBLANK(INDEX(Backlog[Stream],MATCH($A62,Backlog[Requirement ID],0))),"",INDEX(Backlog[Stream],MATCH($A62,Backlog[Requirement ID],0))),"")</f>
        <v/>
      </c>
      <c r="D62" s="117">
        <f>IFERROR(IF(ISBLANK(INDEX(Backlog[Jira Link],MATCH($A62,Backlog[Requirement ID],0))),"",INDEX(Backlog[Jira Link],MATCH($A62,Backlog[Requirement ID],0))),"")</f>
        <v/>
      </c>
      <c r="E62" s="117">
        <f>IFERROR(IF(ISBLANK(INDEX(Backlog[Status],MATCH($A62,Backlog[Requirement ID],0))),"",INDEX(Backlog[Status],MATCH($A62,Backlog[Requirement ID],0))),"")</f>
        <v/>
      </c>
      <c r="F62" s="117">
        <f>IFERROR(IF(ISBLANK(INDEX(SprintPlanning[Sprint],MATCH($A62,SprintPlanning[Requirement ID],0))),"",INDEX(SprintPlanning[Sprint],MATCH($A62,SprintPlanning[Requirement ID],0))),"")</f>
        <v/>
      </c>
      <c r="G62" s="138" t="n"/>
      <c r="H62" s="139" t="n"/>
      <c r="I62" s="138" t="n"/>
      <c r="J62" s="117">
        <f>IFERROR(IF(ISBLANK(INDEX(Backlog[Priority],MATCH($A62,Backlog[Requirement ID],0))),"",INDEX(Backlog[Priority],MATCH($A62,Backlog[Requirement ID],0))),"")</f>
        <v/>
      </c>
      <c r="K62" s="115" t="inlineStr">
        <is>
          <t>Pending Solution</t>
        </is>
      </c>
      <c r="L62" s="115" t="n"/>
    </row>
    <row r="63" hidden="1" ht="15" customHeight="1" s="93">
      <c r="A63" s="115">
        <f>Backlog!A63</f>
        <v/>
      </c>
      <c r="B63" s="137">
        <f>IFERROR(IF(ISBLANK(INDEX(Backlog[Requirement Name],MATCH($A63,Backlog[Requirement ID],0))),"",INDEX(Backlog[Requirement Name],MATCH($A63,Backlog[Requirement ID],0))),"")</f>
        <v/>
      </c>
      <c r="C63" s="117">
        <f>IFERROR(IF(ISBLANK(INDEX(Backlog[Stream],MATCH($A63,Backlog[Requirement ID],0))),"",INDEX(Backlog[Stream],MATCH($A63,Backlog[Requirement ID],0))),"")</f>
        <v/>
      </c>
      <c r="D63" s="117">
        <f>IFERROR(IF(ISBLANK(INDEX(Backlog[Jira Link],MATCH($A63,Backlog[Requirement ID],0))),"",INDEX(Backlog[Jira Link],MATCH($A63,Backlog[Requirement ID],0))),"")</f>
        <v/>
      </c>
      <c r="E63" s="117">
        <f>IFERROR(IF(ISBLANK(INDEX(Backlog[Status],MATCH($A63,Backlog[Requirement ID],0))),"",INDEX(Backlog[Status],MATCH($A63,Backlog[Requirement ID],0))),"")</f>
        <v/>
      </c>
      <c r="F63" s="117">
        <f>IFERROR(IF(ISBLANK(INDEX(SprintPlanning[Sprint],MATCH($A63,SprintPlanning[Requirement ID],0))),"",INDEX(SprintPlanning[Sprint],MATCH($A63,SprintPlanning[Requirement ID],0))),"")</f>
        <v/>
      </c>
      <c r="G63" s="138" t="n"/>
      <c r="H63" s="139" t="n"/>
      <c r="I63" s="138" t="n"/>
      <c r="J63" s="117">
        <f>IFERROR(IF(ISBLANK(INDEX(Backlog[Priority],MATCH($A63,Backlog[Requirement ID],0))),"",INDEX(Backlog[Priority],MATCH($A63,Backlog[Requirement ID],0))),"")</f>
        <v/>
      </c>
      <c r="K63" s="115" t="inlineStr">
        <is>
          <t>Pending Solution</t>
        </is>
      </c>
      <c r="L63" s="115" t="n"/>
    </row>
    <row r="64" hidden="1" ht="15" customHeight="1" s="93">
      <c r="A64" s="115">
        <f>Backlog!A64</f>
        <v/>
      </c>
      <c r="B64" s="137">
        <f>IFERROR(IF(ISBLANK(INDEX(Backlog[Requirement Name],MATCH($A64,Backlog[Requirement ID],0))),"",INDEX(Backlog[Requirement Name],MATCH($A64,Backlog[Requirement ID],0))),"")</f>
        <v/>
      </c>
      <c r="C64" s="117">
        <f>IFERROR(IF(ISBLANK(INDEX(Backlog[Stream],MATCH($A64,Backlog[Requirement ID],0))),"",INDEX(Backlog[Stream],MATCH($A64,Backlog[Requirement ID],0))),"")</f>
        <v/>
      </c>
      <c r="D64" s="117">
        <f>IFERROR(IF(ISBLANK(INDEX(Backlog[Jira Link],MATCH($A64,Backlog[Requirement ID],0))),"",INDEX(Backlog[Jira Link],MATCH($A64,Backlog[Requirement ID],0))),"")</f>
        <v/>
      </c>
      <c r="E64" s="117">
        <f>IFERROR(IF(ISBLANK(INDEX(Backlog[Status],MATCH($A64,Backlog[Requirement ID],0))),"",INDEX(Backlog[Status],MATCH($A64,Backlog[Requirement ID],0))),"")</f>
        <v/>
      </c>
      <c r="F64" s="117">
        <f>IFERROR(IF(ISBLANK(INDEX(SprintPlanning[Sprint],MATCH($A64,SprintPlanning[Requirement ID],0))),"",INDEX(SprintPlanning[Sprint],MATCH($A64,SprintPlanning[Requirement ID],0))),"")</f>
        <v/>
      </c>
      <c r="G64" s="138" t="n"/>
      <c r="H64" s="139" t="n"/>
      <c r="I64" s="138" t="n"/>
      <c r="J64" s="117">
        <f>IFERROR(IF(ISBLANK(INDEX(Backlog[Priority],MATCH($A64,Backlog[Requirement ID],0))),"",INDEX(Backlog[Priority],MATCH($A64,Backlog[Requirement ID],0))),"")</f>
        <v/>
      </c>
      <c r="K64" s="115" t="inlineStr">
        <is>
          <t>Pending Solution</t>
        </is>
      </c>
      <c r="L64" s="115" t="n"/>
    </row>
    <row r="65" hidden="1" ht="15" customHeight="1" s="93">
      <c r="A65" s="115">
        <f>Backlog!A65</f>
        <v/>
      </c>
      <c r="B65" s="137">
        <f>IFERROR(IF(ISBLANK(INDEX(Backlog[Requirement Name],MATCH($A65,Backlog[Requirement ID],0))),"",INDEX(Backlog[Requirement Name],MATCH($A65,Backlog[Requirement ID],0))),"")</f>
        <v/>
      </c>
      <c r="C65" s="117">
        <f>IFERROR(IF(ISBLANK(INDEX(Backlog[Stream],MATCH($A65,Backlog[Requirement ID],0))),"",INDEX(Backlog[Stream],MATCH($A65,Backlog[Requirement ID],0))),"")</f>
        <v/>
      </c>
      <c r="D65" s="117">
        <f>IFERROR(IF(ISBLANK(INDEX(Backlog[Jira Link],MATCH($A65,Backlog[Requirement ID],0))),"",INDEX(Backlog[Jira Link],MATCH($A65,Backlog[Requirement ID],0))),"")</f>
        <v/>
      </c>
      <c r="E65" s="117">
        <f>IFERROR(IF(ISBLANK(INDEX(Backlog[Status],MATCH($A65,Backlog[Requirement ID],0))),"",INDEX(Backlog[Status],MATCH($A65,Backlog[Requirement ID],0))),"")</f>
        <v/>
      </c>
      <c r="F65" s="117">
        <f>IFERROR(IF(ISBLANK(INDEX(SprintPlanning[Sprint],MATCH($A65,SprintPlanning[Requirement ID],0))),"",INDEX(SprintPlanning[Sprint],MATCH($A65,SprintPlanning[Requirement ID],0))),"")</f>
        <v/>
      </c>
      <c r="G65" s="138" t="n"/>
      <c r="H65" s="139" t="n"/>
      <c r="I65" s="138" t="n"/>
      <c r="J65" s="117">
        <f>IFERROR(IF(ISBLANK(INDEX(Backlog[Priority],MATCH($A65,Backlog[Requirement ID],0))),"",INDEX(Backlog[Priority],MATCH($A65,Backlog[Requirement ID],0))),"")</f>
        <v/>
      </c>
      <c r="K65" s="115" t="n"/>
      <c r="L65" s="115" t="n"/>
    </row>
    <row r="66" hidden="1" ht="15" customHeight="1" s="93">
      <c r="A66" s="115">
        <f>Backlog!A66</f>
        <v/>
      </c>
      <c r="B66" s="137">
        <f>IFERROR(IF(ISBLANK(INDEX(Backlog[Requirement Name],MATCH($A66,Backlog[Requirement ID],0))),"",INDEX(Backlog[Requirement Name],MATCH($A66,Backlog[Requirement ID],0))),"")</f>
        <v/>
      </c>
      <c r="C66" s="117">
        <f>IFERROR(IF(ISBLANK(INDEX(Backlog[Stream],MATCH($A66,Backlog[Requirement ID],0))),"",INDEX(Backlog[Stream],MATCH($A66,Backlog[Requirement ID],0))),"")</f>
        <v/>
      </c>
      <c r="D66" s="117">
        <f>IFERROR(IF(ISBLANK(INDEX(Backlog[Jira Link],MATCH($A66,Backlog[Requirement ID],0))),"",INDEX(Backlog[Jira Link],MATCH($A66,Backlog[Requirement ID],0))),"")</f>
        <v/>
      </c>
      <c r="E66" s="117">
        <f>IFERROR(IF(ISBLANK(INDEX(Backlog[Status],MATCH($A66,Backlog[Requirement ID],0))),"",INDEX(Backlog[Status],MATCH($A66,Backlog[Requirement ID],0))),"")</f>
        <v/>
      </c>
      <c r="F66" s="117">
        <f>IFERROR(IF(ISBLANK(INDEX(SprintPlanning[Sprint],MATCH($A66,SprintPlanning[Requirement ID],0))),"",INDEX(SprintPlanning[Sprint],MATCH($A66,SprintPlanning[Requirement ID],0))),"")</f>
        <v/>
      </c>
      <c r="G66" s="138" t="n"/>
      <c r="H66" s="139" t="n"/>
      <c r="I66" s="138" t="n"/>
      <c r="J66" s="117">
        <f>IFERROR(IF(ISBLANK(INDEX(Backlog[Priority],MATCH($A66,Backlog[Requirement ID],0))),"",INDEX(Backlog[Priority],MATCH($A66,Backlog[Requirement ID],0))),"")</f>
        <v/>
      </c>
      <c r="K66" s="115" t="n"/>
      <c r="L66" s="115" t="n"/>
    </row>
    <row r="67" hidden="1" ht="15" customHeight="1" s="93">
      <c r="A67" s="115">
        <f>Backlog!A67</f>
        <v/>
      </c>
      <c r="B67" s="137">
        <f>IFERROR(IF(ISBLANK(INDEX(Backlog[Requirement Name],MATCH($A67,Backlog[Requirement ID],0))),"",INDEX(Backlog[Requirement Name],MATCH($A67,Backlog[Requirement ID],0))),"")</f>
        <v/>
      </c>
      <c r="C67" s="117">
        <f>IFERROR(IF(ISBLANK(INDEX(Backlog[Stream],MATCH($A67,Backlog[Requirement ID],0))),"",INDEX(Backlog[Stream],MATCH($A67,Backlog[Requirement ID],0))),"")</f>
        <v/>
      </c>
      <c r="D67" s="117">
        <f>IFERROR(IF(ISBLANK(INDEX(Backlog[Jira Link],MATCH($A67,Backlog[Requirement ID],0))),"",INDEX(Backlog[Jira Link],MATCH($A67,Backlog[Requirement ID],0))),"")</f>
        <v/>
      </c>
      <c r="E67" s="117">
        <f>IFERROR(IF(ISBLANK(INDEX(Backlog[Status],MATCH($A67,Backlog[Requirement ID],0))),"",INDEX(Backlog[Status],MATCH($A67,Backlog[Requirement ID],0))),"")</f>
        <v/>
      </c>
      <c r="F67" s="117">
        <f>IFERROR(IF(ISBLANK(INDEX(SprintPlanning[Sprint],MATCH($A67,SprintPlanning[Requirement ID],0))),"",INDEX(SprintPlanning[Sprint],MATCH($A67,SprintPlanning[Requirement ID],0))),"")</f>
        <v/>
      </c>
      <c r="G67" s="138" t="n"/>
      <c r="H67" s="139" t="n"/>
      <c r="I67" s="138" t="n"/>
      <c r="J67" s="117">
        <f>IFERROR(IF(ISBLANK(INDEX(Backlog[Priority],MATCH($A67,Backlog[Requirement ID],0))),"",INDEX(Backlog[Priority],MATCH($A67,Backlog[Requirement ID],0))),"")</f>
        <v/>
      </c>
      <c r="K67" s="115" t="inlineStr">
        <is>
          <t>Pending Solution</t>
        </is>
      </c>
      <c r="L67" s="115" t="n"/>
    </row>
    <row r="68" hidden="1" ht="15" customHeight="1" s="93">
      <c r="A68" s="115">
        <f>Backlog!A68</f>
        <v/>
      </c>
      <c r="B68" s="137">
        <f>IFERROR(IF(ISBLANK(INDEX(Backlog[Requirement Name],MATCH($A68,Backlog[Requirement ID],0))),"",INDEX(Backlog[Requirement Name],MATCH($A68,Backlog[Requirement ID],0))),"")</f>
        <v/>
      </c>
      <c r="C68" s="117">
        <f>IFERROR(IF(ISBLANK(INDEX(Backlog[Stream],MATCH($A68,Backlog[Requirement ID],0))),"",INDEX(Backlog[Stream],MATCH($A68,Backlog[Requirement ID],0))),"")</f>
        <v/>
      </c>
      <c r="D68" s="117">
        <f>IFERROR(IF(ISBLANK(INDEX(Backlog[Jira Link],MATCH($A68,Backlog[Requirement ID],0))),"",INDEX(Backlog[Jira Link],MATCH($A68,Backlog[Requirement ID],0))),"")</f>
        <v/>
      </c>
      <c r="E68" s="117">
        <f>IFERROR(IF(ISBLANK(INDEX(Backlog[Status],MATCH($A68,Backlog[Requirement ID],0))),"",INDEX(Backlog[Status],MATCH($A68,Backlog[Requirement ID],0))),"")</f>
        <v/>
      </c>
      <c r="F68" s="117">
        <f>IFERROR(IF(ISBLANK(INDEX(SprintPlanning[Sprint],MATCH($A68,SprintPlanning[Requirement ID],0))),"",INDEX(SprintPlanning[Sprint],MATCH($A68,SprintPlanning[Requirement ID],0))),"")</f>
        <v/>
      </c>
      <c r="G68" s="138" t="n"/>
      <c r="H68" s="139" t="n"/>
      <c r="I68" s="138" t="n"/>
      <c r="J68" s="117">
        <f>IFERROR(IF(ISBLANK(INDEX(Backlog[Priority],MATCH($A68,Backlog[Requirement ID],0))),"",INDEX(Backlog[Priority],MATCH($A68,Backlog[Requirement ID],0))),"")</f>
        <v/>
      </c>
      <c r="K68" s="115" t="inlineStr">
        <is>
          <t>Pending Solution</t>
        </is>
      </c>
      <c r="L68" s="115" t="n"/>
    </row>
    <row r="69" hidden="1" ht="15" customHeight="1" s="93">
      <c r="A69" s="115">
        <f>Backlog!A69</f>
        <v/>
      </c>
      <c r="B69" s="137">
        <f>IFERROR(IF(ISBLANK(INDEX(Backlog[Requirement Name],MATCH($A69,Backlog[Requirement ID],0))),"",INDEX(Backlog[Requirement Name],MATCH($A69,Backlog[Requirement ID],0))),"")</f>
        <v/>
      </c>
      <c r="C69" s="117">
        <f>IFERROR(IF(ISBLANK(INDEX(Backlog[Stream],MATCH($A69,Backlog[Requirement ID],0))),"",INDEX(Backlog[Stream],MATCH($A69,Backlog[Requirement ID],0))),"")</f>
        <v/>
      </c>
      <c r="D69" s="117">
        <f>IFERROR(IF(ISBLANK(INDEX(Backlog[Jira Link],MATCH($A69,Backlog[Requirement ID],0))),"",INDEX(Backlog[Jira Link],MATCH($A69,Backlog[Requirement ID],0))),"")</f>
        <v/>
      </c>
      <c r="E69" s="117">
        <f>IFERROR(IF(ISBLANK(INDEX(Backlog[Status],MATCH($A69,Backlog[Requirement ID],0))),"",INDEX(Backlog[Status],MATCH($A69,Backlog[Requirement ID],0))),"")</f>
        <v/>
      </c>
      <c r="F69" s="117">
        <f>IFERROR(IF(ISBLANK(INDEX(SprintPlanning[Sprint],MATCH($A69,SprintPlanning[Requirement ID],0))),"",INDEX(SprintPlanning[Sprint],MATCH($A69,SprintPlanning[Requirement ID],0))),"")</f>
        <v/>
      </c>
      <c r="G69" s="138" t="n"/>
      <c r="H69" s="139" t="n"/>
      <c r="I69" s="138" t="n"/>
      <c r="J69" s="117">
        <f>IFERROR(IF(ISBLANK(INDEX(Backlog[Priority],MATCH($A69,Backlog[Requirement ID],0))),"",INDEX(Backlog[Priority],MATCH($A69,Backlog[Requirement ID],0))),"")</f>
        <v/>
      </c>
      <c r="K69" s="115" t="n"/>
      <c r="L69" s="115" t="n"/>
    </row>
    <row r="70" hidden="1" ht="15" customHeight="1" s="93">
      <c r="A70" s="115">
        <f>Backlog!A70</f>
        <v/>
      </c>
      <c r="B70" s="137">
        <f>IFERROR(IF(ISBLANK(INDEX(Backlog[Requirement Name],MATCH($A70,Backlog[Requirement ID],0))),"",INDEX(Backlog[Requirement Name],MATCH($A70,Backlog[Requirement ID],0))),"")</f>
        <v/>
      </c>
      <c r="C70" s="117">
        <f>IFERROR(IF(ISBLANK(INDEX(Backlog[Stream],MATCH($A70,Backlog[Requirement ID],0))),"",INDEX(Backlog[Stream],MATCH($A70,Backlog[Requirement ID],0))),"")</f>
        <v/>
      </c>
      <c r="D70" s="117">
        <f>IFERROR(IF(ISBLANK(INDEX(Backlog[Jira Link],MATCH($A70,Backlog[Requirement ID],0))),"",INDEX(Backlog[Jira Link],MATCH($A70,Backlog[Requirement ID],0))),"")</f>
        <v/>
      </c>
      <c r="E70" s="117">
        <f>IFERROR(IF(ISBLANK(INDEX(Backlog[Status],MATCH($A70,Backlog[Requirement ID],0))),"",INDEX(Backlog[Status],MATCH($A70,Backlog[Requirement ID],0))),"")</f>
        <v/>
      </c>
      <c r="F70" s="117">
        <f>IFERROR(IF(ISBLANK(INDEX(SprintPlanning[Sprint],MATCH($A70,SprintPlanning[Requirement ID],0))),"",INDEX(SprintPlanning[Sprint],MATCH($A70,SprintPlanning[Requirement ID],0))),"")</f>
        <v/>
      </c>
      <c r="G70" s="138" t="n"/>
      <c r="H70" s="139" t="n"/>
      <c r="I70" s="138" t="n"/>
      <c r="J70" s="117">
        <f>IFERROR(IF(ISBLANK(INDEX(Backlog[Priority],MATCH($A70,Backlog[Requirement ID],0))),"",INDEX(Backlog[Priority],MATCH($A70,Backlog[Requirement ID],0))),"")</f>
        <v/>
      </c>
      <c r="K70" s="115" t="inlineStr">
        <is>
          <t>Pending Solution</t>
        </is>
      </c>
      <c r="L70" s="115" t="n"/>
    </row>
    <row r="71" hidden="1" ht="15" customHeight="1" s="93">
      <c r="A71" s="115">
        <f>Backlog!A71</f>
        <v/>
      </c>
      <c r="B71" s="137">
        <f>IFERROR(IF(ISBLANK(INDEX(Backlog[Requirement Name],MATCH($A71,Backlog[Requirement ID],0))),"",INDEX(Backlog[Requirement Name],MATCH($A71,Backlog[Requirement ID],0))),"")</f>
        <v/>
      </c>
      <c r="C71" s="117">
        <f>IFERROR(IF(ISBLANK(INDEX(Backlog[Stream],MATCH($A71,Backlog[Requirement ID],0))),"",INDEX(Backlog[Stream],MATCH($A71,Backlog[Requirement ID],0))),"")</f>
        <v/>
      </c>
      <c r="D71" s="117">
        <f>IFERROR(IF(ISBLANK(INDEX(Backlog[Jira Link],MATCH($A71,Backlog[Requirement ID],0))),"",INDEX(Backlog[Jira Link],MATCH($A71,Backlog[Requirement ID],0))),"")</f>
        <v/>
      </c>
      <c r="E71" s="117">
        <f>IFERROR(IF(ISBLANK(INDEX(Backlog[Status],MATCH($A71,Backlog[Requirement ID],0))),"",INDEX(Backlog[Status],MATCH($A71,Backlog[Requirement ID],0))),"")</f>
        <v/>
      </c>
      <c r="F71" s="117">
        <f>IFERROR(IF(ISBLANK(INDEX(SprintPlanning[Sprint],MATCH($A71,SprintPlanning[Requirement ID],0))),"",INDEX(SprintPlanning[Sprint],MATCH($A71,SprintPlanning[Requirement ID],0))),"")</f>
        <v/>
      </c>
      <c r="G71" s="138" t="n"/>
      <c r="H71" s="139" t="n"/>
      <c r="I71" s="138" t="n"/>
      <c r="J71" s="117">
        <f>IFERROR(IF(ISBLANK(INDEX(Backlog[Priority],MATCH($A71,Backlog[Requirement ID],0))),"",INDEX(Backlog[Priority],MATCH($A71,Backlog[Requirement ID],0))),"")</f>
        <v/>
      </c>
      <c r="K71" s="115" t="inlineStr">
        <is>
          <t>Ready for Development</t>
        </is>
      </c>
      <c r="L71" s="115" t="n"/>
    </row>
    <row r="72" hidden="1" ht="15" customHeight="1" s="93">
      <c r="A72" s="115">
        <f>Backlog!A72</f>
        <v/>
      </c>
      <c r="B72" s="137">
        <f>IFERROR(IF(ISBLANK(INDEX(Backlog[Requirement Name],MATCH($A72,Backlog[Requirement ID],0))),"",INDEX(Backlog[Requirement Name],MATCH($A72,Backlog[Requirement ID],0))),"")</f>
        <v/>
      </c>
      <c r="C72" s="117">
        <f>IFERROR(IF(ISBLANK(INDEX(Backlog[Stream],MATCH($A72,Backlog[Requirement ID],0))),"",INDEX(Backlog[Stream],MATCH($A72,Backlog[Requirement ID],0))),"")</f>
        <v/>
      </c>
      <c r="D72" s="117">
        <f>IFERROR(IF(ISBLANK(INDEX(Backlog[Jira Link],MATCH($A72,Backlog[Requirement ID],0))),"",INDEX(Backlog[Jira Link],MATCH($A72,Backlog[Requirement ID],0))),"")</f>
        <v/>
      </c>
      <c r="E72" s="117">
        <f>IFERROR(IF(ISBLANK(INDEX(Backlog[Status],MATCH($A72,Backlog[Requirement ID],0))),"",INDEX(Backlog[Status],MATCH($A72,Backlog[Requirement ID],0))),"")</f>
        <v/>
      </c>
      <c r="F72" s="117">
        <f>IFERROR(IF(ISBLANK(INDEX(SprintPlanning[Sprint],MATCH($A72,SprintPlanning[Requirement ID],0))),"",INDEX(SprintPlanning[Sprint],MATCH($A72,SprintPlanning[Requirement ID],0))),"")</f>
        <v/>
      </c>
      <c r="G72" s="138" t="n"/>
      <c r="H72" s="139" t="n"/>
      <c r="I72" s="138" t="n"/>
      <c r="J72" s="117">
        <f>IFERROR(IF(ISBLANK(INDEX(Backlog[Priority],MATCH($A72,Backlog[Requirement ID],0))),"",INDEX(Backlog[Priority],MATCH($A72,Backlog[Requirement ID],0))),"")</f>
        <v/>
      </c>
      <c r="K72" s="115" t="n"/>
      <c r="L72" s="115" t="n"/>
    </row>
    <row r="73" hidden="1" ht="15" customHeight="1" s="93">
      <c r="A73" s="115">
        <f>Backlog!A73</f>
        <v/>
      </c>
      <c r="B73" s="137">
        <f>IFERROR(IF(ISBLANK(INDEX(Backlog[Requirement Name],MATCH($A73,Backlog[Requirement ID],0))),"",INDEX(Backlog[Requirement Name],MATCH($A73,Backlog[Requirement ID],0))),"")</f>
        <v/>
      </c>
      <c r="C73" s="117">
        <f>IFERROR(IF(ISBLANK(INDEX(Backlog[Stream],MATCH($A73,Backlog[Requirement ID],0))),"",INDEX(Backlog[Stream],MATCH($A73,Backlog[Requirement ID],0))),"")</f>
        <v/>
      </c>
      <c r="D73" s="117">
        <f>IFERROR(IF(ISBLANK(INDEX(Backlog[Jira Link],MATCH($A73,Backlog[Requirement ID],0))),"",INDEX(Backlog[Jira Link],MATCH($A73,Backlog[Requirement ID],0))),"")</f>
        <v/>
      </c>
      <c r="E73" s="117">
        <f>IFERROR(IF(ISBLANK(INDEX(Backlog[Status],MATCH($A73,Backlog[Requirement ID],0))),"",INDEX(Backlog[Status],MATCH($A73,Backlog[Requirement ID],0))),"")</f>
        <v/>
      </c>
      <c r="F73" s="117">
        <f>IFERROR(IF(ISBLANK(INDEX(SprintPlanning[Sprint],MATCH($A73,SprintPlanning[Requirement ID],0))),"",INDEX(SprintPlanning[Sprint],MATCH($A73,SprintPlanning[Requirement ID],0))),"")</f>
        <v/>
      </c>
      <c r="G73" s="138" t="n"/>
      <c r="H73" s="139" t="n"/>
      <c r="I73" s="138" t="n"/>
      <c r="J73" s="117">
        <f>IFERROR(IF(ISBLANK(INDEX(Backlog[Priority],MATCH($A73,Backlog[Requirement ID],0))),"",INDEX(Backlog[Priority],MATCH($A73,Backlog[Requirement ID],0))),"")</f>
        <v/>
      </c>
      <c r="K73" s="115" t="inlineStr">
        <is>
          <t>Pending Solution</t>
        </is>
      </c>
      <c r="L73" s="115" t="n"/>
    </row>
    <row r="74" hidden="1" ht="15" customHeight="1" s="93">
      <c r="A74" s="115">
        <f>Backlog!A74</f>
        <v/>
      </c>
      <c r="B74" s="137">
        <f>IFERROR(IF(ISBLANK(INDEX(Backlog[Requirement Name],MATCH($A74,Backlog[Requirement ID],0))),"",INDEX(Backlog[Requirement Name],MATCH($A74,Backlog[Requirement ID],0))),"")</f>
        <v/>
      </c>
      <c r="C74" s="117">
        <f>IFERROR(IF(ISBLANK(INDEX(Backlog[Stream],MATCH($A74,Backlog[Requirement ID],0))),"",INDEX(Backlog[Stream],MATCH($A74,Backlog[Requirement ID],0))),"")</f>
        <v/>
      </c>
      <c r="D74" s="117">
        <f>IFERROR(IF(ISBLANK(INDEX(Backlog[Jira Link],MATCH($A74,Backlog[Requirement ID],0))),"",INDEX(Backlog[Jira Link],MATCH($A74,Backlog[Requirement ID],0))),"")</f>
        <v/>
      </c>
      <c r="E74" s="117">
        <f>IFERROR(IF(ISBLANK(INDEX(Backlog[Status],MATCH($A74,Backlog[Requirement ID],0))),"",INDEX(Backlog[Status],MATCH($A74,Backlog[Requirement ID],0))),"")</f>
        <v/>
      </c>
      <c r="F74" s="117">
        <f>IFERROR(IF(ISBLANK(INDEX(SprintPlanning[Sprint],MATCH($A74,SprintPlanning[Requirement ID],0))),"",INDEX(SprintPlanning[Sprint],MATCH($A74,SprintPlanning[Requirement ID],0))),"")</f>
        <v/>
      </c>
      <c r="G74" s="138" t="n"/>
      <c r="H74" s="139" t="n"/>
      <c r="I74" s="138" t="n"/>
      <c r="J74" s="117">
        <f>IFERROR(IF(ISBLANK(INDEX(Backlog[Priority],MATCH($A74,Backlog[Requirement ID],0))),"",INDEX(Backlog[Priority],MATCH($A74,Backlog[Requirement ID],0))),"")</f>
        <v/>
      </c>
      <c r="K74" s="115" t="n"/>
      <c r="L74" s="115" t="n"/>
    </row>
    <row r="75" hidden="1" ht="15" customHeight="1" s="93">
      <c r="A75" s="115">
        <f>Backlog!A75</f>
        <v/>
      </c>
      <c r="B75" s="137">
        <f>IFERROR(IF(ISBLANK(INDEX(Backlog[Requirement Name],MATCH($A75,Backlog[Requirement ID],0))),"",INDEX(Backlog[Requirement Name],MATCH($A75,Backlog[Requirement ID],0))),"")</f>
        <v/>
      </c>
      <c r="C75" s="117">
        <f>IFERROR(IF(ISBLANK(INDEX(Backlog[Stream],MATCH($A75,Backlog[Requirement ID],0))),"",INDEX(Backlog[Stream],MATCH($A75,Backlog[Requirement ID],0))),"")</f>
        <v/>
      </c>
      <c r="D75" s="117">
        <f>IFERROR(IF(ISBLANK(INDEX(Backlog[Jira Link],MATCH($A75,Backlog[Requirement ID],0))),"",INDEX(Backlog[Jira Link],MATCH($A75,Backlog[Requirement ID],0))),"")</f>
        <v/>
      </c>
      <c r="E75" s="117">
        <f>IFERROR(IF(ISBLANK(INDEX(Backlog[Status],MATCH($A75,Backlog[Requirement ID],0))),"",INDEX(Backlog[Status],MATCH($A75,Backlog[Requirement ID],0))),"")</f>
        <v/>
      </c>
      <c r="F75" s="117">
        <f>IFERROR(IF(ISBLANK(INDEX(SprintPlanning[Sprint],MATCH($A75,SprintPlanning[Requirement ID],0))),"",INDEX(SprintPlanning[Sprint],MATCH($A75,SprintPlanning[Requirement ID],0))),"")</f>
        <v/>
      </c>
      <c r="G75" s="138" t="n"/>
      <c r="H75" s="139" t="n"/>
      <c r="I75" s="138" t="n"/>
      <c r="J75" s="117">
        <f>IFERROR(IF(ISBLANK(INDEX(Backlog[Priority],MATCH($A75,Backlog[Requirement ID],0))),"",INDEX(Backlog[Priority],MATCH($A75,Backlog[Requirement ID],0))),"")</f>
        <v/>
      </c>
      <c r="K75" s="115" t="n"/>
      <c r="L75" s="115" t="n"/>
    </row>
    <row r="76" hidden="1" ht="15" customHeight="1" s="93">
      <c r="A76" s="115">
        <f>Backlog!A76</f>
        <v/>
      </c>
      <c r="B76" s="137">
        <f>IFERROR(IF(ISBLANK(INDEX(Backlog[Requirement Name],MATCH($A76,Backlog[Requirement ID],0))),"",INDEX(Backlog[Requirement Name],MATCH($A76,Backlog[Requirement ID],0))),"")</f>
        <v/>
      </c>
      <c r="C76" s="117">
        <f>IFERROR(IF(ISBLANK(INDEX(Backlog[Stream],MATCH($A76,Backlog[Requirement ID],0))),"",INDEX(Backlog[Stream],MATCH($A76,Backlog[Requirement ID],0))),"")</f>
        <v/>
      </c>
      <c r="D76" s="117">
        <f>IFERROR(IF(ISBLANK(INDEX(Backlog[Jira Link],MATCH($A76,Backlog[Requirement ID],0))),"",INDEX(Backlog[Jira Link],MATCH($A76,Backlog[Requirement ID],0))),"")</f>
        <v/>
      </c>
      <c r="E76" s="117">
        <f>IFERROR(IF(ISBLANK(INDEX(Backlog[Status],MATCH($A76,Backlog[Requirement ID],0))),"",INDEX(Backlog[Status],MATCH($A76,Backlog[Requirement ID],0))),"")</f>
        <v/>
      </c>
      <c r="F76" s="117">
        <f>IFERROR(IF(ISBLANK(INDEX(SprintPlanning[Sprint],MATCH($A76,SprintPlanning[Requirement ID],0))),"",INDEX(SprintPlanning[Sprint],MATCH($A76,SprintPlanning[Requirement ID],0))),"")</f>
        <v/>
      </c>
      <c r="G76" s="138" t="n"/>
      <c r="H76" s="139" t="n"/>
      <c r="I76" s="138" t="n"/>
      <c r="J76" s="117">
        <f>IFERROR(IF(ISBLANK(INDEX(Backlog[Priority],MATCH($A76,Backlog[Requirement ID],0))),"",INDEX(Backlog[Priority],MATCH($A76,Backlog[Requirement ID],0))),"")</f>
        <v/>
      </c>
      <c r="K76" s="115" t="n"/>
      <c r="L76" s="115" t="n"/>
    </row>
    <row r="77" hidden="1" ht="15" customHeight="1" s="93">
      <c r="A77" s="115">
        <f>Backlog!A77</f>
        <v/>
      </c>
      <c r="B77" s="137">
        <f>IFERROR(IF(ISBLANK(INDEX(Backlog[Requirement Name],MATCH($A77,Backlog[Requirement ID],0))),"",INDEX(Backlog[Requirement Name],MATCH($A77,Backlog[Requirement ID],0))),"")</f>
        <v/>
      </c>
      <c r="C77" s="117">
        <f>IFERROR(IF(ISBLANK(INDEX(Backlog[Stream],MATCH($A77,Backlog[Requirement ID],0))),"",INDEX(Backlog[Stream],MATCH($A77,Backlog[Requirement ID],0))),"")</f>
        <v/>
      </c>
      <c r="D77" s="117">
        <f>IFERROR(IF(ISBLANK(INDEX(Backlog[Jira Link],MATCH($A77,Backlog[Requirement ID],0))),"",INDEX(Backlog[Jira Link],MATCH($A77,Backlog[Requirement ID],0))),"")</f>
        <v/>
      </c>
      <c r="E77" s="117">
        <f>IFERROR(IF(ISBLANK(INDEX(Backlog[Status],MATCH($A77,Backlog[Requirement ID],0))),"",INDEX(Backlog[Status],MATCH($A77,Backlog[Requirement ID],0))),"")</f>
        <v/>
      </c>
      <c r="F77" s="117">
        <f>IFERROR(IF(ISBLANK(INDEX(SprintPlanning[Sprint],MATCH($A77,SprintPlanning[Requirement ID],0))),"",INDEX(SprintPlanning[Sprint],MATCH($A77,SprintPlanning[Requirement ID],0))),"")</f>
        <v/>
      </c>
      <c r="G77" s="138" t="n"/>
      <c r="H77" s="139" t="n"/>
      <c r="I77" s="138" t="n"/>
      <c r="J77" s="117">
        <f>IFERROR(IF(ISBLANK(INDEX(Backlog[Priority],MATCH($A77,Backlog[Requirement ID],0))),"",INDEX(Backlog[Priority],MATCH($A77,Backlog[Requirement ID],0))),"")</f>
        <v/>
      </c>
      <c r="K77" s="115" t="n"/>
      <c r="L77" s="115" t="n"/>
    </row>
    <row r="78" hidden="1" ht="15" customHeight="1" s="93">
      <c r="A78" s="115">
        <f>Backlog!A78</f>
        <v/>
      </c>
      <c r="B78" s="137">
        <f>IFERROR(IF(ISBLANK(INDEX(Backlog[Requirement Name],MATCH($A78,Backlog[Requirement ID],0))),"",INDEX(Backlog[Requirement Name],MATCH($A78,Backlog[Requirement ID],0))),"")</f>
        <v/>
      </c>
      <c r="C78" s="117">
        <f>IFERROR(IF(ISBLANK(INDEX(Backlog[Stream],MATCH($A78,Backlog[Requirement ID],0))),"",INDEX(Backlog[Stream],MATCH($A78,Backlog[Requirement ID],0))),"")</f>
        <v/>
      </c>
      <c r="D78" s="117">
        <f>IFERROR(IF(ISBLANK(INDEX(Backlog[Jira Link],MATCH($A78,Backlog[Requirement ID],0))),"",INDEX(Backlog[Jira Link],MATCH($A78,Backlog[Requirement ID],0))),"")</f>
        <v/>
      </c>
      <c r="E78" s="117">
        <f>IFERROR(IF(ISBLANK(INDEX(Backlog[Status],MATCH($A78,Backlog[Requirement ID],0))),"",INDEX(Backlog[Status],MATCH($A78,Backlog[Requirement ID],0))),"")</f>
        <v/>
      </c>
      <c r="F78" s="117">
        <f>IFERROR(IF(ISBLANK(INDEX(SprintPlanning[Sprint],MATCH($A78,SprintPlanning[Requirement ID],0))),"",INDEX(SprintPlanning[Sprint],MATCH($A78,SprintPlanning[Requirement ID],0))),"")</f>
        <v/>
      </c>
      <c r="G78" s="138" t="n"/>
      <c r="H78" s="139" t="n"/>
      <c r="I78" s="138" t="n"/>
      <c r="J78" s="117">
        <f>IFERROR(IF(ISBLANK(INDEX(Backlog[Priority],MATCH($A78,Backlog[Requirement ID],0))),"",INDEX(Backlog[Priority],MATCH($A78,Backlog[Requirement ID],0))),"")</f>
        <v/>
      </c>
      <c r="K78" s="115" t="n"/>
      <c r="L78" s="115" t="n"/>
    </row>
    <row r="79" hidden="1" ht="15" customHeight="1" s="93">
      <c r="A79" s="115">
        <f>Backlog!A79</f>
        <v/>
      </c>
      <c r="B79" s="137">
        <f>IFERROR(IF(ISBLANK(INDEX(Backlog[Requirement Name],MATCH($A79,Backlog[Requirement ID],0))),"",INDEX(Backlog[Requirement Name],MATCH($A79,Backlog[Requirement ID],0))),"")</f>
        <v/>
      </c>
      <c r="C79" s="117">
        <f>IFERROR(IF(ISBLANK(INDEX(Backlog[Stream],MATCH($A79,Backlog[Requirement ID],0))),"",INDEX(Backlog[Stream],MATCH($A79,Backlog[Requirement ID],0))),"")</f>
        <v/>
      </c>
      <c r="D79" s="117">
        <f>IFERROR(IF(ISBLANK(INDEX(Backlog[Jira Link],MATCH($A79,Backlog[Requirement ID],0))),"",INDEX(Backlog[Jira Link],MATCH($A79,Backlog[Requirement ID],0))),"")</f>
        <v/>
      </c>
      <c r="E79" s="117">
        <f>IFERROR(IF(ISBLANK(INDEX(Backlog[Status],MATCH($A79,Backlog[Requirement ID],0))),"",INDEX(Backlog[Status],MATCH($A79,Backlog[Requirement ID],0))),"")</f>
        <v/>
      </c>
      <c r="F79" s="117">
        <f>IFERROR(IF(ISBLANK(INDEX(SprintPlanning[Sprint],MATCH($A79,SprintPlanning[Requirement ID],0))),"",INDEX(SprintPlanning[Sprint],MATCH($A79,SprintPlanning[Requirement ID],0))),"")</f>
        <v/>
      </c>
      <c r="G79" s="138" t="n"/>
      <c r="H79" s="139" t="n"/>
      <c r="I79" s="138" t="n"/>
      <c r="J79" s="117">
        <f>IFERROR(IF(ISBLANK(INDEX(Backlog[Priority],MATCH($A79,Backlog[Requirement ID],0))),"",INDEX(Backlog[Priority],MATCH($A79,Backlog[Requirement ID],0))),"")</f>
        <v/>
      </c>
      <c r="K79" s="115" t="n"/>
      <c r="L79" s="115" t="n"/>
    </row>
    <row r="80" hidden="1" ht="15" customHeight="1" s="93">
      <c r="A80" s="115">
        <f>Backlog!A80</f>
        <v/>
      </c>
      <c r="B80" s="137">
        <f>IFERROR(IF(ISBLANK(INDEX(Backlog[Requirement Name],MATCH($A80,Backlog[Requirement ID],0))),"",INDEX(Backlog[Requirement Name],MATCH($A80,Backlog[Requirement ID],0))),"")</f>
        <v/>
      </c>
      <c r="C80" s="117">
        <f>IFERROR(IF(ISBLANK(INDEX(Backlog[Stream],MATCH($A80,Backlog[Requirement ID],0))),"",INDEX(Backlog[Stream],MATCH($A80,Backlog[Requirement ID],0))),"")</f>
        <v/>
      </c>
      <c r="D80" s="117">
        <f>IFERROR(IF(ISBLANK(INDEX(Backlog[Jira Link],MATCH($A80,Backlog[Requirement ID],0))),"",INDEX(Backlog[Jira Link],MATCH($A80,Backlog[Requirement ID],0))),"")</f>
        <v/>
      </c>
      <c r="E80" s="117">
        <f>IFERROR(IF(ISBLANK(INDEX(Backlog[Status],MATCH($A80,Backlog[Requirement ID],0))),"",INDEX(Backlog[Status],MATCH($A80,Backlog[Requirement ID],0))),"")</f>
        <v/>
      </c>
      <c r="F80" s="117">
        <f>IFERROR(IF(ISBLANK(INDEX(SprintPlanning[Sprint],MATCH($A80,SprintPlanning[Requirement ID],0))),"",INDEX(SprintPlanning[Sprint],MATCH($A80,SprintPlanning[Requirement ID],0))),"")</f>
        <v/>
      </c>
      <c r="G80" s="138" t="n"/>
      <c r="H80" s="139" t="n"/>
      <c r="I80" s="138" t="n"/>
      <c r="J80" s="117">
        <f>IFERROR(IF(ISBLANK(INDEX(Backlog[Priority],MATCH($A80,Backlog[Requirement ID],0))),"",INDEX(Backlog[Priority],MATCH($A80,Backlog[Requirement ID],0))),"")</f>
        <v/>
      </c>
      <c r="K80" s="115" t="n"/>
      <c r="L80" s="115" t="n"/>
    </row>
    <row r="81" hidden="1" ht="15" customHeight="1" s="93">
      <c r="A81" s="115">
        <f>Backlog!A81</f>
        <v/>
      </c>
      <c r="B81" s="137">
        <f>IFERROR(IF(ISBLANK(INDEX(Backlog[Requirement Name],MATCH($A81,Backlog[Requirement ID],0))),"",INDEX(Backlog[Requirement Name],MATCH($A81,Backlog[Requirement ID],0))),"")</f>
        <v/>
      </c>
      <c r="C81" s="117">
        <f>IFERROR(IF(ISBLANK(INDEX(Backlog[Stream],MATCH($A81,Backlog[Requirement ID],0))),"",INDEX(Backlog[Stream],MATCH($A81,Backlog[Requirement ID],0))),"")</f>
        <v/>
      </c>
      <c r="D81" s="117">
        <f>IFERROR(IF(ISBLANK(INDEX(Backlog[Jira Link],MATCH($A81,Backlog[Requirement ID],0))),"",INDEX(Backlog[Jira Link],MATCH($A81,Backlog[Requirement ID],0))),"")</f>
        <v/>
      </c>
      <c r="E81" s="117">
        <f>IFERROR(IF(ISBLANK(INDEX(Backlog[Status],MATCH($A81,Backlog[Requirement ID],0))),"",INDEX(Backlog[Status],MATCH($A81,Backlog[Requirement ID],0))),"")</f>
        <v/>
      </c>
      <c r="F81" s="117">
        <f>IFERROR(IF(ISBLANK(INDEX(SprintPlanning[Sprint],MATCH($A81,SprintPlanning[Requirement ID],0))),"",INDEX(SprintPlanning[Sprint],MATCH($A81,SprintPlanning[Requirement ID],0))),"")</f>
        <v/>
      </c>
      <c r="G81" s="138" t="n"/>
      <c r="H81" s="139" t="n"/>
      <c r="I81" s="138" t="n"/>
      <c r="J81" s="117">
        <f>IFERROR(IF(ISBLANK(INDEX(Backlog[Priority],MATCH($A81,Backlog[Requirement ID],0))),"",INDEX(Backlog[Priority],MATCH($A81,Backlog[Requirement ID],0))),"")</f>
        <v/>
      </c>
      <c r="K81" s="115" t="n"/>
      <c r="L81" s="115" t="n"/>
    </row>
    <row r="82" hidden="1" ht="15" customHeight="1" s="93">
      <c r="A82" s="115">
        <f>Backlog!A82</f>
        <v/>
      </c>
      <c r="B82" s="137">
        <f>IFERROR(IF(ISBLANK(INDEX(Backlog[Requirement Name],MATCH($A82,Backlog[Requirement ID],0))),"",INDEX(Backlog[Requirement Name],MATCH($A82,Backlog[Requirement ID],0))),"")</f>
        <v/>
      </c>
      <c r="C82" s="117">
        <f>IFERROR(IF(ISBLANK(INDEX(Backlog[Stream],MATCH($A82,Backlog[Requirement ID],0))),"",INDEX(Backlog[Stream],MATCH($A82,Backlog[Requirement ID],0))),"")</f>
        <v/>
      </c>
      <c r="D82" s="117">
        <f>IFERROR(IF(ISBLANK(INDEX(Backlog[Jira Link],MATCH($A82,Backlog[Requirement ID],0))),"",INDEX(Backlog[Jira Link],MATCH($A82,Backlog[Requirement ID],0))),"")</f>
        <v/>
      </c>
      <c r="E82" s="117">
        <f>IFERROR(IF(ISBLANK(INDEX(Backlog[Status],MATCH($A82,Backlog[Requirement ID],0))),"",INDEX(Backlog[Status],MATCH($A82,Backlog[Requirement ID],0))),"")</f>
        <v/>
      </c>
      <c r="F82" s="117">
        <f>IFERROR(IF(ISBLANK(INDEX(SprintPlanning[Sprint],MATCH($A82,SprintPlanning[Requirement ID],0))),"",INDEX(SprintPlanning[Sprint],MATCH($A82,SprintPlanning[Requirement ID],0))),"")</f>
        <v/>
      </c>
      <c r="G82" s="138" t="n"/>
      <c r="H82" s="139" t="n"/>
      <c r="I82" s="138" t="n"/>
      <c r="J82" s="117">
        <f>IFERROR(IF(ISBLANK(INDEX(Backlog[Priority],MATCH($A82,Backlog[Requirement ID],0))),"",INDEX(Backlog[Priority],MATCH($A82,Backlog[Requirement ID],0))),"")</f>
        <v/>
      </c>
      <c r="K82" s="115" t="n"/>
      <c r="L82" s="115" t="n"/>
    </row>
    <row r="83" hidden="1" ht="15" customHeight="1" s="93">
      <c r="A83" s="115">
        <f>Backlog!A83</f>
        <v/>
      </c>
      <c r="B83" s="137">
        <f>IFERROR(IF(ISBLANK(INDEX(Backlog[Requirement Name],MATCH($A83,Backlog[Requirement ID],0))),"",INDEX(Backlog[Requirement Name],MATCH($A83,Backlog[Requirement ID],0))),"")</f>
        <v/>
      </c>
      <c r="C83" s="117">
        <f>IFERROR(IF(ISBLANK(INDEX(Backlog[Stream],MATCH($A83,Backlog[Requirement ID],0))),"",INDEX(Backlog[Stream],MATCH($A83,Backlog[Requirement ID],0))),"")</f>
        <v/>
      </c>
      <c r="D83" s="117">
        <f>IFERROR(IF(ISBLANK(INDEX(Backlog[Jira Link],MATCH($A83,Backlog[Requirement ID],0))),"",INDEX(Backlog[Jira Link],MATCH($A83,Backlog[Requirement ID],0))),"")</f>
        <v/>
      </c>
      <c r="E83" s="117">
        <f>IFERROR(IF(ISBLANK(INDEX(Backlog[Status],MATCH($A83,Backlog[Requirement ID],0))),"",INDEX(Backlog[Status],MATCH($A83,Backlog[Requirement ID],0))),"")</f>
        <v/>
      </c>
      <c r="F83" s="117">
        <f>IFERROR(IF(ISBLANK(INDEX(SprintPlanning[Sprint],MATCH($A83,SprintPlanning[Requirement ID],0))),"",INDEX(SprintPlanning[Sprint],MATCH($A83,SprintPlanning[Requirement ID],0))),"")</f>
        <v/>
      </c>
      <c r="G83" s="138" t="n"/>
      <c r="H83" s="139" t="n"/>
      <c r="I83" s="138" t="n"/>
      <c r="J83" s="117">
        <f>IFERROR(IF(ISBLANK(INDEX(Backlog[Priority],MATCH($A83,Backlog[Requirement ID],0))),"",INDEX(Backlog[Priority],MATCH($A83,Backlog[Requirement ID],0))),"")</f>
        <v/>
      </c>
      <c r="K83" s="115" t="n"/>
      <c r="L83" s="115" t="n"/>
    </row>
    <row r="84" hidden="1" ht="15" customHeight="1" s="93">
      <c r="A84" s="121">
        <f>Backlog!A84</f>
        <v/>
      </c>
      <c r="B84" s="143">
        <f>IFERROR(IF(ISBLANK(INDEX(Backlog[Requirement Name],MATCH($A84,Backlog[Requirement ID],0))),"",INDEX(Backlog[Requirement Name],MATCH($A84,Backlog[Requirement ID],0))),"")</f>
        <v/>
      </c>
      <c r="C84" s="120">
        <f>IFERROR(IF(ISBLANK(INDEX(Backlog[Stream],MATCH($A84,Backlog[Requirement ID],0))),"",INDEX(Backlog[Stream],MATCH($A84,Backlog[Requirement ID],0))),"")</f>
        <v/>
      </c>
      <c r="D84" s="120">
        <f>IFERROR(IF(ISBLANK(INDEX(Backlog[Jira Link],MATCH($A84,Backlog[Requirement ID],0))),"",INDEX(Backlog[Jira Link],MATCH($A84,Backlog[Requirement ID],0))),"")</f>
        <v/>
      </c>
      <c r="E84" s="120">
        <f>IFERROR(IF(ISBLANK(INDEX(Backlog[Status],MATCH($A84,Backlog[Requirement ID],0))),"",INDEX(Backlog[Status],MATCH($A84,Backlog[Requirement ID],0))),"")</f>
        <v/>
      </c>
      <c r="F84" s="120">
        <f>IFERROR(IF(ISBLANK(INDEX(SprintPlanning[Sprint],MATCH($A84,SprintPlanning[Requirement ID],0))),"",INDEX(SprintPlanning[Sprint],MATCH($A84,SprintPlanning[Requirement ID],0))),"")</f>
        <v/>
      </c>
      <c r="G84" s="144" t="n"/>
      <c r="H84" s="145" t="n"/>
      <c r="I84" s="144" t="n"/>
      <c r="J84" s="120">
        <f>IFERROR(IF(ISBLANK(INDEX(Backlog[Priority],MATCH($A84,Backlog[Requirement ID],0))),"",INDEX(Backlog[Priority],MATCH($A84,Backlog[Requirement ID],0))),"")</f>
        <v/>
      </c>
      <c r="K84" s="121" t="n"/>
      <c r="L84" s="121" t="n"/>
    </row>
    <row r="85" hidden="1" ht="15" customHeight="1" s="93">
      <c r="A85" s="121">
        <f>Backlog!A85</f>
        <v/>
      </c>
      <c r="B85" s="143">
        <f>IFERROR(IF(ISBLANK(INDEX(Backlog[Requirement Name],MATCH($A85,Backlog[Requirement ID],0))),"",INDEX(Backlog[Requirement Name],MATCH($A85,Backlog[Requirement ID],0))),"")</f>
        <v/>
      </c>
      <c r="C85" s="120">
        <f>IFERROR(IF(ISBLANK(INDEX(Backlog[Stream],MATCH($A85,Backlog[Requirement ID],0))),"",INDEX(Backlog[Stream],MATCH($A85,Backlog[Requirement ID],0))),"")</f>
        <v/>
      </c>
      <c r="D85" s="120">
        <f>IFERROR(IF(ISBLANK(INDEX(Backlog[Jira Link],MATCH($A85,Backlog[Requirement ID],0))),"",INDEX(Backlog[Jira Link],MATCH($A85,Backlog[Requirement ID],0))),"")</f>
        <v/>
      </c>
      <c r="E85" s="120">
        <f>IFERROR(IF(ISBLANK(INDEX(Backlog[Status],MATCH($A85,Backlog[Requirement ID],0))),"",INDEX(Backlog[Status],MATCH($A85,Backlog[Requirement ID],0))),"")</f>
        <v/>
      </c>
      <c r="F85" s="120">
        <f>IFERROR(IF(ISBLANK(INDEX(SprintPlanning[Sprint],MATCH($A85,SprintPlanning[Requirement ID],0))),"",INDEX(SprintPlanning[Sprint],MATCH($A85,SprintPlanning[Requirement ID],0))),"")</f>
        <v/>
      </c>
      <c r="G85" s="144" t="n"/>
      <c r="H85" s="145" t="n"/>
      <c r="I85" s="144" t="n"/>
      <c r="J85" s="120">
        <f>IFERROR(IF(ISBLANK(INDEX(Backlog[Priority],MATCH($A85,Backlog[Requirement ID],0))),"",INDEX(Backlog[Priority],MATCH($A85,Backlog[Requirement ID],0))),"")</f>
        <v/>
      </c>
      <c r="K85" s="121" t="n"/>
      <c r="L85" s="121" t="n"/>
    </row>
    <row r="86" hidden="1" ht="15" customHeight="1" s="93">
      <c r="A86" s="121">
        <f>Backlog!A86</f>
        <v/>
      </c>
      <c r="B86" s="143">
        <f>IFERROR(IF(ISBLANK(INDEX(Backlog[Requirement Name],MATCH($A86,Backlog[Requirement ID],0))),"",INDEX(Backlog[Requirement Name],MATCH($A86,Backlog[Requirement ID],0))),"")</f>
        <v/>
      </c>
      <c r="C86" s="120">
        <f>IFERROR(IF(ISBLANK(INDEX(Backlog[Stream],MATCH($A86,Backlog[Requirement ID],0))),"",INDEX(Backlog[Stream],MATCH($A86,Backlog[Requirement ID],0))),"")</f>
        <v/>
      </c>
      <c r="D86" s="120">
        <f>IFERROR(IF(ISBLANK(INDEX(Backlog[Jira Link],MATCH($A86,Backlog[Requirement ID],0))),"",INDEX(Backlog[Jira Link],MATCH($A86,Backlog[Requirement ID],0))),"")</f>
        <v/>
      </c>
      <c r="E86" s="120">
        <f>IFERROR(IF(ISBLANK(INDEX(Backlog[Status],MATCH($A86,Backlog[Requirement ID],0))),"",INDEX(Backlog[Status],MATCH($A86,Backlog[Requirement ID],0))),"")</f>
        <v/>
      </c>
      <c r="F86" s="120">
        <f>IFERROR(IF(ISBLANK(INDEX(SprintPlanning[Sprint],MATCH($A86,SprintPlanning[Requirement ID],0))),"",INDEX(SprintPlanning[Sprint],MATCH($A86,SprintPlanning[Requirement ID],0))),"")</f>
        <v/>
      </c>
      <c r="G86" s="144" t="n"/>
      <c r="H86" s="145" t="n"/>
      <c r="I86" s="144" t="n"/>
      <c r="J86" s="120">
        <f>IFERROR(IF(ISBLANK(INDEX(Backlog[Priority],MATCH($A86,Backlog[Requirement ID],0))),"",INDEX(Backlog[Priority],MATCH($A86,Backlog[Requirement ID],0))),"")</f>
        <v/>
      </c>
      <c r="K86" s="121" t="n"/>
      <c r="L86" s="121" t="n"/>
    </row>
    <row r="87" hidden="1" ht="15" customHeight="1" s="93">
      <c r="A87" s="121">
        <f>Backlog!A87</f>
        <v/>
      </c>
      <c r="B87" s="143">
        <f>IFERROR(IF(ISBLANK(INDEX(Backlog[Requirement Name],MATCH($A87,Backlog[Requirement ID],0))),"",INDEX(Backlog[Requirement Name],MATCH($A87,Backlog[Requirement ID],0))),"")</f>
        <v/>
      </c>
      <c r="C87" s="120">
        <f>IFERROR(IF(ISBLANK(INDEX(Backlog[Stream],MATCH($A87,Backlog[Requirement ID],0))),"",INDEX(Backlog[Stream],MATCH($A87,Backlog[Requirement ID],0))),"")</f>
        <v/>
      </c>
      <c r="D87" s="120">
        <f>IFERROR(IF(ISBLANK(INDEX(Backlog[Jira Link],MATCH($A87,Backlog[Requirement ID],0))),"",INDEX(Backlog[Jira Link],MATCH($A87,Backlog[Requirement ID],0))),"")</f>
        <v/>
      </c>
      <c r="E87" s="120">
        <f>IFERROR(IF(ISBLANK(INDEX(Backlog[Status],MATCH($A87,Backlog[Requirement ID],0))),"",INDEX(Backlog[Status],MATCH($A87,Backlog[Requirement ID],0))),"")</f>
        <v/>
      </c>
      <c r="F87" s="120">
        <f>IFERROR(IF(ISBLANK(INDEX(SprintPlanning[Sprint],MATCH($A87,SprintPlanning[Requirement ID],0))),"",INDEX(SprintPlanning[Sprint],MATCH($A87,SprintPlanning[Requirement ID],0))),"")</f>
        <v/>
      </c>
      <c r="G87" s="144" t="n"/>
      <c r="H87" s="145" t="n"/>
      <c r="I87" s="144" t="n"/>
      <c r="J87" s="120">
        <f>IFERROR(IF(ISBLANK(INDEX(Backlog[Priority],MATCH($A87,Backlog[Requirement ID],0))),"",INDEX(Backlog[Priority],MATCH($A87,Backlog[Requirement ID],0))),"")</f>
        <v/>
      </c>
      <c r="K87" s="121" t="n"/>
      <c r="L87" s="121" t="n"/>
    </row>
    <row r="88" hidden="1" ht="15" customHeight="1" s="93">
      <c r="A88" s="121">
        <f>Backlog!A88</f>
        <v/>
      </c>
      <c r="B88" s="143">
        <f>IFERROR(IF(ISBLANK(INDEX(Backlog[Requirement Name],MATCH($A88,Backlog[Requirement ID],0))),"",INDEX(Backlog[Requirement Name],MATCH($A88,Backlog[Requirement ID],0))),"")</f>
        <v/>
      </c>
      <c r="C88" s="120">
        <f>IFERROR(IF(ISBLANK(INDEX(Backlog[Stream],MATCH($A88,Backlog[Requirement ID],0))),"",INDEX(Backlog[Stream],MATCH($A88,Backlog[Requirement ID],0))),"")</f>
        <v/>
      </c>
      <c r="D88" s="120">
        <f>IFERROR(IF(ISBLANK(INDEX(Backlog[Jira Link],MATCH($A88,Backlog[Requirement ID],0))),"",INDEX(Backlog[Jira Link],MATCH($A88,Backlog[Requirement ID],0))),"")</f>
        <v/>
      </c>
      <c r="E88" s="120">
        <f>IFERROR(IF(ISBLANK(INDEX(Backlog[Status],MATCH($A88,Backlog[Requirement ID],0))),"",INDEX(Backlog[Status],MATCH($A88,Backlog[Requirement ID],0))),"")</f>
        <v/>
      </c>
      <c r="F88" s="120">
        <f>IFERROR(IF(ISBLANK(INDEX(SprintPlanning[Sprint],MATCH($A88,SprintPlanning[Requirement ID],0))),"",INDEX(SprintPlanning[Sprint],MATCH($A88,SprintPlanning[Requirement ID],0))),"")</f>
        <v/>
      </c>
      <c r="G88" s="144" t="n"/>
      <c r="H88" s="145" t="n"/>
      <c r="I88" s="144" t="n"/>
      <c r="J88" s="120">
        <f>IFERROR(IF(ISBLANK(INDEX(Backlog[Priority],MATCH($A88,Backlog[Requirement ID],0))),"",INDEX(Backlog[Priority],MATCH($A88,Backlog[Requirement ID],0))),"")</f>
        <v/>
      </c>
      <c r="K88" s="121" t="n"/>
      <c r="L88" s="121" t="n"/>
    </row>
    <row r="89" hidden="1" ht="15" customHeight="1" s="93">
      <c r="A89" s="121">
        <f>Backlog!A89</f>
        <v/>
      </c>
      <c r="B89" s="143">
        <f>IFERROR(IF(ISBLANK(INDEX(Backlog[Requirement Name],MATCH($A89,Backlog[Requirement ID],0))),"",INDEX(Backlog[Requirement Name],MATCH($A89,Backlog[Requirement ID],0))),"")</f>
        <v/>
      </c>
      <c r="C89" s="120">
        <f>IFERROR(IF(ISBLANK(INDEX(Backlog[Stream],MATCH($A89,Backlog[Requirement ID],0))),"",INDEX(Backlog[Stream],MATCH($A89,Backlog[Requirement ID],0))),"")</f>
        <v/>
      </c>
      <c r="D89" s="120">
        <f>IFERROR(IF(ISBLANK(INDEX(Backlog[Jira Link],MATCH($A89,Backlog[Requirement ID],0))),"",INDEX(Backlog[Jira Link],MATCH($A89,Backlog[Requirement ID],0))),"")</f>
        <v/>
      </c>
      <c r="E89" s="120">
        <f>IFERROR(IF(ISBLANK(INDEX(Backlog[Status],MATCH($A89,Backlog[Requirement ID],0))),"",INDEX(Backlog[Status],MATCH($A89,Backlog[Requirement ID],0))),"")</f>
        <v/>
      </c>
      <c r="F89" s="120">
        <f>IFERROR(IF(ISBLANK(INDEX(SprintPlanning[Sprint],MATCH($A89,SprintPlanning[Requirement ID],0))),"",INDEX(SprintPlanning[Sprint],MATCH($A89,SprintPlanning[Requirement ID],0))),"")</f>
        <v/>
      </c>
      <c r="G89" s="144" t="n"/>
      <c r="H89" s="145" t="n"/>
      <c r="I89" s="144" t="n"/>
      <c r="J89" s="120">
        <f>IFERROR(IF(ISBLANK(INDEX(Backlog[Priority],MATCH($A89,Backlog[Requirement ID],0))),"",INDEX(Backlog[Priority],MATCH($A89,Backlog[Requirement ID],0))),"")</f>
        <v/>
      </c>
      <c r="K89" s="121" t="n"/>
      <c r="L89" s="121" t="n"/>
    </row>
    <row r="90" hidden="1" ht="15" customHeight="1" s="93">
      <c r="A90" s="92">
        <f>Backlog!A90</f>
        <v/>
      </c>
      <c r="B90" s="97">
        <f>IFERROR(IF(ISBLANK(INDEX(Backlog[Requirement Name],MATCH($A90,Backlog[Requirement ID],0))),"",INDEX(Backlog[Requirement Name],MATCH($A90,Backlog[Requirement ID],0))),"")</f>
        <v/>
      </c>
      <c r="C90" s="92">
        <f>IFERROR(IF(ISBLANK(INDEX(Backlog[Stream],MATCH($A90,Backlog[Requirement ID],0))),"",INDEX(Backlog[Stream],MATCH($A90,Backlog[Requirement ID],0))),"")</f>
        <v/>
      </c>
      <c r="D90" s="92">
        <f>IFERROR(IF(ISBLANK(INDEX(Backlog[Jira Link],MATCH($A90,Backlog[Requirement ID],0))),"",INDEX(Backlog[Jira Link],MATCH($A90,Backlog[Requirement ID],0))),"")</f>
        <v/>
      </c>
      <c r="E90" s="92">
        <f>IFERROR(IF(ISBLANK(INDEX(Backlog[Status],MATCH($A90,Backlog[Requirement ID],0))),"",INDEX(Backlog[Status],MATCH($A90,Backlog[Requirement ID],0))),"")</f>
        <v/>
      </c>
      <c r="F90" s="92">
        <f>IFERROR(IF(ISBLANK(INDEX(SprintPlanning[Sprint],MATCH($A90,SprintPlanning[Requirement ID],0))),"",INDEX(SprintPlanning[Sprint],MATCH($A90,SprintPlanning[Requirement ID],0))),"")</f>
        <v/>
      </c>
      <c r="H90" s="146" t="n"/>
      <c r="J90" s="92">
        <f>IFERROR(IF(ISBLANK(INDEX(Backlog[Priority],MATCH($A90,Backlog[Requirement ID],0))),"",INDEX(Backlog[Priority],MATCH($A90,Backlog[Requirement ID],0))),"")</f>
        <v/>
      </c>
    </row>
    <row r="91" hidden="1" ht="15" customHeight="1" s="93">
      <c r="A91" s="92">
        <f>Backlog!A91</f>
        <v/>
      </c>
      <c r="B91" s="97">
        <f>IFERROR(IF(ISBLANK(INDEX(Backlog[Requirement Name],MATCH($A91,Backlog[Requirement ID],0))),"",INDEX(Backlog[Requirement Name],MATCH($A91,Backlog[Requirement ID],0))),"")</f>
        <v/>
      </c>
      <c r="C91" s="92">
        <f>IFERROR(IF(ISBLANK(INDEX(Backlog[Stream],MATCH($A91,Backlog[Requirement ID],0))),"",INDEX(Backlog[Stream],MATCH($A91,Backlog[Requirement ID],0))),"")</f>
        <v/>
      </c>
      <c r="D91" s="92">
        <f>IFERROR(IF(ISBLANK(INDEX(Backlog[Jira Link],MATCH($A91,Backlog[Requirement ID],0))),"",INDEX(Backlog[Jira Link],MATCH($A91,Backlog[Requirement ID],0))),"")</f>
        <v/>
      </c>
      <c r="E91" s="92">
        <f>IFERROR(IF(ISBLANK(INDEX(Backlog[Status],MATCH($A91,Backlog[Requirement ID],0))),"",INDEX(Backlog[Status],MATCH($A91,Backlog[Requirement ID],0))),"")</f>
        <v/>
      </c>
      <c r="F91" s="92">
        <f>IFERROR(IF(ISBLANK(INDEX(SprintPlanning[Sprint],MATCH($A91,SprintPlanning[Requirement ID],0))),"",INDEX(SprintPlanning[Sprint],MATCH($A91,SprintPlanning[Requirement ID],0))),"")</f>
        <v/>
      </c>
      <c r="H91" s="146" t="n"/>
      <c r="J91" s="92">
        <f>IFERROR(IF(ISBLANK(INDEX(Backlog[Priority],MATCH($A91,Backlog[Requirement ID],0))),"",INDEX(Backlog[Priority],MATCH($A91,Backlog[Requirement ID],0))),"")</f>
        <v/>
      </c>
    </row>
    <row r="92" hidden="1" ht="15" customHeight="1" s="93">
      <c r="A92" s="92">
        <f>Backlog!A92</f>
        <v/>
      </c>
      <c r="B92" s="97">
        <f>IFERROR(IF(ISBLANK(INDEX(Backlog[Requirement Name],MATCH($A92,Backlog[Requirement ID],0))),"",INDEX(Backlog[Requirement Name],MATCH($A92,Backlog[Requirement ID],0))),"")</f>
        <v/>
      </c>
      <c r="C92" s="92">
        <f>IFERROR(IF(ISBLANK(INDEX(Backlog[Stream],MATCH($A92,Backlog[Requirement ID],0))),"",INDEX(Backlog[Stream],MATCH($A92,Backlog[Requirement ID],0))),"")</f>
        <v/>
      </c>
      <c r="D92" s="92">
        <f>IFERROR(IF(ISBLANK(INDEX(Backlog[Jira Link],MATCH($A92,Backlog[Requirement ID],0))),"",INDEX(Backlog[Jira Link],MATCH($A92,Backlog[Requirement ID],0))),"")</f>
        <v/>
      </c>
      <c r="E92" s="92">
        <f>IFERROR(IF(ISBLANK(INDEX(Backlog[Status],MATCH($A92,Backlog[Requirement ID],0))),"",INDEX(Backlog[Status],MATCH($A92,Backlog[Requirement ID],0))),"")</f>
        <v/>
      </c>
      <c r="F92" s="92">
        <f>IFERROR(IF(ISBLANK(INDEX(SprintPlanning[Sprint],MATCH($A92,SprintPlanning[Requirement ID],0))),"",INDEX(SprintPlanning[Sprint],MATCH($A92,SprintPlanning[Requirement ID],0))),"")</f>
        <v/>
      </c>
      <c r="H92" s="146" t="n"/>
      <c r="J92" s="92">
        <f>IFERROR(IF(ISBLANK(INDEX(Backlog[Priority],MATCH($A92,Backlog[Requirement ID],0))),"",INDEX(Backlog[Priority],MATCH($A92,Backlog[Requirement ID],0))),"")</f>
        <v/>
      </c>
    </row>
    <row r="93" hidden="1" ht="15" customHeight="1" s="93">
      <c r="A93" s="92">
        <f>Backlog!A93</f>
        <v/>
      </c>
      <c r="B93" s="97">
        <f>IFERROR(IF(ISBLANK(INDEX(Backlog[Requirement Name],MATCH($A93,Backlog[Requirement ID],0))),"",INDEX(Backlog[Requirement Name],MATCH($A93,Backlog[Requirement ID],0))),"")</f>
        <v/>
      </c>
      <c r="C93" s="92">
        <f>IFERROR(IF(ISBLANK(INDEX(Backlog[Stream],MATCH($A93,Backlog[Requirement ID],0))),"",INDEX(Backlog[Stream],MATCH($A93,Backlog[Requirement ID],0))),"")</f>
        <v/>
      </c>
      <c r="D93" s="92">
        <f>IFERROR(IF(ISBLANK(INDEX(Backlog[Jira Link],MATCH($A93,Backlog[Requirement ID],0))),"",INDEX(Backlog[Jira Link],MATCH($A93,Backlog[Requirement ID],0))),"")</f>
        <v/>
      </c>
      <c r="E93" s="92">
        <f>IFERROR(IF(ISBLANK(INDEX(Backlog[Status],MATCH($A93,Backlog[Requirement ID],0))),"",INDEX(Backlog[Status],MATCH($A93,Backlog[Requirement ID],0))),"")</f>
        <v/>
      </c>
      <c r="F93" s="92">
        <f>IFERROR(IF(ISBLANK(INDEX(SprintPlanning[Sprint],MATCH($A93,SprintPlanning[Requirement ID],0))),"",INDEX(SprintPlanning[Sprint],MATCH($A93,SprintPlanning[Requirement ID],0))),"")</f>
        <v/>
      </c>
      <c r="H93" s="146" t="n"/>
      <c r="J93" s="92">
        <f>IFERROR(IF(ISBLANK(INDEX(Backlog[Priority],MATCH($A93,Backlog[Requirement ID],0))),"",INDEX(Backlog[Priority],MATCH($A93,Backlog[Requirement ID],0))),"")</f>
        <v/>
      </c>
    </row>
    <row r="94" ht="15" customHeight="1" s="93">
      <c r="A94" s="92">
        <f>Backlog!A94</f>
        <v/>
      </c>
      <c r="B94" s="97">
        <f>IFERROR(IF(ISBLANK(INDEX(Backlog[Requirement Name],MATCH($A94,Backlog[Requirement ID],0))),"",INDEX(Backlog[Requirement Name],MATCH($A94,Backlog[Requirement ID],0))),"")</f>
        <v/>
      </c>
      <c r="C94" s="92">
        <f>IFERROR(IF(ISBLANK(INDEX(Backlog[Stream],MATCH($A94,Backlog[Requirement ID],0))),"",INDEX(Backlog[Stream],MATCH($A94,Backlog[Requirement ID],0))),"")</f>
        <v/>
      </c>
      <c r="D94" s="92">
        <f>IFERROR(IF(ISBLANK(INDEX(Backlog[Jira Link],MATCH($A94,Backlog[Requirement ID],0))),"",INDEX(Backlog[Jira Link],MATCH($A94,Backlog[Requirement ID],0))),"")</f>
        <v/>
      </c>
      <c r="E94" s="92">
        <f>IFERROR(IF(ISBLANK(INDEX(Backlog[Status],MATCH($A94,Backlog[Requirement ID],0))),"",INDEX(Backlog[Status],MATCH($A94,Backlog[Requirement ID],0))),"")</f>
        <v/>
      </c>
      <c r="F94" s="92">
        <f>IFERROR(IF(ISBLANK(INDEX(SprintPlanning[Sprint],MATCH($A94,SprintPlanning[Requirement ID],0))),"",INDEX(SprintPlanning[Sprint],MATCH($A94,SprintPlanning[Requirement ID],0))),"")</f>
        <v/>
      </c>
      <c r="H94" s="146" t="n"/>
      <c r="I94" s="135" t="inlineStr">
        <is>
          <t>Luke</t>
        </is>
      </c>
      <c r="J94" s="92">
        <f>IFERROR(IF(ISBLANK(INDEX(Backlog[Priority],MATCH($A94,Backlog[Requirement ID],0))),"",INDEX(Backlog[Priority],MATCH($A94,Backlog[Requirement ID],0))),"")</f>
        <v/>
      </c>
      <c r="K94" s="92" t="inlineStr">
        <is>
          <t>Design in Progress</t>
        </is>
      </c>
    </row>
    <row r="95" ht="15" customHeight="1" s="93">
      <c r="A95" s="92">
        <f>Backlog!A95</f>
        <v/>
      </c>
      <c r="B95" s="97">
        <f>IFERROR(IF(ISBLANK(INDEX(Backlog[Requirement Name],MATCH($A95,Backlog[Requirement ID],0))),"",INDEX(Backlog[Requirement Name],MATCH($A95,Backlog[Requirement ID],0))),"")</f>
        <v/>
      </c>
      <c r="C95" s="92">
        <f>IFERROR(IF(ISBLANK(INDEX(Backlog[Stream],MATCH($A95,Backlog[Requirement ID],0))),"",INDEX(Backlog[Stream],MATCH($A95,Backlog[Requirement ID],0))),"")</f>
        <v/>
      </c>
      <c r="D95" s="92">
        <f>IFERROR(IF(ISBLANK(INDEX(Backlog[Jira Link],MATCH($A95,Backlog[Requirement ID],0))),"",INDEX(Backlog[Jira Link],MATCH($A95,Backlog[Requirement ID],0))),"")</f>
        <v/>
      </c>
      <c r="E95" s="92">
        <f>IFERROR(IF(ISBLANK(INDEX(Backlog[Status],MATCH($A95,Backlog[Requirement ID],0))),"",INDEX(Backlog[Status],MATCH($A95,Backlog[Requirement ID],0))),"")</f>
        <v/>
      </c>
      <c r="F95" s="92">
        <f>IFERROR(IF(ISBLANK(INDEX(SprintPlanning[Sprint],MATCH($A95,SprintPlanning[Requirement ID],0))),"",INDEX(SprintPlanning[Sprint],MATCH($A95,SprintPlanning[Requirement ID],0))),"")</f>
        <v/>
      </c>
      <c r="G95" s="135" t="inlineStr">
        <is>
          <t>Yes</t>
        </is>
      </c>
      <c r="H95" s="146" t="n">
        <v>46251</v>
      </c>
      <c r="J95" s="92">
        <f>IFERROR(IF(ISBLANK(INDEX(Backlog[Priority],MATCH($A95,Backlog[Requirement ID],0))),"",INDEX(Backlog[Priority],MATCH($A95,Backlog[Requirement ID],0))),"")</f>
        <v/>
      </c>
      <c r="K95" s="92" t="inlineStr">
        <is>
          <t>Ready for Development</t>
        </is>
      </c>
    </row>
    <row r="96" hidden="1" ht="15" customHeight="1" s="93">
      <c r="A96" s="92">
        <f>Backlog!A96</f>
        <v/>
      </c>
      <c r="B96" s="97">
        <f>IFERROR(IF(ISBLANK(INDEX(Backlog[Requirement Name],MATCH($A96,Backlog[Requirement ID],0))),"",INDEX(Backlog[Requirement Name],MATCH($A96,Backlog[Requirement ID],0))),"")</f>
        <v/>
      </c>
      <c r="C96" s="92">
        <f>IFERROR(IF(ISBLANK(INDEX(Backlog[Stream],MATCH($A96,Backlog[Requirement ID],0))),"",INDEX(Backlog[Stream],MATCH($A96,Backlog[Requirement ID],0))),"")</f>
        <v/>
      </c>
      <c r="D96" s="92">
        <f>IFERROR(IF(ISBLANK(INDEX(Backlog[Jira Link],MATCH($A96,Backlog[Requirement ID],0))),"",INDEX(Backlog[Jira Link],MATCH($A96,Backlog[Requirement ID],0))),"")</f>
        <v/>
      </c>
      <c r="E96" s="92">
        <f>IFERROR(IF(ISBLANK(INDEX(Backlog[Status],MATCH($A96,Backlog[Requirement ID],0))),"",INDEX(Backlog[Status],MATCH($A96,Backlog[Requirement ID],0))),"")</f>
        <v/>
      </c>
      <c r="F96" s="92">
        <f>IFERROR(IF(ISBLANK(INDEX(SprintPlanning[Sprint],MATCH($A96,SprintPlanning[Requirement ID],0))),"",INDEX(SprintPlanning[Sprint],MATCH($A96,SprintPlanning[Requirement ID],0))),"")</f>
        <v/>
      </c>
      <c r="H96" s="146" t="n"/>
      <c r="J96" s="92">
        <f>IFERROR(IF(ISBLANK(INDEX(Backlog[Priority],MATCH($A96,Backlog[Requirement ID],0))),"",INDEX(Backlog[Priority],MATCH($A96,Backlog[Requirement ID],0))),"")</f>
        <v/>
      </c>
    </row>
    <row r="97" ht="15" customHeight="1" s="93">
      <c r="A97" s="92">
        <f>Backlog!A97</f>
        <v/>
      </c>
      <c r="B97" s="97">
        <f>IFERROR(IF(ISBLANK(INDEX(Backlog[Requirement Name],MATCH($A97,Backlog[Requirement ID],0))),"",INDEX(Backlog[Requirement Name],MATCH($A97,Backlog[Requirement ID],0))),"")</f>
        <v/>
      </c>
      <c r="C97" s="92">
        <f>IFERROR(IF(ISBLANK(INDEX(Backlog[Stream],MATCH($A97,Backlog[Requirement ID],0))),"",INDEX(Backlog[Stream],MATCH($A97,Backlog[Requirement ID],0))),"")</f>
        <v/>
      </c>
      <c r="D97" s="92">
        <f>IFERROR(IF(ISBLANK(INDEX(Backlog[Jira Link],MATCH($A97,Backlog[Requirement ID],0))),"",INDEX(Backlog[Jira Link],MATCH($A97,Backlog[Requirement ID],0))),"")</f>
        <v/>
      </c>
      <c r="E97" s="92">
        <f>IFERROR(IF(ISBLANK(INDEX(Backlog[Status],MATCH($A97,Backlog[Requirement ID],0))),"",INDEX(Backlog[Status],MATCH($A97,Backlog[Requirement ID],0))),"")</f>
        <v/>
      </c>
      <c r="F97" s="92">
        <f>IFERROR(IF(ISBLANK(INDEX(SprintPlanning[Sprint],MATCH($A97,SprintPlanning[Requirement ID],0))),"",INDEX(SprintPlanning[Sprint],MATCH($A97,SprintPlanning[Requirement ID],0))),"")</f>
        <v/>
      </c>
      <c r="G97" s="135" t="inlineStr">
        <is>
          <t>Yes</t>
        </is>
      </c>
      <c r="H97" s="146" t="n"/>
      <c r="I97" s="135" t="inlineStr">
        <is>
          <t>Bipin</t>
        </is>
      </c>
      <c r="J97" s="92">
        <f>IFERROR(IF(ISBLANK(INDEX(Backlog[Priority],MATCH($A97,Backlog[Requirement ID],0))),"",INDEX(Backlog[Priority],MATCH($A97,Backlog[Requirement ID],0))),"")</f>
        <v/>
      </c>
      <c r="K97" s="92" t="inlineStr">
        <is>
          <t>Pending Design</t>
        </is>
      </c>
    </row>
    <row r="98" ht="15" customHeight="1" s="93">
      <c r="A98" s="92">
        <f>Backlog!A98</f>
        <v/>
      </c>
      <c r="B98" s="97">
        <f>IFERROR(IF(ISBLANK(INDEX(Backlog[Requirement Name],MATCH($A98,Backlog[Requirement ID],0))),"",INDEX(Backlog[Requirement Name],MATCH($A98,Backlog[Requirement ID],0))),"")</f>
        <v/>
      </c>
      <c r="C98" s="92">
        <f>IFERROR(IF(ISBLANK(INDEX(Backlog[Stream],MATCH($A98,Backlog[Requirement ID],0))),"",INDEX(Backlog[Stream],MATCH($A98,Backlog[Requirement ID],0))),"")</f>
        <v/>
      </c>
      <c r="D98" s="92">
        <f>IFERROR(IF(ISBLANK(INDEX(Backlog[Jira Link],MATCH($A98,Backlog[Requirement ID],0))),"",INDEX(Backlog[Jira Link],MATCH($A98,Backlog[Requirement ID],0))),"")</f>
        <v/>
      </c>
      <c r="E98" s="92">
        <f>IFERROR(IF(ISBLANK(INDEX(Backlog[Status],MATCH($A98,Backlog[Requirement ID],0))),"",INDEX(Backlog[Status],MATCH($A98,Backlog[Requirement ID],0))),"")</f>
        <v/>
      </c>
      <c r="F98" s="92">
        <f>IFERROR(IF(ISBLANK(INDEX(SprintPlanning[Sprint],MATCH($A98,SprintPlanning[Requirement ID],0))),"",INDEX(SprintPlanning[Sprint],MATCH($A98,SprintPlanning[Requirement ID],0))),"")</f>
        <v/>
      </c>
      <c r="G98" s="135" t="inlineStr">
        <is>
          <t>No</t>
        </is>
      </c>
      <c r="H98" s="146" t="n"/>
      <c r="J98" s="92">
        <f>IFERROR(IF(ISBLANK(INDEX(Backlog[Priority],MATCH($A98,Backlog[Requirement ID],0))),"",INDEX(Backlog[Priority],MATCH($A98,Backlog[Requirement ID],0))),"")</f>
        <v/>
      </c>
      <c r="K98" s="92" t="inlineStr">
        <is>
          <t>No Design Required</t>
        </is>
      </c>
    </row>
    <row r="99" ht="15" customHeight="1" s="93">
      <c r="A99" s="92">
        <f>Backlog!A99</f>
        <v/>
      </c>
      <c r="B99" s="97">
        <f>IFERROR(IF(ISBLANK(INDEX(Backlog[Requirement Name],MATCH($A99,Backlog[Requirement ID],0))),"",INDEX(Backlog[Requirement Name],MATCH($A99,Backlog[Requirement ID],0))),"")</f>
        <v/>
      </c>
      <c r="C99" s="92">
        <f>IFERROR(IF(ISBLANK(INDEX(Backlog[Stream],MATCH($A99,Backlog[Requirement ID],0))),"",INDEX(Backlog[Stream],MATCH($A99,Backlog[Requirement ID],0))),"")</f>
        <v/>
      </c>
      <c r="D99" s="92">
        <f>IFERROR(IF(ISBLANK(INDEX(Backlog[Jira Link],MATCH($A99,Backlog[Requirement ID],0))),"",INDEX(Backlog[Jira Link],MATCH($A99,Backlog[Requirement ID],0))),"")</f>
        <v/>
      </c>
      <c r="E99" s="92">
        <f>IFERROR(IF(ISBLANK(INDEX(Backlog[Status],MATCH($A99,Backlog[Requirement ID],0))),"",INDEX(Backlog[Status],MATCH($A99,Backlog[Requirement ID],0))),"")</f>
        <v/>
      </c>
      <c r="F99" s="92">
        <f>IFERROR(IF(ISBLANK(INDEX(SprintPlanning[Sprint],MATCH($A99,SprintPlanning[Requirement ID],0))),"",INDEX(SprintPlanning[Sprint],MATCH($A99,SprintPlanning[Requirement ID],0))),"")</f>
        <v/>
      </c>
      <c r="G99" s="135" t="inlineStr">
        <is>
          <t>No</t>
        </is>
      </c>
      <c r="H99" s="146" t="n"/>
      <c r="J99" s="92">
        <f>IFERROR(IF(ISBLANK(INDEX(Backlog[Priority],MATCH($A99,Backlog[Requirement ID],0))),"",INDEX(Backlog[Priority],MATCH($A99,Backlog[Requirement ID],0))),"")</f>
        <v/>
      </c>
      <c r="K99" s="92" t="inlineStr">
        <is>
          <t>No Design Required</t>
        </is>
      </c>
    </row>
    <row r="100" ht="15" customHeight="1" s="93">
      <c r="A100" s="92">
        <f>Backlog!A100</f>
        <v/>
      </c>
      <c r="B100" s="97">
        <f>IFERROR(IF(ISBLANK(INDEX(Backlog[Requirement Name],MATCH($A100,Backlog[Requirement ID],0))),"",INDEX(Backlog[Requirement Name],MATCH($A100,Backlog[Requirement ID],0))),"")</f>
        <v/>
      </c>
      <c r="C100" s="92">
        <f>IFERROR(IF(ISBLANK(INDEX(Backlog[Stream],MATCH($A100,Backlog[Requirement ID],0))),"",INDEX(Backlog[Stream],MATCH($A100,Backlog[Requirement ID],0))),"")</f>
        <v/>
      </c>
      <c r="D100" s="92">
        <f>IFERROR(IF(ISBLANK(INDEX(Backlog[Jira Link],MATCH($A100,Backlog[Requirement ID],0))),"",INDEX(Backlog[Jira Link],MATCH($A100,Backlog[Requirement ID],0))),"")</f>
        <v/>
      </c>
      <c r="E100" s="92">
        <f>IFERROR(IF(ISBLANK(INDEX(Backlog[Status],MATCH($A100,Backlog[Requirement ID],0))),"",INDEX(Backlog[Status],MATCH($A100,Backlog[Requirement ID],0))),"")</f>
        <v/>
      </c>
      <c r="F100" s="92">
        <f>IFERROR(IF(ISBLANK(INDEX(SprintPlanning[Sprint],MATCH($A100,SprintPlanning[Requirement ID],0))),"",INDEX(SprintPlanning[Sprint],MATCH($A100,SprintPlanning[Requirement ID],0))),"")</f>
        <v/>
      </c>
      <c r="G100" s="135" t="inlineStr">
        <is>
          <t>No</t>
        </is>
      </c>
      <c r="H100" s="146" t="n"/>
      <c r="J100" s="92">
        <f>IFERROR(IF(ISBLANK(INDEX(Backlog[Priority],MATCH($A100,Backlog[Requirement ID],0))),"",INDEX(Backlog[Priority],MATCH($A100,Backlog[Requirement ID],0))),"")</f>
        <v/>
      </c>
      <c r="K100" s="92" t="inlineStr">
        <is>
          <t>No Design Required</t>
        </is>
      </c>
    </row>
    <row r="101" hidden="1" ht="15" customHeight="1" s="93">
      <c r="A101" s="92">
        <f>Backlog!A101</f>
        <v/>
      </c>
      <c r="B101" s="97">
        <f>IFERROR(IF(ISBLANK(INDEX(Backlog[Requirement Name],MATCH($A101,Backlog[Requirement ID],0))),"",INDEX(Backlog[Requirement Name],MATCH($A101,Backlog[Requirement ID],0))),"")</f>
        <v/>
      </c>
      <c r="C101" s="92">
        <f>IFERROR(IF(ISBLANK(INDEX(Backlog[Stream],MATCH($A101,Backlog[Requirement ID],0))),"",INDEX(Backlog[Stream],MATCH($A101,Backlog[Requirement ID],0))),"")</f>
        <v/>
      </c>
      <c r="D101" s="92">
        <f>IFERROR(IF(ISBLANK(INDEX(Backlog[Jira Link],MATCH($A101,Backlog[Requirement ID],0))),"",INDEX(Backlog[Jira Link],MATCH($A101,Backlog[Requirement ID],0))),"")</f>
        <v/>
      </c>
      <c r="E101" s="92">
        <f>IFERROR(IF(ISBLANK(INDEX(Backlog[Status],MATCH($A101,Backlog[Requirement ID],0))),"",INDEX(Backlog[Status],MATCH($A101,Backlog[Requirement ID],0))),"")</f>
        <v/>
      </c>
      <c r="F101" s="92">
        <f>IFERROR(IF(ISBLANK(INDEX(SprintPlanning[Sprint],MATCH($A101,SprintPlanning[Requirement ID],0))),"",INDEX(SprintPlanning[Sprint],MATCH($A101,SprintPlanning[Requirement ID],0))),"")</f>
        <v/>
      </c>
      <c r="H101" s="146" t="n"/>
      <c r="J101" s="92">
        <f>IFERROR(IF(ISBLANK(INDEX(Backlog[Priority],MATCH($A101,Backlog[Requirement ID],0))),"",INDEX(Backlog[Priority],MATCH($A101,Backlog[Requirement ID],0))),"")</f>
        <v/>
      </c>
    </row>
    <row r="102" hidden="1" ht="15" customHeight="1" s="93">
      <c r="A102" s="92">
        <f>Backlog!A102</f>
        <v/>
      </c>
      <c r="B102" s="97">
        <f>IFERROR(IF(ISBLANK(INDEX(Backlog[Requirement Name],MATCH($A102,Backlog[Requirement ID],0))),"",INDEX(Backlog[Requirement Name],MATCH($A102,Backlog[Requirement ID],0))),"")</f>
        <v/>
      </c>
      <c r="C102" s="92">
        <f>IFERROR(IF(ISBLANK(INDEX(Backlog[Stream],MATCH($A102,Backlog[Requirement ID],0))),"",INDEX(Backlog[Stream],MATCH($A102,Backlog[Requirement ID],0))),"")</f>
        <v/>
      </c>
      <c r="D102" s="92">
        <f>IFERROR(IF(ISBLANK(INDEX(Backlog[Jira Link],MATCH($A102,Backlog[Requirement ID],0))),"",INDEX(Backlog[Jira Link],MATCH($A102,Backlog[Requirement ID],0))),"")</f>
        <v/>
      </c>
      <c r="E102" s="92">
        <f>IFERROR(IF(ISBLANK(INDEX(Backlog[Status],MATCH($A102,Backlog[Requirement ID],0))),"",INDEX(Backlog[Status],MATCH($A102,Backlog[Requirement ID],0))),"")</f>
        <v/>
      </c>
      <c r="F102" s="92">
        <f>IFERROR(IF(ISBLANK(INDEX(SprintPlanning[Sprint],MATCH($A102,SprintPlanning[Requirement ID],0))),"",INDEX(SprintPlanning[Sprint],MATCH($A102,SprintPlanning[Requirement ID],0))),"")</f>
        <v/>
      </c>
      <c r="H102" s="146" t="n"/>
      <c r="J102" s="92">
        <f>IFERROR(IF(ISBLANK(INDEX(Backlog[Priority],MATCH($A102,Backlog[Requirement ID],0))),"",INDEX(Backlog[Priority],MATCH($A102,Backlog[Requirement ID],0))),"")</f>
        <v/>
      </c>
    </row>
    <row r="103" hidden="1" ht="15" customHeight="1" s="93">
      <c r="A103" s="92">
        <f>Backlog!A103</f>
        <v/>
      </c>
      <c r="B103" s="97">
        <f>IFERROR(IF(ISBLANK(INDEX(Backlog[Requirement Name],MATCH($A103,Backlog[Requirement ID],0))),"",INDEX(Backlog[Requirement Name],MATCH($A103,Backlog[Requirement ID],0))),"")</f>
        <v/>
      </c>
      <c r="C103" s="92">
        <f>IFERROR(IF(ISBLANK(INDEX(Backlog[Stream],MATCH($A103,Backlog[Requirement ID],0))),"",INDEX(Backlog[Stream],MATCH($A103,Backlog[Requirement ID],0))),"")</f>
        <v/>
      </c>
      <c r="D103" s="92">
        <f>IFERROR(IF(ISBLANK(INDEX(Backlog[Jira Link],MATCH($A103,Backlog[Requirement ID],0))),"",INDEX(Backlog[Jira Link],MATCH($A103,Backlog[Requirement ID],0))),"")</f>
        <v/>
      </c>
      <c r="E103" s="92">
        <f>IFERROR(IF(ISBLANK(INDEX(Backlog[Status],MATCH($A103,Backlog[Requirement ID],0))),"",INDEX(Backlog[Status],MATCH($A103,Backlog[Requirement ID],0))),"")</f>
        <v/>
      </c>
      <c r="F103" s="92">
        <f>IFERROR(IF(ISBLANK(INDEX(SprintPlanning[Sprint],MATCH($A103,SprintPlanning[Requirement ID],0))),"",INDEX(SprintPlanning[Sprint],MATCH($A103,SprintPlanning[Requirement ID],0))),"")</f>
        <v/>
      </c>
      <c r="H103" s="146" t="n"/>
      <c r="J103" s="92">
        <f>IFERROR(IF(ISBLANK(INDEX(Backlog[Priority],MATCH($A103,Backlog[Requirement ID],0))),"",INDEX(Backlog[Priority],MATCH($A103,Backlog[Requirement ID],0))),"")</f>
        <v/>
      </c>
    </row>
    <row r="104" hidden="1" ht="15" customHeight="1" s="93">
      <c r="A104" s="92">
        <f>Backlog!A104</f>
        <v/>
      </c>
      <c r="B104" s="97">
        <f>IFERROR(IF(ISBLANK(INDEX(Backlog[Requirement Name],MATCH($A104,Backlog[Requirement ID],0))),"",INDEX(Backlog[Requirement Name],MATCH($A104,Backlog[Requirement ID],0))),"")</f>
        <v/>
      </c>
      <c r="C104" s="92">
        <f>IFERROR(IF(ISBLANK(INDEX(Backlog[Stream],MATCH($A104,Backlog[Requirement ID],0))),"",INDEX(Backlog[Stream],MATCH($A104,Backlog[Requirement ID],0))),"")</f>
        <v/>
      </c>
      <c r="D104" s="92">
        <f>IFERROR(IF(ISBLANK(INDEX(Backlog[Jira Link],MATCH($A104,Backlog[Requirement ID],0))),"",INDEX(Backlog[Jira Link],MATCH($A104,Backlog[Requirement ID],0))),"")</f>
        <v/>
      </c>
      <c r="E104" s="92">
        <f>IFERROR(IF(ISBLANK(INDEX(Backlog[Status],MATCH($A104,Backlog[Requirement ID],0))),"",INDEX(Backlog[Status],MATCH($A104,Backlog[Requirement ID],0))),"")</f>
        <v/>
      </c>
      <c r="F104" s="92">
        <f>IFERROR(IF(ISBLANK(INDEX(SprintPlanning[Sprint],MATCH($A104,SprintPlanning[Requirement ID],0))),"",INDEX(SprintPlanning[Sprint],MATCH($A104,SprintPlanning[Requirement ID],0))),"")</f>
        <v/>
      </c>
      <c r="H104" s="146" t="n"/>
      <c r="J104" s="92">
        <f>IFERROR(IF(ISBLANK(INDEX(Backlog[Priority],MATCH($A104,Backlog[Requirement ID],0))),"",INDEX(Backlog[Priority],MATCH($A104,Backlog[Requirement ID],0))),"")</f>
        <v/>
      </c>
    </row>
    <row r="105" hidden="1" ht="15" customHeight="1" s="93">
      <c r="A105" s="92">
        <f>Backlog!A105</f>
        <v/>
      </c>
      <c r="B105" s="97">
        <f>IFERROR(IF(ISBLANK(INDEX(Backlog[Requirement Name],MATCH($A105,Backlog[Requirement ID],0))),"",INDEX(Backlog[Requirement Name],MATCH($A105,Backlog[Requirement ID],0))),"")</f>
        <v/>
      </c>
      <c r="C105" s="92">
        <f>IFERROR(IF(ISBLANK(INDEX(Backlog[Stream],MATCH($A105,Backlog[Requirement ID],0))),"",INDEX(Backlog[Stream],MATCH($A105,Backlog[Requirement ID],0))),"")</f>
        <v/>
      </c>
      <c r="D105" s="92">
        <f>IFERROR(IF(ISBLANK(INDEX(Backlog[Jira Link],MATCH($A105,Backlog[Requirement ID],0))),"",INDEX(Backlog[Jira Link],MATCH($A105,Backlog[Requirement ID],0))),"")</f>
        <v/>
      </c>
      <c r="E105" s="92">
        <f>IFERROR(IF(ISBLANK(INDEX(Backlog[Status],MATCH($A105,Backlog[Requirement ID],0))),"",INDEX(Backlog[Status],MATCH($A105,Backlog[Requirement ID],0))),"")</f>
        <v/>
      </c>
      <c r="F105" s="92">
        <f>IFERROR(IF(ISBLANK(INDEX(SprintPlanning[Sprint],MATCH($A105,SprintPlanning[Requirement ID],0))),"",INDEX(SprintPlanning[Sprint],MATCH($A105,SprintPlanning[Requirement ID],0))),"")</f>
        <v/>
      </c>
      <c r="H105" s="146" t="n"/>
      <c r="J105" s="92">
        <f>IFERROR(IF(ISBLANK(INDEX(Backlog[Priority],MATCH($A105,Backlog[Requirement ID],0))),"",INDEX(Backlog[Priority],MATCH($A105,Backlog[Requirement ID],0))),"")</f>
        <v/>
      </c>
    </row>
    <row r="106" hidden="1" ht="15" customHeight="1" s="93">
      <c r="A106" s="92">
        <f>Backlog!A106</f>
        <v/>
      </c>
      <c r="B106" s="97">
        <f>IFERROR(IF(ISBLANK(INDEX(Backlog[Requirement Name],MATCH($A106,Backlog[Requirement ID],0))),"",INDEX(Backlog[Requirement Name],MATCH($A106,Backlog[Requirement ID],0))),"")</f>
        <v/>
      </c>
      <c r="C106" s="92">
        <f>IFERROR(IF(ISBLANK(INDEX(Backlog[Stream],MATCH($A106,Backlog[Requirement ID],0))),"",INDEX(Backlog[Stream],MATCH($A106,Backlog[Requirement ID],0))),"")</f>
        <v/>
      </c>
      <c r="D106" s="92">
        <f>IFERROR(IF(ISBLANK(INDEX(Backlog[Jira Link],MATCH($A106,Backlog[Requirement ID],0))),"",INDEX(Backlog[Jira Link],MATCH($A106,Backlog[Requirement ID],0))),"")</f>
        <v/>
      </c>
      <c r="E106" s="92">
        <f>IFERROR(IF(ISBLANK(INDEX(Backlog[Status],MATCH($A106,Backlog[Requirement ID],0))),"",INDEX(Backlog[Status],MATCH($A106,Backlog[Requirement ID],0))),"")</f>
        <v/>
      </c>
      <c r="F106" s="92">
        <f>IFERROR(IF(ISBLANK(INDEX(SprintPlanning[Sprint],MATCH($A106,SprintPlanning[Requirement ID],0))),"",INDEX(SprintPlanning[Sprint],MATCH($A106,SprintPlanning[Requirement ID],0))),"")</f>
        <v/>
      </c>
      <c r="H106" s="146" t="n"/>
      <c r="J106" s="92">
        <f>IFERROR(IF(ISBLANK(INDEX(Backlog[Priority],MATCH($A106,Backlog[Requirement ID],0))),"",INDEX(Backlog[Priority],MATCH($A106,Backlog[Requirement ID],0))),"")</f>
        <v/>
      </c>
    </row>
    <row r="107" hidden="1" ht="15" customHeight="1" s="93">
      <c r="A107" s="92">
        <f>Backlog!A107</f>
        <v/>
      </c>
      <c r="B107" s="97">
        <f>IFERROR(IF(ISBLANK(INDEX(Backlog[Requirement Name],MATCH($A107,Backlog[Requirement ID],0))),"",INDEX(Backlog[Requirement Name],MATCH($A107,Backlog[Requirement ID],0))),"")</f>
        <v/>
      </c>
      <c r="C107" s="92">
        <f>IFERROR(IF(ISBLANK(INDEX(Backlog[Stream],MATCH($A107,Backlog[Requirement ID],0))),"",INDEX(Backlog[Stream],MATCH($A107,Backlog[Requirement ID],0))),"")</f>
        <v/>
      </c>
      <c r="D107" s="92">
        <f>IFERROR(IF(ISBLANK(INDEX(Backlog[Jira Link],MATCH($A107,Backlog[Requirement ID],0))),"",INDEX(Backlog[Jira Link],MATCH($A107,Backlog[Requirement ID],0))),"")</f>
        <v/>
      </c>
      <c r="E107" s="92">
        <f>IFERROR(IF(ISBLANK(INDEX(Backlog[Status],MATCH($A107,Backlog[Requirement ID],0))),"",INDEX(Backlog[Status],MATCH($A107,Backlog[Requirement ID],0))),"")</f>
        <v/>
      </c>
      <c r="F107" s="92">
        <f>IFERROR(IF(ISBLANK(INDEX(SprintPlanning[Sprint],MATCH($A107,SprintPlanning[Requirement ID],0))),"",INDEX(SprintPlanning[Sprint],MATCH($A107,SprintPlanning[Requirement ID],0))),"")</f>
        <v/>
      </c>
      <c r="G107" s="135" t="inlineStr">
        <is>
          <t>No</t>
        </is>
      </c>
      <c r="H107" s="146" t="n"/>
      <c r="J107" s="92">
        <f>IFERROR(IF(ISBLANK(INDEX(Backlog[Priority],MATCH($A107,Backlog[Requirement ID],0))),"",INDEX(Backlog[Priority],MATCH($A107,Backlog[Requirement ID],0))),"")</f>
        <v/>
      </c>
      <c r="K107" s="92" t="inlineStr">
        <is>
          <t>Ready for Development</t>
        </is>
      </c>
    </row>
    <row r="108" ht="15" customHeight="1" s="93">
      <c r="A108" s="92">
        <f>Backlog!A109</f>
        <v/>
      </c>
      <c r="B108" s="97">
        <f>IFERROR(IF(ISBLANK(INDEX(Backlog[Requirement Name],MATCH($A109,Backlog[Requirement ID],0))),"",INDEX(Backlog[Requirement Name],MATCH($A109,Backlog[Requirement ID],0))),"")</f>
        <v/>
      </c>
      <c r="C108" s="92">
        <f>IFERROR(IF(ISBLANK(INDEX(Backlog[Stream],MATCH($A109,Backlog[Requirement ID],0))),"",INDEX(Backlog[Stream],MATCH($A109,Backlog[Requirement ID],0))),"")</f>
        <v/>
      </c>
      <c r="D108" s="92">
        <f>IFERROR(IF(ISBLANK(INDEX(Backlog[Jira Link],MATCH($A109,Backlog[Requirement ID],0))),"",INDEX(Backlog[Jira Link],MATCH($A109,Backlog[Requirement ID],0))),"")</f>
        <v/>
      </c>
      <c r="E108" s="92">
        <f>IFERROR(IF(ISBLANK(INDEX(Backlog[Status],MATCH($A109,Backlog[Requirement ID],0))),"",INDEX(Backlog[Status],MATCH($A109,Backlog[Requirement ID],0))),"")</f>
        <v/>
      </c>
      <c r="F108" s="92">
        <f>IFERROR(IF(ISBLANK(INDEX(SprintPlanning[Sprint],MATCH($A109,SprintPlanning[Requirement ID],0))),"",INDEX(SprintPlanning[Sprint],MATCH($A109,SprintPlanning[Requirement ID],0))),"")</f>
        <v/>
      </c>
      <c r="G108" s="135" t="inlineStr">
        <is>
          <t>No</t>
        </is>
      </c>
      <c r="H108" s="146" t="n"/>
      <c r="J108" s="92">
        <f>IFERROR(IF(ISBLANK(INDEX(Backlog[Priority],MATCH($A109,Backlog[Requirement ID],0))),"",INDEX(Backlog[Priority],MATCH($A109,Backlog[Requirement ID],0))),"")</f>
        <v/>
      </c>
      <c r="K108" s="92" t="inlineStr">
        <is>
          <t>Ready for Development</t>
        </is>
      </c>
    </row>
    <row r="109" ht="15" customHeight="1" s="93">
      <c r="A109" s="92">
        <f>Backlog!A110</f>
        <v/>
      </c>
      <c r="B109" s="97">
        <f>IFERROR(IF(ISBLANK(INDEX(Backlog[Requirement Name],MATCH($A110,Backlog[Requirement ID],0))),"",INDEX(Backlog[Requirement Name],MATCH($A110,Backlog[Requirement ID],0))),"")</f>
        <v/>
      </c>
      <c r="C109" s="92">
        <f>IFERROR(IF(ISBLANK(INDEX(Backlog[Stream],MATCH($A110,Backlog[Requirement ID],0))),"",INDEX(Backlog[Stream],MATCH($A110,Backlog[Requirement ID],0))),"")</f>
        <v/>
      </c>
      <c r="D109" s="92">
        <f>IFERROR(IF(ISBLANK(INDEX(Backlog[Jira Link],MATCH($A110,Backlog[Requirement ID],0))),"",INDEX(Backlog[Jira Link],MATCH($A110,Backlog[Requirement ID],0))),"")</f>
        <v/>
      </c>
      <c r="E109" s="92">
        <f>IFERROR(IF(ISBLANK(INDEX(Backlog[Status],MATCH($A110,Backlog[Requirement ID],0))),"",INDEX(Backlog[Status],MATCH($A110,Backlog[Requirement ID],0))),"")</f>
        <v/>
      </c>
      <c r="F109" s="92">
        <f>IFERROR(IF(ISBLANK(INDEX(SprintPlanning[Sprint],MATCH($A110,SprintPlanning[Requirement ID],0))),"",INDEX(SprintPlanning[Sprint],MATCH($A110,SprintPlanning[Requirement ID],0))),"")</f>
        <v/>
      </c>
      <c r="H109" s="146" t="n"/>
      <c r="J109" s="92">
        <f>IFERROR(IF(ISBLANK(INDEX(Backlog[Priority],MATCH($A110,Backlog[Requirement ID],0))),"",INDEX(Backlog[Priority],MATCH($A110,Backlog[Requirement ID],0))),"")</f>
        <v/>
      </c>
    </row>
    <row r="110" hidden="1" ht="15" customHeight="1" s="93">
      <c r="A110" s="92">
        <f>Backlog!A111</f>
        <v/>
      </c>
      <c r="B110" s="97">
        <f>IFERROR(IF(ISBLANK(INDEX(Backlog[Requirement Name],MATCH($A111,Backlog[Requirement ID],0))),"",INDEX(Backlog[Requirement Name],MATCH($A111,Backlog[Requirement ID],0))),"")</f>
        <v/>
      </c>
      <c r="C110" s="92">
        <f>IFERROR(IF(ISBLANK(INDEX(Backlog[Stream],MATCH($A111,Backlog[Requirement ID],0))),"",INDEX(Backlog[Stream],MATCH($A111,Backlog[Requirement ID],0))),"")</f>
        <v/>
      </c>
      <c r="D110" s="92">
        <f>IFERROR(IF(ISBLANK(INDEX(Backlog[Jira Link],MATCH($A111,Backlog[Requirement ID],0))),"",INDEX(Backlog[Jira Link],MATCH($A111,Backlog[Requirement ID],0))),"")</f>
        <v/>
      </c>
      <c r="E110" s="92">
        <f>IFERROR(IF(ISBLANK(INDEX(Backlog[Status],MATCH($A111,Backlog[Requirement ID],0))),"",INDEX(Backlog[Status],MATCH($A111,Backlog[Requirement ID],0))),"")</f>
        <v/>
      </c>
      <c r="F110" s="92">
        <f>IFERROR(IF(ISBLANK(INDEX(SprintPlanning[Sprint],MATCH($A111,SprintPlanning[Requirement ID],0))),"",INDEX(SprintPlanning[Sprint],MATCH($A111,SprintPlanning[Requirement ID],0))),"")</f>
        <v/>
      </c>
      <c r="H110" s="146" t="n"/>
      <c r="J110" s="92">
        <f>IFERROR(IF(ISBLANK(INDEX(Backlog[Priority],MATCH($A111,Backlog[Requirement ID],0))),"",INDEX(Backlog[Priority],MATCH($A111,Backlog[Requirement ID],0))),"")</f>
        <v/>
      </c>
    </row>
    <row r="111" hidden="1" ht="15" customHeight="1" s="93">
      <c r="A111" s="92">
        <f>Backlog!A112</f>
        <v/>
      </c>
      <c r="B111" s="97">
        <f>IFERROR(IF(ISBLANK(INDEX(Backlog[Requirement Name],MATCH($A112,Backlog[Requirement ID],0))),"",INDEX(Backlog[Requirement Name],MATCH($A112,Backlog[Requirement ID],0))),"")</f>
        <v/>
      </c>
      <c r="C111" s="92">
        <f>IFERROR(IF(ISBLANK(INDEX(Backlog[Stream],MATCH($A112,Backlog[Requirement ID],0))),"",INDEX(Backlog[Stream],MATCH($A112,Backlog[Requirement ID],0))),"")</f>
        <v/>
      </c>
      <c r="D111" s="92">
        <f>IFERROR(IF(ISBLANK(INDEX(Backlog[Jira Link],MATCH($A112,Backlog[Requirement ID],0))),"",INDEX(Backlog[Jira Link],MATCH($A112,Backlog[Requirement ID],0))),"")</f>
        <v/>
      </c>
      <c r="E111" s="92">
        <f>IFERROR(IF(ISBLANK(INDEX(Backlog[Status],MATCH($A112,Backlog[Requirement ID],0))),"",INDEX(Backlog[Status],MATCH($A112,Backlog[Requirement ID],0))),"")</f>
        <v/>
      </c>
      <c r="F111" s="92">
        <f>IFERROR(IF(ISBLANK(INDEX(SprintPlanning[Sprint],MATCH($A112,SprintPlanning[Requirement ID],0))),"",INDEX(SprintPlanning[Sprint],MATCH($A112,SprintPlanning[Requirement ID],0))),"")</f>
        <v/>
      </c>
      <c r="H111" s="146" t="n"/>
      <c r="J111" s="92">
        <f>IFERROR(IF(ISBLANK(INDEX(Backlog[Priority],MATCH($A112,Backlog[Requirement ID],0))),"",INDEX(Backlog[Priority],MATCH($A112,Backlog[Requirement ID],0))),"")</f>
        <v/>
      </c>
    </row>
    <row r="112" hidden="1" ht="15" customHeight="1" s="93">
      <c r="A112" s="92">
        <f>Backlog!A113</f>
        <v/>
      </c>
      <c r="B112" s="97">
        <f>IFERROR(IF(ISBLANK(INDEX(Backlog[Requirement Name],MATCH($A113,Backlog[Requirement ID],0))),"",INDEX(Backlog[Requirement Name],MATCH($A113,Backlog[Requirement ID],0))),"")</f>
        <v/>
      </c>
      <c r="C112" s="92">
        <f>IFERROR(IF(ISBLANK(INDEX(Backlog[Stream],MATCH($A113,Backlog[Requirement ID],0))),"",INDEX(Backlog[Stream],MATCH($A113,Backlog[Requirement ID],0))),"")</f>
        <v/>
      </c>
      <c r="D112" s="92">
        <f>IFERROR(IF(ISBLANK(INDEX(Backlog[Jira Link],MATCH($A113,Backlog[Requirement ID],0))),"",INDEX(Backlog[Jira Link],MATCH($A113,Backlog[Requirement ID],0))),"")</f>
        <v/>
      </c>
      <c r="E112" s="92">
        <f>IFERROR(IF(ISBLANK(INDEX(Backlog[Status],MATCH($A113,Backlog[Requirement ID],0))),"",INDEX(Backlog[Status],MATCH($A113,Backlog[Requirement ID],0))),"")</f>
        <v/>
      </c>
      <c r="F112" s="92">
        <f>IFERROR(IF(ISBLANK(INDEX(SprintPlanning[Sprint],MATCH($A113,SprintPlanning[Requirement ID],0))),"",INDEX(SprintPlanning[Sprint],MATCH($A113,SprintPlanning[Requirement ID],0))),"")</f>
        <v/>
      </c>
      <c r="H112" s="146" t="n"/>
      <c r="J112" s="92">
        <f>IFERROR(IF(ISBLANK(INDEX(Backlog[Priority],MATCH($A113,Backlog[Requirement ID],0))),"",INDEX(Backlog[Priority],MATCH($A113,Backlog[Requirement ID],0))),"")</f>
        <v/>
      </c>
    </row>
    <row r="113" hidden="1" ht="15" customHeight="1" s="93">
      <c r="A113" s="92">
        <f>Backlog!A114</f>
        <v/>
      </c>
      <c r="B113" s="97">
        <f>IFERROR(IF(ISBLANK(INDEX(Backlog[Requirement Name],MATCH($A114,Backlog[Requirement ID],0))),"",INDEX(Backlog[Requirement Name],MATCH($A114,Backlog[Requirement ID],0))),"")</f>
        <v/>
      </c>
      <c r="C113" s="92">
        <f>IFERROR(IF(ISBLANK(INDEX(Backlog[Stream],MATCH($A114,Backlog[Requirement ID],0))),"",INDEX(Backlog[Stream],MATCH($A114,Backlog[Requirement ID],0))),"")</f>
        <v/>
      </c>
      <c r="D113" s="92">
        <f>IFERROR(IF(ISBLANK(INDEX(Backlog[Jira Link],MATCH($A114,Backlog[Requirement ID],0))),"",INDEX(Backlog[Jira Link],MATCH($A114,Backlog[Requirement ID],0))),"")</f>
        <v/>
      </c>
      <c r="E113" s="92">
        <f>IFERROR(IF(ISBLANK(INDEX(Backlog[Status],MATCH($A114,Backlog[Requirement ID],0))),"",INDEX(Backlog[Status],MATCH($A114,Backlog[Requirement ID],0))),"")</f>
        <v/>
      </c>
      <c r="F113" s="92">
        <f>IFERROR(IF(ISBLANK(INDEX(SprintPlanning[Sprint],MATCH($A114,SprintPlanning[Requirement ID],0))),"",INDEX(SprintPlanning[Sprint],MATCH($A114,SprintPlanning[Requirement ID],0))),"")</f>
        <v/>
      </c>
      <c r="H113" s="146" t="n"/>
      <c r="J113" s="92">
        <f>IFERROR(IF(ISBLANK(INDEX(Backlog[Priority],MATCH($A114,Backlog[Requirement ID],0))),"",INDEX(Backlog[Priority],MATCH($A114,Backlog[Requirement ID],0))),"")</f>
        <v/>
      </c>
    </row>
    <row r="114" hidden="1" ht="15" customHeight="1" s="93">
      <c r="A114" s="92">
        <f>Backlog!A115</f>
        <v/>
      </c>
      <c r="B114" s="97">
        <f>IFERROR(IF(ISBLANK(INDEX(Backlog[Requirement Name],MATCH($A115,Backlog[Requirement ID],0))),"",INDEX(Backlog[Requirement Name],MATCH($A115,Backlog[Requirement ID],0))),"")</f>
        <v/>
      </c>
      <c r="C114" s="92">
        <f>IFERROR(IF(ISBLANK(INDEX(Backlog[Stream],MATCH($A115,Backlog[Requirement ID],0))),"",INDEX(Backlog[Stream],MATCH($A115,Backlog[Requirement ID],0))),"")</f>
        <v/>
      </c>
      <c r="D114" s="92">
        <f>IFERROR(IF(ISBLANK(INDEX(Backlog[Jira Link],MATCH($A115,Backlog[Requirement ID],0))),"",INDEX(Backlog[Jira Link],MATCH($A115,Backlog[Requirement ID],0))),"")</f>
        <v/>
      </c>
      <c r="E114" s="92">
        <f>IFERROR(IF(ISBLANK(INDEX(Backlog[Status],MATCH($A115,Backlog[Requirement ID],0))),"",INDEX(Backlog[Status],MATCH($A115,Backlog[Requirement ID],0))),"")</f>
        <v/>
      </c>
      <c r="F114" s="92">
        <f>IFERROR(IF(ISBLANK(INDEX(SprintPlanning[Sprint],MATCH($A115,SprintPlanning[Requirement ID],0))),"",INDEX(SprintPlanning[Sprint],MATCH($A115,SprintPlanning[Requirement ID],0))),"")</f>
        <v/>
      </c>
      <c r="H114" s="146" t="n"/>
      <c r="J114" s="92">
        <f>IFERROR(IF(ISBLANK(INDEX(Backlog[Priority],MATCH($A115,Backlog[Requirement ID],0))),"",INDEX(Backlog[Priority],MATCH($A115,Backlog[Requirement ID],0))),"")</f>
        <v/>
      </c>
    </row>
    <row r="115" hidden="1" ht="15" customHeight="1" s="93">
      <c r="A115" s="92">
        <f>Backlog!A116</f>
        <v/>
      </c>
      <c r="B115" s="97">
        <f>IFERROR(IF(ISBLANK(INDEX(Backlog[Requirement Name],MATCH($A116,Backlog[Requirement ID],0))),"",INDEX(Backlog[Requirement Name],MATCH($A116,Backlog[Requirement ID],0))),"")</f>
        <v/>
      </c>
      <c r="C115" s="92">
        <f>IFERROR(IF(ISBLANK(INDEX(Backlog[Stream],MATCH($A116,Backlog[Requirement ID],0))),"",INDEX(Backlog[Stream],MATCH($A116,Backlog[Requirement ID],0))),"")</f>
        <v/>
      </c>
      <c r="D115" s="92">
        <f>IFERROR(IF(ISBLANK(INDEX(Backlog[Jira Link],MATCH($A116,Backlog[Requirement ID],0))),"",INDEX(Backlog[Jira Link],MATCH($A116,Backlog[Requirement ID],0))),"")</f>
        <v/>
      </c>
      <c r="E115" s="92">
        <f>IFERROR(IF(ISBLANK(INDEX(Backlog[Status],MATCH($A116,Backlog[Requirement ID],0))),"",INDEX(Backlog[Status],MATCH($A116,Backlog[Requirement ID],0))),"")</f>
        <v/>
      </c>
      <c r="F115" s="92">
        <f>IFERROR(IF(ISBLANK(INDEX(SprintPlanning[Sprint],MATCH($A116,SprintPlanning[Requirement ID],0))),"",INDEX(SprintPlanning[Sprint],MATCH($A116,SprintPlanning[Requirement ID],0))),"")</f>
        <v/>
      </c>
      <c r="H115" s="146" t="n"/>
      <c r="J115" s="92">
        <f>IFERROR(IF(ISBLANK(INDEX(Backlog[Priority],MATCH($A116,Backlog[Requirement ID],0))),"",INDEX(Backlog[Priority],MATCH($A116,Backlog[Requirement ID],0))),"")</f>
        <v/>
      </c>
    </row>
    <row r="116" hidden="1" ht="15" customHeight="1" s="93">
      <c r="A116" s="92">
        <f>Backlog!A117</f>
        <v/>
      </c>
      <c r="B116" s="97">
        <f>IFERROR(IF(ISBLANK(INDEX(Backlog[Requirement Name],MATCH($A117,Backlog[Requirement ID],0))),"",INDEX(Backlog[Requirement Name],MATCH($A117,Backlog[Requirement ID],0))),"")</f>
        <v/>
      </c>
      <c r="C116" s="92">
        <f>IFERROR(IF(ISBLANK(INDEX(Backlog[Stream],MATCH($A117,Backlog[Requirement ID],0))),"",INDEX(Backlog[Stream],MATCH($A117,Backlog[Requirement ID],0))),"")</f>
        <v/>
      </c>
      <c r="D116" s="92">
        <f>IFERROR(IF(ISBLANK(INDEX(Backlog[Jira Link],MATCH($A117,Backlog[Requirement ID],0))),"",INDEX(Backlog[Jira Link],MATCH($A117,Backlog[Requirement ID],0))),"")</f>
        <v/>
      </c>
      <c r="E116" s="92">
        <f>IFERROR(IF(ISBLANK(INDEX(Backlog[Status],MATCH($A117,Backlog[Requirement ID],0))),"",INDEX(Backlog[Status],MATCH($A117,Backlog[Requirement ID],0))),"")</f>
        <v/>
      </c>
      <c r="F116" s="92">
        <f>IFERROR(IF(ISBLANK(INDEX(SprintPlanning[Sprint],MATCH($A117,SprintPlanning[Requirement ID],0))),"",INDEX(SprintPlanning[Sprint],MATCH($A117,SprintPlanning[Requirement ID],0))),"")</f>
        <v/>
      </c>
      <c r="H116" s="146" t="n"/>
      <c r="J116" s="92">
        <f>IFERROR(IF(ISBLANK(INDEX(Backlog[Priority],MATCH($A117,Backlog[Requirement ID],0))),"",INDEX(Backlog[Priority],MATCH($A117,Backlog[Requirement ID],0))),"")</f>
        <v/>
      </c>
    </row>
    <row r="117" hidden="1" ht="15" customHeight="1" s="93">
      <c r="A117" s="92">
        <f>Backlog!A118</f>
        <v/>
      </c>
      <c r="B117" s="97">
        <f>IFERROR(IF(ISBLANK(INDEX(Backlog[Requirement Name],MATCH($A118,Backlog[Requirement ID],0))),"",INDEX(Backlog[Requirement Name],MATCH($A118,Backlog[Requirement ID],0))),"")</f>
        <v/>
      </c>
      <c r="C117" s="92">
        <f>IFERROR(IF(ISBLANK(INDEX(Backlog[Stream],MATCH($A118,Backlog[Requirement ID],0))),"",INDEX(Backlog[Stream],MATCH($A118,Backlog[Requirement ID],0))),"")</f>
        <v/>
      </c>
      <c r="D117" s="92">
        <f>IFERROR(IF(ISBLANK(INDEX(Backlog[Jira Link],MATCH($A118,Backlog[Requirement ID],0))),"",INDEX(Backlog[Jira Link],MATCH($A118,Backlog[Requirement ID],0))),"")</f>
        <v/>
      </c>
      <c r="E117" s="92">
        <f>IFERROR(IF(ISBLANK(INDEX(Backlog[Status],MATCH($A118,Backlog[Requirement ID],0))),"",INDEX(Backlog[Status],MATCH($A118,Backlog[Requirement ID],0))),"")</f>
        <v/>
      </c>
      <c r="F117" s="92">
        <f>IFERROR(IF(ISBLANK(INDEX(SprintPlanning[Sprint],MATCH($A118,SprintPlanning[Requirement ID],0))),"",INDEX(SprintPlanning[Sprint],MATCH($A118,SprintPlanning[Requirement ID],0))),"")</f>
        <v/>
      </c>
      <c r="H117" s="146" t="n"/>
      <c r="J117" s="92">
        <f>IFERROR(IF(ISBLANK(INDEX(Backlog[Priority],MATCH($A118,Backlog[Requirement ID],0))),"",INDEX(Backlog[Priority],MATCH($A118,Backlog[Requirement ID],0))),"")</f>
        <v/>
      </c>
    </row>
    <row r="118" hidden="1" ht="15" customHeight="1" s="93">
      <c r="A118" s="92">
        <f>Backlog!A119</f>
        <v/>
      </c>
      <c r="B118" s="97">
        <f>IFERROR(IF(ISBLANK(INDEX(Backlog[Requirement Name],MATCH($A119,Backlog[Requirement ID],0))),"",INDEX(Backlog[Requirement Name],MATCH($A119,Backlog[Requirement ID],0))),"")</f>
        <v/>
      </c>
      <c r="C118" s="92">
        <f>IFERROR(IF(ISBLANK(INDEX(Backlog[Stream],MATCH($A119,Backlog[Requirement ID],0))),"",INDEX(Backlog[Stream],MATCH($A119,Backlog[Requirement ID],0))),"")</f>
        <v/>
      </c>
      <c r="D118" s="92">
        <f>IFERROR(IF(ISBLANK(INDEX(Backlog[Jira Link],MATCH($A119,Backlog[Requirement ID],0))),"",INDEX(Backlog[Jira Link],MATCH($A119,Backlog[Requirement ID],0))),"")</f>
        <v/>
      </c>
      <c r="E118" s="92">
        <f>IFERROR(IF(ISBLANK(INDEX(Backlog[Status],MATCH($A119,Backlog[Requirement ID],0))),"",INDEX(Backlog[Status],MATCH($A119,Backlog[Requirement ID],0))),"")</f>
        <v/>
      </c>
      <c r="F118" s="92">
        <f>IFERROR(IF(ISBLANK(INDEX(SprintPlanning[Sprint],MATCH($A119,SprintPlanning[Requirement ID],0))),"",INDEX(SprintPlanning[Sprint],MATCH($A119,SprintPlanning[Requirement ID],0))),"")</f>
        <v/>
      </c>
      <c r="H118" s="146" t="n"/>
      <c r="J118" s="92">
        <f>IFERROR(IF(ISBLANK(INDEX(Backlog[Priority],MATCH($A119,Backlog[Requirement ID],0))),"",INDEX(Backlog[Priority],MATCH($A119,Backlog[Requirement ID],0))),"")</f>
        <v/>
      </c>
    </row>
    <row r="119" hidden="1" ht="15" customHeight="1" s="93">
      <c r="A119" s="92">
        <f>Backlog!A120</f>
        <v/>
      </c>
      <c r="B119" s="97">
        <f>IFERROR(IF(ISBLANK(INDEX(Backlog[Requirement Name],MATCH($A120,Backlog[Requirement ID],0))),"",INDEX(Backlog[Requirement Name],MATCH($A120,Backlog[Requirement ID],0))),"")</f>
        <v/>
      </c>
      <c r="C119" s="92">
        <f>IFERROR(IF(ISBLANK(INDEX(Backlog[Stream],MATCH($A120,Backlog[Requirement ID],0))),"",INDEX(Backlog[Stream],MATCH($A120,Backlog[Requirement ID],0))),"")</f>
        <v/>
      </c>
      <c r="D119" s="92">
        <f>IFERROR(IF(ISBLANK(INDEX(Backlog[Jira Link],MATCH($A120,Backlog[Requirement ID],0))),"",INDEX(Backlog[Jira Link],MATCH($A120,Backlog[Requirement ID],0))),"")</f>
        <v/>
      </c>
      <c r="E119" s="92">
        <f>IFERROR(IF(ISBLANK(INDEX(Backlog[Status],MATCH($A120,Backlog[Requirement ID],0))),"",INDEX(Backlog[Status],MATCH($A120,Backlog[Requirement ID],0))),"")</f>
        <v/>
      </c>
      <c r="F119" s="92">
        <f>IFERROR(IF(ISBLANK(INDEX(SprintPlanning[Sprint],MATCH($A120,SprintPlanning[Requirement ID],0))),"",INDEX(SprintPlanning[Sprint],MATCH($A120,SprintPlanning[Requirement ID],0))),"")</f>
        <v/>
      </c>
      <c r="H119" s="146" t="n"/>
      <c r="J119" s="92">
        <f>IFERROR(IF(ISBLANK(INDEX(Backlog[Priority],MATCH($A120,Backlog[Requirement ID],0))),"",INDEX(Backlog[Priority],MATCH($A120,Backlog[Requirement ID],0))),"")</f>
        <v/>
      </c>
    </row>
    <row r="120" hidden="1" ht="15" customHeight="1" s="93">
      <c r="A120" s="92">
        <f>Backlog!A121</f>
        <v/>
      </c>
      <c r="B120" s="97">
        <f>IFERROR(IF(ISBLANK(INDEX(Backlog[Requirement Name],MATCH($A121,Backlog[Requirement ID],0))),"",INDEX(Backlog[Requirement Name],MATCH($A121,Backlog[Requirement ID],0))),"")</f>
        <v/>
      </c>
      <c r="C120" s="92">
        <f>IFERROR(IF(ISBLANK(INDEX(Backlog[Stream],MATCH($A121,Backlog[Requirement ID],0))),"",INDEX(Backlog[Stream],MATCH($A121,Backlog[Requirement ID],0))),"")</f>
        <v/>
      </c>
      <c r="D120" s="92">
        <f>IFERROR(IF(ISBLANK(INDEX(Backlog[Jira Link],MATCH($A121,Backlog[Requirement ID],0))),"",INDEX(Backlog[Jira Link],MATCH($A121,Backlog[Requirement ID],0))),"")</f>
        <v/>
      </c>
      <c r="E120" s="92">
        <f>IFERROR(IF(ISBLANK(INDEX(Backlog[Status],MATCH($A121,Backlog[Requirement ID],0))),"",INDEX(Backlog[Status],MATCH($A121,Backlog[Requirement ID],0))),"")</f>
        <v/>
      </c>
      <c r="F120" s="92">
        <f>IFERROR(IF(ISBLANK(INDEX(SprintPlanning[Sprint],MATCH($A121,SprintPlanning[Requirement ID],0))),"",INDEX(SprintPlanning[Sprint],MATCH($A121,SprintPlanning[Requirement ID],0))),"")</f>
        <v/>
      </c>
      <c r="H120" s="146" t="n"/>
      <c r="J120" s="92">
        <f>IFERROR(IF(ISBLANK(INDEX(Backlog[Priority],MATCH($A121,Backlog[Requirement ID],0))),"",INDEX(Backlog[Priority],MATCH($A121,Backlog[Requirement ID],0))),"")</f>
        <v/>
      </c>
    </row>
    <row r="121" hidden="1" ht="15" customHeight="1" s="93">
      <c r="A121" s="92">
        <f>Backlog!A122</f>
        <v/>
      </c>
      <c r="B121" s="97">
        <f>IFERROR(IF(ISBLANK(INDEX(Backlog[Requirement Name],MATCH($A122,Backlog[Requirement ID],0))),"",INDEX(Backlog[Requirement Name],MATCH($A122,Backlog[Requirement ID],0))),"")</f>
        <v/>
      </c>
      <c r="C121" s="92">
        <f>IFERROR(IF(ISBLANK(INDEX(Backlog[Stream],MATCH($A122,Backlog[Requirement ID],0))),"",INDEX(Backlog[Stream],MATCH($A122,Backlog[Requirement ID],0))),"")</f>
        <v/>
      </c>
      <c r="D121" s="92">
        <f>IFERROR(IF(ISBLANK(INDEX(Backlog[Jira Link],MATCH($A122,Backlog[Requirement ID],0))),"",INDEX(Backlog[Jira Link],MATCH($A122,Backlog[Requirement ID],0))),"")</f>
        <v/>
      </c>
      <c r="E121" s="92">
        <f>IFERROR(IF(ISBLANK(INDEX(Backlog[Status],MATCH($A122,Backlog[Requirement ID],0))),"",INDEX(Backlog[Status],MATCH($A122,Backlog[Requirement ID],0))),"")</f>
        <v/>
      </c>
      <c r="F121" s="92">
        <f>IFERROR(IF(ISBLANK(INDEX(SprintPlanning[Sprint],MATCH($A122,SprintPlanning[Requirement ID],0))),"",INDEX(SprintPlanning[Sprint],MATCH($A122,SprintPlanning[Requirement ID],0))),"")</f>
        <v/>
      </c>
      <c r="H121" s="146" t="n"/>
      <c r="J121" s="92">
        <f>IFERROR(IF(ISBLANK(INDEX(Backlog[Priority],MATCH($A122,Backlog[Requirement ID],0))),"",INDEX(Backlog[Priority],MATCH($A122,Backlog[Requirement ID],0))),"")</f>
        <v/>
      </c>
    </row>
    <row r="122" hidden="1" ht="15" customHeight="1" s="93">
      <c r="A122" s="92">
        <f>Backlog!A123</f>
        <v/>
      </c>
      <c r="B122" s="97">
        <f>IFERROR(IF(ISBLANK(INDEX(Backlog[Requirement Name],MATCH($A123,Backlog[Requirement ID],0))),"",INDEX(Backlog[Requirement Name],MATCH($A123,Backlog[Requirement ID],0))),"")</f>
        <v/>
      </c>
      <c r="C122" s="92">
        <f>IFERROR(IF(ISBLANK(INDEX(Backlog[Stream],MATCH($A123,Backlog[Requirement ID],0))),"",INDEX(Backlog[Stream],MATCH($A123,Backlog[Requirement ID],0))),"")</f>
        <v/>
      </c>
      <c r="D122" s="92">
        <f>IFERROR(IF(ISBLANK(INDEX(Backlog[Jira Link],MATCH($A123,Backlog[Requirement ID],0))),"",INDEX(Backlog[Jira Link],MATCH($A123,Backlog[Requirement ID],0))),"")</f>
        <v/>
      </c>
      <c r="E122" s="92">
        <f>IFERROR(IF(ISBLANK(INDEX(Backlog[Status],MATCH($A123,Backlog[Requirement ID],0))),"",INDEX(Backlog[Status],MATCH($A123,Backlog[Requirement ID],0))),"")</f>
        <v/>
      </c>
      <c r="F122" s="92">
        <f>IFERROR(IF(ISBLANK(INDEX(SprintPlanning[Sprint],MATCH($A123,SprintPlanning[Requirement ID],0))),"",INDEX(SprintPlanning[Sprint],MATCH($A123,SprintPlanning[Requirement ID],0))),"")</f>
        <v/>
      </c>
      <c r="H122" s="146" t="n"/>
      <c r="J122" s="92">
        <f>IFERROR(IF(ISBLANK(INDEX(Backlog[Priority],MATCH($A123,Backlog[Requirement ID],0))),"",INDEX(Backlog[Priority],MATCH($A123,Backlog[Requirement ID],0))),"")</f>
        <v/>
      </c>
    </row>
    <row r="123" hidden="1" ht="15" customHeight="1" s="93">
      <c r="A123" s="92">
        <f>Backlog!A124</f>
        <v/>
      </c>
      <c r="B123" s="97">
        <f>IFERROR(IF(ISBLANK(INDEX(Backlog[Requirement Name],MATCH($A124,Backlog[Requirement ID],0))),"",INDEX(Backlog[Requirement Name],MATCH($A124,Backlog[Requirement ID],0))),"")</f>
        <v/>
      </c>
      <c r="C123" s="92">
        <f>IFERROR(IF(ISBLANK(INDEX(Backlog[Stream],MATCH($A124,Backlog[Requirement ID],0))),"",INDEX(Backlog[Stream],MATCH($A124,Backlog[Requirement ID],0))),"")</f>
        <v/>
      </c>
      <c r="D123" s="92">
        <f>IFERROR(IF(ISBLANK(INDEX(Backlog[Jira Link],MATCH($A124,Backlog[Requirement ID],0))),"",INDEX(Backlog[Jira Link],MATCH($A124,Backlog[Requirement ID],0))),"")</f>
        <v/>
      </c>
      <c r="E123" s="92">
        <f>IFERROR(IF(ISBLANK(INDEX(Backlog[Status],MATCH($A124,Backlog[Requirement ID],0))),"",INDEX(Backlog[Status],MATCH($A124,Backlog[Requirement ID],0))),"")</f>
        <v/>
      </c>
      <c r="F123" s="92">
        <f>IFERROR(IF(ISBLANK(INDEX(SprintPlanning[Sprint],MATCH($A124,SprintPlanning[Requirement ID],0))),"",INDEX(SprintPlanning[Sprint],MATCH($A124,SprintPlanning[Requirement ID],0))),"")</f>
        <v/>
      </c>
      <c r="H123" s="146" t="n"/>
      <c r="J123" s="92">
        <f>IFERROR(IF(ISBLANK(INDEX(Backlog[Priority],MATCH($A124,Backlog[Requirement ID],0))),"",INDEX(Backlog[Priority],MATCH($A124,Backlog[Requirement ID],0))),"")</f>
        <v/>
      </c>
    </row>
    <row r="124" hidden="1" ht="15" customHeight="1" s="93">
      <c r="A124" s="92">
        <f>Backlog!A125</f>
        <v/>
      </c>
      <c r="B124" s="97">
        <f>IFERROR(IF(ISBLANK(INDEX(Backlog[Requirement Name],MATCH($A125,Backlog[Requirement ID],0))),"",INDEX(Backlog[Requirement Name],MATCH($A125,Backlog[Requirement ID],0))),"")</f>
        <v/>
      </c>
      <c r="C124" s="92">
        <f>IFERROR(IF(ISBLANK(INDEX(Backlog[Stream],MATCH($A125,Backlog[Requirement ID],0))),"",INDEX(Backlog[Stream],MATCH($A125,Backlog[Requirement ID],0))),"")</f>
        <v/>
      </c>
      <c r="D124" s="92">
        <f>IFERROR(IF(ISBLANK(INDEX(Backlog[Jira Link],MATCH($A125,Backlog[Requirement ID],0))),"",INDEX(Backlog[Jira Link],MATCH($A125,Backlog[Requirement ID],0))),"")</f>
        <v/>
      </c>
      <c r="E124" s="92">
        <f>IFERROR(IF(ISBLANK(INDEX(Backlog[Status],MATCH($A125,Backlog[Requirement ID],0))),"",INDEX(Backlog[Status],MATCH($A125,Backlog[Requirement ID],0))),"")</f>
        <v/>
      </c>
      <c r="F124" s="92">
        <f>IFERROR(IF(ISBLANK(INDEX(SprintPlanning[Sprint],MATCH($A125,SprintPlanning[Requirement ID],0))),"",INDEX(SprintPlanning[Sprint],MATCH($A125,SprintPlanning[Requirement ID],0))),"")</f>
        <v/>
      </c>
      <c r="H124" s="146" t="n"/>
      <c r="J124" s="92">
        <f>IFERROR(IF(ISBLANK(INDEX(Backlog[Priority],MATCH($A125,Backlog[Requirement ID],0))),"",INDEX(Backlog[Priority],MATCH($A125,Backlog[Requirement ID],0))),"")</f>
        <v/>
      </c>
    </row>
    <row r="125" hidden="1" ht="15" customHeight="1" s="93">
      <c r="A125" s="92">
        <f>Backlog!A126</f>
        <v/>
      </c>
      <c r="B125" s="97">
        <f>IFERROR(IF(ISBLANK(INDEX(Backlog[Requirement Name],MATCH($A126,Backlog[Requirement ID],0))),"",INDEX(Backlog[Requirement Name],MATCH($A126,Backlog[Requirement ID],0))),"")</f>
        <v/>
      </c>
      <c r="C125" s="92">
        <f>IFERROR(IF(ISBLANK(INDEX(Backlog[Stream],MATCH($A126,Backlog[Requirement ID],0))),"",INDEX(Backlog[Stream],MATCH($A126,Backlog[Requirement ID],0))),"")</f>
        <v/>
      </c>
      <c r="D125" s="92">
        <f>IFERROR(IF(ISBLANK(INDEX(Backlog[Jira Link],MATCH($A126,Backlog[Requirement ID],0))),"",INDEX(Backlog[Jira Link],MATCH($A126,Backlog[Requirement ID],0))),"")</f>
        <v/>
      </c>
      <c r="E125" s="92">
        <f>IFERROR(IF(ISBLANK(INDEX(Backlog[Status],MATCH($A126,Backlog[Requirement ID],0))),"",INDEX(Backlog[Status],MATCH($A126,Backlog[Requirement ID],0))),"")</f>
        <v/>
      </c>
      <c r="F125" s="92">
        <f>IFERROR(IF(ISBLANK(INDEX(SprintPlanning[Sprint],MATCH($A126,SprintPlanning[Requirement ID],0))),"",INDEX(SprintPlanning[Sprint],MATCH($A126,SprintPlanning[Requirement ID],0))),"")</f>
        <v/>
      </c>
      <c r="H125" s="146" t="n"/>
      <c r="J125" s="92">
        <f>IFERROR(IF(ISBLANK(INDEX(Backlog[Priority],MATCH($A126,Backlog[Requirement ID],0))),"",INDEX(Backlog[Priority],MATCH($A126,Backlog[Requirement ID],0))),"")</f>
        <v/>
      </c>
    </row>
    <row r="126" hidden="1" ht="15" customHeight="1" s="93">
      <c r="A126" s="92">
        <f>Backlog!A127</f>
        <v/>
      </c>
      <c r="B126" s="97">
        <f>IFERROR(IF(ISBLANK(INDEX(Backlog[Requirement Name],MATCH($A127,Backlog[Requirement ID],0))),"",INDEX(Backlog[Requirement Name],MATCH($A127,Backlog[Requirement ID],0))),"")</f>
        <v/>
      </c>
      <c r="C126" s="92">
        <f>IFERROR(IF(ISBLANK(INDEX(Backlog[Stream],MATCH($A127,Backlog[Requirement ID],0))),"",INDEX(Backlog[Stream],MATCH($A127,Backlog[Requirement ID],0))),"")</f>
        <v/>
      </c>
      <c r="D126" s="92">
        <f>IFERROR(IF(ISBLANK(INDEX(Backlog[Jira Link],MATCH($A127,Backlog[Requirement ID],0))),"",INDEX(Backlog[Jira Link],MATCH($A127,Backlog[Requirement ID],0))),"")</f>
        <v/>
      </c>
      <c r="E126" s="92">
        <f>IFERROR(IF(ISBLANK(INDEX(Backlog[Status],MATCH($A127,Backlog[Requirement ID],0))),"",INDEX(Backlog[Status],MATCH($A127,Backlog[Requirement ID],0))),"")</f>
        <v/>
      </c>
      <c r="F126" s="92">
        <f>IFERROR(IF(ISBLANK(INDEX(SprintPlanning[Sprint],MATCH($A127,SprintPlanning[Requirement ID],0))),"",INDEX(SprintPlanning[Sprint],MATCH($A127,SprintPlanning[Requirement ID],0))),"")</f>
        <v/>
      </c>
      <c r="H126" s="146" t="n"/>
      <c r="J126" s="92">
        <f>IFERROR(IF(ISBLANK(INDEX(Backlog[Priority],MATCH($A127,Backlog[Requirement ID],0))),"",INDEX(Backlog[Priority],MATCH($A127,Backlog[Requirement ID],0))),"")</f>
        <v/>
      </c>
    </row>
    <row r="127" hidden="1" ht="15" customHeight="1" s="93">
      <c r="A127" s="92">
        <f>Backlog!A128</f>
        <v/>
      </c>
      <c r="B127" s="97">
        <f>IFERROR(IF(ISBLANK(INDEX(Backlog[Requirement Name],MATCH($A128,Backlog[Requirement ID],0))),"",INDEX(Backlog[Requirement Name],MATCH($A128,Backlog[Requirement ID],0))),"")</f>
        <v/>
      </c>
      <c r="C127" s="92">
        <f>IFERROR(IF(ISBLANK(INDEX(Backlog[Stream],MATCH($A128,Backlog[Requirement ID],0))),"",INDEX(Backlog[Stream],MATCH($A128,Backlog[Requirement ID],0))),"")</f>
        <v/>
      </c>
      <c r="D127" s="92">
        <f>IFERROR(IF(ISBLANK(INDEX(Backlog[Jira Link],MATCH($A128,Backlog[Requirement ID],0))),"",INDEX(Backlog[Jira Link],MATCH($A128,Backlog[Requirement ID],0))),"")</f>
        <v/>
      </c>
      <c r="E127" s="92">
        <f>IFERROR(IF(ISBLANK(INDEX(Backlog[Status],MATCH($A128,Backlog[Requirement ID],0))),"",INDEX(Backlog[Status],MATCH($A128,Backlog[Requirement ID],0))),"")</f>
        <v/>
      </c>
      <c r="F127" s="92">
        <f>IFERROR(IF(ISBLANK(INDEX(SprintPlanning[Sprint],MATCH($A128,SprintPlanning[Requirement ID],0))),"",INDEX(SprintPlanning[Sprint],MATCH($A128,SprintPlanning[Requirement ID],0))),"")</f>
        <v/>
      </c>
      <c r="H127" s="146" t="n"/>
      <c r="J127" s="92">
        <f>IFERROR(IF(ISBLANK(INDEX(Backlog[Priority],MATCH($A128,Backlog[Requirement ID],0))),"",INDEX(Backlog[Priority],MATCH($A128,Backlog[Requirement ID],0))),"")</f>
        <v/>
      </c>
    </row>
    <row r="128" hidden="1" ht="15" customHeight="1" s="93">
      <c r="A128" s="92">
        <f>Backlog!A129</f>
        <v/>
      </c>
      <c r="B128" s="97">
        <f>IFERROR(IF(ISBLANK(INDEX(Backlog[Requirement Name],MATCH($A129,Backlog[Requirement ID],0))),"",INDEX(Backlog[Requirement Name],MATCH($A129,Backlog[Requirement ID],0))),"")</f>
        <v/>
      </c>
      <c r="C128" s="92">
        <f>IFERROR(IF(ISBLANK(INDEX(Backlog[Stream],MATCH($A129,Backlog[Requirement ID],0))),"",INDEX(Backlog[Stream],MATCH($A129,Backlog[Requirement ID],0))),"")</f>
        <v/>
      </c>
      <c r="D128" s="92">
        <f>IFERROR(IF(ISBLANK(INDEX(Backlog[Jira Link],MATCH($A129,Backlog[Requirement ID],0))),"",INDEX(Backlog[Jira Link],MATCH($A129,Backlog[Requirement ID],0))),"")</f>
        <v/>
      </c>
      <c r="E128" s="92">
        <f>IFERROR(IF(ISBLANK(INDEX(Backlog[Status],MATCH($A129,Backlog[Requirement ID],0))),"",INDEX(Backlog[Status],MATCH($A129,Backlog[Requirement ID],0))),"")</f>
        <v/>
      </c>
      <c r="F128" s="92">
        <f>IFERROR(IF(ISBLANK(INDEX(SprintPlanning[Sprint],MATCH($A129,SprintPlanning[Requirement ID],0))),"",INDEX(SprintPlanning[Sprint],MATCH($A129,SprintPlanning[Requirement ID],0))),"")</f>
        <v/>
      </c>
      <c r="H128" s="146" t="n"/>
      <c r="J128" s="92">
        <f>IFERROR(IF(ISBLANK(INDEX(Backlog[Priority],MATCH($A129,Backlog[Requirement ID],0))),"",INDEX(Backlog[Priority],MATCH($A129,Backlog[Requirement ID],0))),"")</f>
        <v/>
      </c>
    </row>
    <row r="129" hidden="1" ht="15" customHeight="1" s="93">
      <c r="A129" s="92">
        <f>Backlog!A130</f>
        <v/>
      </c>
      <c r="B129" s="97">
        <f>IFERROR(IF(ISBLANK(INDEX(Backlog[Requirement Name],MATCH($A130,Backlog[Requirement ID],0))),"",INDEX(Backlog[Requirement Name],MATCH($A130,Backlog[Requirement ID],0))),"")</f>
        <v/>
      </c>
      <c r="C129" s="92">
        <f>IFERROR(IF(ISBLANK(INDEX(Backlog[Stream],MATCH($A130,Backlog[Requirement ID],0))),"",INDEX(Backlog[Stream],MATCH($A130,Backlog[Requirement ID],0))),"")</f>
        <v/>
      </c>
      <c r="D129" s="92">
        <f>IFERROR(IF(ISBLANK(INDEX(Backlog[Jira Link],MATCH($A130,Backlog[Requirement ID],0))),"",INDEX(Backlog[Jira Link],MATCH($A130,Backlog[Requirement ID],0))),"")</f>
        <v/>
      </c>
      <c r="E129" s="92">
        <f>IFERROR(IF(ISBLANK(INDEX(Backlog[Status],MATCH($A130,Backlog[Requirement ID],0))),"",INDEX(Backlog[Status],MATCH($A130,Backlog[Requirement ID],0))),"")</f>
        <v/>
      </c>
      <c r="F129" s="92">
        <f>IFERROR(IF(ISBLANK(INDEX(SprintPlanning[Sprint],MATCH($A130,SprintPlanning[Requirement ID],0))),"",INDEX(SprintPlanning[Sprint],MATCH($A130,SprintPlanning[Requirement ID],0))),"")</f>
        <v/>
      </c>
      <c r="H129" s="146" t="n"/>
      <c r="J129" s="92">
        <f>IFERROR(IF(ISBLANK(INDEX(Backlog[Priority],MATCH($A130,Backlog[Requirement ID],0))),"",INDEX(Backlog[Priority],MATCH($A130,Backlog[Requirement ID],0))),"")</f>
        <v/>
      </c>
    </row>
    <row r="130" hidden="1" ht="15" customHeight="1" s="93">
      <c r="A130" s="92">
        <f>Backlog!A131</f>
        <v/>
      </c>
      <c r="B130" s="97">
        <f>IFERROR(IF(ISBLANK(INDEX(Backlog[Requirement Name],MATCH($A131,Backlog[Requirement ID],0))),"",INDEX(Backlog[Requirement Name],MATCH($A131,Backlog[Requirement ID],0))),"")</f>
        <v/>
      </c>
      <c r="C130" s="92">
        <f>IFERROR(IF(ISBLANK(INDEX(Backlog[Stream],MATCH($A131,Backlog[Requirement ID],0))),"",INDEX(Backlog[Stream],MATCH($A131,Backlog[Requirement ID],0))),"")</f>
        <v/>
      </c>
      <c r="D130" s="92">
        <f>IFERROR(IF(ISBLANK(INDEX(Backlog[Jira Link],MATCH($A131,Backlog[Requirement ID],0))),"",INDEX(Backlog[Jira Link],MATCH($A131,Backlog[Requirement ID],0))),"")</f>
        <v/>
      </c>
      <c r="E130" s="92">
        <f>IFERROR(IF(ISBLANK(INDEX(Backlog[Status],MATCH($A131,Backlog[Requirement ID],0))),"",INDEX(Backlog[Status],MATCH($A131,Backlog[Requirement ID],0))),"")</f>
        <v/>
      </c>
      <c r="F130" s="92">
        <f>IFERROR(IF(ISBLANK(INDEX(SprintPlanning[Sprint],MATCH($A131,SprintPlanning[Requirement ID],0))),"",INDEX(SprintPlanning[Sprint],MATCH($A131,SprintPlanning[Requirement ID],0))),"")</f>
        <v/>
      </c>
      <c r="H130" s="146" t="n"/>
      <c r="J130" s="92">
        <f>IFERROR(IF(ISBLANK(INDEX(Backlog[Priority],MATCH($A131,Backlog[Requirement ID],0))),"",INDEX(Backlog[Priority],MATCH($A131,Backlog[Requirement ID],0))),"")</f>
        <v/>
      </c>
    </row>
    <row r="131" hidden="1" ht="15" customHeight="1" s="93">
      <c r="A131" s="92">
        <f>Backlog!A132</f>
        <v/>
      </c>
      <c r="B131" s="97">
        <f>IFERROR(IF(ISBLANK(INDEX(Backlog[Requirement Name],MATCH($A132,Backlog[Requirement ID],0))),"",INDEX(Backlog[Requirement Name],MATCH($A132,Backlog[Requirement ID],0))),"")</f>
        <v/>
      </c>
      <c r="C131" s="92">
        <f>IFERROR(IF(ISBLANK(INDEX(Backlog[Stream],MATCH($A132,Backlog[Requirement ID],0))),"",INDEX(Backlog[Stream],MATCH($A132,Backlog[Requirement ID],0))),"")</f>
        <v/>
      </c>
      <c r="D131" s="92">
        <f>IFERROR(IF(ISBLANK(INDEX(Backlog[Jira Link],MATCH($A132,Backlog[Requirement ID],0))),"",INDEX(Backlog[Jira Link],MATCH($A132,Backlog[Requirement ID],0))),"")</f>
        <v/>
      </c>
      <c r="E131" s="92">
        <f>IFERROR(IF(ISBLANK(INDEX(Backlog[Status],MATCH($A132,Backlog[Requirement ID],0))),"",INDEX(Backlog[Status],MATCH($A132,Backlog[Requirement ID],0))),"")</f>
        <v/>
      </c>
      <c r="F131" s="92">
        <f>IFERROR(IF(ISBLANK(INDEX(SprintPlanning[Sprint],MATCH($A132,SprintPlanning[Requirement ID],0))),"",INDEX(SprintPlanning[Sprint],MATCH($A132,SprintPlanning[Requirement ID],0))),"")</f>
        <v/>
      </c>
      <c r="H131" s="146" t="n"/>
      <c r="J131" s="92">
        <f>IFERROR(IF(ISBLANK(INDEX(Backlog[Priority],MATCH($A132,Backlog[Requirement ID],0))),"",INDEX(Backlog[Priority],MATCH($A132,Backlog[Requirement ID],0))),"")</f>
        <v/>
      </c>
    </row>
    <row r="132" hidden="1" ht="15" customHeight="1" s="93">
      <c r="A132" s="92">
        <f>Backlog!A133</f>
        <v/>
      </c>
      <c r="B132" s="97">
        <f>IFERROR(IF(ISBLANK(INDEX(Backlog[Requirement Name],MATCH($A133,Backlog[Requirement ID],0))),"",INDEX(Backlog[Requirement Name],MATCH($A133,Backlog[Requirement ID],0))),"")</f>
        <v/>
      </c>
      <c r="C132" s="92">
        <f>IFERROR(IF(ISBLANK(INDEX(Backlog[Stream],MATCH($A133,Backlog[Requirement ID],0))),"",INDEX(Backlog[Stream],MATCH($A133,Backlog[Requirement ID],0))),"")</f>
        <v/>
      </c>
      <c r="D132" s="92">
        <f>IFERROR(IF(ISBLANK(INDEX(Backlog[Jira Link],MATCH($A133,Backlog[Requirement ID],0))),"",INDEX(Backlog[Jira Link],MATCH($A133,Backlog[Requirement ID],0))),"")</f>
        <v/>
      </c>
      <c r="E132" s="92">
        <f>IFERROR(IF(ISBLANK(INDEX(Backlog[Status],MATCH($A133,Backlog[Requirement ID],0))),"",INDEX(Backlog[Status],MATCH($A133,Backlog[Requirement ID],0))),"")</f>
        <v/>
      </c>
      <c r="F132" s="92">
        <f>IFERROR(IF(ISBLANK(INDEX(SprintPlanning[Sprint],MATCH($A133,SprintPlanning[Requirement ID],0))),"",INDEX(SprintPlanning[Sprint],MATCH($A133,SprintPlanning[Requirement ID],0))),"")</f>
        <v/>
      </c>
      <c r="H132" s="146" t="n"/>
      <c r="J132" s="92">
        <f>IFERROR(IF(ISBLANK(INDEX(Backlog[Priority],MATCH($A133,Backlog[Requirement ID],0))),"",INDEX(Backlog[Priority],MATCH($A133,Backlog[Requirement ID],0))),"")</f>
        <v/>
      </c>
    </row>
    <row r="133" hidden="1" ht="15" customHeight="1" s="93">
      <c r="A133" s="92">
        <f>Backlog!A134</f>
        <v/>
      </c>
      <c r="B133" s="97">
        <f>IFERROR(IF(ISBLANK(INDEX(Backlog[Requirement Name],MATCH($A134,Backlog[Requirement ID],0))),"",INDEX(Backlog[Requirement Name],MATCH($A134,Backlog[Requirement ID],0))),"")</f>
        <v/>
      </c>
      <c r="C133" s="92">
        <f>IFERROR(IF(ISBLANK(INDEX(Backlog[Stream],MATCH($A134,Backlog[Requirement ID],0))),"",INDEX(Backlog[Stream],MATCH($A134,Backlog[Requirement ID],0))),"")</f>
        <v/>
      </c>
      <c r="D133" s="92">
        <f>IFERROR(IF(ISBLANK(INDEX(Backlog[Jira Link],MATCH($A134,Backlog[Requirement ID],0))),"",INDEX(Backlog[Jira Link],MATCH($A134,Backlog[Requirement ID],0))),"")</f>
        <v/>
      </c>
      <c r="E133" s="92">
        <f>IFERROR(IF(ISBLANK(INDEX(Backlog[Status],MATCH($A134,Backlog[Requirement ID],0))),"",INDEX(Backlog[Status],MATCH($A134,Backlog[Requirement ID],0))),"")</f>
        <v/>
      </c>
      <c r="F133" s="92">
        <f>IFERROR(IF(ISBLANK(INDEX(SprintPlanning[Sprint],MATCH($A134,SprintPlanning[Requirement ID],0))),"",INDEX(SprintPlanning[Sprint],MATCH($A134,SprintPlanning[Requirement ID],0))),"")</f>
        <v/>
      </c>
      <c r="H133" s="146" t="n"/>
      <c r="J133" s="92">
        <f>IFERROR(IF(ISBLANK(INDEX(Backlog[Priority],MATCH($A134,Backlog[Requirement ID],0))),"",INDEX(Backlog[Priority],MATCH($A134,Backlog[Requirement ID],0))),"")</f>
        <v/>
      </c>
    </row>
    <row r="134" hidden="1" ht="15" customHeight="1" s="93">
      <c r="A134" s="92">
        <f>Backlog!A135</f>
        <v/>
      </c>
      <c r="B134" s="97">
        <f>IFERROR(IF(ISBLANK(INDEX(Backlog[Requirement Name],MATCH($A135,Backlog[Requirement ID],0))),"",INDEX(Backlog[Requirement Name],MATCH($A135,Backlog[Requirement ID],0))),"")</f>
        <v/>
      </c>
      <c r="C134" s="92">
        <f>IFERROR(IF(ISBLANK(INDEX(Backlog[Stream],MATCH($A135,Backlog[Requirement ID],0))),"",INDEX(Backlog[Stream],MATCH($A135,Backlog[Requirement ID],0))),"")</f>
        <v/>
      </c>
      <c r="D134" s="92">
        <f>IFERROR(IF(ISBLANK(INDEX(Backlog[Jira Link],MATCH($A135,Backlog[Requirement ID],0))),"",INDEX(Backlog[Jira Link],MATCH($A135,Backlog[Requirement ID],0))),"")</f>
        <v/>
      </c>
      <c r="E134" s="92">
        <f>IFERROR(IF(ISBLANK(INDEX(Backlog[Status],MATCH($A135,Backlog[Requirement ID],0))),"",INDEX(Backlog[Status],MATCH($A135,Backlog[Requirement ID],0))),"")</f>
        <v/>
      </c>
      <c r="F134" s="92">
        <f>IFERROR(IF(ISBLANK(INDEX(SprintPlanning[Sprint],MATCH($A135,SprintPlanning[Requirement ID],0))),"",INDEX(SprintPlanning[Sprint],MATCH($A135,SprintPlanning[Requirement ID],0))),"")</f>
        <v/>
      </c>
      <c r="H134" s="146" t="n"/>
      <c r="J134" s="92">
        <f>IFERROR(IF(ISBLANK(INDEX(Backlog[Priority],MATCH($A135,Backlog[Requirement ID],0))),"",INDEX(Backlog[Priority],MATCH($A135,Backlog[Requirement ID],0))),"")</f>
        <v/>
      </c>
    </row>
    <row r="135" hidden="1" ht="23.25" customHeight="1" s="93">
      <c r="A135" s="92">
        <f>Backlog!A136</f>
        <v/>
      </c>
      <c r="B135" s="97">
        <f>IFERROR(IF(ISBLANK(INDEX(Backlog[Requirement Name],MATCH($A136,Backlog[Requirement ID],0))),"",INDEX(Backlog[Requirement Name],MATCH($A136,Backlog[Requirement ID],0))),"")</f>
        <v/>
      </c>
      <c r="C135" s="92">
        <f>IFERROR(IF(ISBLANK(INDEX(Backlog[Stream],MATCH($A136,Backlog[Requirement ID],0))),"",INDEX(Backlog[Stream],MATCH($A136,Backlog[Requirement ID],0))),"")</f>
        <v/>
      </c>
      <c r="D135" s="92">
        <f>IFERROR(IF(ISBLANK(INDEX(Backlog[Jira Link],MATCH($A136,Backlog[Requirement ID],0))),"",INDEX(Backlog[Jira Link],MATCH($A136,Backlog[Requirement ID],0))),"")</f>
        <v/>
      </c>
      <c r="E135" s="92">
        <f>IFERROR(IF(ISBLANK(INDEX(Backlog[Status],MATCH($A136,Backlog[Requirement ID],0))),"",INDEX(Backlog[Status],MATCH($A136,Backlog[Requirement ID],0))),"")</f>
        <v/>
      </c>
      <c r="F135" s="92">
        <f>IFERROR(IF(ISBLANK(INDEX(SprintPlanning[Sprint],MATCH($A136,SprintPlanning[Requirement ID],0))),"",INDEX(SprintPlanning[Sprint],MATCH($A136,SprintPlanning[Requirement ID],0))),"")</f>
        <v/>
      </c>
      <c r="H135" s="146" t="n"/>
      <c r="J135" s="92">
        <f>IFERROR(IF(ISBLANK(INDEX(Backlog[Priority],MATCH($A136,Backlog[Requirement ID],0))),"",INDEX(Backlog[Priority],MATCH($A136,Backlog[Requirement ID],0))),"")</f>
        <v/>
      </c>
    </row>
    <row r="136" hidden="1" ht="15" customHeight="1" s="93">
      <c r="A136" s="92">
        <f>Backlog!A137</f>
        <v/>
      </c>
      <c r="B136" s="97">
        <f>IFERROR(IF(ISBLANK(INDEX(Backlog[Requirement Name],MATCH($A137,Backlog[Requirement ID],0))),"",INDEX(Backlog[Requirement Name],MATCH($A137,Backlog[Requirement ID],0))),"")</f>
        <v/>
      </c>
      <c r="C136" s="92">
        <f>IFERROR(IF(ISBLANK(INDEX(Backlog[Stream],MATCH($A137,Backlog[Requirement ID],0))),"",INDEX(Backlog[Stream],MATCH($A137,Backlog[Requirement ID],0))),"")</f>
        <v/>
      </c>
      <c r="D136" s="92">
        <f>IFERROR(IF(ISBLANK(INDEX(Backlog[Jira Link],MATCH($A137,Backlog[Requirement ID],0))),"",INDEX(Backlog[Jira Link],MATCH($A137,Backlog[Requirement ID],0))),"")</f>
        <v/>
      </c>
      <c r="E136" s="92">
        <f>IFERROR(IF(ISBLANK(INDEX(Backlog[Status],MATCH($A137,Backlog[Requirement ID],0))),"",INDEX(Backlog[Status],MATCH($A137,Backlog[Requirement ID],0))),"")</f>
        <v/>
      </c>
      <c r="F136" s="92">
        <f>IFERROR(IF(ISBLANK(INDEX(SprintPlanning[Sprint],MATCH($A137,SprintPlanning[Requirement ID],0))),"",INDEX(SprintPlanning[Sprint],MATCH($A137,SprintPlanning[Requirement ID],0))),"")</f>
        <v/>
      </c>
      <c r="H136" s="146" t="n"/>
      <c r="J136" s="92">
        <f>IFERROR(IF(ISBLANK(INDEX(Backlog[Priority],MATCH($A137,Backlog[Requirement ID],0))),"",INDEX(Backlog[Priority],MATCH($A137,Backlog[Requirement ID],0))),"")</f>
        <v/>
      </c>
    </row>
    <row r="137" hidden="1" ht="15" customHeight="1" s="93">
      <c r="A137" s="92">
        <f>Backlog!A138</f>
        <v/>
      </c>
      <c r="B137" s="97">
        <f>IFERROR(IF(ISBLANK(INDEX(Backlog[Requirement Name],MATCH($A138,Backlog[Requirement ID],0))),"",INDEX(Backlog[Requirement Name],MATCH($A138,Backlog[Requirement ID],0))),"")</f>
        <v/>
      </c>
      <c r="C137" s="92">
        <f>IFERROR(IF(ISBLANK(INDEX(Backlog[Stream],MATCH($A138,Backlog[Requirement ID],0))),"",INDEX(Backlog[Stream],MATCH($A138,Backlog[Requirement ID],0))),"")</f>
        <v/>
      </c>
      <c r="D137" s="92">
        <f>IFERROR(IF(ISBLANK(INDEX(Backlog[Jira Link],MATCH($A138,Backlog[Requirement ID],0))),"",INDEX(Backlog[Jira Link],MATCH($A138,Backlog[Requirement ID],0))),"")</f>
        <v/>
      </c>
      <c r="E137" s="92">
        <f>IFERROR(IF(ISBLANK(INDEX(Backlog[Status],MATCH($A138,Backlog[Requirement ID],0))),"",INDEX(Backlog[Status],MATCH($A138,Backlog[Requirement ID],0))),"")</f>
        <v/>
      </c>
      <c r="F137" s="92">
        <f>IFERROR(IF(ISBLANK(INDEX(SprintPlanning[Sprint],MATCH($A138,SprintPlanning[Requirement ID],0))),"",INDEX(SprintPlanning[Sprint],MATCH($A138,SprintPlanning[Requirement ID],0))),"")</f>
        <v/>
      </c>
      <c r="H137" s="146" t="n"/>
      <c r="J137" s="92">
        <f>IFERROR(IF(ISBLANK(INDEX(Backlog[Priority],MATCH($A138,Backlog[Requirement ID],0))),"",INDEX(Backlog[Priority],MATCH($A138,Backlog[Requirement ID],0))),"")</f>
        <v/>
      </c>
    </row>
    <row r="138" hidden="1" ht="15" customHeight="1" s="93">
      <c r="A138" s="92">
        <f>Backlog!A139</f>
        <v/>
      </c>
      <c r="B138" s="97">
        <f>IFERROR(IF(ISBLANK(INDEX(Backlog[Requirement Name],MATCH($A139,Backlog[Requirement ID],0))),"",INDEX(Backlog[Requirement Name],MATCH($A139,Backlog[Requirement ID],0))),"")</f>
        <v/>
      </c>
      <c r="C138" s="92">
        <f>IFERROR(IF(ISBLANK(INDEX(Backlog[Stream],MATCH($A139,Backlog[Requirement ID],0))),"",INDEX(Backlog[Stream],MATCH($A139,Backlog[Requirement ID],0))),"")</f>
        <v/>
      </c>
      <c r="D138" s="92">
        <f>IFERROR(IF(ISBLANK(INDEX(Backlog[Jira Link],MATCH($A139,Backlog[Requirement ID],0))),"",INDEX(Backlog[Jira Link],MATCH($A139,Backlog[Requirement ID],0))),"")</f>
        <v/>
      </c>
      <c r="E138" s="92">
        <f>IFERROR(IF(ISBLANK(INDEX(Backlog[Status],MATCH($A139,Backlog[Requirement ID],0))),"",INDEX(Backlog[Status],MATCH($A139,Backlog[Requirement ID],0))),"")</f>
        <v/>
      </c>
      <c r="F138" s="92">
        <f>IFERROR(IF(ISBLANK(INDEX(SprintPlanning[Sprint],MATCH($A139,SprintPlanning[Requirement ID],0))),"",INDEX(SprintPlanning[Sprint],MATCH($A139,SprintPlanning[Requirement ID],0))),"")</f>
        <v/>
      </c>
      <c r="H138" s="146" t="n"/>
      <c r="J138" s="92">
        <f>IFERROR(IF(ISBLANK(INDEX(Backlog[Priority],MATCH($A139,Backlog[Requirement ID],0))),"",INDEX(Backlog[Priority],MATCH($A139,Backlog[Requirement ID],0))),"")</f>
        <v/>
      </c>
    </row>
    <row r="139" hidden="1" ht="15" customHeight="1" s="93">
      <c r="A139" s="92">
        <f>Backlog!A140</f>
        <v/>
      </c>
      <c r="B139" s="97">
        <f>IFERROR(IF(ISBLANK(INDEX(Backlog[Requirement Name],MATCH($A140,Backlog[Requirement ID],0))),"",INDEX(Backlog[Requirement Name],MATCH($A140,Backlog[Requirement ID],0))),"")</f>
        <v/>
      </c>
      <c r="C139" s="92">
        <f>IFERROR(IF(ISBLANK(INDEX(Backlog[Stream],MATCH($A140,Backlog[Requirement ID],0))),"",INDEX(Backlog[Stream],MATCH($A140,Backlog[Requirement ID],0))),"")</f>
        <v/>
      </c>
      <c r="D139" s="92">
        <f>IFERROR(IF(ISBLANK(INDEX(Backlog[Jira Link],MATCH($A140,Backlog[Requirement ID],0))),"",INDEX(Backlog[Jira Link],MATCH($A140,Backlog[Requirement ID],0))),"")</f>
        <v/>
      </c>
      <c r="E139" s="92">
        <f>IFERROR(IF(ISBLANK(INDEX(Backlog[Status],MATCH($A140,Backlog[Requirement ID],0))),"",INDEX(Backlog[Status],MATCH($A140,Backlog[Requirement ID],0))),"")</f>
        <v/>
      </c>
      <c r="F139" s="92">
        <f>IFERROR(IF(ISBLANK(INDEX(SprintPlanning[Sprint],MATCH($A140,SprintPlanning[Requirement ID],0))),"",INDEX(SprintPlanning[Sprint],MATCH($A140,SprintPlanning[Requirement ID],0))),"")</f>
        <v/>
      </c>
      <c r="H139" s="146" t="n"/>
      <c r="J139" s="92">
        <f>IFERROR(IF(ISBLANK(INDEX(Backlog[Priority],MATCH($A140,Backlog[Requirement ID],0))),"",INDEX(Backlog[Priority],MATCH($A140,Backlog[Requirement ID],0))),"")</f>
        <v/>
      </c>
    </row>
    <row r="140" hidden="1" ht="15" customHeight="1" s="93">
      <c r="A140" s="92">
        <f>Backlog!A141</f>
        <v/>
      </c>
      <c r="B140" s="97">
        <f>IFERROR(IF(ISBLANK(INDEX(Backlog[Requirement Name],MATCH($A141,Backlog[Requirement ID],0))),"",INDEX(Backlog[Requirement Name],MATCH($A141,Backlog[Requirement ID],0))),"")</f>
        <v/>
      </c>
      <c r="C140" s="92">
        <f>IFERROR(IF(ISBLANK(INDEX(Backlog[Stream],MATCH($A141,Backlog[Requirement ID],0))),"",INDEX(Backlog[Stream],MATCH($A141,Backlog[Requirement ID],0))),"")</f>
        <v/>
      </c>
      <c r="D140" s="92">
        <f>IFERROR(IF(ISBLANK(INDEX(Backlog[Jira Link],MATCH($A141,Backlog[Requirement ID],0))),"",INDEX(Backlog[Jira Link],MATCH($A141,Backlog[Requirement ID],0))),"")</f>
        <v/>
      </c>
      <c r="E140" s="92">
        <f>IFERROR(IF(ISBLANK(INDEX(Backlog[Status],MATCH($A141,Backlog[Requirement ID],0))),"",INDEX(Backlog[Status],MATCH($A141,Backlog[Requirement ID],0))),"")</f>
        <v/>
      </c>
      <c r="F140" s="92">
        <f>IFERROR(IF(ISBLANK(INDEX(SprintPlanning[Sprint],MATCH($A141,SprintPlanning[Requirement ID],0))),"",INDEX(SprintPlanning[Sprint],MATCH($A141,SprintPlanning[Requirement ID],0))),"")</f>
        <v/>
      </c>
      <c r="H140" s="146" t="n"/>
      <c r="J140" s="92">
        <f>IFERROR(IF(ISBLANK(INDEX(Backlog[Priority],MATCH($A141,Backlog[Requirement ID],0))),"",INDEX(Backlog[Priority],MATCH($A141,Backlog[Requirement ID],0))),"")</f>
        <v/>
      </c>
    </row>
    <row r="141" hidden="1" ht="15" customHeight="1" s="93">
      <c r="A141" s="92">
        <f>Backlog!A142</f>
        <v/>
      </c>
      <c r="B141" s="97">
        <f>IFERROR(IF(ISBLANK(INDEX(Backlog[Requirement Name],MATCH($A142,Backlog[Requirement ID],0))),"",INDEX(Backlog[Requirement Name],MATCH($A142,Backlog[Requirement ID],0))),"")</f>
        <v/>
      </c>
      <c r="C141" s="92">
        <f>IFERROR(IF(ISBLANK(INDEX(Backlog[Stream],MATCH($A142,Backlog[Requirement ID],0))),"",INDEX(Backlog[Stream],MATCH($A142,Backlog[Requirement ID],0))),"")</f>
        <v/>
      </c>
      <c r="D141" s="92">
        <f>IFERROR(IF(ISBLANK(INDEX(Backlog[Jira Link],MATCH($A142,Backlog[Requirement ID],0))),"",INDEX(Backlog[Jira Link],MATCH($A142,Backlog[Requirement ID],0))),"")</f>
        <v/>
      </c>
      <c r="E141" s="92">
        <f>IFERROR(IF(ISBLANK(INDEX(Backlog[Status],MATCH($A142,Backlog[Requirement ID],0))),"",INDEX(Backlog[Status],MATCH($A142,Backlog[Requirement ID],0))),"")</f>
        <v/>
      </c>
      <c r="F141" s="92">
        <f>IFERROR(IF(ISBLANK(INDEX(SprintPlanning[Sprint],MATCH($A142,SprintPlanning[Requirement ID],0))),"",INDEX(SprintPlanning[Sprint],MATCH($A142,SprintPlanning[Requirement ID],0))),"")</f>
        <v/>
      </c>
      <c r="H141" s="146" t="n"/>
      <c r="J141" s="92">
        <f>IFERROR(IF(ISBLANK(INDEX(Backlog[Priority],MATCH($A142,Backlog[Requirement ID],0))),"",INDEX(Backlog[Priority],MATCH($A142,Backlog[Requirement ID],0))),"")</f>
        <v/>
      </c>
    </row>
    <row r="142" hidden="1" ht="15" customHeight="1" s="93">
      <c r="A142" s="92">
        <f>Backlog!A143</f>
        <v/>
      </c>
      <c r="B142" s="97">
        <f>IFERROR(IF(ISBLANK(INDEX(Backlog[Requirement Name],MATCH($A143,Backlog[Requirement ID],0))),"",INDEX(Backlog[Requirement Name],MATCH($A143,Backlog[Requirement ID],0))),"")</f>
        <v/>
      </c>
      <c r="C142" s="92">
        <f>IFERROR(IF(ISBLANK(INDEX(Backlog[Stream],MATCH($A143,Backlog[Requirement ID],0))),"",INDEX(Backlog[Stream],MATCH($A143,Backlog[Requirement ID],0))),"")</f>
        <v/>
      </c>
      <c r="D142" s="92">
        <f>IFERROR(IF(ISBLANK(INDEX(Backlog[Jira Link],MATCH($A143,Backlog[Requirement ID],0))),"",INDEX(Backlog[Jira Link],MATCH($A143,Backlog[Requirement ID],0))),"")</f>
        <v/>
      </c>
      <c r="E142" s="92">
        <f>IFERROR(IF(ISBLANK(INDEX(Backlog[Status],MATCH($A143,Backlog[Requirement ID],0))),"",INDEX(Backlog[Status],MATCH($A143,Backlog[Requirement ID],0))),"")</f>
        <v/>
      </c>
      <c r="F142" s="92">
        <f>IFERROR(IF(ISBLANK(INDEX(SprintPlanning[Sprint],MATCH($A143,SprintPlanning[Requirement ID],0))),"",INDEX(SprintPlanning[Sprint],MATCH($A143,SprintPlanning[Requirement ID],0))),"")</f>
        <v/>
      </c>
      <c r="H142" s="146" t="n"/>
      <c r="J142" s="92">
        <f>IFERROR(IF(ISBLANK(INDEX(Backlog[Priority],MATCH($A143,Backlog[Requirement ID],0))),"",INDEX(Backlog[Priority],MATCH($A143,Backlog[Requirement ID],0))),"")</f>
        <v/>
      </c>
    </row>
    <row r="143" hidden="1" ht="15" customHeight="1" s="93">
      <c r="A143" s="92">
        <f>Backlog!A144</f>
        <v/>
      </c>
      <c r="B143" s="97">
        <f>IFERROR(IF(ISBLANK(INDEX(Backlog[Requirement Name],MATCH($A144,Backlog[Requirement ID],0))),"",INDEX(Backlog[Requirement Name],MATCH($A144,Backlog[Requirement ID],0))),"")</f>
        <v/>
      </c>
      <c r="C143" s="92">
        <f>IFERROR(IF(ISBLANK(INDEX(Backlog[Stream],MATCH($A144,Backlog[Requirement ID],0))),"",INDEX(Backlog[Stream],MATCH($A144,Backlog[Requirement ID],0))),"")</f>
        <v/>
      </c>
      <c r="D143" s="92">
        <f>IFERROR(IF(ISBLANK(INDEX(Backlog[Jira Link],MATCH($A144,Backlog[Requirement ID],0))),"",INDEX(Backlog[Jira Link],MATCH($A144,Backlog[Requirement ID],0))),"")</f>
        <v/>
      </c>
      <c r="E143" s="92">
        <f>IFERROR(IF(ISBLANK(INDEX(Backlog[Status],MATCH($A144,Backlog[Requirement ID],0))),"",INDEX(Backlog[Status],MATCH($A144,Backlog[Requirement ID],0))),"")</f>
        <v/>
      </c>
      <c r="F143" s="92">
        <f>IFERROR(IF(ISBLANK(INDEX(SprintPlanning[Sprint],MATCH($A144,SprintPlanning[Requirement ID],0))),"",INDEX(SprintPlanning[Sprint],MATCH($A144,SprintPlanning[Requirement ID],0))),"")</f>
        <v/>
      </c>
      <c r="H143" s="146" t="n"/>
      <c r="J143" s="92">
        <f>IFERROR(IF(ISBLANK(INDEX(Backlog[Priority],MATCH($A144,Backlog[Requirement ID],0))),"",INDEX(Backlog[Priority],MATCH($A144,Backlog[Requirement ID],0))),"")</f>
        <v/>
      </c>
    </row>
    <row r="144" hidden="1" ht="15" customHeight="1" s="93">
      <c r="A144" s="92">
        <f>Backlog!A145</f>
        <v/>
      </c>
      <c r="B144" s="97">
        <f>IFERROR(IF(ISBLANK(INDEX(Backlog[Requirement Name],MATCH($A145,Backlog[Requirement ID],0))),"",INDEX(Backlog[Requirement Name],MATCH($A145,Backlog[Requirement ID],0))),"")</f>
        <v/>
      </c>
      <c r="C144" s="92">
        <f>IFERROR(IF(ISBLANK(INDEX(Backlog[Stream],MATCH($A145,Backlog[Requirement ID],0))),"",INDEX(Backlog[Stream],MATCH($A145,Backlog[Requirement ID],0))),"")</f>
        <v/>
      </c>
      <c r="D144" s="92">
        <f>IFERROR(IF(ISBLANK(INDEX(Backlog[Jira Link],MATCH($A145,Backlog[Requirement ID],0))),"",INDEX(Backlog[Jira Link],MATCH($A145,Backlog[Requirement ID],0))),"")</f>
        <v/>
      </c>
      <c r="E144" s="92">
        <f>IFERROR(IF(ISBLANK(INDEX(Backlog[Status],MATCH($A145,Backlog[Requirement ID],0))),"",INDEX(Backlog[Status],MATCH($A145,Backlog[Requirement ID],0))),"")</f>
        <v/>
      </c>
      <c r="F144" s="92">
        <f>IFERROR(IF(ISBLANK(INDEX(SprintPlanning[Sprint],MATCH($A145,SprintPlanning[Requirement ID],0))),"",INDEX(SprintPlanning[Sprint],MATCH($A145,SprintPlanning[Requirement ID],0))),"")</f>
        <v/>
      </c>
      <c r="H144" s="146" t="n"/>
      <c r="J144" s="92">
        <f>IFERROR(IF(ISBLANK(INDEX(Backlog[Priority],MATCH($A145,Backlog[Requirement ID],0))),"",INDEX(Backlog[Priority],MATCH($A145,Backlog[Requirement ID],0))),"")</f>
        <v/>
      </c>
    </row>
    <row r="145" hidden="1" ht="15" customHeight="1" s="93">
      <c r="A145" s="92">
        <f>Backlog!A146</f>
        <v/>
      </c>
      <c r="B145" s="97">
        <f>IFERROR(IF(ISBLANK(INDEX(Backlog[Requirement Name],MATCH($A146,Backlog[Requirement ID],0))),"",INDEX(Backlog[Requirement Name],MATCH($A146,Backlog[Requirement ID],0))),"")</f>
        <v/>
      </c>
      <c r="C145" s="92">
        <f>IFERROR(IF(ISBLANK(INDEX(Backlog[Stream],MATCH($A146,Backlog[Requirement ID],0))),"",INDEX(Backlog[Stream],MATCH($A146,Backlog[Requirement ID],0))),"")</f>
        <v/>
      </c>
      <c r="D145" s="92">
        <f>IFERROR(IF(ISBLANK(INDEX(Backlog[Jira Link],MATCH($A146,Backlog[Requirement ID],0))),"",INDEX(Backlog[Jira Link],MATCH($A146,Backlog[Requirement ID],0))),"")</f>
        <v/>
      </c>
      <c r="E145" s="92">
        <f>IFERROR(IF(ISBLANK(INDEX(Backlog[Status],MATCH($A146,Backlog[Requirement ID],0))),"",INDEX(Backlog[Status],MATCH($A146,Backlog[Requirement ID],0))),"")</f>
        <v/>
      </c>
      <c r="F145" s="92">
        <f>IFERROR(IF(ISBLANK(INDEX(SprintPlanning[Sprint],MATCH($A146,SprintPlanning[Requirement ID],0))),"",INDEX(SprintPlanning[Sprint],MATCH($A146,SprintPlanning[Requirement ID],0))),"")</f>
        <v/>
      </c>
      <c r="H145" s="146" t="n"/>
      <c r="J145" s="92">
        <f>IFERROR(IF(ISBLANK(INDEX(Backlog[Priority],MATCH($A146,Backlog[Requirement ID],0))),"",INDEX(Backlog[Priority],MATCH($A146,Backlog[Requirement ID],0))),"")</f>
        <v/>
      </c>
    </row>
    <row r="146" hidden="1" ht="15" customHeight="1" s="93">
      <c r="A146" s="92">
        <f>Backlog!A147</f>
        <v/>
      </c>
      <c r="B146" s="97">
        <f>IFERROR(IF(ISBLANK(INDEX(Backlog[Requirement Name],MATCH($A147,Backlog[Requirement ID],0))),"",INDEX(Backlog[Requirement Name],MATCH($A147,Backlog[Requirement ID],0))),"")</f>
        <v/>
      </c>
      <c r="C146" s="92">
        <f>IFERROR(IF(ISBLANK(INDEX(Backlog[Stream],MATCH($A147,Backlog[Requirement ID],0))),"",INDEX(Backlog[Stream],MATCH($A147,Backlog[Requirement ID],0))),"")</f>
        <v/>
      </c>
      <c r="D146" s="92">
        <f>IFERROR(IF(ISBLANK(INDEX(Backlog[Jira Link],MATCH($A147,Backlog[Requirement ID],0))),"",INDEX(Backlog[Jira Link],MATCH($A147,Backlog[Requirement ID],0))),"")</f>
        <v/>
      </c>
      <c r="E146" s="92">
        <f>IFERROR(IF(ISBLANK(INDEX(Backlog[Status],MATCH($A147,Backlog[Requirement ID],0))),"",INDEX(Backlog[Status],MATCH($A147,Backlog[Requirement ID],0))),"")</f>
        <v/>
      </c>
      <c r="F146" s="92">
        <f>IFERROR(IF(ISBLANK(INDEX(SprintPlanning[Sprint],MATCH($A147,SprintPlanning[Requirement ID],0))),"",INDEX(SprintPlanning[Sprint],MATCH($A147,SprintPlanning[Requirement ID],0))),"")</f>
        <v/>
      </c>
      <c r="H146" s="146" t="n"/>
      <c r="J146" s="92">
        <f>IFERROR(IF(ISBLANK(INDEX(Backlog[Priority],MATCH($A147,Backlog[Requirement ID],0))),"",INDEX(Backlog[Priority],MATCH($A147,Backlog[Requirement ID],0))),"")</f>
        <v/>
      </c>
    </row>
    <row r="147" hidden="1" ht="15" customHeight="1" s="93">
      <c r="A147" s="92">
        <f>Backlog!A148</f>
        <v/>
      </c>
      <c r="B147" s="97">
        <f>IFERROR(IF(ISBLANK(INDEX(Backlog[Requirement Name],MATCH($A148,Backlog[Requirement ID],0))),"",INDEX(Backlog[Requirement Name],MATCH($A148,Backlog[Requirement ID],0))),"")</f>
        <v/>
      </c>
      <c r="C147" s="92">
        <f>IFERROR(IF(ISBLANK(INDEX(Backlog[Stream],MATCH($A148,Backlog[Requirement ID],0))),"",INDEX(Backlog[Stream],MATCH($A148,Backlog[Requirement ID],0))),"")</f>
        <v/>
      </c>
      <c r="D147" s="92">
        <f>IFERROR(IF(ISBLANK(INDEX(Backlog[Jira Link],MATCH($A148,Backlog[Requirement ID],0))),"",INDEX(Backlog[Jira Link],MATCH($A148,Backlog[Requirement ID],0))),"")</f>
        <v/>
      </c>
      <c r="E147" s="92">
        <f>IFERROR(IF(ISBLANK(INDEX(Backlog[Status],MATCH($A148,Backlog[Requirement ID],0))),"",INDEX(Backlog[Status],MATCH($A148,Backlog[Requirement ID],0))),"")</f>
        <v/>
      </c>
      <c r="F147" s="92">
        <f>IFERROR(IF(ISBLANK(INDEX(SprintPlanning[Sprint],MATCH($A148,SprintPlanning[Requirement ID],0))),"",INDEX(SprintPlanning[Sprint],MATCH($A148,SprintPlanning[Requirement ID],0))),"")</f>
        <v/>
      </c>
      <c r="H147" s="146" t="n"/>
      <c r="J147" s="92">
        <f>IFERROR(IF(ISBLANK(INDEX(Backlog[Priority],MATCH($A148,Backlog[Requirement ID],0))),"",INDEX(Backlog[Priority],MATCH($A148,Backlog[Requirement ID],0))),"")</f>
        <v/>
      </c>
    </row>
    <row r="148" hidden="1" ht="15" customHeight="1" s="93">
      <c r="A148" s="92">
        <f>Backlog!A149</f>
        <v/>
      </c>
      <c r="B148" s="97">
        <f>IFERROR(IF(ISBLANK(INDEX(Backlog[Requirement Name],MATCH($A149,Backlog[Requirement ID],0))),"",INDEX(Backlog[Requirement Name],MATCH($A149,Backlog[Requirement ID],0))),"")</f>
        <v/>
      </c>
      <c r="C148" s="92">
        <f>IFERROR(IF(ISBLANK(INDEX(Backlog[Stream],MATCH($A149,Backlog[Requirement ID],0))),"",INDEX(Backlog[Stream],MATCH($A149,Backlog[Requirement ID],0))),"")</f>
        <v/>
      </c>
      <c r="D148" s="92">
        <f>IFERROR(IF(ISBLANK(INDEX(Backlog[Jira Link],MATCH($A149,Backlog[Requirement ID],0))),"",INDEX(Backlog[Jira Link],MATCH($A149,Backlog[Requirement ID],0))),"")</f>
        <v/>
      </c>
      <c r="E148" s="92">
        <f>IFERROR(IF(ISBLANK(INDEX(Backlog[Status],MATCH($A149,Backlog[Requirement ID],0))),"",INDEX(Backlog[Status],MATCH($A149,Backlog[Requirement ID],0))),"")</f>
        <v/>
      </c>
      <c r="F148" s="92">
        <f>IFERROR(IF(ISBLANK(INDEX(SprintPlanning[Sprint],MATCH($A149,SprintPlanning[Requirement ID],0))),"",INDEX(SprintPlanning[Sprint],MATCH($A149,SprintPlanning[Requirement ID],0))),"")</f>
        <v/>
      </c>
      <c r="H148" s="146" t="n"/>
      <c r="J148" s="92">
        <f>IFERROR(IF(ISBLANK(INDEX(Backlog[Priority],MATCH($A149,Backlog[Requirement ID],0))),"",INDEX(Backlog[Priority],MATCH($A149,Backlog[Requirement ID],0))),"")</f>
        <v/>
      </c>
    </row>
    <row r="149" hidden="1" ht="15" customHeight="1" s="93">
      <c r="A149" s="92">
        <f>Backlog!A150</f>
        <v/>
      </c>
      <c r="B149" s="97">
        <f>IFERROR(IF(ISBLANK(INDEX(Backlog[Requirement Name],MATCH($A150,Backlog[Requirement ID],0))),"",INDEX(Backlog[Requirement Name],MATCH($A150,Backlog[Requirement ID],0))),"")</f>
        <v/>
      </c>
      <c r="C149" s="92">
        <f>IFERROR(IF(ISBLANK(INDEX(Backlog[Stream],MATCH($A150,Backlog[Requirement ID],0))),"",INDEX(Backlog[Stream],MATCH($A150,Backlog[Requirement ID],0))),"")</f>
        <v/>
      </c>
      <c r="D149" s="92">
        <f>IFERROR(IF(ISBLANK(INDEX(Backlog[Jira Link],MATCH($A150,Backlog[Requirement ID],0))),"",INDEX(Backlog[Jira Link],MATCH($A150,Backlog[Requirement ID],0))),"")</f>
        <v/>
      </c>
      <c r="E149" s="92">
        <f>IFERROR(IF(ISBLANK(INDEX(Backlog[Status],MATCH($A150,Backlog[Requirement ID],0))),"",INDEX(Backlog[Status],MATCH($A150,Backlog[Requirement ID],0))),"")</f>
        <v/>
      </c>
      <c r="F149" s="92">
        <f>IFERROR(IF(ISBLANK(INDEX(SprintPlanning[Sprint],MATCH($A150,SprintPlanning[Requirement ID],0))),"",INDEX(SprintPlanning[Sprint],MATCH($A150,SprintPlanning[Requirement ID],0))),"")</f>
        <v/>
      </c>
      <c r="H149" s="146" t="n"/>
      <c r="J149" s="92">
        <f>IFERROR(IF(ISBLANK(INDEX(Backlog[Priority],MATCH($A150,Backlog[Requirement ID],0))),"",INDEX(Backlog[Priority],MATCH($A150,Backlog[Requirement ID],0))),"")</f>
        <v/>
      </c>
    </row>
    <row r="150" hidden="1" ht="15" customHeight="1" s="93">
      <c r="A150" s="92">
        <f>Backlog!A151</f>
        <v/>
      </c>
      <c r="B150" s="97">
        <f>IFERROR(IF(ISBLANK(INDEX(Backlog[Requirement Name],MATCH($A151,Backlog[Requirement ID],0))),"",INDEX(Backlog[Requirement Name],MATCH($A151,Backlog[Requirement ID],0))),"")</f>
        <v/>
      </c>
      <c r="C150" s="92">
        <f>IFERROR(IF(ISBLANK(INDEX(Backlog[Stream],MATCH($A151,Backlog[Requirement ID],0))),"",INDEX(Backlog[Stream],MATCH($A151,Backlog[Requirement ID],0))),"")</f>
        <v/>
      </c>
      <c r="D150" s="92">
        <f>IFERROR(IF(ISBLANK(INDEX(Backlog[Jira Link],MATCH($A151,Backlog[Requirement ID],0))),"",INDEX(Backlog[Jira Link],MATCH($A151,Backlog[Requirement ID],0))),"")</f>
        <v/>
      </c>
      <c r="E150" s="92">
        <f>IFERROR(IF(ISBLANK(INDEX(Backlog[Status],MATCH($A151,Backlog[Requirement ID],0))),"",INDEX(Backlog[Status],MATCH($A151,Backlog[Requirement ID],0))),"")</f>
        <v/>
      </c>
      <c r="F150" s="92">
        <f>IFERROR(IF(ISBLANK(INDEX(SprintPlanning[Sprint],MATCH($A151,SprintPlanning[Requirement ID],0))),"",INDEX(SprintPlanning[Sprint],MATCH($A151,SprintPlanning[Requirement ID],0))),"")</f>
        <v/>
      </c>
      <c r="H150" s="146" t="n"/>
      <c r="J150" s="92">
        <f>IFERROR(IF(ISBLANK(INDEX(Backlog[Priority],MATCH($A151,Backlog[Requirement ID],0))),"",INDEX(Backlog[Priority],MATCH($A151,Backlog[Requirement ID],0))),"")</f>
        <v/>
      </c>
    </row>
    <row r="151" hidden="1" ht="15" customHeight="1" s="93">
      <c r="A151" s="92">
        <f>Backlog!A152</f>
        <v/>
      </c>
      <c r="B151" s="97">
        <f>IFERROR(IF(ISBLANK(INDEX(Backlog[Requirement Name],MATCH($A152,Backlog[Requirement ID],0))),"",INDEX(Backlog[Requirement Name],MATCH($A152,Backlog[Requirement ID],0))),"")</f>
        <v/>
      </c>
      <c r="C151" s="92">
        <f>IFERROR(IF(ISBLANK(INDEX(Backlog[Stream],MATCH($A152,Backlog[Requirement ID],0))),"",INDEX(Backlog[Stream],MATCH($A152,Backlog[Requirement ID],0))),"")</f>
        <v/>
      </c>
      <c r="D151" s="92">
        <f>IFERROR(IF(ISBLANK(INDEX(Backlog[Jira Link],MATCH($A152,Backlog[Requirement ID],0))),"",INDEX(Backlog[Jira Link],MATCH($A152,Backlog[Requirement ID],0))),"")</f>
        <v/>
      </c>
      <c r="E151" s="92">
        <f>IFERROR(IF(ISBLANK(INDEX(Backlog[Status],MATCH($A152,Backlog[Requirement ID],0))),"",INDEX(Backlog[Status],MATCH($A152,Backlog[Requirement ID],0))),"")</f>
        <v/>
      </c>
      <c r="F151" s="92">
        <f>IFERROR(IF(ISBLANK(INDEX(SprintPlanning[Sprint],MATCH($A152,SprintPlanning[Requirement ID],0))),"",INDEX(SprintPlanning[Sprint],MATCH($A152,SprintPlanning[Requirement ID],0))),"")</f>
        <v/>
      </c>
      <c r="H151" s="146" t="n"/>
      <c r="J151" s="92">
        <f>IFERROR(IF(ISBLANK(INDEX(Backlog[Priority],MATCH($A152,Backlog[Requirement ID],0))),"",INDEX(Backlog[Priority],MATCH($A152,Backlog[Requirement ID],0))),"")</f>
        <v/>
      </c>
    </row>
    <row r="152" hidden="1" ht="15" customHeight="1" s="93">
      <c r="A152" s="92">
        <f>Backlog!A153</f>
        <v/>
      </c>
      <c r="B152" s="97">
        <f>IFERROR(IF(ISBLANK(INDEX(Backlog[Requirement Name],MATCH($A153,Backlog[Requirement ID],0))),"",INDEX(Backlog[Requirement Name],MATCH($A153,Backlog[Requirement ID],0))),"")</f>
        <v/>
      </c>
      <c r="C152" s="92">
        <f>IFERROR(IF(ISBLANK(INDEX(Backlog[Stream],MATCH($A153,Backlog[Requirement ID],0))),"",INDEX(Backlog[Stream],MATCH($A153,Backlog[Requirement ID],0))),"")</f>
        <v/>
      </c>
      <c r="D152" s="92">
        <f>IFERROR(IF(ISBLANK(INDEX(Backlog[Jira Link],MATCH($A153,Backlog[Requirement ID],0))),"",INDEX(Backlog[Jira Link],MATCH($A153,Backlog[Requirement ID],0))),"")</f>
        <v/>
      </c>
      <c r="E152" s="92">
        <f>IFERROR(IF(ISBLANK(INDEX(Backlog[Status],MATCH($A153,Backlog[Requirement ID],0))),"",INDEX(Backlog[Status],MATCH($A153,Backlog[Requirement ID],0))),"")</f>
        <v/>
      </c>
      <c r="F152" s="92">
        <f>IFERROR(IF(ISBLANK(INDEX(SprintPlanning[Sprint],MATCH($A153,SprintPlanning[Requirement ID],0))),"",INDEX(SprintPlanning[Sprint],MATCH($A153,SprintPlanning[Requirement ID],0))),"")</f>
        <v/>
      </c>
      <c r="H152" s="146" t="n"/>
      <c r="J152" s="92">
        <f>IFERROR(IF(ISBLANK(INDEX(Backlog[Priority],MATCH($A153,Backlog[Requirement ID],0))),"",INDEX(Backlog[Priority],MATCH($A153,Backlog[Requirement ID],0))),"")</f>
        <v/>
      </c>
    </row>
    <row r="153" hidden="1" ht="15" customHeight="1" s="93">
      <c r="A153" s="92">
        <f>Backlog!A154</f>
        <v/>
      </c>
      <c r="B153" s="97">
        <f>IFERROR(IF(ISBLANK(INDEX(Backlog[Requirement Name],MATCH($A154,Backlog[Requirement ID],0))),"",INDEX(Backlog[Requirement Name],MATCH($A154,Backlog[Requirement ID],0))),"")</f>
        <v/>
      </c>
      <c r="C153" s="92">
        <f>IFERROR(IF(ISBLANK(INDEX(Backlog[Stream],MATCH($A154,Backlog[Requirement ID],0))),"",INDEX(Backlog[Stream],MATCH($A154,Backlog[Requirement ID],0))),"")</f>
        <v/>
      </c>
      <c r="D153" s="92">
        <f>IFERROR(IF(ISBLANK(INDEX(Backlog[Jira Link],MATCH($A154,Backlog[Requirement ID],0))),"",INDEX(Backlog[Jira Link],MATCH($A154,Backlog[Requirement ID],0))),"")</f>
        <v/>
      </c>
      <c r="E153" s="92">
        <f>IFERROR(IF(ISBLANK(INDEX(Backlog[Status],MATCH($A154,Backlog[Requirement ID],0))),"",INDEX(Backlog[Status],MATCH($A154,Backlog[Requirement ID],0))),"")</f>
        <v/>
      </c>
      <c r="F153" s="92">
        <f>IFERROR(IF(ISBLANK(INDEX(SprintPlanning[Sprint],MATCH($A154,SprintPlanning[Requirement ID],0))),"",INDEX(SprintPlanning[Sprint],MATCH($A154,SprintPlanning[Requirement ID],0))),"")</f>
        <v/>
      </c>
      <c r="H153" s="146" t="n"/>
      <c r="J153" s="92">
        <f>IFERROR(IF(ISBLANK(INDEX(Backlog[Priority],MATCH($A154,Backlog[Requirement ID],0))),"",INDEX(Backlog[Priority],MATCH($A154,Backlog[Requirement ID],0))),"")</f>
        <v/>
      </c>
    </row>
    <row r="154" hidden="1" ht="15" customHeight="1" s="93">
      <c r="A154" s="92">
        <f>Backlog!A155</f>
        <v/>
      </c>
      <c r="B154" s="97">
        <f>IFERROR(IF(ISBLANK(INDEX(Backlog[Requirement Name],MATCH($A155,Backlog[Requirement ID],0))),"",INDEX(Backlog[Requirement Name],MATCH($A155,Backlog[Requirement ID],0))),"")</f>
        <v/>
      </c>
      <c r="C154" s="92">
        <f>IFERROR(IF(ISBLANK(INDEX(Backlog[Stream],MATCH($A155,Backlog[Requirement ID],0))),"",INDEX(Backlog[Stream],MATCH($A155,Backlog[Requirement ID],0))),"")</f>
        <v/>
      </c>
      <c r="D154" s="92">
        <f>IFERROR(IF(ISBLANK(INDEX(Backlog[Jira Link],MATCH($A155,Backlog[Requirement ID],0))),"",INDEX(Backlog[Jira Link],MATCH($A155,Backlog[Requirement ID],0))),"")</f>
        <v/>
      </c>
      <c r="E154" s="92">
        <f>IFERROR(IF(ISBLANK(INDEX(Backlog[Status],MATCH($A155,Backlog[Requirement ID],0))),"",INDEX(Backlog[Status],MATCH($A155,Backlog[Requirement ID],0))),"")</f>
        <v/>
      </c>
      <c r="F154" s="92">
        <f>IFERROR(IF(ISBLANK(INDEX(SprintPlanning[Sprint],MATCH($A155,SprintPlanning[Requirement ID],0))),"",INDEX(SprintPlanning[Sprint],MATCH($A155,SprintPlanning[Requirement ID],0))),"")</f>
        <v/>
      </c>
      <c r="H154" s="146" t="n"/>
      <c r="J154" s="92">
        <f>IFERROR(IF(ISBLANK(INDEX(Backlog[Priority],MATCH($A155,Backlog[Requirement ID],0))),"",INDEX(Backlog[Priority],MATCH($A155,Backlog[Requirement ID],0))),"")</f>
        <v/>
      </c>
    </row>
    <row r="155" hidden="1" ht="15" customHeight="1" s="93">
      <c r="A155" s="92">
        <f>Backlog!A156</f>
        <v/>
      </c>
      <c r="B155" s="97">
        <f>IFERROR(IF(ISBLANK(INDEX(Backlog[Requirement Name],MATCH($A156,Backlog[Requirement ID],0))),"",INDEX(Backlog[Requirement Name],MATCH($A156,Backlog[Requirement ID],0))),"")</f>
        <v/>
      </c>
      <c r="C155" s="92">
        <f>IFERROR(IF(ISBLANK(INDEX(Backlog[Stream],MATCH($A156,Backlog[Requirement ID],0))),"",INDEX(Backlog[Stream],MATCH($A156,Backlog[Requirement ID],0))),"")</f>
        <v/>
      </c>
      <c r="D155" s="92">
        <f>IFERROR(IF(ISBLANK(INDEX(Backlog[Jira Link],MATCH($A156,Backlog[Requirement ID],0))),"",INDEX(Backlog[Jira Link],MATCH($A156,Backlog[Requirement ID],0))),"")</f>
        <v/>
      </c>
      <c r="E155" s="92">
        <f>IFERROR(IF(ISBLANK(INDEX(Backlog[Status],MATCH($A156,Backlog[Requirement ID],0))),"",INDEX(Backlog[Status],MATCH($A156,Backlog[Requirement ID],0))),"")</f>
        <v/>
      </c>
      <c r="F155" s="92">
        <f>IFERROR(IF(ISBLANK(INDEX(SprintPlanning[Sprint],MATCH($A156,SprintPlanning[Requirement ID],0))),"",INDEX(SprintPlanning[Sprint],MATCH($A156,SprintPlanning[Requirement ID],0))),"")</f>
        <v/>
      </c>
      <c r="H155" s="146" t="n"/>
      <c r="J155" s="92">
        <f>IFERROR(IF(ISBLANK(INDEX(Backlog[Priority],MATCH($A156,Backlog[Requirement ID],0))),"",INDEX(Backlog[Priority],MATCH($A156,Backlog[Requirement ID],0))),"")</f>
        <v/>
      </c>
    </row>
    <row r="156" hidden="1" ht="15" customHeight="1" s="93">
      <c r="A156" s="92">
        <f>Backlog!A157</f>
        <v/>
      </c>
      <c r="B156" s="97">
        <f>IFERROR(IF(ISBLANK(INDEX(Backlog[Requirement Name],MATCH($A157,Backlog[Requirement ID],0))),"",INDEX(Backlog[Requirement Name],MATCH($A157,Backlog[Requirement ID],0))),"")</f>
        <v/>
      </c>
      <c r="C156" s="92">
        <f>IFERROR(IF(ISBLANK(INDEX(Backlog[Stream],MATCH($A157,Backlog[Requirement ID],0))),"",INDEX(Backlog[Stream],MATCH($A157,Backlog[Requirement ID],0))),"")</f>
        <v/>
      </c>
      <c r="D156" s="92">
        <f>IFERROR(IF(ISBLANK(INDEX(Backlog[Jira Link],MATCH($A157,Backlog[Requirement ID],0))),"",INDEX(Backlog[Jira Link],MATCH($A157,Backlog[Requirement ID],0))),"")</f>
        <v/>
      </c>
      <c r="E156" s="92">
        <f>IFERROR(IF(ISBLANK(INDEX(Backlog[Status],MATCH($A157,Backlog[Requirement ID],0))),"",INDEX(Backlog[Status],MATCH($A157,Backlog[Requirement ID],0))),"")</f>
        <v/>
      </c>
      <c r="F156" s="92">
        <f>IFERROR(IF(ISBLANK(INDEX(SprintPlanning[Sprint],MATCH($A157,SprintPlanning[Requirement ID],0))),"",INDEX(SprintPlanning[Sprint],MATCH($A157,SprintPlanning[Requirement ID],0))),"")</f>
        <v/>
      </c>
      <c r="H156" s="146" t="n"/>
      <c r="J156" s="92">
        <f>IFERROR(IF(ISBLANK(INDEX(Backlog[Priority],MATCH($A157,Backlog[Requirement ID],0))),"",INDEX(Backlog[Priority],MATCH($A157,Backlog[Requirement ID],0))),"")</f>
        <v/>
      </c>
    </row>
    <row r="157" hidden="1" ht="15" customHeight="1" s="93">
      <c r="A157" s="92">
        <f>Backlog!A158</f>
        <v/>
      </c>
      <c r="B157" s="97">
        <f>IFERROR(IF(ISBLANK(INDEX(Backlog[Requirement Name],MATCH($A158,Backlog[Requirement ID],0))),"",INDEX(Backlog[Requirement Name],MATCH($A158,Backlog[Requirement ID],0))),"")</f>
        <v/>
      </c>
      <c r="C157" s="92">
        <f>IFERROR(IF(ISBLANK(INDEX(Backlog[Stream],MATCH($A158,Backlog[Requirement ID],0))),"",INDEX(Backlog[Stream],MATCH($A158,Backlog[Requirement ID],0))),"")</f>
        <v/>
      </c>
      <c r="D157" s="92">
        <f>IFERROR(IF(ISBLANK(INDEX(Backlog[Jira Link],MATCH($A158,Backlog[Requirement ID],0))),"",INDEX(Backlog[Jira Link],MATCH($A158,Backlog[Requirement ID],0))),"")</f>
        <v/>
      </c>
      <c r="E157" s="92">
        <f>IFERROR(IF(ISBLANK(INDEX(Backlog[Status],MATCH($A158,Backlog[Requirement ID],0))),"",INDEX(Backlog[Status],MATCH($A158,Backlog[Requirement ID],0))),"")</f>
        <v/>
      </c>
      <c r="F157" s="92">
        <f>IFERROR(IF(ISBLANK(INDEX(SprintPlanning[Sprint],MATCH($A158,SprintPlanning[Requirement ID],0))),"",INDEX(SprintPlanning[Sprint],MATCH($A158,SprintPlanning[Requirement ID],0))),"")</f>
        <v/>
      </c>
      <c r="H157" s="146" t="n"/>
      <c r="J157" s="92">
        <f>IFERROR(IF(ISBLANK(INDEX(Backlog[Priority],MATCH($A158,Backlog[Requirement ID],0))),"",INDEX(Backlog[Priority],MATCH($A158,Backlog[Requirement ID],0))),"")</f>
        <v/>
      </c>
    </row>
    <row r="158" hidden="1" ht="15" customHeight="1" s="93">
      <c r="A158" s="92">
        <f>Backlog!A159</f>
        <v/>
      </c>
      <c r="B158" s="97">
        <f>IFERROR(IF(ISBLANK(INDEX(Backlog[Requirement Name],MATCH($A159,Backlog[Requirement ID],0))),"",INDEX(Backlog[Requirement Name],MATCH($A159,Backlog[Requirement ID],0))),"")</f>
        <v/>
      </c>
      <c r="C158" s="92">
        <f>IFERROR(IF(ISBLANK(INDEX(Backlog[Stream],MATCH($A159,Backlog[Requirement ID],0))),"",INDEX(Backlog[Stream],MATCH($A159,Backlog[Requirement ID],0))),"")</f>
        <v/>
      </c>
      <c r="D158" s="92">
        <f>IFERROR(IF(ISBLANK(INDEX(Backlog[Jira Link],MATCH($A159,Backlog[Requirement ID],0))),"",INDEX(Backlog[Jira Link],MATCH($A159,Backlog[Requirement ID],0))),"")</f>
        <v/>
      </c>
      <c r="E158" s="92">
        <f>IFERROR(IF(ISBLANK(INDEX(Backlog[Status],MATCH($A159,Backlog[Requirement ID],0))),"",INDEX(Backlog[Status],MATCH($A159,Backlog[Requirement ID],0))),"")</f>
        <v/>
      </c>
      <c r="F158" s="92">
        <f>IFERROR(IF(ISBLANK(INDEX(SprintPlanning[Sprint],MATCH($A159,SprintPlanning[Requirement ID],0))),"",INDEX(SprintPlanning[Sprint],MATCH($A159,SprintPlanning[Requirement ID],0))),"")</f>
        <v/>
      </c>
      <c r="H158" s="146" t="n"/>
      <c r="J158" s="92">
        <f>IFERROR(IF(ISBLANK(INDEX(Backlog[Priority],MATCH($A159,Backlog[Requirement ID],0))),"",INDEX(Backlog[Priority],MATCH($A159,Backlog[Requirement ID],0))),"")</f>
        <v/>
      </c>
    </row>
    <row r="159" hidden="1" ht="15" customHeight="1" s="93">
      <c r="A159" s="92">
        <f>Backlog!A160</f>
        <v/>
      </c>
      <c r="B159" s="97">
        <f>IFERROR(IF(ISBLANK(INDEX(Backlog[Requirement Name],MATCH($A160,Backlog[Requirement ID],0))),"",INDEX(Backlog[Requirement Name],MATCH($A160,Backlog[Requirement ID],0))),"")</f>
        <v/>
      </c>
      <c r="C159" s="92">
        <f>IFERROR(IF(ISBLANK(INDEX(Backlog[Stream],MATCH($A160,Backlog[Requirement ID],0))),"",INDEX(Backlog[Stream],MATCH($A160,Backlog[Requirement ID],0))),"")</f>
        <v/>
      </c>
      <c r="D159" s="92">
        <f>IFERROR(IF(ISBLANK(INDEX(Backlog[Jira Link],MATCH($A160,Backlog[Requirement ID],0))),"",INDEX(Backlog[Jira Link],MATCH($A160,Backlog[Requirement ID],0))),"")</f>
        <v/>
      </c>
      <c r="E159" s="92">
        <f>IFERROR(IF(ISBLANK(INDEX(Backlog[Status],MATCH($A160,Backlog[Requirement ID],0))),"",INDEX(Backlog[Status],MATCH($A160,Backlog[Requirement ID],0))),"")</f>
        <v/>
      </c>
      <c r="F159" s="92">
        <f>IFERROR(IF(ISBLANK(INDEX(SprintPlanning[Sprint],MATCH($A160,SprintPlanning[Requirement ID],0))),"",INDEX(SprintPlanning[Sprint],MATCH($A160,SprintPlanning[Requirement ID],0))),"")</f>
        <v/>
      </c>
      <c r="H159" s="146" t="n"/>
      <c r="J159" s="92">
        <f>IFERROR(IF(ISBLANK(INDEX(Backlog[Priority],MATCH($A160,Backlog[Requirement ID],0))),"",INDEX(Backlog[Priority],MATCH($A160,Backlog[Requirement ID],0))),"")</f>
        <v/>
      </c>
    </row>
    <row r="160" hidden="1" ht="15" customHeight="1" s="93">
      <c r="A160" s="92">
        <f>Backlog!A161</f>
        <v/>
      </c>
      <c r="B160" s="97">
        <f>IFERROR(IF(ISBLANK(INDEX(Backlog[Requirement Name],MATCH($A161,Backlog[Requirement ID],0))),"",INDEX(Backlog[Requirement Name],MATCH($A161,Backlog[Requirement ID],0))),"")</f>
        <v/>
      </c>
      <c r="C160" s="92">
        <f>IFERROR(IF(ISBLANK(INDEX(Backlog[Stream],MATCH($A161,Backlog[Requirement ID],0))),"",INDEX(Backlog[Stream],MATCH($A161,Backlog[Requirement ID],0))),"")</f>
        <v/>
      </c>
      <c r="D160" s="92">
        <f>IFERROR(IF(ISBLANK(INDEX(Backlog[Jira Link],MATCH($A161,Backlog[Requirement ID],0))),"",INDEX(Backlog[Jira Link],MATCH($A161,Backlog[Requirement ID],0))),"")</f>
        <v/>
      </c>
      <c r="E160" s="92">
        <f>IFERROR(IF(ISBLANK(INDEX(Backlog[Status],MATCH($A161,Backlog[Requirement ID],0))),"",INDEX(Backlog[Status],MATCH($A161,Backlog[Requirement ID],0))),"")</f>
        <v/>
      </c>
      <c r="F160" s="92">
        <f>IFERROR(IF(ISBLANK(INDEX(SprintPlanning[Sprint],MATCH($A161,SprintPlanning[Requirement ID],0))),"",INDEX(SprintPlanning[Sprint],MATCH($A161,SprintPlanning[Requirement ID],0))),"")</f>
        <v/>
      </c>
      <c r="H160" s="146" t="n"/>
      <c r="J160" s="92">
        <f>IFERROR(IF(ISBLANK(INDEX(Backlog[Priority],MATCH($A161,Backlog[Requirement ID],0))),"",INDEX(Backlog[Priority],MATCH($A161,Backlog[Requirement ID],0))),"")</f>
        <v/>
      </c>
    </row>
    <row r="161" hidden="1" ht="15" customHeight="1" s="93">
      <c r="A161" s="92">
        <f>Backlog!A162</f>
        <v/>
      </c>
      <c r="B161" s="97">
        <f>IFERROR(IF(ISBLANK(INDEX(Backlog[Requirement Name],MATCH($A162,Backlog[Requirement ID],0))),"",INDEX(Backlog[Requirement Name],MATCH($A162,Backlog[Requirement ID],0))),"")</f>
        <v/>
      </c>
      <c r="C161" s="92">
        <f>IFERROR(IF(ISBLANK(INDEX(Backlog[Stream],MATCH($A162,Backlog[Requirement ID],0))),"",INDEX(Backlog[Stream],MATCH($A162,Backlog[Requirement ID],0))),"")</f>
        <v/>
      </c>
      <c r="D161" s="92">
        <f>IFERROR(IF(ISBLANK(INDEX(Backlog[Jira Link],MATCH($A162,Backlog[Requirement ID],0))),"",INDEX(Backlog[Jira Link],MATCH($A162,Backlog[Requirement ID],0))),"")</f>
        <v/>
      </c>
      <c r="E161" s="92">
        <f>IFERROR(IF(ISBLANK(INDEX(Backlog[Status],MATCH($A162,Backlog[Requirement ID],0))),"",INDEX(Backlog[Status],MATCH($A162,Backlog[Requirement ID],0))),"")</f>
        <v/>
      </c>
      <c r="F161" s="92">
        <f>IFERROR(IF(ISBLANK(INDEX(SprintPlanning[Sprint],MATCH($A162,SprintPlanning[Requirement ID],0))),"",INDEX(SprintPlanning[Sprint],MATCH($A162,SprintPlanning[Requirement ID],0))),"")</f>
        <v/>
      </c>
      <c r="H161" s="146" t="n"/>
      <c r="J161" s="92">
        <f>IFERROR(IF(ISBLANK(INDEX(Backlog[Priority],MATCH($A162,Backlog[Requirement ID],0))),"",INDEX(Backlog[Priority],MATCH($A162,Backlog[Requirement ID],0))),"")</f>
        <v/>
      </c>
    </row>
    <row r="162" hidden="1" ht="15" customHeight="1" s="93">
      <c r="A162" s="92">
        <f>Backlog!A163</f>
        <v/>
      </c>
      <c r="B162" s="97">
        <f>IFERROR(IF(ISBLANK(INDEX(Backlog[Requirement Name],MATCH($A163,Backlog[Requirement ID],0))),"",INDEX(Backlog[Requirement Name],MATCH($A163,Backlog[Requirement ID],0))),"")</f>
        <v/>
      </c>
      <c r="C162" s="92">
        <f>IFERROR(IF(ISBLANK(INDEX(Backlog[Stream],MATCH($A163,Backlog[Requirement ID],0))),"",INDEX(Backlog[Stream],MATCH($A163,Backlog[Requirement ID],0))),"")</f>
        <v/>
      </c>
      <c r="D162" s="92">
        <f>IFERROR(IF(ISBLANK(INDEX(Backlog[Jira Link],MATCH($A163,Backlog[Requirement ID],0))),"",INDEX(Backlog[Jira Link],MATCH($A163,Backlog[Requirement ID],0))),"")</f>
        <v/>
      </c>
      <c r="E162" s="92">
        <f>IFERROR(IF(ISBLANK(INDEX(Backlog[Status],MATCH($A163,Backlog[Requirement ID],0))),"",INDEX(Backlog[Status],MATCH($A163,Backlog[Requirement ID],0))),"")</f>
        <v/>
      </c>
      <c r="F162" s="92">
        <f>IFERROR(IF(ISBLANK(INDEX(SprintPlanning[Sprint],MATCH($A163,SprintPlanning[Requirement ID],0))),"",INDEX(SprintPlanning[Sprint],MATCH($A163,SprintPlanning[Requirement ID],0))),"")</f>
        <v/>
      </c>
      <c r="H162" s="146" t="n"/>
      <c r="J162" s="92">
        <f>IFERROR(IF(ISBLANK(INDEX(Backlog[Priority],MATCH($A163,Backlog[Requirement ID],0))),"",INDEX(Backlog[Priority],MATCH($A163,Backlog[Requirement ID],0))),"")</f>
        <v/>
      </c>
    </row>
    <row r="163" hidden="1" ht="15" customHeight="1" s="93">
      <c r="A163" s="92">
        <f>Backlog!A164</f>
        <v/>
      </c>
      <c r="B163" s="97">
        <f>IFERROR(IF(ISBLANK(INDEX(Backlog[Requirement Name],MATCH($A164,Backlog[Requirement ID],0))),"",INDEX(Backlog[Requirement Name],MATCH($A164,Backlog[Requirement ID],0))),"")</f>
        <v/>
      </c>
      <c r="C163" s="92">
        <f>IFERROR(IF(ISBLANK(INDEX(Backlog[Stream],MATCH($A164,Backlog[Requirement ID],0))),"",INDEX(Backlog[Stream],MATCH($A164,Backlog[Requirement ID],0))),"")</f>
        <v/>
      </c>
      <c r="D163" s="92">
        <f>IFERROR(IF(ISBLANK(INDEX(Backlog[Jira Link],MATCH($A164,Backlog[Requirement ID],0))),"",INDEX(Backlog[Jira Link],MATCH($A164,Backlog[Requirement ID],0))),"")</f>
        <v/>
      </c>
      <c r="E163" s="92">
        <f>IFERROR(IF(ISBLANK(INDEX(Backlog[Status],MATCH($A164,Backlog[Requirement ID],0))),"",INDEX(Backlog[Status],MATCH($A164,Backlog[Requirement ID],0))),"")</f>
        <v/>
      </c>
      <c r="F163" s="92">
        <f>IFERROR(IF(ISBLANK(INDEX(SprintPlanning[Sprint],MATCH($A164,SprintPlanning[Requirement ID],0))),"",INDEX(SprintPlanning[Sprint],MATCH($A164,SprintPlanning[Requirement ID],0))),"")</f>
        <v/>
      </c>
      <c r="H163" s="146" t="n"/>
      <c r="J163" s="92">
        <f>IFERROR(IF(ISBLANK(INDEX(Backlog[Priority],MATCH($A164,Backlog[Requirement ID],0))),"",INDEX(Backlog[Priority],MATCH($A164,Backlog[Requirement ID],0))),"")</f>
        <v/>
      </c>
    </row>
    <row r="164" hidden="1" ht="15" customHeight="1" s="93">
      <c r="A164" s="92">
        <f>Backlog!A165</f>
        <v/>
      </c>
      <c r="B164" s="97">
        <f>IFERROR(IF(ISBLANK(INDEX(Backlog[Requirement Name],MATCH($A165,Backlog[Requirement ID],0))),"",INDEX(Backlog[Requirement Name],MATCH($A165,Backlog[Requirement ID],0))),"")</f>
        <v/>
      </c>
      <c r="C164" s="92">
        <f>IFERROR(IF(ISBLANK(INDEX(Backlog[Stream],MATCH($A165,Backlog[Requirement ID],0))),"",INDEX(Backlog[Stream],MATCH($A165,Backlog[Requirement ID],0))),"")</f>
        <v/>
      </c>
      <c r="D164" s="92">
        <f>IFERROR(IF(ISBLANK(INDEX(Backlog[Jira Link],MATCH($A165,Backlog[Requirement ID],0))),"",INDEX(Backlog[Jira Link],MATCH($A165,Backlog[Requirement ID],0))),"")</f>
        <v/>
      </c>
      <c r="E164" s="92">
        <f>IFERROR(IF(ISBLANK(INDEX(Backlog[Status],MATCH($A165,Backlog[Requirement ID],0))),"",INDEX(Backlog[Status],MATCH($A165,Backlog[Requirement ID],0))),"")</f>
        <v/>
      </c>
      <c r="F164" s="92">
        <f>IFERROR(IF(ISBLANK(INDEX(SprintPlanning[Sprint],MATCH($A165,SprintPlanning[Requirement ID],0))),"",INDEX(SprintPlanning[Sprint],MATCH($A165,SprintPlanning[Requirement ID],0))),"")</f>
        <v/>
      </c>
      <c r="H164" s="146" t="n"/>
      <c r="J164" s="92">
        <f>IFERROR(IF(ISBLANK(INDEX(Backlog[Priority],MATCH($A165,Backlog[Requirement ID],0))),"",INDEX(Backlog[Priority],MATCH($A165,Backlog[Requirement ID],0))),"")</f>
        <v/>
      </c>
    </row>
    <row r="165" hidden="1" ht="15" customHeight="1" s="93">
      <c r="A165" s="92">
        <f>Backlog!A166</f>
        <v/>
      </c>
      <c r="B165" s="97">
        <f>IFERROR(IF(ISBLANK(INDEX(Backlog[Requirement Name],MATCH($A166,Backlog[Requirement ID],0))),"",INDEX(Backlog[Requirement Name],MATCH($A166,Backlog[Requirement ID],0))),"")</f>
        <v/>
      </c>
      <c r="C165" s="92">
        <f>IFERROR(IF(ISBLANK(INDEX(Backlog[Stream],MATCH($A166,Backlog[Requirement ID],0))),"",INDEX(Backlog[Stream],MATCH($A166,Backlog[Requirement ID],0))),"")</f>
        <v/>
      </c>
      <c r="D165" s="92">
        <f>IFERROR(IF(ISBLANK(INDEX(Backlog[Jira Link],MATCH($A166,Backlog[Requirement ID],0))),"",INDEX(Backlog[Jira Link],MATCH($A166,Backlog[Requirement ID],0))),"")</f>
        <v/>
      </c>
      <c r="E165" s="92">
        <f>IFERROR(IF(ISBLANK(INDEX(Backlog[Status],MATCH($A166,Backlog[Requirement ID],0))),"",INDEX(Backlog[Status],MATCH($A166,Backlog[Requirement ID],0))),"")</f>
        <v/>
      </c>
      <c r="F165" s="92">
        <f>IFERROR(IF(ISBLANK(INDEX(SprintPlanning[Sprint],MATCH($A166,SprintPlanning[Requirement ID],0))),"",INDEX(SprintPlanning[Sprint],MATCH($A166,SprintPlanning[Requirement ID],0))),"")</f>
        <v/>
      </c>
      <c r="H165" s="146" t="n"/>
      <c r="J165" s="92">
        <f>IFERROR(IF(ISBLANK(INDEX(Backlog[Priority],MATCH($A166,Backlog[Requirement ID],0))),"",INDEX(Backlog[Priority],MATCH($A166,Backlog[Requirement ID],0))),"")</f>
        <v/>
      </c>
    </row>
    <row r="166" hidden="1" ht="15" customHeight="1" s="93">
      <c r="A166" s="92">
        <f>Backlog!A167</f>
        <v/>
      </c>
      <c r="B166" s="97">
        <f>IFERROR(IF(ISBLANK(INDEX(Backlog[Requirement Name],MATCH($A167,Backlog[Requirement ID],0))),"",INDEX(Backlog[Requirement Name],MATCH($A167,Backlog[Requirement ID],0))),"")</f>
        <v/>
      </c>
      <c r="C166" s="92">
        <f>IFERROR(IF(ISBLANK(INDEX(Backlog[Stream],MATCH($A167,Backlog[Requirement ID],0))),"",INDEX(Backlog[Stream],MATCH($A167,Backlog[Requirement ID],0))),"")</f>
        <v/>
      </c>
      <c r="D166" s="92">
        <f>IFERROR(IF(ISBLANK(INDEX(Backlog[Jira Link],MATCH($A167,Backlog[Requirement ID],0))),"",INDEX(Backlog[Jira Link],MATCH($A167,Backlog[Requirement ID],0))),"")</f>
        <v/>
      </c>
      <c r="E166" s="92">
        <f>IFERROR(IF(ISBLANK(INDEX(Backlog[Status],MATCH($A167,Backlog[Requirement ID],0))),"",INDEX(Backlog[Status],MATCH($A167,Backlog[Requirement ID],0))),"")</f>
        <v/>
      </c>
      <c r="F166" s="92">
        <f>IFERROR(IF(ISBLANK(INDEX(SprintPlanning[Sprint],MATCH($A167,SprintPlanning[Requirement ID],0))),"",INDEX(SprintPlanning[Sprint],MATCH($A167,SprintPlanning[Requirement ID],0))),"")</f>
        <v/>
      </c>
      <c r="H166" s="146" t="n"/>
      <c r="J166" s="92">
        <f>IFERROR(IF(ISBLANK(INDEX(Backlog[Priority],MATCH($A167,Backlog[Requirement ID],0))),"",INDEX(Backlog[Priority],MATCH($A167,Backlog[Requirement ID],0))),"")</f>
        <v/>
      </c>
    </row>
    <row r="167" hidden="1" ht="15" customHeight="1" s="93">
      <c r="A167" s="92">
        <f>Backlog!A168</f>
        <v/>
      </c>
      <c r="B167" s="97">
        <f>IFERROR(IF(ISBLANK(INDEX(Backlog[Requirement Name],MATCH($A168,Backlog[Requirement ID],0))),"",INDEX(Backlog[Requirement Name],MATCH($A168,Backlog[Requirement ID],0))),"")</f>
        <v/>
      </c>
      <c r="C167" s="92">
        <f>IFERROR(IF(ISBLANK(INDEX(Backlog[Stream],MATCH($A168,Backlog[Requirement ID],0))),"",INDEX(Backlog[Stream],MATCH($A168,Backlog[Requirement ID],0))),"")</f>
        <v/>
      </c>
      <c r="D167" s="92">
        <f>IFERROR(IF(ISBLANK(INDEX(Backlog[Jira Link],MATCH($A168,Backlog[Requirement ID],0))),"",INDEX(Backlog[Jira Link],MATCH($A168,Backlog[Requirement ID],0))),"")</f>
        <v/>
      </c>
      <c r="E167" s="92">
        <f>IFERROR(IF(ISBLANK(INDEX(Backlog[Status],MATCH($A168,Backlog[Requirement ID],0))),"",INDEX(Backlog[Status],MATCH($A168,Backlog[Requirement ID],0))),"")</f>
        <v/>
      </c>
      <c r="F167" s="92">
        <f>IFERROR(IF(ISBLANK(INDEX(SprintPlanning[Sprint],MATCH($A168,SprintPlanning[Requirement ID],0))),"",INDEX(SprintPlanning[Sprint],MATCH($A168,SprintPlanning[Requirement ID],0))),"")</f>
        <v/>
      </c>
      <c r="H167" s="146" t="n"/>
      <c r="J167" s="92">
        <f>IFERROR(IF(ISBLANK(INDEX(Backlog[Priority],MATCH($A168,Backlog[Requirement ID],0))),"",INDEX(Backlog[Priority],MATCH($A168,Backlog[Requirement ID],0))),"")</f>
        <v/>
      </c>
    </row>
    <row r="168" hidden="1" ht="15" customHeight="1" s="93">
      <c r="A168" s="92">
        <f>Backlog!A169</f>
        <v/>
      </c>
      <c r="B168" s="97">
        <f>IFERROR(IF(ISBLANK(INDEX(Backlog[Requirement Name],MATCH($A169,Backlog[Requirement ID],0))),"",INDEX(Backlog[Requirement Name],MATCH($A169,Backlog[Requirement ID],0))),"")</f>
        <v/>
      </c>
      <c r="C168" s="92">
        <f>IFERROR(IF(ISBLANK(INDEX(Backlog[Stream],MATCH($A169,Backlog[Requirement ID],0))),"",INDEX(Backlog[Stream],MATCH($A169,Backlog[Requirement ID],0))),"")</f>
        <v/>
      </c>
      <c r="D168" s="92">
        <f>IFERROR(IF(ISBLANK(INDEX(Backlog[Jira Link],MATCH($A169,Backlog[Requirement ID],0))),"",INDEX(Backlog[Jira Link],MATCH($A169,Backlog[Requirement ID],0))),"")</f>
        <v/>
      </c>
      <c r="E168" s="92">
        <f>IFERROR(IF(ISBLANK(INDEX(Backlog[Status],MATCH($A169,Backlog[Requirement ID],0))),"",INDEX(Backlog[Status],MATCH($A169,Backlog[Requirement ID],0))),"")</f>
        <v/>
      </c>
      <c r="F168" s="92">
        <f>IFERROR(IF(ISBLANK(INDEX(SprintPlanning[Sprint],MATCH($A169,SprintPlanning[Requirement ID],0))),"",INDEX(SprintPlanning[Sprint],MATCH($A169,SprintPlanning[Requirement ID],0))),"")</f>
        <v/>
      </c>
      <c r="H168" s="146" t="n"/>
      <c r="J168" s="92">
        <f>IFERROR(IF(ISBLANK(INDEX(Backlog[Priority],MATCH($A169,Backlog[Requirement ID],0))),"",INDEX(Backlog[Priority],MATCH($A169,Backlog[Requirement ID],0))),"")</f>
        <v/>
      </c>
    </row>
    <row r="169" hidden="1" ht="15" customHeight="1" s="93">
      <c r="A169" s="92">
        <f>Backlog!A170</f>
        <v/>
      </c>
      <c r="B169" s="97">
        <f>IFERROR(IF(ISBLANK(INDEX(Backlog[Requirement Name],MATCH($A170,Backlog[Requirement ID],0))),"",INDEX(Backlog[Requirement Name],MATCH($A170,Backlog[Requirement ID],0))),"")</f>
        <v/>
      </c>
      <c r="C169" s="92">
        <f>IFERROR(IF(ISBLANK(INDEX(Backlog[Stream],MATCH($A170,Backlog[Requirement ID],0))),"",INDEX(Backlog[Stream],MATCH($A170,Backlog[Requirement ID],0))),"")</f>
        <v/>
      </c>
      <c r="D169" s="92">
        <f>IFERROR(IF(ISBLANK(INDEX(Backlog[Jira Link],MATCH($A170,Backlog[Requirement ID],0))),"",INDEX(Backlog[Jira Link],MATCH($A170,Backlog[Requirement ID],0))),"")</f>
        <v/>
      </c>
      <c r="E169" s="92">
        <f>IFERROR(IF(ISBLANK(INDEX(Backlog[Status],MATCH($A170,Backlog[Requirement ID],0))),"",INDEX(Backlog[Status],MATCH($A170,Backlog[Requirement ID],0))),"")</f>
        <v/>
      </c>
      <c r="F169" s="92">
        <f>IFERROR(IF(ISBLANK(INDEX(SprintPlanning[Sprint],MATCH($A170,SprintPlanning[Requirement ID],0))),"",INDEX(SprintPlanning[Sprint],MATCH($A170,SprintPlanning[Requirement ID],0))),"")</f>
        <v/>
      </c>
      <c r="H169" s="146" t="n"/>
      <c r="J169" s="92">
        <f>IFERROR(IF(ISBLANK(INDEX(Backlog[Priority],MATCH($A170,Backlog[Requirement ID],0))),"",INDEX(Backlog[Priority],MATCH($A170,Backlog[Requirement ID],0))),"")</f>
        <v/>
      </c>
    </row>
    <row r="170" hidden="1" ht="15" customHeight="1" s="93">
      <c r="A170" s="92">
        <f>Backlog!A171</f>
        <v/>
      </c>
      <c r="B170" s="97">
        <f>IFERROR(IF(ISBLANK(INDEX(Backlog[Requirement Name],MATCH($A171,Backlog[Requirement ID],0))),"",INDEX(Backlog[Requirement Name],MATCH($A171,Backlog[Requirement ID],0))),"")</f>
        <v/>
      </c>
      <c r="C170" s="92">
        <f>IFERROR(IF(ISBLANK(INDEX(Backlog[Stream],MATCH($A171,Backlog[Requirement ID],0))),"",INDEX(Backlog[Stream],MATCH($A171,Backlog[Requirement ID],0))),"")</f>
        <v/>
      </c>
      <c r="D170" s="92">
        <f>IFERROR(IF(ISBLANK(INDEX(Backlog[Jira Link],MATCH($A171,Backlog[Requirement ID],0))),"",INDEX(Backlog[Jira Link],MATCH($A171,Backlog[Requirement ID],0))),"")</f>
        <v/>
      </c>
      <c r="E170" s="92">
        <f>IFERROR(IF(ISBLANK(INDEX(Backlog[Status],MATCH($A171,Backlog[Requirement ID],0))),"",INDEX(Backlog[Status],MATCH($A171,Backlog[Requirement ID],0))),"")</f>
        <v/>
      </c>
      <c r="F170" s="92">
        <f>IFERROR(IF(ISBLANK(INDEX(SprintPlanning[Sprint],MATCH($A171,SprintPlanning[Requirement ID],0))),"",INDEX(SprintPlanning[Sprint],MATCH($A171,SprintPlanning[Requirement ID],0))),"")</f>
        <v/>
      </c>
      <c r="H170" s="146" t="n"/>
      <c r="J170" s="92">
        <f>IFERROR(IF(ISBLANK(INDEX(Backlog[Priority],MATCH($A171,Backlog[Requirement ID],0))),"",INDEX(Backlog[Priority],MATCH($A171,Backlog[Requirement ID],0))),"")</f>
        <v/>
      </c>
    </row>
    <row r="171" hidden="1" ht="15" customHeight="1" s="93">
      <c r="A171" s="92">
        <f>Backlog!A172</f>
        <v/>
      </c>
      <c r="B171" s="97">
        <f>IFERROR(IF(ISBLANK(INDEX(Backlog[Requirement Name],MATCH($A172,Backlog[Requirement ID],0))),"",INDEX(Backlog[Requirement Name],MATCH($A172,Backlog[Requirement ID],0))),"")</f>
        <v/>
      </c>
      <c r="C171" s="92">
        <f>IFERROR(IF(ISBLANK(INDEX(Backlog[Stream],MATCH($A172,Backlog[Requirement ID],0))),"",INDEX(Backlog[Stream],MATCH($A172,Backlog[Requirement ID],0))),"")</f>
        <v/>
      </c>
      <c r="D171" s="92">
        <f>IFERROR(IF(ISBLANK(INDEX(Backlog[Jira Link],MATCH($A172,Backlog[Requirement ID],0))),"",INDEX(Backlog[Jira Link],MATCH($A172,Backlog[Requirement ID],0))),"")</f>
        <v/>
      </c>
      <c r="E171" s="92">
        <f>IFERROR(IF(ISBLANK(INDEX(Backlog[Status],MATCH($A172,Backlog[Requirement ID],0))),"",INDEX(Backlog[Status],MATCH($A172,Backlog[Requirement ID],0))),"")</f>
        <v/>
      </c>
      <c r="F171" s="92">
        <f>IFERROR(IF(ISBLANK(INDEX(SprintPlanning[Sprint],MATCH($A172,SprintPlanning[Requirement ID],0))),"",INDEX(SprintPlanning[Sprint],MATCH($A172,SprintPlanning[Requirement ID],0))),"")</f>
        <v/>
      </c>
      <c r="H171" s="146" t="n"/>
      <c r="J171" s="92">
        <f>IFERROR(IF(ISBLANK(INDEX(Backlog[Priority],MATCH($A172,Backlog[Requirement ID],0))),"",INDEX(Backlog[Priority],MATCH($A172,Backlog[Requirement ID],0))),"")</f>
        <v/>
      </c>
    </row>
    <row r="172" hidden="1" ht="15" customHeight="1" s="93">
      <c r="A172" s="92">
        <f>Backlog!A173</f>
        <v/>
      </c>
      <c r="B172" s="97">
        <f>IFERROR(IF(ISBLANK(INDEX(Backlog[Requirement Name],MATCH($A173,Backlog[Requirement ID],0))),"",INDEX(Backlog[Requirement Name],MATCH($A173,Backlog[Requirement ID],0))),"")</f>
        <v/>
      </c>
      <c r="C172" s="92">
        <f>IFERROR(IF(ISBLANK(INDEX(Backlog[Stream],MATCH($A173,Backlog[Requirement ID],0))),"",INDEX(Backlog[Stream],MATCH($A173,Backlog[Requirement ID],0))),"")</f>
        <v/>
      </c>
      <c r="D172" s="92">
        <f>IFERROR(IF(ISBLANK(INDEX(Backlog[Jira Link],MATCH($A173,Backlog[Requirement ID],0))),"",INDEX(Backlog[Jira Link],MATCH($A173,Backlog[Requirement ID],0))),"")</f>
        <v/>
      </c>
      <c r="E172" s="92">
        <f>IFERROR(IF(ISBLANK(INDEX(Backlog[Status],MATCH($A173,Backlog[Requirement ID],0))),"",INDEX(Backlog[Status],MATCH($A173,Backlog[Requirement ID],0))),"")</f>
        <v/>
      </c>
      <c r="F172" s="92">
        <f>IFERROR(IF(ISBLANK(INDEX(SprintPlanning[Sprint],MATCH($A173,SprintPlanning[Requirement ID],0))),"",INDEX(SprintPlanning[Sprint],MATCH($A173,SprintPlanning[Requirement ID],0))),"")</f>
        <v/>
      </c>
      <c r="H172" s="146" t="n"/>
      <c r="J172" s="92">
        <f>IFERROR(IF(ISBLANK(INDEX(Backlog[Priority],MATCH($A173,Backlog[Requirement ID],0))),"",INDEX(Backlog[Priority],MATCH($A173,Backlog[Requirement ID],0))),"")</f>
        <v/>
      </c>
    </row>
    <row r="173" hidden="1" ht="15" customHeight="1" s="93">
      <c r="A173" s="92">
        <f>Backlog!A174</f>
        <v/>
      </c>
      <c r="B173" s="97">
        <f>IFERROR(IF(ISBLANK(INDEX(Backlog[Requirement Name],MATCH($A174,Backlog[Requirement ID],0))),"",INDEX(Backlog[Requirement Name],MATCH($A174,Backlog[Requirement ID],0))),"")</f>
        <v/>
      </c>
      <c r="C173" s="92">
        <f>IFERROR(IF(ISBLANK(INDEX(Backlog[Stream],MATCH($A174,Backlog[Requirement ID],0))),"",INDEX(Backlog[Stream],MATCH($A174,Backlog[Requirement ID],0))),"")</f>
        <v/>
      </c>
      <c r="D173" s="92">
        <f>IFERROR(IF(ISBLANK(INDEX(Backlog[Jira Link],MATCH($A174,Backlog[Requirement ID],0))),"",INDEX(Backlog[Jira Link],MATCH($A174,Backlog[Requirement ID],0))),"")</f>
        <v/>
      </c>
      <c r="E173" s="92">
        <f>IFERROR(IF(ISBLANK(INDEX(Backlog[Status],MATCH($A174,Backlog[Requirement ID],0))),"",INDEX(Backlog[Status],MATCH($A174,Backlog[Requirement ID],0))),"")</f>
        <v/>
      </c>
      <c r="F173" s="92">
        <f>IFERROR(IF(ISBLANK(INDEX(SprintPlanning[Sprint],MATCH($A174,SprintPlanning[Requirement ID],0))),"",INDEX(SprintPlanning[Sprint],MATCH($A174,SprintPlanning[Requirement ID],0))),"")</f>
        <v/>
      </c>
      <c r="H173" s="146" t="n"/>
      <c r="J173" s="92">
        <f>IFERROR(IF(ISBLANK(INDEX(Backlog[Priority],MATCH($A174,Backlog[Requirement ID],0))),"",INDEX(Backlog[Priority],MATCH($A174,Backlog[Requirement ID],0))),"")</f>
        <v/>
      </c>
    </row>
    <row r="174" hidden="1" ht="15" customHeight="1" s="93">
      <c r="A174" s="92">
        <f>Backlog!A175</f>
        <v/>
      </c>
      <c r="B174" s="97">
        <f>IFERROR(IF(ISBLANK(INDEX(Backlog[Requirement Name],MATCH($A175,Backlog[Requirement ID],0))),"",INDEX(Backlog[Requirement Name],MATCH($A175,Backlog[Requirement ID],0))),"")</f>
        <v/>
      </c>
      <c r="C174" s="92">
        <f>IFERROR(IF(ISBLANK(INDEX(Backlog[Stream],MATCH($A175,Backlog[Requirement ID],0))),"",INDEX(Backlog[Stream],MATCH($A175,Backlog[Requirement ID],0))),"")</f>
        <v/>
      </c>
      <c r="D174" s="92">
        <f>IFERROR(IF(ISBLANK(INDEX(Backlog[Jira Link],MATCH($A175,Backlog[Requirement ID],0))),"",INDEX(Backlog[Jira Link],MATCH($A175,Backlog[Requirement ID],0))),"")</f>
        <v/>
      </c>
      <c r="E174" s="92">
        <f>IFERROR(IF(ISBLANK(INDEX(Backlog[Status],MATCH($A175,Backlog[Requirement ID],0))),"",INDEX(Backlog[Status],MATCH($A175,Backlog[Requirement ID],0))),"")</f>
        <v/>
      </c>
      <c r="F174" s="92">
        <f>IFERROR(IF(ISBLANK(INDEX(SprintPlanning[Sprint],MATCH($A175,SprintPlanning[Requirement ID],0))),"",INDEX(SprintPlanning[Sprint],MATCH($A175,SprintPlanning[Requirement ID],0))),"")</f>
        <v/>
      </c>
      <c r="H174" s="146" t="n"/>
      <c r="J174" s="92">
        <f>IFERROR(IF(ISBLANK(INDEX(Backlog[Priority],MATCH($A175,Backlog[Requirement ID],0))),"",INDEX(Backlog[Priority],MATCH($A175,Backlog[Requirement ID],0))),"")</f>
        <v/>
      </c>
    </row>
    <row r="175" hidden="1" ht="15" customHeight="1" s="93">
      <c r="A175" s="92">
        <f>Backlog!A176</f>
        <v/>
      </c>
      <c r="B175" s="97">
        <f>IFERROR(IF(ISBLANK(INDEX(Backlog[Requirement Name],MATCH($A176,Backlog[Requirement ID],0))),"",INDEX(Backlog[Requirement Name],MATCH($A176,Backlog[Requirement ID],0))),"")</f>
        <v/>
      </c>
      <c r="C175" s="92">
        <f>IFERROR(IF(ISBLANK(INDEX(Backlog[Stream],MATCH($A176,Backlog[Requirement ID],0))),"",INDEX(Backlog[Stream],MATCH($A176,Backlog[Requirement ID],0))),"")</f>
        <v/>
      </c>
      <c r="D175" s="92">
        <f>IFERROR(IF(ISBLANK(INDEX(Backlog[Jira Link],MATCH($A176,Backlog[Requirement ID],0))),"",INDEX(Backlog[Jira Link],MATCH($A176,Backlog[Requirement ID],0))),"")</f>
        <v/>
      </c>
      <c r="E175" s="92">
        <f>IFERROR(IF(ISBLANK(INDEX(Backlog[Status],MATCH($A176,Backlog[Requirement ID],0))),"",INDEX(Backlog[Status],MATCH($A176,Backlog[Requirement ID],0))),"")</f>
        <v/>
      </c>
      <c r="F175" s="92">
        <f>IFERROR(IF(ISBLANK(INDEX(SprintPlanning[Sprint],MATCH($A176,SprintPlanning[Requirement ID],0))),"",INDEX(SprintPlanning[Sprint],MATCH($A176,SprintPlanning[Requirement ID],0))),"")</f>
        <v/>
      </c>
      <c r="H175" s="146" t="n"/>
      <c r="J175" s="92">
        <f>IFERROR(IF(ISBLANK(INDEX(Backlog[Priority],MATCH($A176,Backlog[Requirement ID],0))),"",INDEX(Backlog[Priority],MATCH($A176,Backlog[Requirement ID],0))),"")</f>
        <v/>
      </c>
    </row>
    <row r="176" hidden="1" ht="15" customHeight="1" s="93">
      <c r="A176" s="92">
        <f>Backlog!A177</f>
        <v/>
      </c>
      <c r="B176" s="97">
        <f>IFERROR(IF(ISBLANK(INDEX(Backlog[Requirement Name],MATCH($A177,Backlog[Requirement ID],0))),"",INDEX(Backlog[Requirement Name],MATCH($A177,Backlog[Requirement ID],0))),"")</f>
        <v/>
      </c>
      <c r="C176" s="92">
        <f>IFERROR(IF(ISBLANK(INDEX(Backlog[Stream],MATCH($A177,Backlog[Requirement ID],0))),"",INDEX(Backlog[Stream],MATCH($A177,Backlog[Requirement ID],0))),"")</f>
        <v/>
      </c>
      <c r="D176" s="92">
        <f>IFERROR(IF(ISBLANK(INDEX(Backlog[Jira Link],MATCH($A177,Backlog[Requirement ID],0))),"",INDEX(Backlog[Jira Link],MATCH($A177,Backlog[Requirement ID],0))),"")</f>
        <v/>
      </c>
      <c r="E176" s="92">
        <f>IFERROR(IF(ISBLANK(INDEX(Backlog[Status],MATCH($A177,Backlog[Requirement ID],0))),"",INDEX(Backlog[Status],MATCH($A177,Backlog[Requirement ID],0))),"")</f>
        <v/>
      </c>
      <c r="F176" s="92">
        <f>IFERROR(IF(ISBLANK(INDEX(SprintPlanning[Sprint],MATCH($A177,SprintPlanning[Requirement ID],0))),"",INDEX(SprintPlanning[Sprint],MATCH($A177,SprintPlanning[Requirement ID],0))),"")</f>
        <v/>
      </c>
      <c r="H176" s="146" t="n"/>
      <c r="J176" s="92">
        <f>IFERROR(IF(ISBLANK(INDEX(Backlog[Priority],MATCH($A177,Backlog[Requirement ID],0))),"",INDEX(Backlog[Priority],MATCH($A177,Backlog[Requirement ID],0))),"")</f>
        <v/>
      </c>
    </row>
    <row r="177" hidden="1" ht="15" customHeight="1" s="93">
      <c r="A177" s="92">
        <f>Backlog!A178</f>
        <v/>
      </c>
      <c r="B177" s="97">
        <f>IFERROR(IF(ISBLANK(INDEX(Backlog[Requirement Name],MATCH($A178,Backlog[Requirement ID],0))),"",INDEX(Backlog[Requirement Name],MATCH($A178,Backlog[Requirement ID],0))),"")</f>
        <v/>
      </c>
      <c r="C177" s="92">
        <f>IFERROR(IF(ISBLANK(INDEX(Backlog[Stream],MATCH($A178,Backlog[Requirement ID],0))),"",INDEX(Backlog[Stream],MATCH($A178,Backlog[Requirement ID],0))),"")</f>
        <v/>
      </c>
      <c r="D177" s="92">
        <f>IFERROR(IF(ISBLANK(INDEX(Backlog[Jira Link],MATCH($A178,Backlog[Requirement ID],0))),"",INDEX(Backlog[Jira Link],MATCH($A178,Backlog[Requirement ID],0))),"")</f>
        <v/>
      </c>
      <c r="E177" s="92">
        <f>IFERROR(IF(ISBLANK(INDEX(Backlog[Status],MATCH($A178,Backlog[Requirement ID],0))),"",INDEX(Backlog[Status],MATCH($A178,Backlog[Requirement ID],0))),"")</f>
        <v/>
      </c>
      <c r="F177" s="92">
        <f>IFERROR(IF(ISBLANK(INDEX(SprintPlanning[Sprint],MATCH($A178,SprintPlanning[Requirement ID],0))),"",INDEX(SprintPlanning[Sprint],MATCH($A178,SprintPlanning[Requirement ID],0))),"")</f>
        <v/>
      </c>
      <c r="H177" s="146" t="n"/>
      <c r="J177" s="92">
        <f>IFERROR(IF(ISBLANK(INDEX(Backlog[Priority],MATCH($A178,Backlog[Requirement ID],0))),"",INDEX(Backlog[Priority],MATCH($A178,Backlog[Requirement ID],0))),"")</f>
        <v/>
      </c>
    </row>
    <row r="178" hidden="1" ht="15" customHeight="1" s="93">
      <c r="A178" s="92">
        <f>Backlog!A179</f>
        <v/>
      </c>
      <c r="B178" s="97">
        <f>IFERROR(IF(ISBLANK(INDEX(Backlog[Requirement Name],MATCH($A179,Backlog[Requirement ID],0))),"",INDEX(Backlog[Requirement Name],MATCH($A179,Backlog[Requirement ID],0))),"")</f>
        <v/>
      </c>
      <c r="C178" s="92">
        <f>IFERROR(IF(ISBLANK(INDEX(Backlog[Stream],MATCH($A179,Backlog[Requirement ID],0))),"",INDEX(Backlog[Stream],MATCH($A179,Backlog[Requirement ID],0))),"")</f>
        <v/>
      </c>
      <c r="D178" s="92">
        <f>IFERROR(IF(ISBLANK(INDEX(Backlog[Jira Link],MATCH($A179,Backlog[Requirement ID],0))),"",INDEX(Backlog[Jira Link],MATCH($A179,Backlog[Requirement ID],0))),"")</f>
        <v/>
      </c>
      <c r="E178" s="92">
        <f>IFERROR(IF(ISBLANK(INDEX(Backlog[Status],MATCH($A179,Backlog[Requirement ID],0))),"",INDEX(Backlog[Status],MATCH($A179,Backlog[Requirement ID],0))),"")</f>
        <v/>
      </c>
      <c r="F178" s="92">
        <f>IFERROR(IF(ISBLANK(INDEX(SprintPlanning[Sprint],MATCH($A179,SprintPlanning[Requirement ID],0))),"",INDEX(SprintPlanning[Sprint],MATCH($A179,SprintPlanning[Requirement ID],0))),"")</f>
        <v/>
      </c>
      <c r="H178" s="146" t="n"/>
      <c r="J178" s="92">
        <f>IFERROR(IF(ISBLANK(INDEX(Backlog[Priority],MATCH($A179,Backlog[Requirement ID],0))),"",INDEX(Backlog[Priority],MATCH($A179,Backlog[Requirement ID],0))),"")</f>
        <v/>
      </c>
    </row>
    <row r="179" hidden="1" ht="15" customHeight="1" s="93">
      <c r="A179" s="92">
        <f>Backlog!A180</f>
        <v/>
      </c>
      <c r="B179" s="97">
        <f>IFERROR(IF(ISBLANK(INDEX(Backlog[Requirement Name],MATCH($A180,Backlog[Requirement ID],0))),"",INDEX(Backlog[Requirement Name],MATCH($A180,Backlog[Requirement ID],0))),"")</f>
        <v/>
      </c>
      <c r="C179" s="92">
        <f>IFERROR(IF(ISBLANK(INDEX(Backlog[Stream],MATCH($A180,Backlog[Requirement ID],0))),"",INDEX(Backlog[Stream],MATCH($A180,Backlog[Requirement ID],0))),"")</f>
        <v/>
      </c>
      <c r="D179" s="92">
        <f>IFERROR(IF(ISBLANK(INDEX(Backlog[Jira Link],MATCH($A180,Backlog[Requirement ID],0))),"",INDEX(Backlog[Jira Link],MATCH($A180,Backlog[Requirement ID],0))),"")</f>
        <v/>
      </c>
      <c r="E179" s="92">
        <f>IFERROR(IF(ISBLANK(INDEX(Backlog[Status],MATCH($A180,Backlog[Requirement ID],0))),"",INDEX(Backlog[Status],MATCH($A180,Backlog[Requirement ID],0))),"")</f>
        <v/>
      </c>
      <c r="F179" s="92">
        <f>IFERROR(IF(ISBLANK(INDEX(SprintPlanning[Sprint],MATCH($A180,SprintPlanning[Requirement ID],0))),"",INDEX(SprintPlanning[Sprint],MATCH($A180,SprintPlanning[Requirement ID],0))),"")</f>
        <v/>
      </c>
      <c r="H179" s="146" t="n"/>
      <c r="J179" s="92">
        <f>IFERROR(IF(ISBLANK(INDEX(Backlog[Priority],MATCH($A180,Backlog[Requirement ID],0))),"",INDEX(Backlog[Priority],MATCH($A180,Backlog[Requirement ID],0))),"")</f>
        <v/>
      </c>
    </row>
    <row r="180" hidden="1" ht="15" customHeight="1" s="93">
      <c r="A180" s="92">
        <f>Backlog!A181</f>
        <v/>
      </c>
      <c r="B180" s="97">
        <f>IFERROR(IF(ISBLANK(INDEX(Backlog[Requirement Name],MATCH($A181,Backlog[Requirement ID],0))),"",INDEX(Backlog[Requirement Name],MATCH($A181,Backlog[Requirement ID],0))),"")</f>
        <v/>
      </c>
      <c r="C180" s="92">
        <f>IFERROR(IF(ISBLANK(INDEX(Backlog[Stream],MATCH($A181,Backlog[Requirement ID],0))),"",INDEX(Backlog[Stream],MATCH($A181,Backlog[Requirement ID],0))),"")</f>
        <v/>
      </c>
      <c r="D180" s="92">
        <f>IFERROR(IF(ISBLANK(INDEX(Backlog[Jira Link],MATCH($A181,Backlog[Requirement ID],0))),"",INDEX(Backlog[Jira Link],MATCH($A181,Backlog[Requirement ID],0))),"")</f>
        <v/>
      </c>
      <c r="E180" s="92">
        <f>IFERROR(IF(ISBLANK(INDEX(Backlog[Status],MATCH($A181,Backlog[Requirement ID],0))),"",INDEX(Backlog[Status],MATCH($A181,Backlog[Requirement ID],0))),"")</f>
        <v/>
      </c>
      <c r="F180" s="92">
        <f>IFERROR(IF(ISBLANK(INDEX(SprintPlanning[Sprint],MATCH($A181,SprintPlanning[Requirement ID],0))),"",INDEX(SprintPlanning[Sprint],MATCH($A181,SprintPlanning[Requirement ID],0))),"")</f>
        <v/>
      </c>
      <c r="H180" s="146" t="n"/>
      <c r="J180" s="92">
        <f>IFERROR(IF(ISBLANK(INDEX(Backlog[Priority],MATCH($A181,Backlog[Requirement ID],0))),"",INDEX(Backlog[Priority],MATCH($A181,Backlog[Requirement ID],0))),"")</f>
        <v/>
      </c>
    </row>
    <row r="181" hidden="1" ht="15" customHeight="1" s="93">
      <c r="A181" s="92">
        <f>Backlog!A182</f>
        <v/>
      </c>
      <c r="B181" s="97">
        <f>IFERROR(IF(ISBLANK(INDEX(Backlog[Requirement Name],MATCH($A182,Backlog[Requirement ID],0))),"",INDEX(Backlog[Requirement Name],MATCH($A182,Backlog[Requirement ID],0))),"")</f>
        <v/>
      </c>
      <c r="C181" s="92">
        <f>IFERROR(IF(ISBLANK(INDEX(Backlog[Stream],MATCH($A182,Backlog[Requirement ID],0))),"",INDEX(Backlog[Stream],MATCH($A182,Backlog[Requirement ID],0))),"")</f>
        <v/>
      </c>
      <c r="D181" s="92">
        <f>IFERROR(IF(ISBLANK(INDEX(Backlog[Jira Link],MATCH($A182,Backlog[Requirement ID],0))),"",INDEX(Backlog[Jira Link],MATCH($A182,Backlog[Requirement ID],0))),"")</f>
        <v/>
      </c>
      <c r="E181" s="92">
        <f>IFERROR(IF(ISBLANK(INDEX(Backlog[Status],MATCH($A182,Backlog[Requirement ID],0))),"",INDEX(Backlog[Status],MATCH($A182,Backlog[Requirement ID],0))),"")</f>
        <v/>
      </c>
      <c r="F181" s="92">
        <f>IFERROR(IF(ISBLANK(INDEX(SprintPlanning[Sprint],MATCH($A182,SprintPlanning[Requirement ID],0))),"",INDEX(SprintPlanning[Sprint],MATCH($A182,SprintPlanning[Requirement ID],0))),"")</f>
        <v/>
      </c>
      <c r="H181" s="146" t="n"/>
      <c r="J181" s="92">
        <f>IFERROR(IF(ISBLANK(INDEX(Backlog[Priority],MATCH($A182,Backlog[Requirement ID],0))),"",INDEX(Backlog[Priority],MATCH($A182,Backlog[Requirement ID],0))),"")</f>
        <v/>
      </c>
    </row>
    <row r="182" hidden="1" ht="15" customHeight="1" s="93">
      <c r="A182" s="92">
        <f>Backlog!A183</f>
        <v/>
      </c>
      <c r="B182" s="97">
        <f>IFERROR(IF(ISBLANK(INDEX(Backlog[Requirement Name],MATCH($A183,Backlog[Requirement ID],0))),"",INDEX(Backlog[Requirement Name],MATCH($A183,Backlog[Requirement ID],0))),"")</f>
        <v/>
      </c>
      <c r="C182" s="92">
        <f>IFERROR(IF(ISBLANK(INDEX(Backlog[Stream],MATCH($A183,Backlog[Requirement ID],0))),"",INDEX(Backlog[Stream],MATCH($A183,Backlog[Requirement ID],0))),"")</f>
        <v/>
      </c>
      <c r="D182" s="92">
        <f>IFERROR(IF(ISBLANK(INDEX(Backlog[Jira Link],MATCH($A183,Backlog[Requirement ID],0))),"",INDEX(Backlog[Jira Link],MATCH($A183,Backlog[Requirement ID],0))),"")</f>
        <v/>
      </c>
      <c r="E182" s="92">
        <f>IFERROR(IF(ISBLANK(INDEX(Backlog[Status],MATCH($A183,Backlog[Requirement ID],0))),"",INDEX(Backlog[Status],MATCH($A183,Backlog[Requirement ID],0))),"")</f>
        <v/>
      </c>
      <c r="F182" s="92">
        <f>IFERROR(IF(ISBLANK(INDEX(SprintPlanning[Sprint],MATCH($A183,SprintPlanning[Requirement ID],0))),"",INDEX(SprintPlanning[Sprint],MATCH($A183,SprintPlanning[Requirement ID],0))),"")</f>
        <v/>
      </c>
      <c r="H182" s="146" t="n"/>
      <c r="J182" s="92">
        <f>IFERROR(IF(ISBLANK(INDEX(Backlog[Priority],MATCH($A183,Backlog[Requirement ID],0))),"",INDEX(Backlog[Priority],MATCH($A183,Backlog[Requirement ID],0))),"")</f>
        <v/>
      </c>
    </row>
    <row r="183" hidden="1" ht="15" customHeight="1" s="93">
      <c r="A183" s="92">
        <f>Backlog!A184</f>
        <v/>
      </c>
      <c r="B183" s="97">
        <f>IFERROR(IF(ISBLANK(INDEX(Backlog[Requirement Name],MATCH($A184,Backlog[Requirement ID],0))),"",INDEX(Backlog[Requirement Name],MATCH($A184,Backlog[Requirement ID],0))),"")</f>
        <v/>
      </c>
      <c r="C183" s="92">
        <f>IFERROR(IF(ISBLANK(INDEX(Backlog[Stream],MATCH($A184,Backlog[Requirement ID],0))),"",INDEX(Backlog[Stream],MATCH($A184,Backlog[Requirement ID],0))),"")</f>
        <v/>
      </c>
      <c r="D183" s="92">
        <f>IFERROR(IF(ISBLANK(INDEX(Backlog[Jira Link],MATCH($A184,Backlog[Requirement ID],0))),"",INDEX(Backlog[Jira Link],MATCH($A184,Backlog[Requirement ID],0))),"")</f>
        <v/>
      </c>
      <c r="E183" s="92">
        <f>IFERROR(IF(ISBLANK(INDEX(Backlog[Status],MATCH($A184,Backlog[Requirement ID],0))),"",INDEX(Backlog[Status],MATCH($A184,Backlog[Requirement ID],0))),"")</f>
        <v/>
      </c>
      <c r="F183" s="92">
        <f>IFERROR(IF(ISBLANK(INDEX(SprintPlanning[Sprint],MATCH($A184,SprintPlanning[Requirement ID],0))),"",INDEX(SprintPlanning[Sprint],MATCH($A184,SprintPlanning[Requirement ID],0))),"")</f>
        <v/>
      </c>
      <c r="H183" s="146" t="n"/>
      <c r="J183" s="92">
        <f>IFERROR(IF(ISBLANK(INDEX(Backlog[Priority],MATCH($A184,Backlog[Requirement ID],0))),"",INDEX(Backlog[Priority],MATCH($A184,Backlog[Requirement ID],0))),"")</f>
        <v/>
      </c>
    </row>
    <row r="184" hidden="1" ht="15" customHeight="1" s="93">
      <c r="A184" s="92">
        <f>Backlog!A185</f>
        <v/>
      </c>
      <c r="B184" s="97">
        <f>IFERROR(IF(ISBLANK(INDEX(Backlog[Requirement Name],MATCH($A185,Backlog[Requirement ID],0))),"",INDEX(Backlog[Requirement Name],MATCH($A185,Backlog[Requirement ID],0))),"")</f>
        <v/>
      </c>
      <c r="C184" s="92">
        <f>IFERROR(IF(ISBLANK(INDEX(Backlog[Stream],MATCH($A185,Backlog[Requirement ID],0))),"",INDEX(Backlog[Stream],MATCH($A185,Backlog[Requirement ID],0))),"")</f>
        <v/>
      </c>
      <c r="D184" s="92">
        <f>IFERROR(IF(ISBLANK(INDEX(Backlog[Jira Link],MATCH($A185,Backlog[Requirement ID],0))),"",INDEX(Backlog[Jira Link],MATCH($A185,Backlog[Requirement ID],0))),"")</f>
        <v/>
      </c>
      <c r="E184" s="92">
        <f>IFERROR(IF(ISBLANK(INDEX(Backlog[Status],MATCH($A185,Backlog[Requirement ID],0))),"",INDEX(Backlog[Status],MATCH($A185,Backlog[Requirement ID],0))),"")</f>
        <v/>
      </c>
      <c r="F184" s="92">
        <f>IFERROR(IF(ISBLANK(INDEX(SprintPlanning[Sprint],MATCH($A185,SprintPlanning[Requirement ID],0))),"",INDEX(SprintPlanning[Sprint],MATCH($A185,SprintPlanning[Requirement ID],0))),"")</f>
        <v/>
      </c>
      <c r="H184" s="146" t="n"/>
      <c r="J184" s="92">
        <f>IFERROR(IF(ISBLANK(INDEX(Backlog[Priority],MATCH($A185,Backlog[Requirement ID],0))),"",INDEX(Backlog[Priority],MATCH($A185,Backlog[Requirement ID],0))),"")</f>
        <v/>
      </c>
    </row>
    <row r="185" hidden="1" ht="15" customHeight="1" s="93">
      <c r="A185" s="92">
        <f>Backlog!A186</f>
        <v/>
      </c>
      <c r="B185" s="97">
        <f>IFERROR(IF(ISBLANK(INDEX(Backlog[Requirement Name],MATCH($A186,Backlog[Requirement ID],0))),"",INDEX(Backlog[Requirement Name],MATCH($A186,Backlog[Requirement ID],0))),"")</f>
        <v/>
      </c>
      <c r="C185" s="92">
        <f>IFERROR(IF(ISBLANK(INDEX(Backlog[Stream],MATCH($A186,Backlog[Requirement ID],0))),"",INDEX(Backlog[Stream],MATCH($A186,Backlog[Requirement ID],0))),"")</f>
        <v/>
      </c>
      <c r="D185" s="92">
        <f>IFERROR(IF(ISBLANK(INDEX(Backlog[Jira Link],MATCH($A186,Backlog[Requirement ID],0))),"",INDEX(Backlog[Jira Link],MATCH($A186,Backlog[Requirement ID],0))),"")</f>
        <v/>
      </c>
      <c r="E185" s="92">
        <f>IFERROR(IF(ISBLANK(INDEX(Backlog[Status],MATCH($A186,Backlog[Requirement ID],0))),"",INDEX(Backlog[Status],MATCH($A186,Backlog[Requirement ID],0))),"")</f>
        <v/>
      </c>
      <c r="F185" s="92">
        <f>IFERROR(IF(ISBLANK(INDEX(SprintPlanning[Sprint],MATCH($A186,SprintPlanning[Requirement ID],0))),"",INDEX(SprintPlanning[Sprint],MATCH($A186,SprintPlanning[Requirement ID],0))),"")</f>
        <v/>
      </c>
      <c r="H185" s="146" t="n"/>
      <c r="J185" s="92">
        <f>IFERROR(IF(ISBLANK(INDEX(Backlog[Priority],MATCH($A186,Backlog[Requirement ID],0))),"",INDEX(Backlog[Priority],MATCH($A186,Backlog[Requirement ID],0))),"")</f>
        <v/>
      </c>
    </row>
    <row r="186" hidden="1" ht="15" customHeight="1" s="93">
      <c r="A186" s="92">
        <f>Backlog!A187</f>
        <v/>
      </c>
      <c r="B186" s="97">
        <f>IFERROR(IF(ISBLANK(INDEX(Backlog[Requirement Name],MATCH($A187,Backlog[Requirement ID],0))),"",INDEX(Backlog[Requirement Name],MATCH($A187,Backlog[Requirement ID],0))),"")</f>
        <v/>
      </c>
      <c r="C186" s="92">
        <f>IFERROR(IF(ISBLANK(INDEX(Backlog[Stream],MATCH($A187,Backlog[Requirement ID],0))),"",INDEX(Backlog[Stream],MATCH($A187,Backlog[Requirement ID],0))),"")</f>
        <v/>
      </c>
      <c r="D186" s="92">
        <f>IFERROR(IF(ISBLANK(INDEX(Backlog[Jira Link],MATCH($A187,Backlog[Requirement ID],0))),"",INDEX(Backlog[Jira Link],MATCH($A187,Backlog[Requirement ID],0))),"")</f>
        <v/>
      </c>
      <c r="E186" s="92">
        <f>IFERROR(IF(ISBLANK(INDEX(Backlog[Status],MATCH($A187,Backlog[Requirement ID],0))),"",INDEX(Backlog[Status],MATCH($A187,Backlog[Requirement ID],0))),"")</f>
        <v/>
      </c>
      <c r="F186" s="92">
        <f>IFERROR(IF(ISBLANK(INDEX(SprintPlanning[Sprint],MATCH($A187,SprintPlanning[Requirement ID],0))),"",INDEX(SprintPlanning[Sprint],MATCH($A187,SprintPlanning[Requirement ID],0))),"")</f>
        <v/>
      </c>
      <c r="H186" s="146" t="n"/>
      <c r="J186" s="92">
        <f>IFERROR(IF(ISBLANK(INDEX(Backlog[Priority],MATCH($A187,Backlog[Requirement ID],0))),"",INDEX(Backlog[Priority],MATCH($A187,Backlog[Requirement ID],0))),"")</f>
        <v/>
      </c>
    </row>
    <row r="187" hidden="1" ht="15" customHeight="1" s="93">
      <c r="A187" s="92">
        <f>Backlog!A188</f>
        <v/>
      </c>
      <c r="B187" s="97">
        <f>IFERROR(IF(ISBLANK(INDEX(Backlog[Requirement Name],MATCH($A188,Backlog[Requirement ID],0))),"",INDEX(Backlog[Requirement Name],MATCH($A188,Backlog[Requirement ID],0))),"")</f>
        <v/>
      </c>
      <c r="C187" s="92">
        <f>IFERROR(IF(ISBLANK(INDEX(Backlog[Stream],MATCH($A188,Backlog[Requirement ID],0))),"",INDEX(Backlog[Stream],MATCH($A188,Backlog[Requirement ID],0))),"")</f>
        <v/>
      </c>
      <c r="D187" s="92">
        <f>IFERROR(IF(ISBLANK(INDEX(Backlog[Jira Link],MATCH($A188,Backlog[Requirement ID],0))),"",INDEX(Backlog[Jira Link],MATCH($A188,Backlog[Requirement ID],0))),"")</f>
        <v/>
      </c>
      <c r="E187" s="92">
        <f>IFERROR(IF(ISBLANK(INDEX(Backlog[Status],MATCH($A188,Backlog[Requirement ID],0))),"",INDEX(Backlog[Status],MATCH($A188,Backlog[Requirement ID],0))),"")</f>
        <v/>
      </c>
      <c r="F187" s="92">
        <f>IFERROR(IF(ISBLANK(INDEX(SprintPlanning[Sprint],MATCH($A188,SprintPlanning[Requirement ID],0))),"",INDEX(SprintPlanning[Sprint],MATCH($A188,SprintPlanning[Requirement ID],0))),"")</f>
        <v/>
      </c>
      <c r="H187" s="146" t="n"/>
      <c r="J187" s="92">
        <f>IFERROR(IF(ISBLANK(INDEX(Backlog[Priority],MATCH($A188,Backlog[Requirement ID],0))),"",INDEX(Backlog[Priority],MATCH($A188,Backlog[Requirement ID],0))),"")</f>
        <v/>
      </c>
    </row>
    <row r="188" hidden="1" ht="15" customHeight="1" s="93">
      <c r="A188" s="92">
        <f>Backlog!A189</f>
        <v/>
      </c>
      <c r="B188" s="97">
        <f>IFERROR(IF(ISBLANK(INDEX(Backlog[Requirement Name],MATCH($A189,Backlog[Requirement ID],0))),"",INDEX(Backlog[Requirement Name],MATCH($A189,Backlog[Requirement ID],0))),"")</f>
        <v/>
      </c>
      <c r="C188" s="92">
        <f>IFERROR(IF(ISBLANK(INDEX(Backlog[Stream],MATCH($A189,Backlog[Requirement ID],0))),"",INDEX(Backlog[Stream],MATCH($A189,Backlog[Requirement ID],0))),"")</f>
        <v/>
      </c>
      <c r="D188" s="92">
        <f>IFERROR(IF(ISBLANK(INDEX(Backlog[Jira Link],MATCH($A189,Backlog[Requirement ID],0))),"",INDEX(Backlog[Jira Link],MATCH($A189,Backlog[Requirement ID],0))),"")</f>
        <v/>
      </c>
      <c r="E188" s="92">
        <f>IFERROR(IF(ISBLANK(INDEX(Backlog[Status],MATCH($A189,Backlog[Requirement ID],0))),"",INDEX(Backlog[Status],MATCH($A189,Backlog[Requirement ID],0))),"")</f>
        <v/>
      </c>
      <c r="F188" s="92">
        <f>IFERROR(IF(ISBLANK(INDEX(SprintPlanning[Sprint],MATCH($A189,SprintPlanning[Requirement ID],0))),"",INDEX(SprintPlanning[Sprint],MATCH($A189,SprintPlanning[Requirement ID],0))),"")</f>
        <v/>
      </c>
      <c r="H188" s="146" t="n"/>
      <c r="J188" s="92">
        <f>IFERROR(IF(ISBLANK(INDEX(Backlog[Priority],MATCH($A189,Backlog[Requirement ID],0))),"",INDEX(Backlog[Priority],MATCH($A189,Backlog[Requirement ID],0))),"")</f>
        <v/>
      </c>
    </row>
    <row r="189" hidden="1" ht="15" customHeight="1" s="93">
      <c r="A189" s="92">
        <f>Backlog!A190</f>
        <v/>
      </c>
      <c r="B189" s="97">
        <f>IFERROR(IF(ISBLANK(INDEX(Backlog[Requirement Name],MATCH($A190,Backlog[Requirement ID],0))),"",INDEX(Backlog[Requirement Name],MATCH($A190,Backlog[Requirement ID],0))),"")</f>
        <v/>
      </c>
      <c r="C189" s="92">
        <f>IFERROR(IF(ISBLANK(INDEX(Backlog[Stream],MATCH($A190,Backlog[Requirement ID],0))),"",INDEX(Backlog[Stream],MATCH($A190,Backlog[Requirement ID],0))),"")</f>
        <v/>
      </c>
      <c r="D189" s="92">
        <f>IFERROR(IF(ISBLANK(INDEX(Backlog[Jira Link],MATCH($A190,Backlog[Requirement ID],0))),"",INDEX(Backlog[Jira Link],MATCH($A190,Backlog[Requirement ID],0))),"")</f>
        <v/>
      </c>
      <c r="E189" s="92">
        <f>IFERROR(IF(ISBLANK(INDEX(Backlog[Status],MATCH($A190,Backlog[Requirement ID],0))),"",INDEX(Backlog[Status],MATCH($A190,Backlog[Requirement ID],0))),"")</f>
        <v/>
      </c>
      <c r="F189" s="92">
        <f>IFERROR(IF(ISBLANK(INDEX(SprintPlanning[Sprint],MATCH($A190,SprintPlanning[Requirement ID],0))),"",INDEX(SprintPlanning[Sprint],MATCH($A190,SprintPlanning[Requirement ID],0))),"")</f>
        <v/>
      </c>
      <c r="H189" s="146" t="n"/>
      <c r="J189" s="92">
        <f>IFERROR(IF(ISBLANK(INDEX(Backlog[Priority],MATCH($A190,Backlog[Requirement ID],0))),"",INDEX(Backlog[Priority],MATCH($A190,Backlog[Requirement ID],0))),"")</f>
        <v/>
      </c>
    </row>
    <row r="190" hidden="1" ht="15" customHeight="1" s="93">
      <c r="A190" s="92">
        <f>Backlog!A191</f>
        <v/>
      </c>
      <c r="B190" s="97">
        <f>IFERROR(IF(ISBLANK(INDEX(Backlog[Requirement Name],MATCH($A191,Backlog[Requirement ID],0))),"",INDEX(Backlog[Requirement Name],MATCH($A191,Backlog[Requirement ID],0))),"")</f>
        <v/>
      </c>
      <c r="C190" s="92">
        <f>IFERROR(IF(ISBLANK(INDEX(Backlog[Stream],MATCH($A191,Backlog[Requirement ID],0))),"",INDEX(Backlog[Stream],MATCH($A191,Backlog[Requirement ID],0))),"")</f>
        <v/>
      </c>
      <c r="D190" s="92">
        <f>IFERROR(IF(ISBLANK(INDEX(Backlog[Jira Link],MATCH($A191,Backlog[Requirement ID],0))),"",INDEX(Backlog[Jira Link],MATCH($A191,Backlog[Requirement ID],0))),"")</f>
        <v/>
      </c>
      <c r="E190" s="92">
        <f>IFERROR(IF(ISBLANK(INDEX(Backlog[Status],MATCH($A191,Backlog[Requirement ID],0))),"",INDEX(Backlog[Status],MATCH($A191,Backlog[Requirement ID],0))),"")</f>
        <v/>
      </c>
      <c r="F190" s="92">
        <f>IFERROR(IF(ISBLANK(INDEX(SprintPlanning[Sprint],MATCH($A191,SprintPlanning[Requirement ID],0))),"",INDEX(SprintPlanning[Sprint],MATCH($A191,SprintPlanning[Requirement ID],0))),"")</f>
        <v/>
      </c>
      <c r="H190" s="146" t="n"/>
      <c r="J190" s="92">
        <f>IFERROR(IF(ISBLANK(INDEX(Backlog[Priority],MATCH($A191,Backlog[Requirement ID],0))),"",INDEX(Backlog[Priority],MATCH($A191,Backlog[Requirement ID],0))),"")</f>
        <v/>
      </c>
    </row>
    <row r="191" hidden="1" ht="15" customHeight="1" s="93">
      <c r="A191" s="92">
        <f>Backlog!A192</f>
        <v/>
      </c>
      <c r="B191" s="97">
        <f>IFERROR(IF(ISBLANK(INDEX(Backlog[Requirement Name],MATCH($A192,Backlog[Requirement ID],0))),"",INDEX(Backlog[Requirement Name],MATCH($A192,Backlog[Requirement ID],0))),"")</f>
        <v/>
      </c>
      <c r="C191" s="92">
        <f>IFERROR(IF(ISBLANK(INDEX(Backlog[Stream],MATCH($A192,Backlog[Requirement ID],0))),"",INDEX(Backlog[Stream],MATCH($A192,Backlog[Requirement ID],0))),"")</f>
        <v/>
      </c>
      <c r="D191" s="92">
        <f>IFERROR(IF(ISBLANK(INDEX(Backlog[Jira Link],MATCH($A192,Backlog[Requirement ID],0))),"",INDEX(Backlog[Jira Link],MATCH($A192,Backlog[Requirement ID],0))),"")</f>
        <v/>
      </c>
      <c r="E191" s="92">
        <f>IFERROR(IF(ISBLANK(INDEX(Backlog[Status],MATCH($A192,Backlog[Requirement ID],0))),"",INDEX(Backlog[Status],MATCH($A192,Backlog[Requirement ID],0))),"")</f>
        <v/>
      </c>
      <c r="F191" s="92">
        <f>IFERROR(IF(ISBLANK(INDEX(SprintPlanning[Sprint],MATCH($A192,SprintPlanning[Requirement ID],0))),"",INDEX(SprintPlanning[Sprint],MATCH($A192,SprintPlanning[Requirement ID],0))),"")</f>
        <v/>
      </c>
      <c r="H191" s="146" t="n"/>
      <c r="J191" s="92">
        <f>IFERROR(IF(ISBLANK(INDEX(Backlog[Priority],MATCH($A192,Backlog[Requirement ID],0))),"",INDEX(Backlog[Priority],MATCH($A192,Backlog[Requirement ID],0))),"")</f>
        <v/>
      </c>
    </row>
    <row r="192" hidden="1" ht="15" customHeight="1" s="93">
      <c r="A192" s="92">
        <f>Backlog!A193</f>
        <v/>
      </c>
      <c r="B192" s="97">
        <f>IFERROR(IF(ISBLANK(INDEX(Backlog[Requirement Name],MATCH($A193,Backlog[Requirement ID],0))),"",INDEX(Backlog[Requirement Name],MATCH($A193,Backlog[Requirement ID],0))),"")</f>
        <v/>
      </c>
      <c r="C192" s="92">
        <f>IFERROR(IF(ISBLANK(INDEX(Backlog[Stream],MATCH($A193,Backlog[Requirement ID],0))),"",INDEX(Backlog[Stream],MATCH($A193,Backlog[Requirement ID],0))),"")</f>
        <v/>
      </c>
      <c r="D192" s="92">
        <f>IFERROR(IF(ISBLANK(INDEX(Backlog[Jira Link],MATCH($A193,Backlog[Requirement ID],0))),"",INDEX(Backlog[Jira Link],MATCH($A193,Backlog[Requirement ID],0))),"")</f>
        <v/>
      </c>
      <c r="E192" s="92">
        <f>IFERROR(IF(ISBLANK(INDEX(Backlog[Status],MATCH($A193,Backlog[Requirement ID],0))),"",INDEX(Backlog[Status],MATCH($A193,Backlog[Requirement ID],0))),"")</f>
        <v/>
      </c>
      <c r="F192" s="92">
        <f>IFERROR(IF(ISBLANK(INDEX(SprintPlanning[Sprint],MATCH($A193,SprintPlanning[Requirement ID],0))),"",INDEX(SprintPlanning[Sprint],MATCH($A193,SprintPlanning[Requirement ID],0))),"")</f>
        <v/>
      </c>
      <c r="H192" s="146" t="n"/>
      <c r="J192" s="92">
        <f>IFERROR(IF(ISBLANK(INDEX(Backlog[Priority],MATCH($A193,Backlog[Requirement ID],0))),"",INDEX(Backlog[Priority],MATCH($A193,Backlog[Requirement ID],0))),"")</f>
        <v/>
      </c>
    </row>
    <row r="193" hidden="1" ht="15" customHeight="1" s="93">
      <c r="A193" s="92">
        <f>Backlog!A194</f>
        <v/>
      </c>
      <c r="B193" s="97">
        <f>IFERROR(IF(ISBLANK(INDEX(Backlog[Requirement Name],MATCH($A194,Backlog[Requirement ID],0))),"",INDEX(Backlog[Requirement Name],MATCH($A194,Backlog[Requirement ID],0))),"")</f>
        <v/>
      </c>
      <c r="C193" s="92">
        <f>IFERROR(IF(ISBLANK(INDEX(Backlog[Stream],MATCH($A194,Backlog[Requirement ID],0))),"",INDEX(Backlog[Stream],MATCH($A194,Backlog[Requirement ID],0))),"")</f>
        <v/>
      </c>
      <c r="D193" s="92">
        <f>IFERROR(IF(ISBLANK(INDEX(Backlog[Jira Link],MATCH($A194,Backlog[Requirement ID],0))),"",INDEX(Backlog[Jira Link],MATCH($A194,Backlog[Requirement ID],0))),"")</f>
        <v/>
      </c>
      <c r="E193" s="92">
        <f>IFERROR(IF(ISBLANK(INDEX(Backlog[Status],MATCH($A194,Backlog[Requirement ID],0))),"",INDEX(Backlog[Status],MATCH($A194,Backlog[Requirement ID],0))),"")</f>
        <v/>
      </c>
      <c r="F193" s="92">
        <f>IFERROR(IF(ISBLANK(INDEX(SprintPlanning[Sprint],MATCH($A194,SprintPlanning[Requirement ID],0))),"",INDEX(SprintPlanning[Sprint],MATCH($A194,SprintPlanning[Requirement ID],0))),"")</f>
        <v/>
      </c>
      <c r="H193" s="146" t="n"/>
      <c r="J193" s="92">
        <f>IFERROR(IF(ISBLANK(INDEX(Backlog[Priority],MATCH($A194,Backlog[Requirement ID],0))),"",INDEX(Backlog[Priority],MATCH($A194,Backlog[Requirement ID],0))),"")</f>
        <v/>
      </c>
    </row>
    <row r="194" hidden="1" ht="15" customHeight="1" s="93">
      <c r="A194" s="92">
        <f>Backlog!A195</f>
        <v/>
      </c>
      <c r="B194" s="97">
        <f>IFERROR(IF(ISBLANK(INDEX(Backlog[Requirement Name],MATCH($A195,Backlog[Requirement ID],0))),"",INDEX(Backlog[Requirement Name],MATCH($A195,Backlog[Requirement ID],0))),"")</f>
        <v/>
      </c>
      <c r="C194" s="92">
        <f>IFERROR(IF(ISBLANK(INDEX(Backlog[Stream],MATCH($A195,Backlog[Requirement ID],0))),"",INDEX(Backlog[Stream],MATCH($A195,Backlog[Requirement ID],0))),"")</f>
        <v/>
      </c>
      <c r="D194" s="92">
        <f>IFERROR(IF(ISBLANK(INDEX(Backlog[Jira Link],MATCH($A195,Backlog[Requirement ID],0))),"",INDEX(Backlog[Jira Link],MATCH($A195,Backlog[Requirement ID],0))),"")</f>
        <v/>
      </c>
      <c r="E194" s="92">
        <f>IFERROR(IF(ISBLANK(INDEX(Backlog[Status],MATCH($A195,Backlog[Requirement ID],0))),"",INDEX(Backlog[Status],MATCH($A195,Backlog[Requirement ID],0))),"")</f>
        <v/>
      </c>
      <c r="F194" s="92">
        <f>IFERROR(IF(ISBLANK(INDEX(SprintPlanning[Sprint],MATCH($A195,SprintPlanning[Requirement ID],0))),"",INDEX(SprintPlanning[Sprint],MATCH($A195,SprintPlanning[Requirement ID],0))),"")</f>
        <v/>
      </c>
      <c r="H194" s="146" t="n"/>
      <c r="J194" s="92">
        <f>IFERROR(IF(ISBLANK(INDEX(Backlog[Priority],MATCH($A195,Backlog[Requirement ID],0))),"",INDEX(Backlog[Priority],MATCH($A195,Backlog[Requirement ID],0))),"")</f>
        <v/>
      </c>
    </row>
    <row r="195" hidden="1" ht="15" customHeight="1" s="93">
      <c r="A195" s="92">
        <f>Backlog!A196</f>
        <v/>
      </c>
      <c r="B195" s="97">
        <f>IFERROR(IF(ISBLANK(INDEX(Backlog[Requirement Name],MATCH($A196,Backlog[Requirement ID],0))),"",INDEX(Backlog[Requirement Name],MATCH($A196,Backlog[Requirement ID],0))),"")</f>
        <v/>
      </c>
      <c r="C195" s="92">
        <f>IFERROR(IF(ISBLANK(INDEX(Backlog[Stream],MATCH($A196,Backlog[Requirement ID],0))),"",INDEX(Backlog[Stream],MATCH($A196,Backlog[Requirement ID],0))),"")</f>
        <v/>
      </c>
      <c r="D195" s="92">
        <f>IFERROR(IF(ISBLANK(INDEX(Backlog[Jira Link],MATCH($A196,Backlog[Requirement ID],0))),"",INDEX(Backlog[Jira Link],MATCH($A196,Backlog[Requirement ID],0))),"")</f>
        <v/>
      </c>
      <c r="E195" s="92">
        <f>IFERROR(IF(ISBLANK(INDEX(Backlog[Status],MATCH($A196,Backlog[Requirement ID],0))),"",INDEX(Backlog[Status],MATCH($A196,Backlog[Requirement ID],0))),"")</f>
        <v/>
      </c>
      <c r="F195" s="92">
        <f>IFERROR(IF(ISBLANK(INDEX(SprintPlanning[Sprint],MATCH($A196,SprintPlanning[Requirement ID],0))),"",INDEX(SprintPlanning[Sprint],MATCH($A196,SprintPlanning[Requirement ID],0))),"")</f>
        <v/>
      </c>
      <c r="H195" s="146" t="n"/>
      <c r="J195" s="92">
        <f>IFERROR(IF(ISBLANK(INDEX(Backlog[Priority],MATCH($A196,Backlog[Requirement ID],0))),"",INDEX(Backlog[Priority],MATCH($A196,Backlog[Requirement ID],0))),"")</f>
        <v/>
      </c>
    </row>
    <row r="196" hidden="1" ht="15" customHeight="1" s="93">
      <c r="A196" s="92">
        <f>Backlog!A197</f>
        <v/>
      </c>
      <c r="B196" s="97">
        <f>IFERROR(IF(ISBLANK(INDEX(Backlog[Requirement Name],MATCH($A197,Backlog[Requirement ID],0))),"",INDEX(Backlog[Requirement Name],MATCH($A197,Backlog[Requirement ID],0))),"")</f>
        <v/>
      </c>
      <c r="C196" s="92">
        <f>IFERROR(IF(ISBLANK(INDEX(Backlog[Stream],MATCH($A197,Backlog[Requirement ID],0))),"",INDEX(Backlog[Stream],MATCH($A197,Backlog[Requirement ID],0))),"")</f>
        <v/>
      </c>
      <c r="D196" s="92">
        <f>IFERROR(IF(ISBLANK(INDEX(Backlog[Jira Link],MATCH($A197,Backlog[Requirement ID],0))),"",INDEX(Backlog[Jira Link],MATCH($A197,Backlog[Requirement ID],0))),"")</f>
        <v/>
      </c>
      <c r="E196" s="92">
        <f>IFERROR(IF(ISBLANK(INDEX(Backlog[Status],MATCH($A197,Backlog[Requirement ID],0))),"",INDEX(Backlog[Status],MATCH($A197,Backlog[Requirement ID],0))),"")</f>
        <v/>
      </c>
      <c r="F196" s="92">
        <f>IFERROR(IF(ISBLANK(INDEX(SprintPlanning[Sprint],MATCH($A197,SprintPlanning[Requirement ID],0))),"",INDEX(SprintPlanning[Sprint],MATCH($A197,SprintPlanning[Requirement ID],0))),"")</f>
        <v/>
      </c>
      <c r="H196" s="146" t="n"/>
      <c r="J196" s="92">
        <f>IFERROR(IF(ISBLANK(INDEX(Backlog[Priority],MATCH($A197,Backlog[Requirement ID],0))),"",INDEX(Backlog[Priority],MATCH($A197,Backlog[Requirement ID],0))),"")</f>
        <v/>
      </c>
    </row>
    <row r="197" hidden="1" ht="15" customHeight="1" s="93">
      <c r="A197" s="92">
        <f>Backlog!A198</f>
        <v/>
      </c>
      <c r="B197" s="97">
        <f>IFERROR(IF(ISBLANK(INDEX(Backlog[Requirement Name],MATCH($A198,Backlog[Requirement ID],0))),"",INDEX(Backlog[Requirement Name],MATCH($A198,Backlog[Requirement ID],0))),"")</f>
        <v/>
      </c>
      <c r="C197" s="92">
        <f>IFERROR(IF(ISBLANK(INDEX(Backlog[Stream],MATCH($A198,Backlog[Requirement ID],0))),"",INDEX(Backlog[Stream],MATCH($A198,Backlog[Requirement ID],0))),"")</f>
        <v/>
      </c>
      <c r="D197" s="92">
        <f>IFERROR(IF(ISBLANK(INDEX(Backlog[Jira Link],MATCH($A198,Backlog[Requirement ID],0))),"",INDEX(Backlog[Jira Link],MATCH($A198,Backlog[Requirement ID],0))),"")</f>
        <v/>
      </c>
      <c r="E197" s="92">
        <f>IFERROR(IF(ISBLANK(INDEX(Backlog[Status],MATCH($A198,Backlog[Requirement ID],0))),"",INDEX(Backlog[Status],MATCH($A198,Backlog[Requirement ID],0))),"")</f>
        <v/>
      </c>
      <c r="F197" s="92">
        <f>IFERROR(IF(ISBLANK(INDEX(SprintPlanning[Sprint],MATCH($A198,SprintPlanning[Requirement ID],0))),"",INDEX(SprintPlanning[Sprint],MATCH($A198,SprintPlanning[Requirement ID],0))),"")</f>
        <v/>
      </c>
      <c r="H197" s="146" t="n"/>
      <c r="J197" s="92">
        <f>IFERROR(IF(ISBLANK(INDEX(Backlog[Priority],MATCH($A198,Backlog[Requirement ID],0))),"",INDEX(Backlog[Priority],MATCH($A198,Backlog[Requirement ID],0))),"")</f>
        <v/>
      </c>
    </row>
    <row r="198" hidden="1" ht="15" customHeight="1" s="93">
      <c r="A198" s="92">
        <f>Backlog!A199</f>
        <v/>
      </c>
      <c r="B198" s="97">
        <f>IFERROR(IF(ISBLANK(INDEX(Backlog[Requirement Name],MATCH($A199,Backlog[Requirement ID],0))),"",INDEX(Backlog[Requirement Name],MATCH($A199,Backlog[Requirement ID],0))),"")</f>
        <v/>
      </c>
      <c r="C198" s="92">
        <f>IFERROR(IF(ISBLANK(INDEX(Backlog[Stream],MATCH($A199,Backlog[Requirement ID],0))),"",INDEX(Backlog[Stream],MATCH($A199,Backlog[Requirement ID],0))),"")</f>
        <v/>
      </c>
      <c r="D198" s="92">
        <f>IFERROR(IF(ISBLANK(INDEX(Backlog[Jira Link],MATCH($A199,Backlog[Requirement ID],0))),"",INDEX(Backlog[Jira Link],MATCH($A199,Backlog[Requirement ID],0))),"")</f>
        <v/>
      </c>
      <c r="E198" s="92">
        <f>IFERROR(IF(ISBLANK(INDEX(Backlog[Status],MATCH($A199,Backlog[Requirement ID],0))),"",INDEX(Backlog[Status],MATCH($A199,Backlog[Requirement ID],0))),"")</f>
        <v/>
      </c>
      <c r="F198" s="92">
        <f>IFERROR(IF(ISBLANK(INDEX(SprintPlanning[Sprint],MATCH($A199,SprintPlanning[Requirement ID],0))),"",INDEX(SprintPlanning[Sprint],MATCH($A199,SprintPlanning[Requirement ID],0))),"")</f>
        <v/>
      </c>
      <c r="H198" s="146" t="n"/>
      <c r="J198" s="92">
        <f>IFERROR(IF(ISBLANK(INDEX(Backlog[Priority],MATCH($A199,Backlog[Requirement ID],0))),"",INDEX(Backlog[Priority],MATCH($A199,Backlog[Requirement ID],0))),"")</f>
        <v/>
      </c>
    </row>
    <row r="199" hidden="1" ht="15" customHeight="1" s="93">
      <c r="A199" s="92">
        <f>Backlog!A200</f>
        <v/>
      </c>
      <c r="B199" s="97">
        <f>IFERROR(IF(ISBLANK(INDEX(Backlog[Requirement Name],MATCH($A200,Backlog[Requirement ID],0))),"",INDEX(Backlog[Requirement Name],MATCH($A200,Backlog[Requirement ID],0))),"")</f>
        <v/>
      </c>
      <c r="C199" s="92">
        <f>IFERROR(IF(ISBLANK(INDEX(Backlog[Stream],MATCH($A200,Backlog[Requirement ID],0))),"",INDEX(Backlog[Stream],MATCH($A200,Backlog[Requirement ID],0))),"")</f>
        <v/>
      </c>
      <c r="D199" s="92">
        <f>IFERROR(IF(ISBLANK(INDEX(Backlog[Jira Link],MATCH($A200,Backlog[Requirement ID],0))),"",INDEX(Backlog[Jira Link],MATCH($A200,Backlog[Requirement ID],0))),"")</f>
        <v/>
      </c>
      <c r="E199" s="92">
        <f>IFERROR(IF(ISBLANK(INDEX(Backlog[Status],MATCH($A200,Backlog[Requirement ID],0))),"",INDEX(Backlog[Status],MATCH($A200,Backlog[Requirement ID],0))),"")</f>
        <v/>
      </c>
      <c r="F199" s="92">
        <f>IFERROR(IF(ISBLANK(INDEX(SprintPlanning[Sprint],MATCH($A200,SprintPlanning[Requirement ID],0))),"",INDEX(SprintPlanning[Sprint],MATCH($A200,SprintPlanning[Requirement ID],0))),"")</f>
        <v/>
      </c>
      <c r="H199" s="146" t="n"/>
      <c r="J199" s="92">
        <f>IFERROR(IF(ISBLANK(INDEX(Backlog[Priority],MATCH($A200,Backlog[Requirement ID],0))),"",INDEX(Backlog[Priority],MATCH($A200,Backlog[Requirement ID],0))),"")</f>
        <v/>
      </c>
    </row>
    <row r="200" hidden="1" ht="15" customHeight="1" s="93">
      <c r="A200" s="92">
        <f>Backlog!A201</f>
        <v/>
      </c>
      <c r="B200" s="97">
        <f>IFERROR(IF(ISBLANK(INDEX(Backlog[Requirement Name],MATCH($A201,Backlog[Requirement ID],0))),"",INDEX(Backlog[Requirement Name],MATCH($A201,Backlog[Requirement ID],0))),"")</f>
        <v/>
      </c>
      <c r="C200" s="92">
        <f>IFERROR(IF(ISBLANK(INDEX(Backlog[Stream],MATCH($A201,Backlog[Requirement ID],0))),"",INDEX(Backlog[Stream],MATCH($A201,Backlog[Requirement ID],0))),"")</f>
        <v/>
      </c>
      <c r="D200" s="92">
        <f>IFERROR(IF(ISBLANK(INDEX(Backlog[Jira Link],MATCH($A201,Backlog[Requirement ID],0))),"",INDEX(Backlog[Jira Link],MATCH($A201,Backlog[Requirement ID],0))),"")</f>
        <v/>
      </c>
      <c r="E200" s="92">
        <f>IFERROR(IF(ISBLANK(INDEX(Backlog[Status],MATCH($A201,Backlog[Requirement ID],0))),"",INDEX(Backlog[Status],MATCH($A201,Backlog[Requirement ID],0))),"")</f>
        <v/>
      </c>
      <c r="F200" s="92">
        <f>IFERROR(IF(ISBLANK(INDEX(SprintPlanning[Sprint],MATCH($A201,SprintPlanning[Requirement ID],0))),"",INDEX(SprintPlanning[Sprint],MATCH($A201,SprintPlanning[Requirement ID],0))),"")</f>
        <v/>
      </c>
      <c r="H200" s="146" t="n"/>
      <c r="J200" s="92">
        <f>IFERROR(IF(ISBLANK(INDEX(Backlog[Priority],MATCH($A201,Backlog[Requirement ID],0))),"",INDEX(Backlog[Priority],MATCH($A201,Backlog[Requirement ID],0))),"")</f>
        <v/>
      </c>
    </row>
    <row r="201" hidden="1" ht="15" customHeight="1" s="93">
      <c r="A201" s="92">
        <f>Backlog!A202</f>
        <v/>
      </c>
      <c r="B201" s="97">
        <f>IFERROR(IF(ISBLANK(INDEX(Backlog[Requirement Name],MATCH($A202,Backlog[Requirement ID],0))),"",INDEX(Backlog[Requirement Name],MATCH($A202,Backlog[Requirement ID],0))),"")</f>
        <v/>
      </c>
      <c r="C201" s="92">
        <f>IFERROR(IF(ISBLANK(INDEX(Backlog[Stream],MATCH($A202,Backlog[Requirement ID],0))),"",INDEX(Backlog[Stream],MATCH($A202,Backlog[Requirement ID],0))),"")</f>
        <v/>
      </c>
      <c r="D201" s="92">
        <f>IFERROR(IF(ISBLANK(INDEX(Backlog[Jira Link],MATCH($A202,Backlog[Requirement ID],0))),"",INDEX(Backlog[Jira Link],MATCH($A202,Backlog[Requirement ID],0))),"")</f>
        <v/>
      </c>
      <c r="E201" s="92">
        <f>IFERROR(IF(ISBLANK(INDEX(Backlog[Status],MATCH($A202,Backlog[Requirement ID],0))),"",INDEX(Backlog[Status],MATCH($A202,Backlog[Requirement ID],0))),"")</f>
        <v/>
      </c>
      <c r="F201" s="92">
        <f>IFERROR(IF(ISBLANK(INDEX(SprintPlanning[Sprint],MATCH($A202,SprintPlanning[Requirement ID],0))),"",INDEX(SprintPlanning[Sprint],MATCH($A202,SprintPlanning[Requirement ID],0))),"")</f>
        <v/>
      </c>
      <c r="H201" s="146" t="n"/>
      <c r="J201" s="92">
        <f>IFERROR(IF(ISBLANK(INDEX(Backlog[Priority],MATCH($A202,Backlog[Requirement ID],0))),"",INDEX(Backlog[Priority],MATCH($A202,Backlog[Requirement ID],0))),"")</f>
        <v/>
      </c>
    </row>
    <row r="202" hidden="1" ht="15" customHeight="1" s="93">
      <c r="A202" s="92">
        <f>Backlog!A203</f>
        <v/>
      </c>
      <c r="B202" s="97">
        <f>IFERROR(IF(ISBLANK(INDEX(Backlog[Requirement Name],MATCH($A203,Backlog[Requirement ID],0))),"",INDEX(Backlog[Requirement Name],MATCH($A203,Backlog[Requirement ID],0))),"")</f>
        <v/>
      </c>
      <c r="C202" s="92">
        <f>IFERROR(IF(ISBLANK(INDEX(Backlog[Stream],MATCH($A203,Backlog[Requirement ID],0))),"",INDEX(Backlog[Stream],MATCH($A203,Backlog[Requirement ID],0))),"")</f>
        <v/>
      </c>
      <c r="D202" s="92">
        <f>IFERROR(IF(ISBLANK(INDEX(Backlog[Jira Link],MATCH($A203,Backlog[Requirement ID],0))),"",INDEX(Backlog[Jira Link],MATCH($A203,Backlog[Requirement ID],0))),"")</f>
        <v/>
      </c>
      <c r="E202" s="92">
        <f>IFERROR(IF(ISBLANK(INDEX(Backlog[Status],MATCH($A203,Backlog[Requirement ID],0))),"",INDEX(Backlog[Status],MATCH($A203,Backlog[Requirement ID],0))),"")</f>
        <v/>
      </c>
      <c r="F202" s="92">
        <f>IFERROR(IF(ISBLANK(INDEX(SprintPlanning[Sprint],MATCH($A203,SprintPlanning[Requirement ID],0))),"",INDEX(SprintPlanning[Sprint],MATCH($A203,SprintPlanning[Requirement ID],0))),"")</f>
        <v/>
      </c>
      <c r="H202" s="146" t="n"/>
      <c r="J202" s="92">
        <f>IFERROR(IF(ISBLANK(INDEX(Backlog[Priority],MATCH($A203,Backlog[Requirement ID],0))),"",INDEX(Backlog[Priority],MATCH($A203,Backlog[Requirement ID],0))),"")</f>
        <v/>
      </c>
    </row>
    <row r="203" hidden="1" ht="15" customHeight="1" s="93">
      <c r="A203" s="92">
        <f>Backlog!A204</f>
        <v/>
      </c>
      <c r="B203" s="97">
        <f>IFERROR(IF(ISBLANK(INDEX(Backlog[Requirement Name],MATCH($A204,Backlog[Requirement ID],0))),"",INDEX(Backlog[Requirement Name],MATCH($A204,Backlog[Requirement ID],0))),"")</f>
        <v/>
      </c>
      <c r="C203" s="92">
        <f>IFERROR(IF(ISBLANK(INDEX(Backlog[Stream],MATCH($A204,Backlog[Requirement ID],0))),"",INDEX(Backlog[Stream],MATCH($A204,Backlog[Requirement ID],0))),"")</f>
        <v/>
      </c>
      <c r="D203" s="92">
        <f>IFERROR(IF(ISBLANK(INDEX(Backlog[Jira Link],MATCH($A204,Backlog[Requirement ID],0))),"",INDEX(Backlog[Jira Link],MATCH($A204,Backlog[Requirement ID],0))),"")</f>
        <v/>
      </c>
      <c r="E203" s="92">
        <f>IFERROR(IF(ISBLANK(INDEX(Backlog[Status],MATCH($A204,Backlog[Requirement ID],0))),"",INDEX(Backlog[Status],MATCH($A204,Backlog[Requirement ID],0))),"")</f>
        <v/>
      </c>
      <c r="F203" s="92">
        <f>IFERROR(IF(ISBLANK(INDEX(SprintPlanning[Sprint],MATCH($A204,SprintPlanning[Requirement ID],0))),"",INDEX(SprintPlanning[Sprint],MATCH($A204,SprintPlanning[Requirement ID],0))),"")</f>
        <v/>
      </c>
      <c r="H203" s="146" t="n"/>
      <c r="J203" s="92">
        <f>IFERROR(IF(ISBLANK(INDEX(Backlog[Priority],MATCH($A204,Backlog[Requirement ID],0))),"",INDEX(Backlog[Priority],MATCH($A204,Backlog[Requirement ID],0))),"")</f>
        <v/>
      </c>
    </row>
    <row r="204" hidden="1" ht="15" customHeight="1" s="93">
      <c r="A204" s="92">
        <f>Backlog!A205</f>
        <v/>
      </c>
      <c r="B204" s="97">
        <f>IFERROR(IF(ISBLANK(INDEX(Backlog[Requirement Name],MATCH($A205,Backlog[Requirement ID],0))),"",INDEX(Backlog[Requirement Name],MATCH($A205,Backlog[Requirement ID],0))),"")</f>
        <v/>
      </c>
      <c r="C204" s="92">
        <f>IFERROR(IF(ISBLANK(INDEX(Backlog[Stream],MATCH($A205,Backlog[Requirement ID],0))),"",INDEX(Backlog[Stream],MATCH($A205,Backlog[Requirement ID],0))),"")</f>
        <v/>
      </c>
      <c r="D204" s="92">
        <f>IFERROR(IF(ISBLANK(INDEX(Backlog[Jira Link],MATCH($A205,Backlog[Requirement ID],0))),"",INDEX(Backlog[Jira Link],MATCH($A205,Backlog[Requirement ID],0))),"")</f>
        <v/>
      </c>
      <c r="E204" s="92">
        <f>IFERROR(IF(ISBLANK(INDEX(Backlog[Status],MATCH($A205,Backlog[Requirement ID],0))),"",INDEX(Backlog[Status],MATCH($A205,Backlog[Requirement ID],0))),"")</f>
        <v/>
      </c>
      <c r="F204" s="92">
        <f>IFERROR(IF(ISBLANK(INDEX(SprintPlanning[Sprint],MATCH($A205,SprintPlanning[Requirement ID],0))),"",INDEX(SprintPlanning[Sprint],MATCH($A205,SprintPlanning[Requirement ID],0))),"")</f>
        <v/>
      </c>
      <c r="H204" s="146" t="n"/>
      <c r="J204" s="92">
        <f>IFERROR(IF(ISBLANK(INDEX(Backlog[Priority],MATCH($A205,Backlog[Requirement ID],0))),"",INDEX(Backlog[Priority],MATCH($A205,Backlog[Requirement ID],0))),"")</f>
        <v/>
      </c>
    </row>
    <row r="205" hidden="1" ht="15" customHeight="1" s="93">
      <c r="A205" s="92">
        <f>Backlog!A206</f>
        <v/>
      </c>
      <c r="B205" s="97">
        <f>IFERROR(IF(ISBLANK(INDEX(Backlog[Requirement Name],MATCH($A206,Backlog[Requirement ID],0))),"",INDEX(Backlog[Requirement Name],MATCH($A206,Backlog[Requirement ID],0))),"")</f>
        <v/>
      </c>
      <c r="C205" s="92">
        <f>IFERROR(IF(ISBLANK(INDEX(Backlog[Stream],MATCH($A206,Backlog[Requirement ID],0))),"",INDEX(Backlog[Stream],MATCH($A206,Backlog[Requirement ID],0))),"")</f>
        <v/>
      </c>
      <c r="D205" s="92">
        <f>IFERROR(IF(ISBLANK(INDEX(Backlog[Jira Link],MATCH($A206,Backlog[Requirement ID],0))),"",INDEX(Backlog[Jira Link],MATCH($A206,Backlog[Requirement ID],0))),"")</f>
        <v/>
      </c>
      <c r="E205" s="92">
        <f>IFERROR(IF(ISBLANK(INDEX(Backlog[Status],MATCH($A206,Backlog[Requirement ID],0))),"",INDEX(Backlog[Status],MATCH($A206,Backlog[Requirement ID],0))),"")</f>
        <v/>
      </c>
      <c r="F205" s="92">
        <f>IFERROR(IF(ISBLANK(INDEX(SprintPlanning[Sprint],MATCH($A206,SprintPlanning[Requirement ID],0))),"",INDEX(SprintPlanning[Sprint],MATCH($A206,SprintPlanning[Requirement ID],0))),"")</f>
        <v/>
      </c>
      <c r="H205" s="146" t="n"/>
      <c r="J205" s="92">
        <f>IFERROR(IF(ISBLANK(INDEX(Backlog[Priority],MATCH($A206,Backlog[Requirement ID],0))),"",INDEX(Backlog[Priority],MATCH($A206,Backlog[Requirement ID],0))),"")</f>
        <v/>
      </c>
    </row>
    <row r="206" hidden="1" ht="23.25" customHeight="1" s="93">
      <c r="A206" s="92">
        <f>Backlog!A207</f>
        <v/>
      </c>
      <c r="B206" s="97">
        <f>IFERROR(IF(ISBLANK(INDEX(Backlog[Requirement Name],MATCH($A207,Backlog[Requirement ID],0))),"",INDEX(Backlog[Requirement Name],MATCH($A207,Backlog[Requirement ID],0))),"")</f>
        <v/>
      </c>
      <c r="C206" s="92">
        <f>IFERROR(IF(ISBLANK(INDEX(Backlog[Stream],MATCH($A207,Backlog[Requirement ID],0))),"",INDEX(Backlog[Stream],MATCH($A207,Backlog[Requirement ID],0))),"")</f>
        <v/>
      </c>
      <c r="D206" s="92">
        <f>IFERROR(IF(ISBLANK(INDEX(Backlog[Jira Link],MATCH($A207,Backlog[Requirement ID],0))),"",INDEX(Backlog[Jira Link],MATCH($A207,Backlog[Requirement ID],0))),"")</f>
        <v/>
      </c>
      <c r="E206" s="92">
        <f>IFERROR(IF(ISBLANK(INDEX(Backlog[Status],MATCH($A207,Backlog[Requirement ID],0))),"",INDEX(Backlog[Status],MATCH($A207,Backlog[Requirement ID],0))),"")</f>
        <v/>
      </c>
      <c r="F206" s="92">
        <f>IFERROR(IF(ISBLANK(INDEX(SprintPlanning[Sprint],MATCH($A207,SprintPlanning[Requirement ID],0))),"",INDEX(SprintPlanning[Sprint],MATCH($A207,SprintPlanning[Requirement ID],0))),"")</f>
        <v/>
      </c>
      <c r="H206" s="146" t="n"/>
      <c r="J206" s="92">
        <f>IFERROR(IF(ISBLANK(INDEX(Backlog[Priority],MATCH($A207,Backlog[Requirement ID],0))),"",INDEX(Backlog[Priority],MATCH($A207,Backlog[Requirement ID],0))),"")</f>
        <v/>
      </c>
    </row>
    <row r="207" hidden="1" ht="15" customHeight="1" s="93">
      <c r="A207" s="92">
        <f>Backlog!A208</f>
        <v/>
      </c>
      <c r="B207" s="97">
        <f>IFERROR(IF(ISBLANK(INDEX(Backlog[Requirement Name],MATCH($A208,Backlog[Requirement ID],0))),"",INDEX(Backlog[Requirement Name],MATCH($A208,Backlog[Requirement ID],0))),"")</f>
        <v/>
      </c>
      <c r="C207" s="92">
        <f>IFERROR(IF(ISBLANK(INDEX(Backlog[Stream],MATCH($A208,Backlog[Requirement ID],0))),"",INDEX(Backlog[Stream],MATCH($A208,Backlog[Requirement ID],0))),"")</f>
        <v/>
      </c>
      <c r="D207" s="92">
        <f>IFERROR(IF(ISBLANK(INDEX(Backlog[Jira Link],MATCH($A208,Backlog[Requirement ID],0))),"",INDEX(Backlog[Jira Link],MATCH($A208,Backlog[Requirement ID],0))),"")</f>
        <v/>
      </c>
      <c r="E207" s="92">
        <f>IFERROR(IF(ISBLANK(INDEX(Backlog[Status],MATCH($A208,Backlog[Requirement ID],0))),"",INDEX(Backlog[Status],MATCH($A208,Backlog[Requirement ID],0))),"")</f>
        <v/>
      </c>
      <c r="F207" s="92">
        <f>IFERROR(IF(ISBLANK(INDEX(SprintPlanning[Sprint],MATCH($A208,SprintPlanning[Requirement ID],0))),"",INDEX(SprintPlanning[Sprint],MATCH($A208,SprintPlanning[Requirement ID],0))),"")</f>
        <v/>
      </c>
      <c r="H207" s="146" t="n"/>
      <c r="J207" s="92">
        <f>IFERROR(IF(ISBLANK(INDEX(Backlog[Priority],MATCH($A208,Backlog[Requirement ID],0))),"",INDEX(Backlog[Priority],MATCH($A208,Backlog[Requirement ID],0))),"")</f>
        <v/>
      </c>
    </row>
    <row r="208" hidden="1" ht="15" customHeight="1" s="93">
      <c r="A208" s="92">
        <f>Backlog!A209</f>
        <v/>
      </c>
      <c r="B208" s="97">
        <f>IFERROR(IF(ISBLANK(INDEX(Backlog[Requirement Name],MATCH($A209,Backlog[Requirement ID],0))),"",INDEX(Backlog[Requirement Name],MATCH($A209,Backlog[Requirement ID],0))),"")</f>
        <v/>
      </c>
      <c r="C208" s="92">
        <f>IFERROR(IF(ISBLANK(INDEX(Backlog[Stream],MATCH($A209,Backlog[Requirement ID],0))),"",INDEX(Backlog[Stream],MATCH($A209,Backlog[Requirement ID],0))),"")</f>
        <v/>
      </c>
      <c r="D208" s="92">
        <f>IFERROR(IF(ISBLANK(INDEX(Backlog[Jira Link],MATCH($A209,Backlog[Requirement ID],0))),"",INDEX(Backlog[Jira Link],MATCH($A209,Backlog[Requirement ID],0))),"")</f>
        <v/>
      </c>
      <c r="E208" s="92">
        <f>IFERROR(IF(ISBLANK(INDEX(Backlog[Status],MATCH($A209,Backlog[Requirement ID],0))),"",INDEX(Backlog[Status],MATCH($A209,Backlog[Requirement ID],0))),"")</f>
        <v/>
      </c>
      <c r="F208" s="92">
        <f>IFERROR(IF(ISBLANK(INDEX(SprintPlanning[Sprint],MATCH($A209,SprintPlanning[Requirement ID],0))),"",INDEX(SprintPlanning[Sprint],MATCH($A209,SprintPlanning[Requirement ID],0))),"")</f>
        <v/>
      </c>
      <c r="H208" s="146" t="n"/>
      <c r="J208" s="92">
        <f>IFERROR(IF(ISBLANK(INDEX(Backlog[Priority],MATCH($A209,Backlog[Requirement ID],0))),"",INDEX(Backlog[Priority],MATCH($A209,Backlog[Requirement ID],0))),"")</f>
        <v/>
      </c>
    </row>
    <row r="209" hidden="1" ht="15" customHeight="1" s="93">
      <c r="A209" s="92">
        <f>Backlog!A210</f>
        <v/>
      </c>
      <c r="B209" s="97">
        <f>IFERROR(IF(ISBLANK(INDEX(Backlog[Requirement Name],MATCH($A210,Backlog[Requirement ID],0))),"",INDEX(Backlog[Requirement Name],MATCH($A210,Backlog[Requirement ID],0))),"")</f>
        <v/>
      </c>
      <c r="C209" s="92">
        <f>IFERROR(IF(ISBLANK(INDEX(Backlog[Stream],MATCH($A210,Backlog[Requirement ID],0))),"",INDEX(Backlog[Stream],MATCH($A210,Backlog[Requirement ID],0))),"")</f>
        <v/>
      </c>
      <c r="D209" s="92">
        <f>IFERROR(IF(ISBLANK(INDEX(Backlog[Jira Link],MATCH($A210,Backlog[Requirement ID],0))),"",INDEX(Backlog[Jira Link],MATCH($A210,Backlog[Requirement ID],0))),"")</f>
        <v/>
      </c>
      <c r="E209" s="92">
        <f>IFERROR(IF(ISBLANK(INDEX(Backlog[Status],MATCH($A210,Backlog[Requirement ID],0))),"",INDEX(Backlog[Status],MATCH($A210,Backlog[Requirement ID],0))),"")</f>
        <v/>
      </c>
      <c r="F209" s="92">
        <f>IFERROR(IF(ISBLANK(INDEX(SprintPlanning[Sprint],MATCH($A210,SprintPlanning[Requirement ID],0))),"",INDEX(SprintPlanning[Sprint],MATCH($A210,SprintPlanning[Requirement ID],0))),"")</f>
        <v/>
      </c>
      <c r="H209" s="146" t="n"/>
      <c r="J209" s="92">
        <f>IFERROR(IF(ISBLANK(INDEX(Backlog[Priority],MATCH($A210,Backlog[Requirement ID],0))),"",INDEX(Backlog[Priority],MATCH($A210,Backlog[Requirement ID],0))),"")</f>
        <v/>
      </c>
    </row>
    <row r="210" hidden="1" ht="15" customHeight="1" s="93">
      <c r="A210" s="92">
        <f>Backlog!A211</f>
        <v/>
      </c>
      <c r="B210" s="97">
        <f>IFERROR(IF(ISBLANK(INDEX(Backlog[Requirement Name],MATCH($A211,Backlog[Requirement ID],0))),"",INDEX(Backlog[Requirement Name],MATCH($A211,Backlog[Requirement ID],0))),"")</f>
        <v/>
      </c>
      <c r="C210" s="92">
        <f>IFERROR(IF(ISBLANK(INDEX(Backlog[Stream],MATCH($A211,Backlog[Requirement ID],0))),"",INDEX(Backlog[Stream],MATCH($A211,Backlog[Requirement ID],0))),"")</f>
        <v/>
      </c>
      <c r="D210" s="92">
        <f>IFERROR(IF(ISBLANK(INDEX(Backlog[Jira Link],MATCH($A211,Backlog[Requirement ID],0))),"",INDEX(Backlog[Jira Link],MATCH($A211,Backlog[Requirement ID],0))),"")</f>
        <v/>
      </c>
      <c r="E210" s="92">
        <f>IFERROR(IF(ISBLANK(INDEX(Backlog[Status],MATCH($A211,Backlog[Requirement ID],0))),"",INDEX(Backlog[Status],MATCH($A211,Backlog[Requirement ID],0))),"")</f>
        <v/>
      </c>
      <c r="F210" s="92">
        <f>IFERROR(IF(ISBLANK(INDEX(SprintPlanning[Sprint],MATCH($A211,SprintPlanning[Requirement ID],0))),"",INDEX(SprintPlanning[Sprint],MATCH($A211,SprintPlanning[Requirement ID],0))),"")</f>
        <v/>
      </c>
      <c r="H210" s="146" t="n"/>
      <c r="J210" s="92">
        <f>IFERROR(IF(ISBLANK(INDEX(Backlog[Priority],MATCH($A211,Backlog[Requirement ID],0))),"",INDEX(Backlog[Priority],MATCH($A211,Backlog[Requirement ID],0))),"")</f>
        <v/>
      </c>
    </row>
    <row r="211" hidden="1" ht="15" customHeight="1" s="93">
      <c r="A211" s="92">
        <f>Backlog!A212</f>
        <v/>
      </c>
      <c r="B211" s="97">
        <f>IFERROR(IF(ISBLANK(INDEX(Backlog[Requirement Name],MATCH($A212,Backlog[Requirement ID],0))),"",INDEX(Backlog[Requirement Name],MATCH($A212,Backlog[Requirement ID],0))),"")</f>
        <v/>
      </c>
      <c r="C211" s="92">
        <f>IFERROR(IF(ISBLANK(INDEX(Backlog[Stream],MATCH($A212,Backlog[Requirement ID],0))),"",INDEX(Backlog[Stream],MATCH($A212,Backlog[Requirement ID],0))),"")</f>
        <v/>
      </c>
      <c r="D211" s="92">
        <f>IFERROR(IF(ISBLANK(INDEX(Backlog[Jira Link],MATCH($A212,Backlog[Requirement ID],0))),"",INDEX(Backlog[Jira Link],MATCH($A212,Backlog[Requirement ID],0))),"")</f>
        <v/>
      </c>
      <c r="E211" s="92">
        <f>IFERROR(IF(ISBLANK(INDEX(Backlog[Status],MATCH($A212,Backlog[Requirement ID],0))),"",INDEX(Backlog[Status],MATCH($A212,Backlog[Requirement ID],0))),"")</f>
        <v/>
      </c>
      <c r="F211" s="92">
        <f>IFERROR(IF(ISBLANK(INDEX(SprintPlanning[Sprint],MATCH($A212,SprintPlanning[Requirement ID],0))),"",INDEX(SprintPlanning[Sprint],MATCH($A212,SprintPlanning[Requirement ID],0))),"")</f>
        <v/>
      </c>
      <c r="H211" s="146" t="n"/>
      <c r="J211" s="92">
        <f>IFERROR(IF(ISBLANK(INDEX(Backlog[Priority],MATCH($A212,Backlog[Requirement ID],0))),"",INDEX(Backlog[Priority],MATCH($A212,Backlog[Requirement ID],0))),"")</f>
        <v/>
      </c>
    </row>
    <row r="212" hidden="1" ht="15" customHeight="1" s="93">
      <c r="A212" s="92">
        <f>Backlog!A213</f>
        <v/>
      </c>
      <c r="B212" s="97">
        <f>IFERROR(IF(ISBLANK(INDEX(Backlog[Requirement Name],MATCH($A213,Backlog[Requirement ID],0))),"",INDEX(Backlog[Requirement Name],MATCH($A213,Backlog[Requirement ID],0))),"")</f>
        <v/>
      </c>
      <c r="C212" s="92">
        <f>IFERROR(IF(ISBLANK(INDEX(Backlog[Stream],MATCH($A213,Backlog[Requirement ID],0))),"",INDEX(Backlog[Stream],MATCH($A213,Backlog[Requirement ID],0))),"")</f>
        <v/>
      </c>
      <c r="D212" s="92">
        <f>IFERROR(IF(ISBLANK(INDEX(Backlog[Jira Link],MATCH($A213,Backlog[Requirement ID],0))),"",INDEX(Backlog[Jira Link],MATCH($A213,Backlog[Requirement ID],0))),"")</f>
        <v/>
      </c>
      <c r="E212" s="92">
        <f>IFERROR(IF(ISBLANK(INDEX(Backlog[Status],MATCH($A213,Backlog[Requirement ID],0))),"",INDEX(Backlog[Status],MATCH($A213,Backlog[Requirement ID],0))),"")</f>
        <v/>
      </c>
      <c r="F212" s="92">
        <f>IFERROR(IF(ISBLANK(INDEX(SprintPlanning[Sprint],MATCH($A213,SprintPlanning[Requirement ID],0))),"",INDEX(SprintPlanning[Sprint],MATCH($A213,SprintPlanning[Requirement ID],0))),"")</f>
        <v/>
      </c>
      <c r="H212" s="146" t="n"/>
      <c r="J212" s="92">
        <f>IFERROR(IF(ISBLANK(INDEX(Backlog[Priority],MATCH($A213,Backlog[Requirement ID],0))),"",INDEX(Backlog[Priority],MATCH($A213,Backlog[Requirement ID],0))),"")</f>
        <v/>
      </c>
    </row>
    <row r="213" hidden="1" ht="15" customHeight="1" s="93">
      <c r="A213" s="92">
        <f>Backlog!A214</f>
        <v/>
      </c>
      <c r="B213" s="97">
        <f>IFERROR(IF(ISBLANK(INDEX(Backlog[Requirement Name],MATCH($A214,Backlog[Requirement ID],0))),"",INDEX(Backlog[Requirement Name],MATCH($A214,Backlog[Requirement ID],0))),"")</f>
        <v/>
      </c>
      <c r="C213" s="92">
        <f>IFERROR(IF(ISBLANK(INDEX(Backlog[Stream],MATCH($A214,Backlog[Requirement ID],0))),"",INDEX(Backlog[Stream],MATCH($A214,Backlog[Requirement ID],0))),"")</f>
        <v/>
      </c>
      <c r="D213" s="92">
        <f>IFERROR(IF(ISBLANK(INDEX(Backlog[Jira Link],MATCH($A214,Backlog[Requirement ID],0))),"",INDEX(Backlog[Jira Link],MATCH($A214,Backlog[Requirement ID],0))),"")</f>
        <v/>
      </c>
      <c r="E213" s="92">
        <f>IFERROR(IF(ISBLANK(INDEX(Backlog[Status],MATCH($A214,Backlog[Requirement ID],0))),"",INDEX(Backlog[Status],MATCH($A214,Backlog[Requirement ID],0))),"")</f>
        <v/>
      </c>
      <c r="F213" s="92">
        <f>IFERROR(IF(ISBLANK(INDEX(SprintPlanning[Sprint],MATCH($A214,SprintPlanning[Requirement ID],0))),"",INDEX(SprintPlanning[Sprint],MATCH($A214,SprintPlanning[Requirement ID],0))),"")</f>
        <v/>
      </c>
      <c r="H213" s="146" t="n"/>
      <c r="J213" s="92">
        <f>IFERROR(IF(ISBLANK(INDEX(Backlog[Priority],MATCH($A214,Backlog[Requirement ID],0))),"",INDEX(Backlog[Priority],MATCH($A214,Backlog[Requirement ID],0))),"")</f>
        <v/>
      </c>
    </row>
    <row r="214" hidden="1" ht="15" customHeight="1" s="93">
      <c r="A214" s="92">
        <f>Backlog!A215</f>
        <v/>
      </c>
      <c r="B214" s="97">
        <f>IFERROR(IF(ISBLANK(INDEX(Backlog[Requirement Name],MATCH($A215,Backlog[Requirement ID],0))),"",INDEX(Backlog[Requirement Name],MATCH($A215,Backlog[Requirement ID],0))),"")</f>
        <v/>
      </c>
      <c r="C214" s="92">
        <f>IFERROR(IF(ISBLANK(INDEX(Backlog[Stream],MATCH($A215,Backlog[Requirement ID],0))),"",INDEX(Backlog[Stream],MATCH($A215,Backlog[Requirement ID],0))),"")</f>
        <v/>
      </c>
      <c r="D214" s="92">
        <f>IFERROR(IF(ISBLANK(INDEX(Backlog[Jira Link],MATCH($A215,Backlog[Requirement ID],0))),"",INDEX(Backlog[Jira Link],MATCH($A215,Backlog[Requirement ID],0))),"")</f>
        <v/>
      </c>
      <c r="E214" s="92">
        <f>IFERROR(IF(ISBLANK(INDEX(Backlog[Status],MATCH($A215,Backlog[Requirement ID],0))),"",INDEX(Backlog[Status],MATCH($A215,Backlog[Requirement ID],0))),"")</f>
        <v/>
      </c>
      <c r="F214" s="92">
        <f>IFERROR(IF(ISBLANK(INDEX(SprintPlanning[Sprint],MATCH($A215,SprintPlanning[Requirement ID],0))),"",INDEX(SprintPlanning[Sprint],MATCH($A215,SprintPlanning[Requirement ID],0))),"")</f>
        <v/>
      </c>
      <c r="H214" s="146" t="n"/>
      <c r="J214" s="92">
        <f>IFERROR(IF(ISBLANK(INDEX(Backlog[Priority],MATCH($A215,Backlog[Requirement ID],0))),"",INDEX(Backlog[Priority],MATCH($A215,Backlog[Requirement ID],0))),"")</f>
        <v/>
      </c>
    </row>
    <row r="215" hidden="1" ht="15" customHeight="1" s="93">
      <c r="A215" s="92">
        <f>Backlog!A216</f>
        <v/>
      </c>
      <c r="B215" s="97">
        <f>IFERROR(IF(ISBLANK(INDEX(Backlog[Requirement Name],MATCH($A216,Backlog[Requirement ID],0))),"",INDEX(Backlog[Requirement Name],MATCH($A216,Backlog[Requirement ID],0))),"")</f>
        <v/>
      </c>
      <c r="C215" s="92">
        <f>IFERROR(IF(ISBLANK(INDEX(Backlog[Stream],MATCH($A216,Backlog[Requirement ID],0))),"",INDEX(Backlog[Stream],MATCH($A216,Backlog[Requirement ID],0))),"")</f>
        <v/>
      </c>
      <c r="D215" s="92">
        <f>IFERROR(IF(ISBLANK(INDEX(Backlog[Jira Link],MATCH($A216,Backlog[Requirement ID],0))),"",INDEX(Backlog[Jira Link],MATCH($A216,Backlog[Requirement ID],0))),"")</f>
        <v/>
      </c>
      <c r="E215" s="92">
        <f>IFERROR(IF(ISBLANK(INDEX(Backlog[Status],MATCH($A216,Backlog[Requirement ID],0))),"",INDEX(Backlog[Status],MATCH($A216,Backlog[Requirement ID],0))),"")</f>
        <v/>
      </c>
      <c r="F215" s="92">
        <f>IFERROR(IF(ISBLANK(INDEX(SprintPlanning[Sprint],MATCH($A216,SprintPlanning[Requirement ID],0))),"",INDEX(SprintPlanning[Sprint],MATCH($A216,SprintPlanning[Requirement ID],0))),"")</f>
        <v/>
      </c>
      <c r="H215" s="146" t="n"/>
      <c r="J215" s="92">
        <f>IFERROR(IF(ISBLANK(INDEX(Backlog[Priority],MATCH($A216,Backlog[Requirement ID],0))),"",INDEX(Backlog[Priority],MATCH($A216,Backlog[Requirement ID],0))),"")</f>
        <v/>
      </c>
    </row>
    <row r="216" hidden="1" ht="15" customHeight="1" s="93">
      <c r="A216" s="92">
        <f>Backlog!A217</f>
        <v/>
      </c>
      <c r="B216" s="97">
        <f>IFERROR(IF(ISBLANK(INDEX(Backlog[Requirement Name],MATCH($A217,Backlog[Requirement ID],0))),"",INDEX(Backlog[Requirement Name],MATCH($A217,Backlog[Requirement ID],0))),"")</f>
        <v/>
      </c>
      <c r="C216" s="92">
        <f>IFERROR(IF(ISBLANK(INDEX(Backlog[Stream],MATCH($A217,Backlog[Requirement ID],0))),"",INDEX(Backlog[Stream],MATCH($A217,Backlog[Requirement ID],0))),"")</f>
        <v/>
      </c>
      <c r="D216" s="92">
        <f>IFERROR(IF(ISBLANK(INDEX(Backlog[Jira Link],MATCH($A217,Backlog[Requirement ID],0))),"",INDEX(Backlog[Jira Link],MATCH($A217,Backlog[Requirement ID],0))),"")</f>
        <v/>
      </c>
      <c r="E216" s="92">
        <f>IFERROR(IF(ISBLANK(INDEX(Backlog[Status],MATCH($A217,Backlog[Requirement ID],0))),"",INDEX(Backlog[Status],MATCH($A217,Backlog[Requirement ID],0))),"")</f>
        <v/>
      </c>
      <c r="F216" s="92">
        <f>IFERROR(IF(ISBLANK(INDEX(SprintPlanning[Sprint],MATCH($A217,SprintPlanning[Requirement ID],0))),"",INDEX(SprintPlanning[Sprint],MATCH($A217,SprintPlanning[Requirement ID],0))),"")</f>
        <v/>
      </c>
      <c r="H216" s="146" t="n"/>
      <c r="J216" s="92">
        <f>IFERROR(IF(ISBLANK(INDEX(Backlog[Priority],MATCH($A217,Backlog[Requirement ID],0))),"",INDEX(Backlog[Priority],MATCH($A217,Backlog[Requirement ID],0))),"")</f>
        <v/>
      </c>
    </row>
    <row r="217" hidden="1" ht="15" customHeight="1" s="93">
      <c r="A217" s="92">
        <f>Backlog!A218</f>
        <v/>
      </c>
      <c r="B217" s="97">
        <f>IFERROR(IF(ISBLANK(INDEX(Backlog[Requirement Name],MATCH($A218,Backlog[Requirement ID],0))),"",INDEX(Backlog[Requirement Name],MATCH($A218,Backlog[Requirement ID],0))),"")</f>
        <v/>
      </c>
      <c r="C217" s="92">
        <f>IFERROR(IF(ISBLANK(INDEX(Backlog[Stream],MATCH($A218,Backlog[Requirement ID],0))),"",INDEX(Backlog[Stream],MATCH($A218,Backlog[Requirement ID],0))),"")</f>
        <v/>
      </c>
      <c r="D217" s="92">
        <f>IFERROR(IF(ISBLANK(INDEX(Backlog[Jira Link],MATCH($A218,Backlog[Requirement ID],0))),"",INDEX(Backlog[Jira Link],MATCH($A218,Backlog[Requirement ID],0))),"")</f>
        <v/>
      </c>
      <c r="E217" s="92">
        <f>IFERROR(IF(ISBLANK(INDEX(Backlog[Status],MATCH($A218,Backlog[Requirement ID],0))),"",INDEX(Backlog[Status],MATCH($A218,Backlog[Requirement ID],0))),"")</f>
        <v/>
      </c>
      <c r="F217" s="92">
        <f>IFERROR(IF(ISBLANK(INDEX(SprintPlanning[Sprint],MATCH($A218,SprintPlanning[Requirement ID],0))),"",INDEX(SprintPlanning[Sprint],MATCH($A218,SprintPlanning[Requirement ID],0))),"")</f>
        <v/>
      </c>
      <c r="H217" s="146" t="n"/>
      <c r="J217" s="92">
        <f>IFERROR(IF(ISBLANK(INDEX(Backlog[Priority],MATCH($A218,Backlog[Requirement ID],0))),"",INDEX(Backlog[Priority],MATCH($A218,Backlog[Requirement ID],0))),"")</f>
        <v/>
      </c>
    </row>
    <row r="218" hidden="1" ht="15" customHeight="1" s="93">
      <c r="A218" s="92">
        <f>Backlog!A219</f>
        <v/>
      </c>
      <c r="B218" s="97">
        <f>IFERROR(IF(ISBLANK(INDEX(Backlog[Requirement Name],MATCH($A219,Backlog[Requirement ID],0))),"",INDEX(Backlog[Requirement Name],MATCH($A219,Backlog[Requirement ID],0))),"")</f>
        <v/>
      </c>
      <c r="C218" s="92">
        <f>IFERROR(IF(ISBLANK(INDEX(Backlog[Stream],MATCH($A219,Backlog[Requirement ID],0))),"",INDEX(Backlog[Stream],MATCH($A219,Backlog[Requirement ID],0))),"")</f>
        <v/>
      </c>
      <c r="D218" s="92">
        <f>IFERROR(IF(ISBLANK(INDEX(Backlog[Jira Link],MATCH($A219,Backlog[Requirement ID],0))),"",INDEX(Backlog[Jira Link],MATCH($A219,Backlog[Requirement ID],0))),"")</f>
        <v/>
      </c>
      <c r="E218" s="92">
        <f>IFERROR(IF(ISBLANK(INDEX(Backlog[Status],MATCH($A219,Backlog[Requirement ID],0))),"",INDEX(Backlog[Status],MATCH($A219,Backlog[Requirement ID],0))),"")</f>
        <v/>
      </c>
      <c r="F218" s="92">
        <f>IFERROR(IF(ISBLANK(INDEX(SprintPlanning[Sprint],MATCH($A219,SprintPlanning[Requirement ID],0))),"",INDEX(SprintPlanning[Sprint],MATCH($A219,SprintPlanning[Requirement ID],0))),"")</f>
        <v/>
      </c>
      <c r="H218" s="146" t="n"/>
      <c r="J218" s="92">
        <f>IFERROR(IF(ISBLANK(INDEX(Backlog[Priority],MATCH($A219,Backlog[Requirement ID],0))),"",INDEX(Backlog[Priority],MATCH($A219,Backlog[Requirement ID],0))),"")</f>
        <v/>
      </c>
    </row>
    <row r="219" hidden="1" ht="15" customHeight="1" s="93">
      <c r="A219" s="92">
        <f>Backlog!A220</f>
        <v/>
      </c>
      <c r="B219" s="97">
        <f>IFERROR(IF(ISBLANK(INDEX(Backlog[Requirement Name],MATCH($A220,Backlog[Requirement ID],0))),"",INDEX(Backlog[Requirement Name],MATCH($A220,Backlog[Requirement ID],0))),"")</f>
        <v/>
      </c>
      <c r="C219" s="92">
        <f>IFERROR(IF(ISBLANK(INDEX(Backlog[Stream],MATCH($A220,Backlog[Requirement ID],0))),"",INDEX(Backlog[Stream],MATCH($A220,Backlog[Requirement ID],0))),"")</f>
        <v/>
      </c>
      <c r="D219" s="92">
        <f>IFERROR(IF(ISBLANK(INDEX(Backlog[Jira Link],MATCH($A220,Backlog[Requirement ID],0))),"",INDEX(Backlog[Jira Link],MATCH($A220,Backlog[Requirement ID],0))),"")</f>
        <v/>
      </c>
      <c r="E219" s="92">
        <f>IFERROR(IF(ISBLANK(INDEX(Backlog[Status],MATCH($A220,Backlog[Requirement ID],0))),"",INDEX(Backlog[Status],MATCH($A220,Backlog[Requirement ID],0))),"")</f>
        <v/>
      </c>
      <c r="F219" s="92">
        <f>IFERROR(IF(ISBLANK(INDEX(SprintPlanning[Sprint],MATCH($A220,SprintPlanning[Requirement ID],0))),"",INDEX(SprintPlanning[Sprint],MATCH($A220,SprintPlanning[Requirement ID],0))),"")</f>
        <v/>
      </c>
      <c r="H219" s="146" t="n"/>
      <c r="J219" s="92">
        <f>IFERROR(IF(ISBLANK(INDEX(Backlog[Priority],MATCH($A220,Backlog[Requirement ID],0))),"",INDEX(Backlog[Priority],MATCH($A220,Backlog[Requirement ID],0))),"")</f>
        <v/>
      </c>
    </row>
    <row r="220" hidden="1" ht="15" customHeight="1" s="93">
      <c r="A220" s="92">
        <f>Backlog!A221</f>
        <v/>
      </c>
      <c r="B220" s="97">
        <f>IFERROR(IF(ISBLANK(INDEX(Backlog[Requirement Name],MATCH($A221,Backlog[Requirement ID],0))),"",INDEX(Backlog[Requirement Name],MATCH($A221,Backlog[Requirement ID],0))),"")</f>
        <v/>
      </c>
      <c r="C220" s="92">
        <f>IFERROR(IF(ISBLANK(INDEX(Backlog[Stream],MATCH($A221,Backlog[Requirement ID],0))),"",INDEX(Backlog[Stream],MATCH($A221,Backlog[Requirement ID],0))),"")</f>
        <v/>
      </c>
      <c r="D220" s="92">
        <f>IFERROR(IF(ISBLANK(INDEX(Backlog[Jira Link],MATCH($A221,Backlog[Requirement ID],0))),"",INDEX(Backlog[Jira Link],MATCH($A221,Backlog[Requirement ID],0))),"")</f>
        <v/>
      </c>
      <c r="E220" s="92">
        <f>IFERROR(IF(ISBLANK(INDEX(Backlog[Status],MATCH($A221,Backlog[Requirement ID],0))),"",INDEX(Backlog[Status],MATCH($A221,Backlog[Requirement ID],0))),"")</f>
        <v/>
      </c>
      <c r="F220" s="92">
        <f>IFERROR(IF(ISBLANK(INDEX(SprintPlanning[Sprint],MATCH($A221,SprintPlanning[Requirement ID],0))),"",INDEX(SprintPlanning[Sprint],MATCH($A221,SprintPlanning[Requirement ID],0))),"")</f>
        <v/>
      </c>
      <c r="H220" s="146" t="n"/>
      <c r="J220" s="92">
        <f>IFERROR(IF(ISBLANK(INDEX(Backlog[Priority],MATCH($A221,Backlog[Requirement ID],0))),"",INDEX(Backlog[Priority],MATCH($A221,Backlog[Requirement ID],0))),"")</f>
        <v/>
      </c>
    </row>
    <row r="221" hidden="1" ht="15" customHeight="1" s="93">
      <c r="A221" s="92">
        <f>Backlog!A222</f>
        <v/>
      </c>
      <c r="B221" s="97">
        <f>IFERROR(IF(ISBLANK(INDEX(Backlog[Requirement Name],MATCH($A222,Backlog[Requirement ID],0))),"",INDEX(Backlog[Requirement Name],MATCH($A222,Backlog[Requirement ID],0))),"")</f>
        <v/>
      </c>
      <c r="C221" s="92">
        <f>IFERROR(IF(ISBLANK(INDEX(Backlog[Stream],MATCH($A222,Backlog[Requirement ID],0))),"",INDEX(Backlog[Stream],MATCH($A222,Backlog[Requirement ID],0))),"")</f>
        <v/>
      </c>
      <c r="D221" s="92">
        <f>IFERROR(IF(ISBLANK(INDEX(Backlog[Jira Link],MATCH($A222,Backlog[Requirement ID],0))),"",INDEX(Backlog[Jira Link],MATCH($A222,Backlog[Requirement ID],0))),"")</f>
        <v/>
      </c>
      <c r="E221" s="92">
        <f>IFERROR(IF(ISBLANK(INDEX(Backlog[Status],MATCH($A222,Backlog[Requirement ID],0))),"",INDEX(Backlog[Status],MATCH($A222,Backlog[Requirement ID],0))),"")</f>
        <v/>
      </c>
      <c r="F221" s="92">
        <f>IFERROR(IF(ISBLANK(INDEX(SprintPlanning[Sprint],MATCH($A222,SprintPlanning[Requirement ID],0))),"",INDEX(SprintPlanning[Sprint],MATCH($A222,SprintPlanning[Requirement ID],0))),"")</f>
        <v/>
      </c>
      <c r="H221" s="146" t="n"/>
      <c r="J221" s="92">
        <f>IFERROR(IF(ISBLANK(INDEX(Backlog[Priority],MATCH($A222,Backlog[Requirement ID],0))),"",INDEX(Backlog[Priority],MATCH($A222,Backlog[Requirement ID],0))),"")</f>
        <v/>
      </c>
    </row>
    <row r="222" hidden="1" ht="15" customHeight="1" s="93">
      <c r="A222" s="92">
        <f>Backlog!A223</f>
        <v/>
      </c>
      <c r="B222" s="97">
        <f>IFERROR(IF(ISBLANK(INDEX(Backlog[Requirement Name],MATCH($A223,Backlog[Requirement ID],0))),"",INDEX(Backlog[Requirement Name],MATCH($A223,Backlog[Requirement ID],0))),"")</f>
        <v/>
      </c>
      <c r="C222" s="92">
        <f>IFERROR(IF(ISBLANK(INDEX(Backlog[Stream],MATCH($A223,Backlog[Requirement ID],0))),"",INDEX(Backlog[Stream],MATCH($A223,Backlog[Requirement ID],0))),"")</f>
        <v/>
      </c>
      <c r="D222" s="92">
        <f>IFERROR(IF(ISBLANK(INDEX(Backlog[Jira Link],MATCH($A223,Backlog[Requirement ID],0))),"",INDEX(Backlog[Jira Link],MATCH($A223,Backlog[Requirement ID],0))),"")</f>
        <v/>
      </c>
      <c r="E222" s="92">
        <f>IFERROR(IF(ISBLANK(INDEX(Backlog[Status],MATCH($A223,Backlog[Requirement ID],0))),"",INDEX(Backlog[Status],MATCH($A223,Backlog[Requirement ID],0))),"")</f>
        <v/>
      </c>
      <c r="F222" s="92">
        <f>IFERROR(IF(ISBLANK(INDEX(SprintPlanning[Sprint],MATCH($A223,SprintPlanning[Requirement ID],0))),"",INDEX(SprintPlanning[Sprint],MATCH($A223,SprintPlanning[Requirement ID],0))),"")</f>
        <v/>
      </c>
      <c r="H222" s="146" t="n"/>
      <c r="J222" s="92">
        <f>IFERROR(IF(ISBLANK(INDEX(Backlog[Priority],MATCH($A223,Backlog[Requirement ID],0))),"",INDEX(Backlog[Priority],MATCH($A223,Backlog[Requirement ID],0))),"")</f>
        <v/>
      </c>
    </row>
    <row r="223" hidden="1" ht="15" customHeight="1" s="93">
      <c r="A223" s="92">
        <f>Backlog!A224</f>
        <v/>
      </c>
      <c r="B223" s="97">
        <f>IFERROR(IF(ISBLANK(INDEX(Backlog[Requirement Name],MATCH($A224,Backlog[Requirement ID],0))),"",INDEX(Backlog[Requirement Name],MATCH($A224,Backlog[Requirement ID],0))),"")</f>
        <v/>
      </c>
      <c r="C223" s="92">
        <f>IFERROR(IF(ISBLANK(INDEX(Backlog[Stream],MATCH($A224,Backlog[Requirement ID],0))),"",INDEX(Backlog[Stream],MATCH($A224,Backlog[Requirement ID],0))),"")</f>
        <v/>
      </c>
      <c r="D223" s="92">
        <f>IFERROR(IF(ISBLANK(INDEX(Backlog[Jira Link],MATCH($A224,Backlog[Requirement ID],0))),"",INDEX(Backlog[Jira Link],MATCH($A224,Backlog[Requirement ID],0))),"")</f>
        <v/>
      </c>
      <c r="E223" s="92">
        <f>IFERROR(IF(ISBLANK(INDEX(Backlog[Status],MATCH($A224,Backlog[Requirement ID],0))),"",INDEX(Backlog[Status],MATCH($A224,Backlog[Requirement ID],0))),"")</f>
        <v/>
      </c>
      <c r="F223" s="92">
        <f>IFERROR(IF(ISBLANK(INDEX(SprintPlanning[Sprint],MATCH($A224,SprintPlanning[Requirement ID],0))),"",INDEX(SprintPlanning[Sprint],MATCH($A224,SprintPlanning[Requirement ID],0))),"")</f>
        <v/>
      </c>
      <c r="H223" s="146" t="n"/>
      <c r="J223" s="92">
        <f>IFERROR(IF(ISBLANK(INDEX(Backlog[Priority],MATCH($A224,Backlog[Requirement ID],0))),"",INDEX(Backlog[Priority],MATCH($A224,Backlog[Requirement ID],0))),"")</f>
        <v/>
      </c>
    </row>
    <row r="224" hidden="1" ht="15" customHeight="1" s="93">
      <c r="A224" s="92">
        <f>Backlog!A225</f>
        <v/>
      </c>
      <c r="B224" s="97">
        <f>IFERROR(IF(ISBLANK(INDEX(Backlog[Requirement Name],MATCH($A225,Backlog[Requirement ID],0))),"",INDEX(Backlog[Requirement Name],MATCH($A225,Backlog[Requirement ID],0))),"")</f>
        <v/>
      </c>
      <c r="C224" s="92">
        <f>IFERROR(IF(ISBLANK(INDEX(Backlog[Stream],MATCH($A225,Backlog[Requirement ID],0))),"",INDEX(Backlog[Stream],MATCH($A225,Backlog[Requirement ID],0))),"")</f>
        <v/>
      </c>
      <c r="D224" s="92">
        <f>IFERROR(IF(ISBLANK(INDEX(Backlog[Jira Link],MATCH($A225,Backlog[Requirement ID],0))),"",INDEX(Backlog[Jira Link],MATCH($A225,Backlog[Requirement ID],0))),"")</f>
        <v/>
      </c>
      <c r="E224" s="92">
        <f>IFERROR(IF(ISBLANK(INDEX(Backlog[Status],MATCH($A225,Backlog[Requirement ID],0))),"",INDEX(Backlog[Status],MATCH($A225,Backlog[Requirement ID],0))),"")</f>
        <v/>
      </c>
      <c r="F224" s="92">
        <f>IFERROR(IF(ISBLANK(INDEX(SprintPlanning[Sprint],MATCH($A225,SprintPlanning[Requirement ID],0))),"",INDEX(SprintPlanning[Sprint],MATCH($A225,SprintPlanning[Requirement ID],0))),"")</f>
        <v/>
      </c>
      <c r="H224" s="146" t="n"/>
      <c r="J224" s="92">
        <f>IFERROR(IF(ISBLANK(INDEX(Backlog[Priority],MATCH($A225,Backlog[Requirement ID],0))),"",INDEX(Backlog[Priority],MATCH($A225,Backlog[Requirement ID],0))),"")</f>
        <v/>
      </c>
    </row>
    <row r="225" hidden="1" ht="15" customHeight="1" s="93">
      <c r="A225" s="92">
        <f>Backlog!A226</f>
        <v/>
      </c>
      <c r="B225" s="97">
        <f>IFERROR(IF(ISBLANK(INDEX(Backlog[Requirement Name],MATCH($A226,Backlog[Requirement ID],0))),"",INDEX(Backlog[Requirement Name],MATCH($A226,Backlog[Requirement ID],0))),"")</f>
        <v/>
      </c>
      <c r="C225" s="92">
        <f>IFERROR(IF(ISBLANK(INDEX(Backlog[Stream],MATCH($A226,Backlog[Requirement ID],0))),"",INDEX(Backlog[Stream],MATCH($A226,Backlog[Requirement ID],0))),"")</f>
        <v/>
      </c>
      <c r="D225" s="92">
        <f>IFERROR(IF(ISBLANK(INDEX(Backlog[Jira Link],MATCH($A226,Backlog[Requirement ID],0))),"",INDEX(Backlog[Jira Link],MATCH($A226,Backlog[Requirement ID],0))),"")</f>
        <v/>
      </c>
      <c r="E225" s="92">
        <f>IFERROR(IF(ISBLANK(INDEX(Backlog[Status],MATCH($A226,Backlog[Requirement ID],0))),"",INDEX(Backlog[Status],MATCH($A226,Backlog[Requirement ID],0))),"")</f>
        <v/>
      </c>
      <c r="F225" s="92">
        <f>IFERROR(IF(ISBLANK(INDEX(SprintPlanning[Sprint],MATCH($A226,SprintPlanning[Requirement ID],0))),"",INDEX(SprintPlanning[Sprint],MATCH($A226,SprintPlanning[Requirement ID],0))),"")</f>
        <v/>
      </c>
      <c r="H225" s="146" t="n"/>
      <c r="J225" s="92">
        <f>IFERROR(IF(ISBLANK(INDEX(Backlog[Priority],MATCH($A226,Backlog[Requirement ID],0))),"",INDEX(Backlog[Priority],MATCH($A226,Backlog[Requirement ID],0))),"")</f>
        <v/>
      </c>
    </row>
    <row r="226" hidden="1" ht="23.25" customHeight="1" s="93">
      <c r="A226" s="92">
        <f>Backlog!A227</f>
        <v/>
      </c>
      <c r="B226" s="97">
        <f>IFERROR(IF(ISBLANK(INDEX(Backlog[Requirement Name],MATCH($A227,Backlog[Requirement ID],0))),"",INDEX(Backlog[Requirement Name],MATCH($A227,Backlog[Requirement ID],0))),"")</f>
        <v/>
      </c>
      <c r="C226" s="92">
        <f>IFERROR(IF(ISBLANK(INDEX(Backlog[Stream],MATCH($A227,Backlog[Requirement ID],0))),"",INDEX(Backlog[Stream],MATCH($A227,Backlog[Requirement ID],0))),"")</f>
        <v/>
      </c>
      <c r="D226" s="92">
        <f>IFERROR(IF(ISBLANK(INDEX(Backlog[Jira Link],MATCH($A227,Backlog[Requirement ID],0))),"",INDEX(Backlog[Jira Link],MATCH($A227,Backlog[Requirement ID],0))),"")</f>
        <v/>
      </c>
      <c r="E226" s="92">
        <f>IFERROR(IF(ISBLANK(INDEX(Backlog[Status],MATCH($A227,Backlog[Requirement ID],0))),"",INDEX(Backlog[Status],MATCH($A227,Backlog[Requirement ID],0))),"")</f>
        <v/>
      </c>
      <c r="F226" s="92">
        <f>IFERROR(IF(ISBLANK(INDEX(SprintPlanning[Sprint],MATCH($A227,SprintPlanning[Requirement ID],0))),"",INDEX(SprintPlanning[Sprint],MATCH($A227,SprintPlanning[Requirement ID],0))),"")</f>
        <v/>
      </c>
      <c r="H226" s="146" t="n"/>
      <c r="J226" s="92">
        <f>IFERROR(IF(ISBLANK(INDEX(Backlog[Priority],MATCH($A227,Backlog[Requirement ID],0))),"",INDEX(Backlog[Priority],MATCH($A227,Backlog[Requirement ID],0))),"")</f>
        <v/>
      </c>
    </row>
    <row r="227" hidden="1" ht="15" customHeight="1" s="93">
      <c r="A227" s="92">
        <f>Backlog!A228</f>
        <v/>
      </c>
      <c r="B227" s="97">
        <f>IFERROR(IF(ISBLANK(INDEX(Backlog[Requirement Name],MATCH($A228,Backlog[Requirement ID],0))),"",INDEX(Backlog[Requirement Name],MATCH($A228,Backlog[Requirement ID],0))),"")</f>
        <v/>
      </c>
      <c r="C227" s="92">
        <f>IFERROR(IF(ISBLANK(INDEX(Backlog[Stream],MATCH($A228,Backlog[Requirement ID],0))),"",INDEX(Backlog[Stream],MATCH($A228,Backlog[Requirement ID],0))),"")</f>
        <v/>
      </c>
      <c r="D227" s="92">
        <f>IFERROR(IF(ISBLANK(INDEX(Backlog[Jira Link],MATCH($A228,Backlog[Requirement ID],0))),"",INDEX(Backlog[Jira Link],MATCH($A228,Backlog[Requirement ID],0))),"")</f>
        <v/>
      </c>
      <c r="E227" s="92">
        <f>IFERROR(IF(ISBLANK(INDEX(Backlog[Status],MATCH($A228,Backlog[Requirement ID],0))),"",INDEX(Backlog[Status],MATCH($A228,Backlog[Requirement ID],0))),"")</f>
        <v/>
      </c>
      <c r="F227" s="92">
        <f>IFERROR(IF(ISBLANK(INDEX(SprintPlanning[Sprint],MATCH($A228,SprintPlanning[Requirement ID],0))),"",INDEX(SprintPlanning[Sprint],MATCH($A228,SprintPlanning[Requirement ID],0))),"")</f>
        <v/>
      </c>
      <c r="H227" s="146" t="n"/>
      <c r="J227" s="92">
        <f>IFERROR(IF(ISBLANK(INDEX(Backlog[Priority],MATCH($A228,Backlog[Requirement ID],0))),"",INDEX(Backlog[Priority],MATCH($A228,Backlog[Requirement ID],0))),"")</f>
        <v/>
      </c>
    </row>
    <row r="228" hidden="1" ht="15" customHeight="1" s="93">
      <c r="A228" s="92">
        <f>Backlog!A229</f>
        <v/>
      </c>
      <c r="B228" s="97">
        <f>IFERROR(IF(ISBLANK(INDEX(Backlog[Requirement Name],MATCH($A229,Backlog[Requirement ID],0))),"",INDEX(Backlog[Requirement Name],MATCH($A229,Backlog[Requirement ID],0))),"")</f>
        <v/>
      </c>
      <c r="C228" s="92">
        <f>IFERROR(IF(ISBLANK(INDEX(Backlog[Stream],MATCH($A229,Backlog[Requirement ID],0))),"",INDEX(Backlog[Stream],MATCH($A229,Backlog[Requirement ID],0))),"")</f>
        <v/>
      </c>
      <c r="D228" s="92">
        <f>IFERROR(IF(ISBLANK(INDEX(Backlog[Jira Link],MATCH($A229,Backlog[Requirement ID],0))),"",INDEX(Backlog[Jira Link],MATCH($A229,Backlog[Requirement ID],0))),"")</f>
        <v/>
      </c>
      <c r="E228" s="92">
        <f>IFERROR(IF(ISBLANK(INDEX(Backlog[Status],MATCH($A229,Backlog[Requirement ID],0))),"",INDEX(Backlog[Status],MATCH($A229,Backlog[Requirement ID],0))),"")</f>
        <v/>
      </c>
      <c r="F228" s="92">
        <f>IFERROR(IF(ISBLANK(INDEX(SprintPlanning[Sprint],MATCH($A229,SprintPlanning[Requirement ID],0))),"",INDEX(SprintPlanning[Sprint],MATCH($A229,SprintPlanning[Requirement ID],0))),"")</f>
        <v/>
      </c>
      <c r="H228" s="146" t="n"/>
      <c r="J228" s="92">
        <f>IFERROR(IF(ISBLANK(INDEX(Backlog[Priority],MATCH($A229,Backlog[Requirement ID],0))),"",INDEX(Backlog[Priority],MATCH($A229,Backlog[Requirement ID],0))),"")</f>
        <v/>
      </c>
    </row>
    <row r="229" hidden="1" ht="15" customHeight="1" s="93">
      <c r="A229" s="92">
        <f>Backlog!A230</f>
        <v/>
      </c>
      <c r="B229" s="97">
        <f>IFERROR(IF(ISBLANK(INDEX(Backlog[Requirement Name],MATCH($A230,Backlog[Requirement ID],0))),"",INDEX(Backlog[Requirement Name],MATCH($A230,Backlog[Requirement ID],0))),"")</f>
        <v/>
      </c>
      <c r="C229" s="92">
        <f>IFERROR(IF(ISBLANK(INDEX(Backlog[Stream],MATCH($A230,Backlog[Requirement ID],0))),"",INDEX(Backlog[Stream],MATCH($A230,Backlog[Requirement ID],0))),"")</f>
        <v/>
      </c>
      <c r="D229" s="92">
        <f>IFERROR(IF(ISBLANK(INDEX(Backlog[Jira Link],MATCH($A230,Backlog[Requirement ID],0))),"",INDEX(Backlog[Jira Link],MATCH($A230,Backlog[Requirement ID],0))),"")</f>
        <v/>
      </c>
      <c r="E229" s="92">
        <f>IFERROR(IF(ISBLANK(INDEX(Backlog[Status],MATCH($A230,Backlog[Requirement ID],0))),"",INDEX(Backlog[Status],MATCH($A230,Backlog[Requirement ID],0))),"")</f>
        <v/>
      </c>
      <c r="F229" s="92">
        <f>IFERROR(IF(ISBLANK(INDEX(SprintPlanning[Sprint],MATCH($A230,SprintPlanning[Requirement ID],0))),"",INDEX(SprintPlanning[Sprint],MATCH($A230,SprintPlanning[Requirement ID],0))),"")</f>
        <v/>
      </c>
      <c r="H229" s="146" t="n"/>
      <c r="J229" s="92">
        <f>IFERROR(IF(ISBLANK(INDEX(Backlog[Priority],MATCH($A230,Backlog[Requirement ID],0))),"",INDEX(Backlog[Priority],MATCH($A230,Backlog[Requirement ID],0))),"")</f>
        <v/>
      </c>
    </row>
    <row r="230" hidden="1" ht="15" customHeight="1" s="93">
      <c r="A230" s="92">
        <f>Backlog!A231</f>
        <v/>
      </c>
      <c r="B230" s="97">
        <f>IFERROR(IF(ISBLANK(INDEX(Backlog[Requirement Name],MATCH($A231,Backlog[Requirement ID],0))),"",INDEX(Backlog[Requirement Name],MATCH($A231,Backlog[Requirement ID],0))),"")</f>
        <v/>
      </c>
      <c r="C230" s="92">
        <f>IFERROR(IF(ISBLANK(INDEX(Backlog[Stream],MATCH($A231,Backlog[Requirement ID],0))),"",INDEX(Backlog[Stream],MATCH($A231,Backlog[Requirement ID],0))),"")</f>
        <v/>
      </c>
      <c r="D230" s="92">
        <f>IFERROR(IF(ISBLANK(INDEX(Backlog[Jira Link],MATCH($A231,Backlog[Requirement ID],0))),"",INDEX(Backlog[Jira Link],MATCH($A231,Backlog[Requirement ID],0))),"")</f>
        <v/>
      </c>
      <c r="E230" s="92">
        <f>IFERROR(IF(ISBLANK(INDEX(Backlog[Status],MATCH($A231,Backlog[Requirement ID],0))),"",INDEX(Backlog[Status],MATCH($A231,Backlog[Requirement ID],0))),"")</f>
        <v/>
      </c>
      <c r="F230" s="92">
        <f>IFERROR(IF(ISBLANK(INDEX(SprintPlanning[Sprint],MATCH($A231,SprintPlanning[Requirement ID],0))),"",INDEX(SprintPlanning[Sprint],MATCH($A231,SprintPlanning[Requirement ID],0))),"")</f>
        <v/>
      </c>
      <c r="H230" s="146" t="n"/>
      <c r="J230" s="92">
        <f>IFERROR(IF(ISBLANK(INDEX(Backlog[Priority],MATCH($A231,Backlog[Requirement ID],0))),"",INDEX(Backlog[Priority],MATCH($A231,Backlog[Requirement ID],0))),"")</f>
        <v/>
      </c>
    </row>
    <row r="231" hidden="1" ht="15" customHeight="1" s="93">
      <c r="A231" s="92">
        <f>Backlog!A232</f>
        <v/>
      </c>
      <c r="B231" s="97">
        <f>IFERROR(IF(ISBLANK(INDEX(Backlog[Requirement Name],MATCH($A232,Backlog[Requirement ID],0))),"",INDEX(Backlog[Requirement Name],MATCH($A232,Backlog[Requirement ID],0))),"")</f>
        <v/>
      </c>
      <c r="C231" s="92">
        <f>IFERROR(IF(ISBLANK(INDEX(Backlog[Stream],MATCH($A232,Backlog[Requirement ID],0))),"",INDEX(Backlog[Stream],MATCH($A232,Backlog[Requirement ID],0))),"")</f>
        <v/>
      </c>
      <c r="D231" s="92">
        <f>IFERROR(IF(ISBLANK(INDEX(Backlog[Jira Link],MATCH($A232,Backlog[Requirement ID],0))),"",INDEX(Backlog[Jira Link],MATCH($A232,Backlog[Requirement ID],0))),"")</f>
        <v/>
      </c>
      <c r="E231" s="92">
        <f>IFERROR(IF(ISBLANK(INDEX(Backlog[Status],MATCH($A232,Backlog[Requirement ID],0))),"",INDEX(Backlog[Status],MATCH($A232,Backlog[Requirement ID],0))),"")</f>
        <v/>
      </c>
      <c r="F231" s="92">
        <f>IFERROR(IF(ISBLANK(INDEX(SprintPlanning[Sprint],MATCH($A232,SprintPlanning[Requirement ID],0))),"",INDEX(SprintPlanning[Sprint],MATCH($A232,SprintPlanning[Requirement ID],0))),"")</f>
        <v/>
      </c>
      <c r="H231" s="146" t="n"/>
      <c r="J231" s="92">
        <f>IFERROR(IF(ISBLANK(INDEX(Backlog[Priority],MATCH($A232,Backlog[Requirement ID],0))),"",INDEX(Backlog[Priority],MATCH($A232,Backlog[Requirement ID],0))),"")</f>
        <v/>
      </c>
    </row>
    <row r="232" hidden="1" ht="15" customHeight="1" s="93">
      <c r="A232" s="92">
        <f>Backlog!A233</f>
        <v/>
      </c>
      <c r="B232" s="97">
        <f>IFERROR(IF(ISBLANK(INDEX(Backlog[Requirement Name],MATCH($A233,Backlog[Requirement ID],0))),"",INDEX(Backlog[Requirement Name],MATCH($A233,Backlog[Requirement ID],0))),"")</f>
        <v/>
      </c>
      <c r="C232" s="92">
        <f>IFERROR(IF(ISBLANK(INDEX(Backlog[Stream],MATCH($A233,Backlog[Requirement ID],0))),"",INDEX(Backlog[Stream],MATCH($A233,Backlog[Requirement ID],0))),"")</f>
        <v/>
      </c>
      <c r="D232" s="92">
        <f>IFERROR(IF(ISBLANK(INDEX(Backlog[Jira Link],MATCH($A233,Backlog[Requirement ID],0))),"",INDEX(Backlog[Jira Link],MATCH($A233,Backlog[Requirement ID],0))),"")</f>
        <v/>
      </c>
      <c r="E232" s="92">
        <f>IFERROR(IF(ISBLANK(INDEX(Backlog[Status],MATCH($A233,Backlog[Requirement ID],0))),"",INDEX(Backlog[Status],MATCH($A233,Backlog[Requirement ID],0))),"")</f>
        <v/>
      </c>
      <c r="F232" s="92">
        <f>IFERROR(IF(ISBLANK(INDEX(SprintPlanning[Sprint],MATCH($A233,SprintPlanning[Requirement ID],0))),"",INDEX(SprintPlanning[Sprint],MATCH($A233,SprintPlanning[Requirement ID],0))),"")</f>
        <v/>
      </c>
      <c r="H232" s="146" t="n"/>
      <c r="J232" s="92">
        <f>IFERROR(IF(ISBLANK(INDEX(Backlog[Priority],MATCH($A233,Backlog[Requirement ID],0))),"",INDEX(Backlog[Priority],MATCH($A233,Backlog[Requirement ID],0))),"")</f>
        <v/>
      </c>
    </row>
    <row r="233" hidden="1" ht="15" customHeight="1" s="93">
      <c r="A233" s="92">
        <f>Backlog!A234</f>
        <v/>
      </c>
      <c r="B233" s="97">
        <f>IFERROR(IF(ISBLANK(INDEX(Backlog[Requirement Name],MATCH($A234,Backlog[Requirement ID],0))),"",INDEX(Backlog[Requirement Name],MATCH($A234,Backlog[Requirement ID],0))),"")</f>
        <v/>
      </c>
      <c r="C233" s="92">
        <f>IFERROR(IF(ISBLANK(INDEX(Backlog[Stream],MATCH($A234,Backlog[Requirement ID],0))),"",INDEX(Backlog[Stream],MATCH($A234,Backlog[Requirement ID],0))),"")</f>
        <v/>
      </c>
      <c r="D233" s="92">
        <f>IFERROR(IF(ISBLANK(INDEX(Backlog[Jira Link],MATCH($A234,Backlog[Requirement ID],0))),"",INDEX(Backlog[Jira Link],MATCH($A234,Backlog[Requirement ID],0))),"")</f>
        <v/>
      </c>
      <c r="E233" s="92">
        <f>IFERROR(IF(ISBLANK(INDEX(Backlog[Status],MATCH($A234,Backlog[Requirement ID],0))),"",INDEX(Backlog[Status],MATCH($A234,Backlog[Requirement ID],0))),"")</f>
        <v/>
      </c>
      <c r="F233" s="92">
        <f>IFERROR(IF(ISBLANK(INDEX(SprintPlanning[Sprint],MATCH($A234,SprintPlanning[Requirement ID],0))),"",INDEX(SprintPlanning[Sprint],MATCH($A234,SprintPlanning[Requirement ID],0))),"")</f>
        <v/>
      </c>
      <c r="H233" s="146" t="n"/>
      <c r="J233" s="92">
        <f>IFERROR(IF(ISBLANK(INDEX(Backlog[Priority],MATCH($A234,Backlog[Requirement ID],0))),"",INDEX(Backlog[Priority],MATCH($A234,Backlog[Requirement ID],0))),"")</f>
        <v/>
      </c>
    </row>
    <row r="234" hidden="1" ht="15" customHeight="1" s="93">
      <c r="A234" s="92">
        <f>Backlog!A235</f>
        <v/>
      </c>
      <c r="B234" s="97">
        <f>IFERROR(IF(ISBLANK(INDEX(Backlog[Requirement Name],MATCH($A235,Backlog[Requirement ID],0))),"",INDEX(Backlog[Requirement Name],MATCH($A235,Backlog[Requirement ID],0))),"")</f>
        <v/>
      </c>
      <c r="C234" s="92">
        <f>IFERROR(IF(ISBLANK(INDEX(Backlog[Stream],MATCH($A235,Backlog[Requirement ID],0))),"",INDEX(Backlog[Stream],MATCH($A235,Backlog[Requirement ID],0))),"")</f>
        <v/>
      </c>
      <c r="D234" s="92">
        <f>IFERROR(IF(ISBLANK(INDEX(Backlog[Jira Link],MATCH($A235,Backlog[Requirement ID],0))),"",INDEX(Backlog[Jira Link],MATCH($A235,Backlog[Requirement ID],0))),"")</f>
        <v/>
      </c>
      <c r="E234" s="92">
        <f>IFERROR(IF(ISBLANK(INDEX(Backlog[Status],MATCH($A235,Backlog[Requirement ID],0))),"",INDEX(Backlog[Status],MATCH($A235,Backlog[Requirement ID],0))),"")</f>
        <v/>
      </c>
      <c r="F234" s="92">
        <f>IFERROR(IF(ISBLANK(INDEX(SprintPlanning[Sprint],MATCH($A235,SprintPlanning[Requirement ID],0))),"",INDEX(SprintPlanning[Sprint],MATCH($A235,SprintPlanning[Requirement ID],0))),"")</f>
        <v/>
      </c>
      <c r="H234" s="146" t="n"/>
      <c r="J234" s="92">
        <f>IFERROR(IF(ISBLANK(INDEX(Backlog[Priority],MATCH($A235,Backlog[Requirement ID],0))),"",INDEX(Backlog[Priority],MATCH($A235,Backlog[Requirement ID],0))),"")</f>
        <v/>
      </c>
    </row>
    <row r="235" hidden="1" ht="15" customHeight="1" s="93">
      <c r="A235" s="92">
        <f>Backlog!A236</f>
        <v/>
      </c>
      <c r="B235" s="97">
        <f>IFERROR(IF(ISBLANK(INDEX(Backlog[Requirement Name],MATCH($A236,Backlog[Requirement ID],0))),"",INDEX(Backlog[Requirement Name],MATCH($A236,Backlog[Requirement ID],0))),"")</f>
        <v/>
      </c>
      <c r="C235" s="92">
        <f>IFERROR(IF(ISBLANK(INDEX(Backlog[Stream],MATCH($A236,Backlog[Requirement ID],0))),"",INDEX(Backlog[Stream],MATCH($A236,Backlog[Requirement ID],0))),"")</f>
        <v/>
      </c>
      <c r="D235" s="92">
        <f>IFERROR(IF(ISBLANK(INDEX(Backlog[Jira Link],MATCH($A236,Backlog[Requirement ID],0))),"",INDEX(Backlog[Jira Link],MATCH($A236,Backlog[Requirement ID],0))),"")</f>
        <v/>
      </c>
      <c r="E235" s="92">
        <f>IFERROR(IF(ISBLANK(INDEX(Backlog[Status],MATCH($A236,Backlog[Requirement ID],0))),"",INDEX(Backlog[Status],MATCH($A236,Backlog[Requirement ID],0))),"")</f>
        <v/>
      </c>
      <c r="F235" s="92">
        <f>IFERROR(IF(ISBLANK(INDEX(SprintPlanning[Sprint],MATCH($A236,SprintPlanning[Requirement ID],0))),"",INDEX(SprintPlanning[Sprint],MATCH($A236,SprintPlanning[Requirement ID],0))),"")</f>
        <v/>
      </c>
      <c r="H235" s="146" t="n"/>
      <c r="J235" s="92">
        <f>IFERROR(IF(ISBLANK(INDEX(Backlog[Priority],MATCH($A236,Backlog[Requirement ID],0))),"",INDEX(Backlog[Priority],MATCH($A236,Backlog[Requirement ID],0))),"")</f>
        <v/>
      </c>
    </row>
    <row r="236" hidden="1" ht="15" customHeight="1" s="93">
      <c r="A236" s="92">
        <f>Backlog!A237</f>
        <v/>
      </c>
      <c r="B236" s="97">
        <f>IFERROR(IF(ISBLANK(INDEX(Backlog[Requirement Name],MATCH($A237,Backlog[Requirement ID],0))),"",INDEX(Backlog[Requirement Name],MATCH($A237,Backlog[Requirement ID],0))),"")</f>
        <v/>
      </c>
      <c r="C236" s="92">
        <f>IFERROR(IF(ISBLANK(INDEX(Backlog[Stream],MATCH($A237,Backlog[Requirement ID],0))),"",INDEX(Backlog[Stream],MATCH($A237,Backlog[Requirement ID],0))),"")</f>
        <v/>
      </c>
      <c r="D236" s="92">
        <f>IFERROR(IF(ISBLANK(INDEX(Backlog[Jira Link],MATCH($A237,Backlog[Requirement ID],0))),"",INDEX(Backlog[Jira Link],MATCH($A237,Backlog[Requirement ID],0))),"")</f>
        <v/>
      </c>
      <c r="E236" s="92">
        <f>IFERROR(IF(ISBLANK(INDEX(Backlog[Status],MATCH($A237,Backlog[Requirement ID],0))),"",INDEX(Backlog[Status],MATCH($A237,Backlog[Requirement ID],0))),"")</f>
        <v/>
      </c>
      <c r="F236" s="92">
        <f>IFERROR(IF(ISBLANK(INDEX(SprintPlanning[Sprint],MATCH($A237,SprintPlanning[Requirement ID],0))),"",INDEX(SprintPlanning[Sprint],MATCH($A237,SprintPlanning[Requirement ID],0))),"")</f>
        <v/>
      </c>
      <c r="H236" s="146" t="n"/>
      <c r="J236" s="92">
        <f>IFERROR(IF(ISBLANK(INDEX(Backlog[Priority],MATCH($A237,Backlog[Requirement ID],0))),"",INDEX(Backlog[Priority],MATCH($A237,Backlog[Requirement ID],0))),"")</f>
        <v/>
      </c>
    </row>
    <row r="237" hidden="1" ht="15" customHeight="1" s="93">
      <c r="A237" s="92">
        <f>Backlog!A238</f>
        <v/>
      </c>
      <c r="B237" s="97">
        <f>IFERROR(IF(ISBLANK(INDEX(Backlog[Requirement Name],MATCH($A238,Backlog[Requirement ID],0))),"",INDEX(Backlog[Requirement Name],MATCH($A238,Backlog[Requirement ID],0))),"")</f>
        <v/>
      </c>
      <c r="C237" s="92">
        <f>IFERROR(IF(ISBLANK(INDEX(Backlog[Stream],MATCH($A238,Backlog[Requirement ID],0))),"",INDEX(Backlog[Stream],MATCH($A238,Backlog[Requirement ID],0))),"")</f>
        <v/>
      </c>
      <c r="D237" s="92">
        <f>IFERROR(IF(ISBLANK(INDEX(Backlog[Jira Link],MATCH($A238,Backlog[Requirement ID],0))),"",INDEX(Backlog[Jira Link],MATCH($A238,Backlog[Requirement ID],0))),"")</f>
        <v/>
      </c>
      <c r="E237" s="92">
        <f>IFERROR(IF(ISBLANK(INDEX(Backlog[Status],MATCH($A238,Backlog[Requirement ID],0))),"",INDEX(Backlog[Status],MATCH($A238,Backlog[Requirement ID],0))),"")</f>
        <v/>
      </c>
      <c r="F237" s="92">
        <f>IFERROR(IF(ISBLANK(INDEX(SprintPlanning[Sprint],MATCH($A238,SprintPlanning[Requirement ID],0))),"",INDEX(SprintPlanning[Sprint],MATCH($A238,SprintPlanning[Requirement ID],0))),"")</f>
        <v/>
      </c>
      <c r="H237" s="146" t="n"/>
      <c r="J237" s="92">
        <f>IFERROR(IF(ISBLANK(INDEX(Backlog[Priority],MATCH($A238,Backlog[Requirement ID],0))),"",INDEX(Backlog[Priority],MATCH($A238,Backlog[Requirement ID],0))),"")</f>
        <v/>
      </c>
    </row>
    <row r="238" hidden="1" ht="15" customHeight="1" s="93">
      <c r="A238" s="92">
        <f>Backlog!A239</f>
        <v/>
      </c>
      <c r="B238" s="97">
        <f>IFERROR(IF(ISBLANK(INDEX(Backlog[Requirement Name],MATCH($A239,Backlog[Requirement ID],0))),"",INDEX(Backlog[Requirement Name],MATCH($A239,Backlog[Requirement ID],0))),"")</f>
        <v/>
      </c>
      <c r="C238" s="92">
        <f>IFERROR(IF(ISBLANK(INDEX(Backlog[Stream],MATCH($A239,Backlog[Requirement ID],0))),"",INDEX(Backlog[Stream],MATCH($A239,Backlog[Requirement ID],0))),"")</f>
        <v/>
      </c>
      <c r="D238" s="92">
        <f>IFERROR(IF(ISBLANK(INDEX(Backlog[Jira Link],MATCH($A239,Backlog[Requirement ID],0))),"",INDEX(Backlog[Jira Link],MATCH($A239,Backlog[Requirement ID],0))),"")</f>
        <v/>
      </c>
      <c r="E238" s="92">
        <f>IFERROR(IF(ISBLANK(INDEX(Backlog[Status],MATCH($A239,Backlog[Requirement ID],0))),"",INDEX(Backlog[Status],MATCH($A239,Backlog[Requirement ID],0))),"")</f>
        <v/>
      </c>
      <c r="F238" s="92">
        <f>IFERROR(IF(ISBLANK(INDEX(SprintPlanning[Sprint],MATCH($A239,SprintPlanning[Requirement ID],0))),"",INDEX(SprintPlanning[Sprint],MATCH($A239,SprintPlanning[Requirement ID],0))),"")</f>
        <v/>
      </c>
      <c r="H238" s="146" t="n"/>
      <c r="J238" s="92">
        <f>IFERROR(IF(ISBLANK(INDEX(Backlog[Priority],MATCH($A239,Backlog[Requirement ID],0))),"",INDEX(Backlog[Priority],MATCH($A239,Backlog[Requirement ID],0))),"")</f>
        <v/>
      </c>
    </row>
    <row r="239" hidden="1" ht="15" customHeight="1" s="93">
      <c r="A239" s="92">
        <f>Backlog!A240</f>
        <v/>
      </c>
      <c r="B239" s="97">
        <f>IFERROR(IF(ISBLANK(INDEX(Backlog[Requirement Name],MATCH($A240,Backlog[Requirement ID],0))),"",INDEX(Backlog[Requirement Name],MATCH($A240,Backlog[Requirement ID],0))),"")</f>
        <v/>
      </c>
      <c r="C239" s="92">
        <f>IFERROR(IF(ISBLANK(INDEX(Backlog[Stream],MATCH($A240,Backlog[Requirement ID],0))),"",INDEX(Backlog[Stream],MATCH($A240,Backlog[Requirement ID],0))),"")</f>
        <v/>
      </c>
      <c r="D239" s="92">
        <f>IFERROR(IF(ISBLANK(INDEX(Backlog[Jira Link],MATCH($A240,Backlog[Requirement ID],0))),"",INDEX(Backlog[Jira Link],MATCH($A240,Backlog[Requirement ID],0))),"")</f>
        <v/>
      </c>
      <c r="E239" s="92">
        <f>IFERROR(IF(ISBLANK(INDEX(Backlog[Status],MATCH($A240,Backlog[Requirement ID],0))),"",INDEX(Backlog[Status],MATCH($A240,Backlog[Requirement ID],0))),"")</f>
        <v/>
      </c>
      <c r="F239" s="92">
        <f>IFERROR(IF(ISBLANK(INDEX(SprintPlanning[Sprint],MATCH($A240,SprintPlanning[Requirement ID],0))),"",INDEX(SprintPlanning[Sprint],MATCH($A240,SprintPlanning[Requirement ID],0))),"")</f>
        <v/>
      </c>
      <c r="H239" s="146" t="n"/>
      <c r="J239" s="92">
        <f>IFERROR(IF(ISBLANK(INDEX(Backlog[Priority],MATCH($A240,Backlog[Requirement ID],0))),"",INDEX(Backlog[Priority],MATCH($A240,Backlog[Requirement ID],0))),"")</f>
        <v/>
      </c>
    </row>
    <row r="240" hidden="1" ht="15" customHeight="1" s="93">
      <c r="A240" s="92">
        <f>Backlog!A241</f>
        <v/>
      </c>
      <c r="B240" s="97">
        <f>IFERROR(IF(ISBLANK(INDEX(Backlog[Requirement Name],MATCH($A241,Backlog[Requirement ID],0))),"",INDEX(Backlog[Requirement Name],MATCH($A241,Backlog[Requirement ID],0))),"")</f>
        <v/>
      </c>
      <c r="C240" s="92">
        <f>IFERROR(IF(ISBLANK(INDEX(Backlog[Stream],MATCH($A241,Backlog[Requirement ID],0))),"",INDEX(Backlog[Stream],MATCH($A241,Backlog[Requirement ID],0))),"")</f>
        <v/>
      </c>
      <c r="D240" s="92">
        <f>IFERROR(IF(ISBLANK(INDEX(Backlog[Jira Link],MATCH($A241,Backlog[Requirement ID],0))),"",INDEX(Backlog[Jira Link],MATCH($A241,Backlog[Requirement ID],0))),"")</f>
        <v/>
      </c>
      <c r="E240" s="92">
        <f>IFERROR(IF(ISBLANK(INDEX(Backlog[Status],MATCH($A241,Backlog[Requirement ID],0))),"",INDEX(Backlog[Status],MATCH($A241,Backlog[Requirement ID],0))),"")</f>
        <v/>
      </c>
      <c r="F240" s="92">
        <f>IFERROR(IF(ISBLANK(INDEX(SprintPlanning[Sprint],MATCH($A241,SprintPlanning[Requirement ID],0))),"",INDEX(SprintPlanning[Sprint],MATCH($A241,SprintPlanning[Requirement ID],0))),"")</f>
        <v/>
      </c>
      <c r="H240" s="146" t="n"/>
      <c r="J240" s="92">
        <f>IFERROR(IF(ISBLANK(INDEX(Backlog[Priority],MATCH($A241,Backlog[Requirement ID],0))),"",INDEX(Backlog[Priority],MATCH($A241,Backlog[Requirement ID],0))),"")</f>
        <v/>
      </c>
    </row>
    <row r="241" hidden="1" ht="15" customHeight="1" s="93">
      <c r="A241" s="92">
        <f>Backlog!A242</f>
        <v/>
      </c>
      <c r="B241" s="97">
        <f>IFERROR(IF(ISBLANK(INDEX(Backlog[Requirement Name],MATCH($A242,Backlog[Requirement ID],0))),"",INDEX(Backlog[Requirement Name],MATCH($A242,Backlog[Requirement ID],0))),"")</f>
        <v/>
      </c>
      <c r="C241" s="92">
        <f>IFERROR(IF(ISBLANK(INDEX(Backlog[Stream],MATCH($A242,Backlog[Requirement ID],0))),"",INDEX(Backlog[Stream],MATCH($A242,Backlog[Requirement ID],0))),"")</f>
        <v/>
      </c>
      <c r="D241" s="92">
        <f>IFERROR(IF(ISBLANK(INDEX(Backlog[Jira Link],MATCH($A242,Backlog[Requirement ID],0))),"",INDEX(Backlog[Jira Link],MATCH($A242,Backlog[Requirement ID],0))),"")</f>
        <v/>
      </c>
      <c r="E241" s="92">
        <f>IFERROR(IF(ISBLANK(INDEX(Backlog[Status],MATCH($A242,Backlog[Requirement ID],0))),"",INDEX(Backlog[Status],MATCH($A242,Backlog[Requirement ID],0))),"")</f>
        <v/>
      </c>
      <c r="F241" s="92">
        <f>IFERROR(IF(ISBLANK(INDEX(SprintPlanning[Sprint],MATCH($A242,SprintPlanning[Requirement ID],0))),"",INDEX(SprintPlanning[Sprint],MATCH($A242,SprintPlanning[Requirement ID],0))),"")</f>
        <v/>
      </c>
      <c r="H241" s="146" t="n"/>
      <c r="J241" s="92">
        <f>IFERROR(IF(ISBLANK(INDEX(Backlog[Priority],MATCH($A242,Backlog[Requirement ID],0))),"",INDEX(Backlog[Priority],MATCH($A242,Backlog[Requirement ID],0))),"")</f>
        <v/>
      </c>
    </row>
    <row r="242" hidden="1" ht="15" customHeight="1" s="93">
      <c r="A242" s="92">
        <f>Backlog!A243</f>
        <v/>
      </c>
      <c r="B242" s="97">
        <f>IFERROR(IF(ISBLANK(INDEX(Backlog[Requirement Name],MATCH($A243,Backlog[Requirement ID],0))),"",INDEX(Backlog[Requirement Name],MATCH($A243,Backlog[Requirement ID],0))),"")</f>
        <v/>
      </c>
      <c r="C242" s="92">
        <f>IFERROR(IF(ISBLANK(INDEX(Backlog[Stream],MATCH($A243,Backlog[Requirement ID],0))),"",INDEX(Backlog[Stream],MATCH($A243,Backlog[Requirement ID],0))),"")</f>
        <v/>
      </c>
      <c r="D242" s="92">
        <f>IFERROR(IF(ISBLANK(INDEX(Backlog[Jira Link],MATCH($A243,Backlog[Requirement ID],0))),"",INDEX(Backlog[Jira Link],MATCH($A243,Backlog[Requirement ID],0))),"")</f>
        <v/>
      </c>
      <c r="E242" s="92">
        <f>IFERROR(IF(ISBLANK(INDEX(Backlog[Status],MATCH($A243,Backlog[Requirement ID],0))),"",INDEX(Backlog[Status],MATCH($A243,Backlog[Requirement ID],0))),"")</f>
        <v/>
      </c>
      <c r="F242" s="92">
        <f>IFERROR(IF(ISBLANK(INDEX(SprintPlanning[Sprint],MATCH($A243,SprintPlanning[Requirement ID],0))),"",INDEX(SprintPlanning[Sprint],MATCH($A243,SprintPlanning[Requirement ID],0))),"")</f>
        <v/>
      </c>
      <c r="H242" s="146" t="n"/>
      <c r="J242" s="92">
        <f>IFERROR(IF(ISBLANK(INDEX(Backlog[Priority],MATCH($A243,Backlog[Requirement ID],0))),"",INDEX(Backlog[Priority],MATCH($A243,Backlog[Requirement ID],0))),"")</f>
        <v/>
      </c>
    </row>
    <row r="243" hidden="1" ht="15" customHeight="1" s="93">
      <c r="A243" s="92">
        <f>Backlog!A244</f>
        <v/>
      </c>
      <c r="B243" s="97">
        <f>IFERROR(IF(ISBLANK(INDEX(Backlog[Requirement Name],MATCH($A244,Backlog[Requirement ID],0))),"",INDEX(Backlog[Requirement Name],MATCH($A244,Backlog[Requirement ID],0))),"")</f>
        <v/>
      </c>
      <c r="C243" s="92">
        <f>IFERROR(IF(ISBLANK(INDEX(Backlog[Stream],MATCH($A244,Backlog[Requirement ID],0))),"",INDEX(Backlog[Stream],MATCH($A244,Backlog[Requirement ID],0))),"")</f>
        <v/>
      </c>
      <c r="D243" s="92">
        <f>IFERROR(IF(ISBLANK(INDEX(Backlog[Jira Link],MATCH($A244,Backlog[Requirement ID],0))),"",INDEX(Backlog[Jira Link],MATCH($A244,Backlog[Requirement ID],0))),"")</f>
        <v/>
      </c>
      <c r="E243" s="92">
        <f>IFERROR(IF(ISBLANK(INDEX(Backlog[Status],MATCH($A244,Backlog[Requirement ID],0))),"",INDEX(Backlog[Status],MATCH($A244,Backlog[Requirement ID],0))),"")</f>
        <v/>
      </c>
      <c r="F243" s="92">
        <f>IFERROR(IF(ISBLANK(INDEX(SprintPlanning[Sprint],MATCH($A244,SprintPlanning[Requirement ID],0))),"",INDEX(SprintPlanning[Sprint],MATCH($A244,SprintPlanning[Requirement ID],0))),"")</f>
        <v/>
      </c>
      <c r="H243" s="146" t="n"/>
      <c r="J243" s="92">
        <f>IFERROR(IF(ISBLANK(INDEX(Backlog[Priority],MATCH($A244,Backlog[Requirement ID],0))),"",INDEX(Backlog[Priority],MATCH($A244,Backlog[Requirement ID],0))),"")</f>
        <v/>
      </c>
    </row>
    <row r="244" hidden="1" ht="15" customHeight="1" s="93">
      <c r="A244" s="92">
        <f>Backlog!A245</f>
        <v/>
      </c>
      <c r="B244" s="97">
        <f>IFERROR(IF(ISBLANK(INDEX(Backlog[Requirement Name],MATCH($A245,Backlog[Requirement ID],0))),"",INDEX(Backlog[Requirement Name],MATCH($A245,Backlog[Requirement ID],0))),"")</f>
        <v/>
      </c>
      <c r="C244" s="92">
        <f>IFERROR(IF(ISBLANK(INDEX(Backlog[Stream],MATCH($A245,Backlog[Requirement ID],0))),"",INDEX(Backlog[Stream],MATCH($A245,Backlog[Requirement ID],0))),"")</f>
        <v/>
      </c>
      <c r="D244" s="92">
        <f>IFERROR(IF(ISBLANK(INDEX(Backlog[Jira Link],MATCH($A245,Backlog[Requirement ID],0))),"",INDEX(Backlog[Jira Link],MATCH($A245,Backlog[Requirement ID],0))),"")</f>
        <v/>
      </c>
      <c r="E244" s="92">
        <f>IFERROR(IF(ISBLANK(INDEX(Backlog[Status],MATCH($A245,Backlog[Requirement ID],0))),"",INDEX(Backlog[Status],MATCH($A245,Backlog[Requirement ID],0))),"")</f>
        <v/>
      </c>
      <c r="F244" s="92">
        <f>IFERROR(IF(ISBLANK(INDEX(SprintPlanning[Sprint],MATCH($A245,SprintPlanning[Requirement ID],0))),"",INDEX(SprintPlanning[Sprint],MATCH($A245,SprintPlanning[Requirement ID],0))),"")</f>
        <v/>
      </c>
      <c r="H244" s="146" t="n"/>
      <c r="J244" s="92">
        <f>IFERROR(IF(ISBLANK(INDEX(Backlog[Priority],MATCH($A245,Backlog[Requirement ID],0))),"",INDEX(Backlog[Priority],MATCH($A245,Backlog[Requirement ID],0))),"")</f>
        <v/>
      </c>
    </row>
    <row r="245" hidden="1" ht="15" customHeight="1" s="93">
      <c r="A245" s="92">
        <f>Backlog!A246</f>
        <v/>
      </c>
      <c r="B245" s="97">
        <f>IFERROR(IF(ISBLANK(INDEX(Backlog[Requirement Name],MATCH($A246,Backlog[Requirement ID],0))),"",INDEX(Backlog[Requirement Name],MATCH($A246,Backlog[Requirement ID],0))),"")</f>
        <v/>
      </c>
      <c r="C245" s="92">
        <f>IFERROR(IF(ISBLANK(INDEX(Backlog[Stream],MATCH($A246,Backlog[Requirement ID],0))),"",INDEX(Backlog[Stream],MATCH($A246,Backlog[Requirement ID],0))),"")</f>
        <v/>
      </c>
      <c r="D245" s="92">
        <f>IFERROR(IF(ISBLANK(INDEX(Backlog[Jira Link],MATCH($A246,Backlog[Requirement ID],0))),"",INDEX(Backlog[Jira Link],MATCH($A246,Backlog[Requirement ID],0))),"")</f>
        <v/>
      </c>
      <c r="E245" s="92">
        <f>IFERROR(IF(ISBLANK(INDEX(Backlog[Status],MATCH($A246,Backlog[Requirement ID],0))),"",INDEX(Backlog[Status],MATCH($A246,Backlog[Requirement ID],0))),"")</f>
        <v/>
      </c>
      <c r="F245" s="92">
        <f>IFERROR(IF(ISBLANK(INDEX(SprintPlanning[Sprint],MATCH($A246,SprintPlanning[Requirement ID],0))),"",INDEX(SprintPlanning[Sprint],MATCH($A246,SprintPlanning[Requirement ID],0))),"")</f>
        <v/>
      </c>
      <c r="H245" s="146" t="n"/>
      <c r="J245" s="92">
        <f>IFERROR(IF(ISBLANK(INDEX(Backlog[Priority],MATCH($A246,Backlog[Requirement ID],0))),"",INDEX(Backlog[Priority],MATCH($A246,Backlog[Requirement ID],0))),"")</f>
        <v/>
      </c>
    </row>
    <row r="246" hidden="1" ht="15" customHeight="1" s="93">
      <c r="A246" s="92">
        <f>Backlog!A247</f>
        <v/>
      </c>
      <c r="B246" s="97">
        <f>IFERROR(IF(ISBLANK(INDEX(Backlog[Requirement Name],MATCH($A247,Backlog[Requirement ID],0))),"",INDEX(Backlog[Requirement Name],MATCH($A247,Backlog[Requirement ID],0))),"")</f>
        <v/>
      </c>
      <c r="C246" s="92">
        <f>IFERROR(IF(ISBLANK(INDEX(Backlog[Stream],MATCH($A247,Backlog[Requirement ID],0))),"",INDEX(Backlog[Stream],MATCH($A247,Backlog[Requirement ID],0))),"")</f>
        <v/>
      </c>
      <c r="D246" s="92">
        <f>IFERROR(IF(ISBLANK(INDEX(Backlog[Jira Link],MATCH($A247,Backlog[Requirement ID],0))),"",INDEX(Backlog[Jira Link],MATCH($A247,Backlog[Requirement ID],0))),"")</f>
        <v/>
      </c>
      <c r="E246" s="92">
        <f>IFERROR(IF(ISBLANK(INDEX(Backlog[Status],MATCH($A247,Backlog[Requirement ID],0))),"",INDEX(Backlog[Status],MATCH($A247,Backlog[Requirement ID],0))),"")</f>
        <v/>
      </c>
      <c r="F246" s="92">
        <f>IFERROR(IF(ISBLANK(INDEX(SprintPlanning[Sprint],MATCH($A247,SprintPlanning[Requirement ID],0))),"",INDEX(SprintPlanning[Sprint],MATCH($A247,SprintPlanning[Requirement ID],0))),"")</f>
        <v/>
      </c>
      <c r="H246" s="146" t="n"/>
      <c r="J246" s="92">
        <f>IFERROR(IF(ISBLANK(INDEX(Backlog[Priority],MATCH($A247,Backlog[Requirement ID],0))),"",INDEX(Backlog[Priority],MATCH($A247,Backlog[Requirement ID],0))),"")</f>
        <v/>
      </c>
    </row>
    <row r="247" hidden="1" ht="15" customHeight="1" s="93">
      <c r="A247" s="92">
        <f>Backlog!A248</f>
        <v/>
      </c>
      <c r="B247" s="97">
        <f>IFERROR(IF(ISBLANK(INDEX(Backlog[Requirement Name],MATCH($A248,Backlog[Requirement ID],0))),"",INDEX(Backlog[Requirement Name],MATCH($A248,Backlog[Requirement ID],0))),"")</f>
        <v/>
      </c>
      <c r="C247" s="92">
        <f>IFERROR(IF(ISBLANK(INDEX(Backlog[Stream],MATCH($A248,Backlog[Requirement ID],0))),"",INDEX(Backlog[Stream],MATCH($A248,Backlog[Requirement ID],0))),"")</f>
        <v/>
      </c>
      <c r="D247" s="92">
        <f>IFERROR(IF(ISBLANK(INDEX(Backlog[Jira Link],MATCH($A248,Backlog[Requirement ID],0))),"",INDEX(Backlog[Jira Link],MATCH($A248,Backlog[Requirement ID],0))),"")</f>
        <v/>
      </c>
      <c r="E247" s="92">
        <f>IFERROR(IF(ISBLANK(INDEX(Backlog[Status],MATCH($A248,Backlog[Requirement ID],0))),"",INDEX(Backlog[Status],MATCH($A248,Backlog[Requirement ID],0))),"")</f>
        <v/>
      </c>
      <c r="F247" s="92">
        <f>IFERROR(IF(ISBLANK(INDEX(SprintPlanning[Sprint],MATCH($A248,SprintPlanning[Requirement ID],0))),"",INDEX(SprintPlanning[Sprint],MATCH($A248,SprintPlanning[Requirement ID],0))),"")</f>
        <v/>
      </c>
      <c r="H247" s="146" t="n"/>
      <c r="J247" s="92">
        <f>IFERROR(IF(ISBLANK(INDEX(Backlog[Priority],MATCH($A248,Backlog[Requirement ID],0))),"",INDEX(Backlog[Priority],MATCH($A248,Backlog[Requirement ID],0))),"")</f>
        <v/>
      </c>
    </row>
    <row r="248" hidden="1" ht="15" customHeight="1" s="93">
      <c r="A248" s="92">
        <f>Backlog!A249</f>
        <v/>
      </c>
      <c r="B248" s="97">
        <f>IFERROR(IF(ISBLANK(INDEX(Backlog[Requirement Name],MATCH($A249,Backlog[Requirement ID],0))),"",INDEX(Backlog[Requirement Name],MATCH($A249,Backlog[Requirement ID],0))),"")</f>
        <v/>
      </c>
      <c r="C248" s="92">
        <f>IFERROR(IF(ISBLANK(INDEX(Backlog[Stream],MATCH($A249,Backlog[Requirement ID],0))),"",INDEX(Backlog[Stream],MATCH($A249,Backlog[Requirement ID],0))),"")</f>
        <v/>
      </c>
      <c r="D248" s="92">
        <f>IFERROR(IF(ISBLANK(INDEX(Backlog[Jira Link],MATCH($A249,Backlog[Requirement ID],0))),"",INDEX(Backlog[Jira Link],MATCH($A249,Backlog[Requirement ID],0))),"")</f>
        <v/>
      </c>
      <c r="E248" s="92">
        <f>IFERROR(IF(ISBLANK(INDEX(Backlog[Status],MATCH($A249,Backlog[Requirement ID],0))),"",INDEX(Backlog[Status],MATCH($A249,Backlog[Requirement ID],0))),"")</f>
        <v/>
      </c>
      <c r="F248" s="92">
        <f>IFERROR(IF(ISBLANK(INDEX(SprintPlanning[Sprint],MATCH($A249,SprintPlanning[Requirement ID],0))),"",INDEX(SprintPlanning[Sprint],MATCH($A249,SprintPlanning[Requirement ID],0))),"")</f>
        <v/>
      </c>
      <c r="H248" s="146" t="n"/>
      <c r="J248" s="92">
        <f>IFERROR(IF(ISBLANK(INDEX(Backlog[Priority],MATCH($A249,Backlog[Requirement ID],0))),"",INDEX(Backlog[Priority],MATCH($A249,Backlog[Requirement ID],0))),"")</f>
        <v/>
      </c>
    </row>
    <row r="249" hidden="1" ht="15" customHeight="1" s="93">
      <c r="A249" s="92">
        <f>Backlog!A250</f>
        <v/>
      </c>
      <c r="B249" s="97">
        <f>IFERROR(IF(ISBLANK(INDEX(Backlog[Requirement Name],MATCH($A250,Backlog[Requirement ID],0))),"",INDEX(Backlog[Requirement Name],MATCH($A250,Backlog[Requirement ID],0))),"")</f>
        <v/>
      </c>
      <c r="C249" s="92">
        <f>IFERROR(IF(ISBLANK(INDEX(Backlog[Stream],MATCH($A250,Backlog[Requirement ID],0))),"",INDEX(Backlog[Stream],MATCH($A250,Backlog[Requirement ID],0))),"")</f>
        <v/>
      </c>
      <c r="D249" s="92">
        <f>IFERROR(IF(ISBLANK(INDEX(Backlog[Jira Link],MATCH($A250,Backlog[Requirement ID],0))),"",INDEX(Backlog[Jira Link],MATCH($A250,Backlog[Requirement ID],0))),"")</f>
        <v/>
      </c>
      <c r="E249" s="92">
        <f>IFERROR(IF(ISBLANK(INDEX(Backlog[Status],MATCH($A250,Backlog[Requirement ID],0))),"",INDEX(Backlog[Status],MATCH($A250,Backlog[Requirement ID],0))),"")</f>
        <v/>
      </c>
      <c r="F249" s="92">
        <f>IFERROR(IF(ISBLANK(INDEX(SprintPlanning[Sprint],MATCH($A250,SprintPlanning[Requirement ID],0))),"",INDEX(SprintPlanning[Sprint],MATCH($A250,SprintPlanning[Requirement ID],0))),"")</f>
        <v/>
      </c>
      <c r="H249" s="146" t="n"/>
      <c r="J249" s="92">
        <f>IFERROR(IF(ISBLANK(INDEX(Backlog[Priority],MATCH($A250,Backlog[Requirement ID],0))),"",INDEX(Backlog[Priority],MATCH($A250,Backlog[Requirement ID],0))),"")</f>
        <v/>
      </c>
    </row>
    <row r="250" hidden="1" ht="15" customHeight="1" s="93">
      <c r="A250" s="92">
        <f>Backlog!A251</f>
        <v/>
      </c>
      <c r="B250" s="97">
        <f>IFERROR(IF(ISBLANK(INDEX(Backlog[Requirement Name],MATCH($A251,Backlog[Requirement ID],0))),"",INDEX(Backlog[Requirement Name],MATCH($A251,Backlog[Requirement ID],0))),"")</f>
        <v/>
      </c>
      <c r="C250" s="92">
        <f>IFERROR(IF(ISBLANK(INDEX(Backlog[Stream],MATCH($A251,Backlog[Requirement ID],0))),"",INDEX(Backlog[Stream],MATCH($A251,Backlog[Requirement ID],0))),"")</f>
        <v/>
      </c>
      <c r="D250" s="92">
        <f>IFERROR(IF(ISBLANK(INDEX(Backlog[Jira Link],MATCH($A251,Backlog[Requirement ID],0))),"",INDEX(Backlog[Jira Link],MATCH($A251,Backlog[Requirement ID],0))),"")</f>
        <v/>
      </c>
      <c r="E250" s="92">
        <f>IFERROR(IF(ISBLANK(INDEX(Backlog[Status],MATCH($A251,Backlog[Requirement ID],0))),"",INDEX(Backlog[Status],MATCH($A251,Backlog[Requirement ID],0))),"")</f>
        <v/>
      </c>
      <c r="F250" s="92">
        <f>IFERROR(IF(ISBLANK(INDEX(SprintPlanning[Sprint],MATCH($A251,SprintPlanning[Requirement ID],0))),"",INDEX(SprintPlanning[Sprint],MATCH($A251,SprintPlanning[Requirement ID],0))),"")</f>
        <v/>
      </c>
      <c r="H250" s="146" t="n"/>
      <c r="J250" s="92">
        <f>IFERROR(IF(ISBLANK(INDEX(Backlog[Priority],MATCH($A251,Backlog[Requirement ID],0))),"",INDEX(Backlog[Priority],MATCH($A251,Backlog[Requirement ID],0))),"")</f>
        <v/>
      </c>
    </row>
    <row r="251" hidden="1" ht="15" customHeight="1" s="93">
      <c r="A251" s="92">
        <f>Backlog!A252</f>
        <v/>
      </c>
      <c r="B251" s="97">
        <f>IFERROR(IF(ISBLANK(INDEX(Backlog[Requirement Name],MATCH($A252,Backlog[Requirement ID],0))),"",INDEX(Backlog[Requirement Name],MATCH($A252,Backlog[Requirement ID],0))),"")</f>
        <v/>
      </c>
      <c r="C251" s="92">
        <f>IFERROR(IF(ISBLANK(INDEX(Backlog[Stream],MATCH($A252,Backlog[Requirement ID],0))),"",INDEX(Backlog[Stream],MATCH($A252,Backlog[Requirement ID],0))),"")</f>
        <v/>
      </c>
      <c r="D251" s="92">
        <f>IFERROR(IF(ISBLANK(INDEX(Backlog[Jira Link],MATCH($A252,Backlog[Requirement ID],0))),"",INDEX(Backlog[Jira Link],MATCH($A252,Backlog[Requirement ID],0))),"")</f>
        <v/>
      </c>
      <c r="E251" s="92">
        <f>IFERROR(IF(ISBLANK(INDEX(Backlog[Status],MATCH($A252,Backlog[Requirement ID],0))),"",INDEX(Backlog[Status],MATCH($A252,Backlog[Requirement ID],0))),"")</f>
        <v/>
      </c>
      <c r="F251" s="92">
        <f>IFERROR(IF(ISBLANK(INDEX(SprintPlanning[Sprint],MATCH($A252,SprintPlanning[Requirement ID],0))),"",INDEX(SprintPlanning[Sprint],MATCH($A252,SprintPlanning[Requirement ID],0))),"")</f>
        <v/>
      </c>
      <c r="H251" s="146" t="n"/>
      <c r="J251" s="92">
        <f>IFERROR(IF(ISBLANK(INDEX(Backlog[Priority],MATCH($A252,Backlog[Requirement ID],0))),"",INDEX(Backlog[Priority],MATCH($A252,Backlog[Requirement ID],0))),"")</f>
        <v/>
      </c>
    </row>
    <row r="252" hidden="1" ht="15" customHeight="1" s="93">
      <c r="A252" s="92">
        <f>Backlog!A253</f>
        <v/>
      </c>
      <c r="B252" s="97">
        <f>IFERROR(IF(ISBLANK(INDEX(Backlog[Requirement Name],MATCH($A253,Backlog[Requirement ID],0))),"",INDEX(Backlog[Requirement Name],MATCH($A253,Backlog[Requirement ID],0))),"")</f>
        <v/>
      </c>
      <c r="C252" s="92">
        <f>IFERROR(IF(ISBLANK(INDEX(Backlog[Stream],MATCH($A253,Backlog[Requirement ID],0))),"",INDEX(Backlog[Stream],MATCH($A253,Backlog[Requirement ID],0))),"")</f>
        <v/>
      </c>
      <c r="D252" s="92">
        <f>IFERROR(IF(ISBLANK(INDEX(Backlog[Jira Link],MATCH($A253,Backlog[Requirement ID],0))),"",INDEX(Backlog[Jira Link],MATCH($A253,Backlog[Requirement ID],0))),"")</f>
        <v/>
      </c>
      <c r="E252" s="92">
        <f>IFERROR(IF(ISBLANK(INDEX(Backlog[Status],MATCH($A253,Backlog[Requirement ID],0))),"",INDEX(Backlog[Status],MATCH($A253,Backlog[Requirement ID],0))),"")</f>
        <v/>
      </c>
      <c r="F252" s="92">
        <f>IFERROR(IF(ISBLANK(INDEX(SprintPlanning[Sprint],MATCH($A253,SprintPlanning[Requirement ID],0))),"",INDEX(SprintPlanning[Sprint],MATCH($A253,SprintPlanning[Requirement ID],0))),"")</f>
        <v/>
      </c>
      <c r="H252" s="146" t="n"/>
      <c r="J252" s="92">
        <f>IFERROR(IF(ISBLANK(INDEX(Backlog[Priority],MATCH($A253,Backlog[Requirement ID],0))),"",INDEX(Backlog[Priority],MATCH($A253,Backlog[Requirement ID],0))),"")</f>
        <v/>
      </c>
    </row>
    <row r="253" hidden="1" ht="15" customHeight="1" s="93">
      <c r="A253" s="92">
        <f>Backlog!A254</f>
        <v/>
      </c>
      <c r="B253" s="97">
        <f>IFERROR(IF(ISBLANK(INDEX(Backlog[Requirement Name],MATCH($A254,Backlog[Requirement ID],0))),"",INDEX(Backlog[Requirement Name],MATCH($A254,Backlog[Requirement ID],0))),"")</f>
        <v/>
      </c>
      <c r="C253" s="92">
        <f>IFERROR(IF(ISBLANK(INDEX(Backlog[Stream],MATCH($A254,Backlog[Requirement ID],0))),"",INDEX(Backlog[Stream],MATCH($A254,Backlog[Requirement ID],0))),"")</f>
        <v/>
      </c>
      <c r="D253" s="92">
        <f>IFERROR(IF(ISBLANK(INDEX(Backlog[Jira Link],MATCH($A254,Backlog[Requirement ID],0))),"",INDEX(Backlog[Jira Link],MATCH($A254,Backlog[Requirement ID],0))),"")</f>
        <v/>
      </c>
      <c r="E253" s="92">
        <f>IFERROR(IF(ISBLANK(INDEX(Backlog[Status],MATCH($A254,Backlog[Requirement ID],0))),"",INDEX(Backlog[Status],MATCH($A254,Backlog[Requirement ID],0))),"")</f>
        <v/>
      </c>
      <c r="F253" s="92">
        <f>IFERROR(IF(ISBLANK(INDEX(SprintPlanning[Sprint],MATCH($A254,SprintPlanning[Requirement ID],0))),"",INDEX(SprintPlanning[Sprint],MATCH($A254,SprintPlanning[Requirement ID],0))),"")</f>
        <v/>
      </c>
      <c r="H253" s="146" t="n"/>
      <c r="J253" s="92">
        <f>IFERROR(IF(ISBLANK(INDEX(Backlog[Priority],MATCH($A254,Backlog[Requirement ID],0))),"",INDEX(Backlog[Priority],MATCH($A254,Backlog[Requirement ID],0))),"")</f>
        <v/>
      </c>
    </row>
    <row r="254" hidden="1" ht="15" customHeight="1" s="93">
      <c r="A254" s="92">
        <f>Backlog!A255</f>
        <v/>
      </c>
      <c r="B254" s="97">
        <f>IFERROR(IF(ISBLANK(INDEX(Backlog[Requirement Name],MATCH($A255,Backlog[Requirement ID],0))),"",INDEX(Backlog[Requirement Name],MATCH($A255,Backlog[Requirement ID],0))),"")</f>
        <v/>
      </c>
      <c r="C254" s="92">
        <f>IFERROR(IF(ISBLANK(INDEX(Backlog[Stream],MATCH($A255,Backlog[Requirement ID],0))),"",INDEX(Backlog[Stream],MATCH($A255,Backlog[Requirement ID],0))),"")</f>
        <v/>
      </c>
      <c r="D254" s="92">
        <f>IFERROR(IF(ISBLANK(INDEX(Backlog[Jira Link],MATCH($A255,Backlog[Requirement ID],0))),"",INDEX(Backlog[Jira Link],MATCH($A255,Backlog[Requirement ID],0))),"")</f>
        <v/>
      </c>
      <c r="E254" s="92">
        <f>IFERROR(IF(ISBLANK(INDEX(Backlog[Status],MATCH($A255,Backlog[Requirement ID],0))),"",INDEX(Backlog[Status],MATCH($A255,Backlog[Requirement ID],0))),"")</f>
        <v/>
      </c>
      <c r="F254" s="92">
        <f>IFERROR(IF(ISBLANK(INDEX(SprintPlanning[Sprint],MATCH($A255,SprintPlanning[Requirement ID],0))),"",INDEX(SprintPlanning[Sprint],MATCH($A255,SprintPlanning[Requirement ID],0))),"")</f>
        <v/>
      </c>
      <c r="H254" s="146" t="n"/>
      <c r="J254" s="92">
        <f>IFERROR(IF(ISBLANK(INDEX(Backlog[Priority],MATCH($A255,Backlog[Requirement ID],0))),"",INDEX(Backlog[Priority],MATCH($A255,Backlog[Requirement ID],0))),"")</f>
        <v/>
      </c>
    </row>
    <row r="255" hidden="1" ht="15" customHeight="1" s="93">
      <c r="A255" s="92">
        <f>Backlog!A256</f>
        <v/>
      </c>
      <c r="B255" s="97">
        <f>IFERROR(IF(ISBLANK(INDEX(Backlog[Requirement Name],MATCH($A256,Backlog[Requirement ID],0))),"",INDEX(Backlog[Requirement Name],MATCH($A256,Backlog[Requirement ID],0))),"")</f>
        <v/>
      </c>
      <c r="C255" s="92">
        <f>IFERROR(IF(ISBLANK(INDEX(Backlog[Stream],MATCH($A256,Backlog[Requirement ID],0))),"",INDEX(Backlog[Stream],MATCH($A256,Backlog[Requirement ID],0))),"")</f>
        <v/>
      </c>
      <c r="D255" s="92">
        <f>IFERROR(IF(ISBLANK(INDEX(Backlog[Jira Link],MATCH($A256,Backlog[Requirement ID],0))),"",INDEX(Backlog[Jira Link],MATCH($A256,Backlog[Requirement ID],0))),"")</f>
        <v/>
      </c>
      <c r="E255" s="92">
        <f>IFERROR(IF(ISBLANK(INDEX(Backlog[Status],MATCH($A256,Backlog[Requirement ID],0))),"",INDEX(Backlog[Status],MATCH($A256,Backlog[Requirement ID],0))),"")</f>
        <v/>
      </c>
      <c r="F255" s="92">
        <f>IFERROR(IF(ISBLANK(INDEX(SprintPlanning[Sprint],MATCH($A256,SprintPlanning[Requirement ID],0))),"",INDEX(SprintPlanning[Sprint],MATCH($A256,SprintPlanning[Requirement ID],0))),"")</f>
        <v/>
      </c>
      <c r="H255" s="146" t="n"/>
      <c r="J255" s="92">
        <f>IFERROR(IF(ISBLANK(INDEX(Backlog[Priority],MATCH($A256,Backlog[Requirement ID],0))),"",INDEX(Backlog[Priority],MATCH($A256,Backlog[Requirement ID],0))),"")</f>
        <v/>
      </c>
    </row>
    <row r="256" hidden="1" ht="15" customHeight="1" s="93">
      <c r="A256" s="92">
        <f>Backlog!A257</f>
        <v/>
      </c>
      <c r="B256" s="97">
        <f>IFERROR(IF(ISBLANK(INDEX(Backlog[Requirement Name],MATCH($A257,Backlog[Requirement ID],0))),"",INDEX(Backlog[Requirement Name],MATCH($A257,Backlog[Requirement ID],0))),"")</f>
        <v/>
      </c>
      <c r="C256" s="92">
        <f>IFERROR(IF(ISBLANK(INDEX(Backlog[Stream],MATCH($A257,Backlog[Requirement ID],0))),"",INDEX(Backlog[Stream],MATCH($A257,Backlog[Requirement ID],0))),"")</f>
        <v/>
      </c>
      <c r="D256" s="92">
        <f>IFERROR(IF(ISBLANK(INDEX(Backlog[Jira Link],MATCH($A257,Backlog[Requirement ID],0))),"",INDEX(Backlog[Jira Link],MATCH($A257,Backlog[Requirement ID],0))),"")</f>
        <v/>
      </c>
      <c r="E256" s="92">
        <f>IFERROR(IF(ISBLANK(INDEX(Backlog[Status],MATCH($A257,Backlog[Requirement ID],0))),"",INDEX(Backlog[Status],MATCH($A257,Backlog[Requirement ID],0))),"")</f>
        <v/>
      </c>
      <c r="F256" s="92">
        <f>IFERROR(IF(ISBLANK(INDEX(SprintPlanning[Sprint],MATCH($A257,SprintPlanning[Requirement ID],0))),"",INDEX(SprintPlanning[Sprint],MATCH($A257,SprintPlanning[Requirement ID],0))),"")</f>
        <v/>
      </c>
      <c r="H256" s="146" t="n"/>
      <c r="J256" s="92">
        <f>IFERROR(IF(ISBLANK(INDEX(Backlog[Priority],MATCH($A257,Backlog[Requirement ID],0))),"",INDEX(Backlog[Priority],MATCH($A257,Backlog[Requirement ID],0))),"")</f>
        <v/>
      </c>
    </row>
    <row r="257" hidden="1" ht="15" customHeight="1" s="93">
      <c r="A257" s="92">
        <f>Backlog!A258</f>
        <v/>
      </c>
      <c r="B257" s="97">
        <f>IFERROR(IF(ISBLANK(INDEX(Backlog[Requirement Name],MATCH($A258,Backlog[Requirement ID],0))),"",INDEX(Backlog[Requirement Name],MATCH($A258,Backlog[Requirement ID],0))),"")</f>
        <v/>
      </c>
      <c r="C257" s="92">
        <f>IFERROR(IF(ISBLANK(INDEX(Backlog[Stream],MATCH($A258,Backlog[Requirement ID],0))),"",INDEX(Backlog[Stream],MATCH($A258,Backlog[Requirement ID],0))),"")</f>
        <v/>
      </c>
      <c r="D257" s="92">
        <f>IFERROR(IF(ISBLANK(INDEX(Backlog[Jira Link],MATCH($A258,Backlog[Requirement ID],0))),"",INDEX(Backlog[Jira Link],MATCH($A258,Backlog[Requirement ID],0))),"")</f>
        <v/>
      </c>
      <c r="E257" s="92">
        <f>IFERROR(IF(ISBLANK(INDEX(Backlog[Status],MATCH($A258,Backlog[Requirement ID],0))),"",INDEX(Backlog[Status],MATCH($A258,Backlog[Requirement ID],0))),"")</f>
        <v/>
      </c>
      <c r="F257" s="92">
        <f>IFERROR(IF(ISBLANK(INDEX(SprintPlanning[Sprint],MATCH($A258,SprintPlanning[Requirement ID],0))),"",INDEX(SprintPlanning[Sprint],MATCH($A258,SprintPlanning[Requirement ID],0))),"")</f>
        <v/>
      </c>
      <c r="H257" s="146" t="n"/>
      <c r="J257" s="92">
        <f>IFERROR(IF(ISBLANK(INDEX(Backlog[Priority],MATCH($A258,Backlog[Requirement ID],0))),"",INDEX(Backlog[Priority],MATCH($A258,Backlog[Requirement ID],0))),"")</f>
        <v/>
      </c>
    </row>
    <row r="258" hidden="1" ht="15" customHeight="1" s="93">
      <c r="A258" s="92">
        <f>Backlog!A259</f>
        <v/>
      </c>
      <c r="B258" s="97">
        <f>IFERROR(IF(ISBLANK(INDEX(Backlog[Requirement Name],MATCH($A259,Backlog[Requirement ID],0))),"",INDEX(Backlog[Requirement Name],MATCH($A259,Backlog[Requirement ID],0))),"")</f>
        <v/>
      </c>
      <c r="C258" s="92">
        <f>IFERROR(IF(ISBLANK(INDEX(Backlog[Stream],MATCH($A259,Backlog[Requirement ID],0))),"",INDEX(Backlog[Stream],MATCH($A259,Backlog[Requirement ID],0))),"")</f>
        <v/>
      </c>
      <c r="D258" s="92">
        <f>IFERROR(IF(ISBLANK(INDEX(Backlog[Jira Link],MATCH($A259,Backlog[Requirement ID],0))),"",INDEX(Backlog[Jira Link],MATCH($A259,Backlog[Requirement ID],0))),"")</f>
        <v/>
      </c>
      <c r="E258" s="92">
        <f>IFERROR(IF(ISBLANK(INDEX(Backlog[Status],MATCH($A259,Backlog[Requirement ID],0))),"",INDEX(Backlog[Status],MATCH($A259,Backlog[Requirement ID],0))),"")</f>
        <v/>
      </c>
      <c r="F258" s="92">
        <f>IFERROR(IF(ISBLANK(INDEX(SprintPlanning[Sprint],MATCH($A259,SprintPlanning[Requirement ID],0))),"",INDEX(SprintPlanning[Sprint],MATCH($A259,SprintPlanning[Requirement ID],0))),"")</f>
        <v/>
      </c>
      <c r="H258" s="146" t="n"/>
      <c r="J258" s="92">
        <f>IFERROR(IF(ISBLANK(INDEX(Backlog[Priority],MATCH($A259,Backlog[Requirement ID],0))),"",INDEX(Backlog[Priority],MATCH($A259,Backlog[Requirement ID],0))),"")</f>
        <v/>
      </c>
    </row>
    <row r="259" hidden="1" ht="15" customHeight="1" s="93">
      <c r="A259" s="92">
        <f>Backlog!A260</f>
        <v/>
      </c>
      <c r="B259" s="97">
        <f>IFERROR(IF(ISBLANK(INDEX(Backlog[Requirement Name],MATCH($A260,Backlog[Requirement ID],0))),"",INDEX(Backlog[Requirement Name],MATCH($A260,Backlog[Requirement ID],0))),"")</f>
        <v/>
      </c>
      <c r="C259" s="92">
        <f>IFERROR(IF(ISBLANK(INDEX(Backlog[Stream],MATCH($A260,Backlog[Requirement ID],0))),"",INDEX(Backlog[Stream],MATCH($A260,Backlog[Requirement ID],0))),"")</f>
        <v/>
      </c>
      <c r="D259" s="92">
        <f>IFERROR(IF(ISBLANK(INDEX(Backlog[Jira Link],MATCH($A260,Backlog[Requirement ID],0))),"",INDEX(Backlog[Jira Link],MATCH($A260,Backlog[Requirement ID],0))),"")</f>
        <v/>
      </c>
      <c r="E259" s="92">
        <f>IFERROR(IF(ISBLANK(INDEX(Backlog[Status],MATCH($A260,Backlog[Requirement ID],0))),"",INDEX(Backlog[Status],MATCH($A260,Backlog[Requirement ID],0))),"")</f>
        <v/>
      </c>
      <c r="F259" s="92">
        <f>IFERROR(IF(ISBLANK(INDEX(SprintPlanning[Sprint],MATCH($A260,SprintPlanning[Requirement ID],0))),"",INDEX(SprintPlanning[Sprint],MATCH($A260,SprintPlanning[Requirement ID],0))),"")</f>
        <v/>
      </c>
      <c r="H259" s="146" t="n"/>
      <c r="J259" s="92">
        <f>IFERROR(IF(ISBLANK(INDEX(Backlog[Priority],MATCH($A260,Backlog[Requirement ID],0))),"",INDEX(Backlog[Priority],MATCH($A260,Backlog[Requirement ID],0))),"")</f>
        <v/>
      </c>
    </row>
    <row r="260" hidden="1" ht="15" customHeight="1" s="93">
      <c r="A260" s="92">
        <f>Backlog!A261</f>
        <v/>
      </c>
      <c r="B260" s="97">
        <f>IFERROR(IF(ISBLANK(INDEX(Backlog[Requirement Name],MATCH($A261,Backlog[Requirement ID],0))),"",INDEX(Backlog[Requirement Name],MATCH($A261,Backlog[Requirement ID],0))),"")</f>
        <v/>
      </c>
      <c r="C260" s="92">
        <f>IFERROR(IF(ISBLANK(INDEX(Backlog[Stream],MATCH($A261,Backlog[Requirement ID],0))),"",INDEX(Backlog[Stream],MATCH($A261,Backlog[Requirement ID],0))),"")</f>
        <v/>
      </c>
      <c r="D260" s="92">
        <f>IFERROR(IF(ISBLANK(INDEX(Backlog[Jira Link],MATCH($A261,Backlog[Requirement ID],0))),"",INDEX(Backlog[Jira Link],MATCH($A261,Backlog[Requirement ID],0))),"")</f>
        <v/>
      </c>
      <c r="E260" s="92">
        <f>IFERROR(IF(ISBLANK(INDEX(Backlog[Status],MATCH($A261,Backlog[Requirement ID],0))),"",INDEX(Backlog[Status],MATCH($A261,Backlog[Requirement ID],0))),"")</f>
        <v/>
      </c>
      <c r="F260" s="92">
        <f>IFERROR(IF(ISBLANK(INDEX(SprintPlanning[Sprint],MATCH($A261,SprintPlanning[Requirement ID],0))),"",INDEX(SprintPlanning[Sprint],MATCH($A261,SprintPlanning[Requirement ID],0))),"")</f>
        <v/>
      </c>
      <c r="H260" s="146" t="n"/>
      <c r="J260" s="92">
        <f>IFERROR(IF(ISBLANK(INDEX(Backlog[Priority],MATCH($A261,Backlog[Requirement ID],0))),"",INDEX(Backlog[Priority],MATCH($A261,Backlog[Requirement ID],0))),"")</f>
        <v/>
      </c>
    </row>
    <row r="261" hidden="1" ht="15" customHeight="1" s="93">
      <c r="A261" s="92">
        <f>Backlog!A262</f>
        <v/>
      </c>
      <c r="B261" s="97">
        <f>IFERROR(IF(ISBLANK(INDEX(Backlog[Requirement Name],MATCH($A262,Backlog[Requirement ID],0))),"",INDEX(Backlog[Requirement Name],MATCH($A262,Backlog[Requirement ID],0))),"")</f>
        <v/>
      </c>
      <c r="C261" s="92">
        <f>IFERROR(IF(ISBLANK(INDEX(Backlog[Stream],MATCH($A262,Backlog[Requirement ID],0))),"",INDEX(Backlog[Stream],MATCH($A262,Backlog[Requirement ID],0))),"")</f>
        <v/>
      </c>
      <c r="D261" s="92">
        <f>IFERROR(IF(ISBLANK(INDEX(Backlog[Jira Link],MATCH($A262,Backlog[Requirement ID],0))),"",INDEX(Backlog[Jira Link],MATCH($A262,Backlog[Requirement ID],0))),"")</f>
        <v/>
      </c>
      <c r="E261" s="92">
        <f>IFERROR(IF(ISBLANK(INDEX(Backlog[Status],MATCH($A262,Backlog[Requirement ID],0))),"",INDEX(Backlog[Status],MATCH($A262,Backlog[Requirement ID],0))),"")</f>
        <v/>
      </c>
      <c r="F261" s="92">
        <f>IFERROR(IF(ISBLANK(INDEX(SprintPlanning[Sprint],MATCH($A262,SprintPlanning[Requirement ID],0))),"",INDEX(SprintPlanning[Sprint],MATCH($A262,SprintPlanning[Requirement ID],0))),"")</f>
        <v/>
      </c>
      <c r="H261" s="146" t="n"/>
      <c r="J261" s="92">
        <f>IFERROR(IF(ISBLANK(INDEX(Backlog[Priority],MATCH($A262,Backlog[Requirement ID],0))),"",INDEX(Backlog[Priority],MATCH($A262,Backlog[Requirement ID],0))),"")</f>
        <v/>
      </c>
    </row>
    <row r="262" hidden="1" ht="15" customHeight="1" s="93">
      <c r="A262" s="92">
        <f>Backlog!A263</f>
        <v/>
      </c>
      <c r="B262" s="97">
        <f>IFERROR(IF(ISBLANK(INDEX(Backlog[Requirement Name],MATCH($A263,Backlog[Requirement ID],0))),"",INDEX(Backlog[Requirement Name],MATCH($A263,Backlog[Requirement ID],0))),"")</f>
        <v/>
      </c>
      <c r="C262" s="92">
        <f>IFERROR(IF(ISBLANK(INDEX(Backlog[Stream],MATCH($A263,Backlog[Requirement ID],0))),"",INDEX(Backlog[Stream],MATCH($A263,Backlog[Requirement ID],0))),"")</f>
        <v/>
      </c>
      <c r="D262" s="92">
        <f>IFERROR(IF(ISBLANK(INDEX(Backlog[Jira Link],MATCH($A263,Backlog[Requirement ID],0))),"",INDEX(Backlog[Jira Link],MATCH($A263,Backlog[Requirement ID],0))),"")</f>
        <v/>
      </c>
      <c r="E262" s="92">
        <f>IFERROR(IF(ISBLANK(INDEX(Backlog[Status],MATCH($A263,Backlog[Requirement ID],0))),"",INDEX(Backlog[Status],MATCH($A263,Backlog[Requirement ID],0))),"")</f>
        <v/>
      </c>
      <c r="F262" s="92">
        <f>IFERROR(IF(ISBLANK(INDEX(SprintPlanning[Sprint],MATCH($A263,SprintPlanning[Requirement ID],0))),"",INDEX(SprintPlanning[Sprint],MATCH($A263,SprintPlanning[Requirement ID],0))),"")</f>
        <v/>
      </c>
      <c r="H262" s="146" t="n"/>
      <c r="J262" s="92">
        <f>IFERROR(IF(ISBLANK(INDEX(Backlog[Priority],MATCH($A263,Backlog[Requirement ID],0))),"",INDEX(Backlog[Priority],MATCH($A263,Backlog[Requirement ID],0))),"")</f>
        <v/>
      </c>
    </row>
    <row r="263" hidden="1" ht="15" customHeight="1" s="93">
      <c r="A263" s="92">
        <f>Backlog!A264</f>
        <v/>
      </c>
      <c r="B263" s="97">
        <f>IFERROR(IF(ISBLANK(INDEX(Backlog[Requirement Name],MATCH($A264,Backlog[Requirement ID],0))),"",INDEX(Backlog[Requirement Name],MATCH($A264,Backlog[Requirement ID],0))),"")</f>
        <v/>
      </c>
      <c r="C263" s="92">
        <f>IFERROR(IF(ISBLANK(INDEX(Backlog[Stream],MATCH($A264,Backlog[Requirement ID],0))),"",INDEX(Backlog[Stream],MATCH($A264,Backlog[Requirement ID],0))),"")</f>
        <v/>
      </c>
      <c r="D263" s="92">
        <f>IFERROR(IF(ISBLANK(INDEX(Backlog[Jira Link],MATCH($A264,Backlog[Requirement ID],0))),"",INDEX(Backlog[Jira Link],MATCH($A264,Backlog[Requirement ID],0))),"")</f>
        <v/>
      </c>
      <c r="E263" s="92">
        <f>IFERROR(IF(ISBLANK(INDEX(Backlog[Status],MATCH($A264,Backlog[Requirement ID],0))),"",INDEX(Backlog[Status],MATCH($A264,Backlog[Requirement ID],0))),"")</f>
        <v/>
      </c>
      <c r="F263" s="92">
        <f>IFERROR(IF(ISBLANK(INDEX(SprintPlanning[Sprint],MATCH($A264,SprintPlanning[Requirement ID],0))),"",INDEX(SprintPlanning[Sprint],MATCH($A264,SprintPlanning[Requirement ID],0))),"")</f>
        <v/>
      </c>
      <c r="H263" s="146" t="n"/>
      <c r="J263" s="92">
        <f>IFERROR(IF(ISBLANK(INDEX(Backlog[Priority],MATCH($A264,Backlog[Requirement ID],0))),"",INDEX(Backlog[Priority],MATCH($A264,Backlog[Requirement ID],0))),"")</f>
        <v/>
      </c>
    </row>
    <row r="264" hidden="1" ht="15" customHeight="1" s="93">
      <c r="A264" s="92">
        <f>Backlog!A265</f>
        <v/>
      </c>
      <c r="B264" s="97">
        <f>IFERROR(IF(ISBLANK(INDEX(Backlog[Requirement Name],MATCH($A265,Backlog[Requirement ID],0))),"",INDEX(Backlog[Requirement Name],MATCH($A265,Backlog[Requirement ID],0))),"")</f>
        <v/>
      </c>
      <c r="C264" s="92">
        <f>IFERROR(IF(ISBLANK(INDEX(Backlog[Stream],MATCH($A265,Backlog[Requirement ID],0))),"",INDEX(Backlog[Stream],MATCH($A265,Backlog[Requirement ID],0))),"")</f>
        <v/>
      </c>
      <c r="D264" s="92">
        <f>IFERROR(IF(ISBLANK(INDEX(Backlog[Jira Link],MATCH($A265,Backlog[Requirement ID],0))),"",INDEX(Backlog[Jira Link],MATCH($A265,Backlog[Requirement ID],0))),"")</f>
        <v/>
      </c>
      <c r="E264" s="92">
        <f>IFERROR(IF(ISBLANK(INDEX(Backlog[Status],MATCH($A265,Backlog[Requirement ID],0))),"",INDEX(Backlog[Status],MATCH($A265,Backlog[Requirement ID],0))),"")</f>
        <v/>
      </c>
      <c r="F264" s="92">
        <f>IFERROR(IF(ISBLANK(INDEX(SprintPlanning[Sprint],MATCH($A265,SprintPlanning[Requirement ID],0))),"",INDEX(SprintPlanning[Sprint],MATCH($A265,SprintPlanning[Requirement ID],0))),"")</f>
        <v/>
      </c>
      <c r="H264" s="146" t="n"/>
      <c r="J264" s="92">
        <f>IFERROR(IF(ISBLANK(INDEX(Backlog[Priority],MATCH($A265,Backlog[Requirement ID],0))),"",INDEX(Backlog[Priority],MATCH($A265,Backlog[Requirement ID],0))),"")</f>
        <v/>
      </c>
    </row>
    <row r="265" hidden="1" ht="15" customHeight="1" s="93">
      <c r="A265" s="92">
        <f>Backlog!A266</f>
        <v/>
      </c>
      <c r="B265" s="97">
        <f>IFERROR(IF(ISBLANK(INDEX(Backlog[Requirement Name],MATCH($A266,Backlog[Requirement ID],0))),"",INDEX(Backlog[Requirement Name],MATCH($A266,Backlog[Requirement ID],0))),"")</f>
        <v/>
      </c>
      <c r="C265" s="92">
        <f>IFERROR(IF(ISBLANK(INDEX(Backlog[Stream],MATCH($A266,Backlog[Requirement ID],0))),"",INDEX(Backlog[Stream],MATCH($A266,Backlog[Requirement ID],0))),"")</f>
        <v/>
      </c>
      <c r="D265" s="92">
        <f>IFERROR(IF(ISBLANK(INDEX(Backlog[Jira Link],MATCH($A266,Backlog[Requirement ID],0))),"",INDEX(Backlog[Jira Link],MATCH($A266,Backlog[Requirement ID],0))),"")</f>
        <v/>
      </c>
      <c r="E265" s="92">
        <f>IFERROR(IF(ISBLANK(INDEX(Backlog[Status],MATCH($A266,Backlog[Requirement ID],0))),"",INDEX(Backlog[Status],MATCH($A266,Backlog[Requirement ID],0))),"")</f>
        <v/>
      </c>
      <c r="F265" s="92">
        <f>IFERROR(IF(ISBLANK(INDEX(SprintPlanning[Sprint],MATCH($A266,SprintPlanning[Requirement ID],0))),"",INDEX(SprintPlanning[Sprint],MATCH($A266,SprintPlanning[Requirement ID],0))),"")</f>
        <v/>
      </c>
      <c r="H265" s="146" t="n"/>
      <c r="J265" s="92">
        <f>IFERROR(IF(ISBLANK(INDEX(Backlog[Priority],MATCH($A266,Backlog[Requirement ID],0))),"",INDEX(Backlog[Priority],MATCH($A266,Backlog[Requirement ID],0))),"")</f>
        <v/>
      </c>
    </row>
    <row r="266" hidden="1" ht="15" customHeight="1" s="93">
      <c r="A266" s="92">
        <f>Backlog!A267</f>
        <v/>
      </c>
      <c r="B266" s="97">
        <f>IFERROR(IF(ISBLANK(INDEX(Backlog[Requirement Name],MATCH($A267,Backlog[Requirement ID],0))),"",INDEX(Backlog[Requirement Name],MATCH($A267,Backlog[Requirement ID],0))),"")</f>
        <v/>
      </c>
      <c r="C266" s="92">
        <f>IFERROR(IF(ISBLANK(INDEX(Backlog[Stream],MATCH($A267,Backlog[Requirement ID],0))),"",INDEX(Backlog[Stream],MATCH($A267,Backlog[Requirement ID],0))),"")</f>
        <v/>
      </c>
      <c r="D266" s="92">
        <f>IFERROR(IF(ISBLANK(INDEX(Backlog[Jira Link],MATCH($A267,Backlog[Requirement ID],0))),"",INDEX(Backlog[Jira Link],MATCH($A267,Backlog[Requirement ID],0))),"")</f>
        <v/>
      </c>
      <c r="E266" s="92">
        <f>IFERROR(IF(ISBLANK(INDEX(Backlog[Status],MATCH($A267,Backlog[Requirement ID],0))),"",INDEX(Backlog[Status],MATCH($A267,Backlog[Requirement ID],0))),"")</f>
        <v/>
      </c>
      <c r="F266" s="92">
        <f>IFERROR(IF(ISBLANK(INDEX(SprintPlanning[Sprint],MATCH($A267,SprintPlanning[Requirement ID],0))),"",INDEX(SprintPlanning[Sprint],MATCH($A267,SprintPlanning[Requirement ID],0))),"")</f>
        <v/>
      </c>
      <c r="H266" s="146" t="n"/>
      <c r="J266" s="92">
        <f>IFERROR(IF(ISBLANK(INDEX(Backlog[Priority],MATCH($A267,Backlog[Requirement ID],0))),"",INDEX(Backlog[Priority],MATCH($A267,Backlog[Requirement ID],0))),"")</f>
        <v/>
      </c>
    </row>
    <row r="267" hidden="1" ht="15" customHeight="1" s="93">
      <c r="A267" s="92">
        <f>Backlog!A268</f>
        <v/>
      </c>
      <c r="B267" s="97">
        <f>IFERROR(IF(ISBLANK(INDEX(Backlog[Requirement Name],MATCH($A268,Backlog[Requirement ID],0))),"",INDEX(Backlog[Requirement Name],MATCH($A268,Backlog[Requirement ID],0))),"")</f>
        <v/>
      </c>
      <c r="C267" s="92">
        <f>IFERROR(IF(ISBLANK(INDEX(Backlog[Stream],MATCH($A268,Backlog[Requirement ID],0))),"",INDEX(Backlog[Stream],MATCH($A268,Backlog[Requirement ID],0))),"")</f>
        <v/>
      </c>
      <c r="D267" s="92">
        <f>IFERROR(IF(ISBLANK(INDEX(Backlog[Jira Link],MATCH($A268,Backlog[Requirement ID],0))),"",INDEX(Backlog[Jira Link],MATCH($A268,Backlog[Requirement ID],0))),"")</f>
        <v/>
      </c>
      <c r="E267" s="92">
        <f>IFERROR(IF(ISBLANK(INDEX(Backlog[Status],MATCH($A268,Backlog[Requirement ID],0))),"",INDEX(Backlog[Status],MATCH($A268,Backlog[Requirement ID],0))),"")</f>
        <v/>
      </c>
      <c r="F267" s="92">
        <f>IFERROR(IF(ISBLANK(INDEX(SprintPlanning[Sprint],MATCH($A268,SprintPlanning[Requirement ID],0))),"",INDEX(SprintPlanning[Sprint],MATCH($A268,SprintPlanning[Requirement ID],0))),"")</f>
        <v/>
      </c>
      <c r="H267" s="146" t="n"/>
      <c r="J267" s="92">
        <f>IFERROR(IF(ISBLANK(INDEX(Backlog[Priority],MATCH($A268,Backlog[Requirement ID],0))),"",INDEX(Backlog[Priority],MATCH($A268,Backlog[Requirement ID],0))),"")</f>
        <v/>
      </c>
    </row>
    <row r="268" hidden="1" ht="15" customHeight="1" s="93">
      <c r="A268" s="92">
        <f>Backlog!A269</f>
        <v/>
      </c>
      <c r="B268" s="97">
        <f>IFERROR(IF(ISBLANK(INDEX(Backlog[Requirement Name],MATCH($A269,Backlog[Requirement ID],0))),"",INDEX(Backlog[Requirement Name],MATCH($A269,Backlog[Requirement ID],0))),"")</f>
        <v/>
      </c>
      <c r="C268" s="92">
        <f>IFERROR(IF(ISBLANK(INDEX(Backlog[Stream],MATCH($A269,Backlog[Requirement ID],0))),"",INDEX(Backlog[Stream],MATCH($A269,Backlog[Requirement ID],0))),"")</f>
        <v/>
      </c>
      <c r="D268" s="92">
        <f>IFERROR(IF(ISBLANK(INDEX(Backlog[Jira Link],MATCH($A269,Backlog[Requirement ID],0))),"",INDEX(Backlog[Jira Link],MATCH($A269,Backlog[Requirement ID],0))),"")</f>
        <v/>
      </c>
      <c r="E268" s="92">
        <f>IFERROR(IF(ISBLANK(INDEX(Backlog[Status],MATCH($A269,Backlog[Requirement ID],0))),"",INDEX(Backlog[Status],MATCH($A269,Backlog[Requirement ID],0))),"")</f>
        <v/>
      </c>
      <c r="F268" s="92">
        <f>IFERROR(IF(ISBLANK(INDEX(SprintPlanning[Sprint],MATCH($A269,SprintPlanning[Requirement ID],0))),"",INDEX(SprintPlanning[Sprint],MATCH($A269,SprintPlanning[Requirement ID],0))),"")</f>
        <v/>
      </c>
      <c r="H268" s="146" t="n"/>
      <c r="J268" s="92">
        <f>IFERROR(IF(ISBLANK(INDEX(Backlog[Priority],MATCH($A269,Backlog[Requirement ID],0))),"",INDEX(Backlog[Priority],MATCH($A269,Backlog[Requirement ID],0))),"")</f>
        <v/>
      </c>
    </row>
    <row r="269" hidden="1" ht="15" customHeight="1" s="93">
      <c r="A269" s="92">
        <f>Backlog!A270</f>
        <v/>
      </c>
      <c r="B269" s="97">
        <f>IFERROR(IF(ISBLANK(INDEX(Backlog[Requirement Name],MATCH($A270,Backlog[Requirement ID],0))),"",INDEX(Backlog[Requirement Name],MATCH($A270,Backlog[Requirement ID],0))),"")</f>
        <v/>
      </c>
      <c r="C269" s="92">
        <f>IFERROR(IF(ISBLANK(INDEX(Backlog[Stream],MATCH($A270,Backlog[Requirement ID],0))),"",INDEX(Backlog[Stream],MATCH($A270,Backlog[Requirement ID],0))),"")</f>
        <v/>
      </c>
      <c r="D269" s="92">
        <f>IFERROR(IF(ISBLANK(INDEX(Backlog[Jira Link],MATCH($A270,Backlog[Requirement ID],0))),"",INDEX(Backlog[Jira Link],MATCH($A270,Backlog[Requirement ID],0))),"")</f>
        <v/>
      </c>
      <c r="E269" s="92">
        <f>IFERROR(IF(ISBLANK(INDEX(Backlog[Status],MATCH($A270,Backlog[Requirement ID],0))),"",INDEX(Backlog[Status],MATCH($A270,Backlog[Requirement ID],0))),"")</f>
        <v/>
      </c>
      <c r="F269" s="92">
        <f>IFERROR(IF(ISBLANK(INDEX(SprintPlanning[Sprint],MATCH($A270,SprintPlanning[Requirement ID],0))),"",INDEX(SprintPlanning[Sprint],MATCH($A270,SprintPlanning[Requirement ID],0))),"")</f>
        <v/>
      </c>
      <c r="H269" s="146" t="n"/>
      <c r="J269" s="92">
        <f>IFERROR(IF(ISBLANK(INDEX(Backlog[Priority],MATCH($A270,Backlog[Requirement ID],0))),"",INDEX(Backlog[Priority],MATCH($A270,Backlog[Requirement ID],0))),"")</f>
        <v/>
      </c>
    </row>
    <row r="270" hidden="1" ht="15" customHeight="1" s="93">
      <c r="A270" s="92">
        <f>Backlog!A271</f>
        <v/>
      </c>
      <c r="B270" s="97">
        <f>IFERROR(IF(ISBLANK(INDEX(Backlog[Requirement Name],MATCH($A271,Backlog[Requirement ID],0))),"",INDEX(Backlog[Requirement Name],MATCH($A271,Backlog[Requirement ID],0))),"")</f>
        <v/>
      </c>
      <c r="C270" s="92">
        <f>IFERROR(IF(ISBLANK(INDEX(Backlog[Stream],MATCH($A271,Backlog[Requirement ID],0))),"",INDEX(Backlog[Stream],MATCH($A271,Backlog[Requirement ID],0))),"")</f>
        <v/>
      </c>
      <c r="D270" s="92">
        <f>IFERROR(IF(ISBLANK(INDEX(Backlog[Jira Link],MATCH($A271,Backlog[Requirement ID],0))),"",INDEX(Backlog[Jira Link],MATCH($A271,Backlog[Requirement ID],0))),"")</f>
        <v/>
      </c>
      <c r="E270" s="92">
        <f>IFERROR(IF(ISBLANK(INDEX(Backlog[Status],MATCH($A271,Backlog[Requirement ID],0))),"",INDEX(Backlog[Status],MATCH($A271,Backlog[Requirement ID],0))),"")</f>
        <v/>
      </c>
      <c r="F270" s="92">
        <f>IFERROR(IF(ISBLANK(INDEX(SprintPlanning[Sprint],MATCH($A271,SprintPlanning[Requirement ID],0))),"",INDEX(SprintPlanning[Sprint],MATCH($A271,SprintPlanning[Requirement ID],0))),"")</f>
        <v/>
      </c>
      <c r="H270" s="146" t="n"/>
      <c r="J270" s="92">
        <f>IFERROR(IF(ISBLANK(INDEX(Backlog[Priority],MATCH($A271,Backlog[Requirement ID],0))),"",INDEX(Backlog[Priority],MATCH($A271,Backlog[Requirement ID],0))),"")</f>
        <v/>
      </c>
    </row>
    <row r="271" hidden="1" ht="15" customHeight="1" s="93">
      <c r="A271" s="92">
        <f>Backlog!A272</f>
        <v/>
      </c>
      <c r="B271" s="97">
        <f>IFERROR(IF(ISBLANK(INDEX(Backlog[Requirement Name],MATCH($A272,Backlog[Requirement ID],0))),"",INDEX(Backlog[Requirement Name],MATCH($A272,Backlog[Requirement ID],0))),"")</f>
        <v/>
      </c>
      <c r="C271" s="92">
        <f>IFERROR(IF(ISBLANK(INDEX(Backlog[Stream],MATCH($A272,Backlog[Requirement ID],0))),"",INDEX(Backlog[Stream],MATCH($A272,Backlog[Requirement ID],0))),"")</f>
        <v/>
      </c>
      <c r="D271" s="92">
        <f>IFERROR(IF(ISBLANK(INDEX(Backlog[Jira Link],MATCH($A272,Backlog[Requirement ID],0))),"",INDEX(Backlog[Jira Link],MATCH($A272,Backlog[Requirement ID],0))),"")</f>
        <v/>
      </c>
      <c r="E271" s="92">
        <f>IFERROR(IF(ISBLANK(INDEX(Backlog[Status],MATCH($A272,Backlog[Requirement ID],0))),"",INDEX(Backlog[Status],MATCH($A272,Backlog[Requirement ID],0))),"")</f>
        <v/>
      </c>
      <c r="F271" s="92">
        <f>IFERROR(IF(ISBLANK(INDEX(SprintPlanning[Sprint],MATCH($A272,SprintPlanning[Requirement ID],0))),"",INDEX(SprintPlanning[Sprint],MATCH($A272,SprintPlanning[Requirement ID],0))),"")</f>
        <v/>
      </c>
      <c r="H271" s="146" t="n"/>
      <c r="J271" s="92">
        <f>IFERROR(IF(ISBLANK(INDEX(Backlog[Priority],MATCH($A272,Backlog[Requirement ID],0))),"",INDEX(Backlog[Priority],MATCH($A272,Backlog[Requirement ID],0))),"")</f>
        <v/>
      </c>
    </row>
    <row r="272" hidden="1" ht="15" customHeight="1" s="93">
      <c r="A272" s="92">
        <f>Backlog!A273</f>
        <v/>
      </c>
      <c r="B272" s="97">
        <f>IFERROR(IF(ISBLANK(INDEX(Backlog[Requirement Name],MATCH($A273,Backlog[Requirement ID],0))),"",INDEX(Backlog[Requirement Name],MATCH($A273,Backlog[Requirement ID],0))),"")</f>
        <v/>
      </c>
      <c r="C272" s="92">
        <f>IFERROR(IF(ISBLANK(INDEX(Backlog[Stream],MATCH($A273,Backlog[Requirement ID],0))),"",INDEX(Backlog[Stream],MATCH($A273,Backlog[Requirement ID],0))),"")</f>
        <v/>
      </c>
      <c r="D272" s="92">
        <f>IFERROR(IF(ISBLANK(INDEX(Backlog[Jira Link],MATCH($A273,Backlog[Requirement ID],0))),"",INDEX(Backlog[Jira Link],MATCH($A273,Backlog[Requirement ID],0))),"")</f>
        <v/>
      </c>
      <c r="E272" s="92">
        <f>IFERROR(IF(ISBLANK(INDEX(Backlog[Status],MATCH($A273,Backlog[Requirement ID],0))),"",INDEX(Backlog[Status],MATCH($A273,Backlog[Requirement ID],0))),"")</f>
        <v/>
      </c>
      <c r="F272" s="92">
        <f>IFERROR(IF(ISBLANK(INDEX(SprintPlanning[Sprint],MATCH($A273,SprintPlanning[Requirement ID],0))),"",INDEX(SprintPlanning[Sprint],MATCH($A273,SprintPlanning[Requirement ID],0))),"")</f>
        <v/>
      </c>
      <c r="H272" s="146" t="n"/>
      <c r="J272" s="92">
        <f>IFERROR(IF(ISBLANK(INDEX(Backlog[Priority],MATCH($A273,Backlog[Requirement ID],0))),"",INDEX(Backlog[Priority],MATCH($A273,Backlog[Requirement ID],0))),"")</f>
        <v/>
      </c>
    </row>
    <row r="273" hidden="1" ht="15" customHeight="1" s="93">
      <c r="A273" s="92">
        <f>Backlog!A274</f>
        <v/>
      </c>
      <c r="B273" s="97">
        <f>IFERROR(IF(ISBLANK(INDEX(Backlog[Requirement Name],MATCH($A274,Backlog[Requirement ID],0))),"",INDEX(Backlog[Requirement Name],MATCH($A274,Backlog[Requirement ID],0))),"")</f>
        <v/>
      </c>
      <c r="C273" s="92">
        <f>IFERROR(IF(ISBLANK(INDEX(Backlog[Stream],MATCH($A274,Backlog[Requirement ID],0))),"",INDEX(Backlog[Stream],MATCH($A274,Backlog[Requirement ID],0))),"")</f>
        <v/>
      </c>
      <c r="D273" s="92">
        <f>IFERROR(IF(ISBLANK(INDEX(Backlog[Jira Link],MATCH($A274,Backlog[Requirement ID],0))),"",INDEX(Backlog[Jira Link],MATCH($A274,Backlog[Requirement ID],0))),"")</f>
        <v/>
      </c>
      <c r="E273" s="92">
        <f>IFERROR(IF(ISBLANK(INDEX(Backlog[Status],MATCH($A274,Backlog[Requirement ID],0))),"",INDEX(Backlog[Status],MATCH($A274,Backlog[Requirement ID],0))),"")</f>
        <v/>
      </c>
      <c r="F273" s="92">
        <f>IFERROR(IF(ISBLANK(INDEX(SprintPlanning[Sprint],MATCH($A274,SprintPlanning[Requirement ID],0))),"",INDEX(SprintPlanning[Sprint],MATCH($A274,SprintPlanning[Requirement ID],0))),"")</f>
        <v/>
      </c>
      <c r="H273" s="146" t="n"/>
      <c r="J273" s="92">
        <f>IFERROR(IF(ISBLANK(INDEX(Backlog[Priority],MATCH($A274,Backlog[Requirement ID],0))),"",INDEX(Backlog[Priority],MATCH($A274,Backlog[Requirement ID],0))),"")</f>
        <v/>
      </c>
    </row>
    <row r="274" hidden="1" ht="15" customHeight="1" s="93">
      <c r="A274" s="92">
        <f>Backlog!A275</f>
        <v/>
      </c>
      <c r="B274" s="97">
        <f>IFERROR(IF(ISBLANK(INDEX(Backlog[Requirement Name],MATCH($A275,Backlog[Requirement ID],0))),"",INDEX(Backlog[Requirement Name],MATCH($A275,Backlog[Requirement ID],0))),"")</f>
        <v/>
      </c>
      <c r="C274" s="92">
        <f>IFERROR(IF(ISBLANK(INDEX(Backlog[Stream],MATCH($A275,Backlog[Requirement ID],0))),"",INDEX(Backlog[Stream],MATCH($A275,Backlog[Requirement ID],0))),"")</f>
        <v/>
      </c>
      <c r="D274" s="92">
        <f>IFERROR(IF(ISBLANK(INDEX(Backlog[Jira Link],MATCH($A275,Backlog[Requirement ID],0))),"",INDEX(Backlog[Jira Link],MATCH($A275,Backlog[Requirement ID],0))),"")</f>
        <v/>
      </c>
      <c r="E274" s="92">
        <f>IFERROR(IF(ISBLANK(INDEX(Backlog[Status],MATCH($A275,Backlog[Requirement ID],0))),"",INDEX(Backlog[Status],MATCH($A275,Backlog[Requirement ID],0))),"")</f>
        <v/>
      </c>
      <c r="F274" s="92">
        <f>IFERROR(IF(ISBLANK(INDEX(SprintPlanning[Sprint],MATCH($A275,SprintPlanning[Requirement ID],0))),"",INDEX(SprintPlanning[Sprint],MATCH($A275,SprintPlanning[Requirement ID],0))),"")</f>
        <v/>
      </c>
      <c r="H274" s="146" t="n"/>
      <c r="J274" s="92">
        <f>IFERROR(IF(ISBLANK(INDEX(Backlog[Priority],MATCH($A275,Backlog[Requirement ID],0))),"",INDEX(Backlog[Priority],MATCH($A275,Backlog[Requirement ID],0))),"")</f>
        <v/>
      </c>
    </row>
    <row r="275" hidden="1" ht="15" customHeight="1" s="93">
      <c r="A275" s="92">
        <f>Backlog!A276</f>
        <v/>
      </c>
      <c r="B275" s="97">
        <f>IFERROR(IF(ISBLANK(INDEX(Backlog[Requirement Name],MATCH($A276,Backlog[Requirement ID],0))),"",INDEX(Backlog[Requirement Name],MATCH($A276,Backlog[Requirement ID],0))),"")</f>
        <v/>
      </c>
      <c r="C275" s="92">
        <f>IFERROR(IF(ISBLANK(INDEX(Backlog[Stream],MATCH($A276,Backlog[Requirement ID],0))),"",INDEX(Backlog[Stream],MATCH($A276,Backlog[Requirement ID],0))),"")</f>
        <v/>
      </c>
      <c r="D275" s="92">
        <f>IFERROR(IF(ISBLANK(INDEX(Backlog[Jira Link],MATCH($A276,Backlog[Requirement ID],0))),"",INDEX(Backlog[Jira Link],MATCH($A276,Backlog[Requirement ID],0))),"")</f>
        <v/>
      </c>
      <c r="E275" s="92">
        <f>IFERROR(IF(ISBLANK(INDEX(Backlog[Status],MATCH($A276,Backlog[Requirement ID],0))),"",INDEX(Backlog[Status],MATCH($A276,Backlog[Requirement ID],0))),"")</f>
        <v/>
      </c>
      <c r="F275" s="92">
        <f>IFERROR(IF(ISBLANK(INDEX(SprintPlanning[Sprint],MATCH($A276,SprintPlanning[Requirement ID],0))),"",INDEX(SprintPlanning[Sprint],MATCH($A276,SprintPlanning[Requirement ID],0))),"")</f>
        <v/>
      </c>
      <c r="H275" s="146" t="n"/>
      <c r="J275" s="92">
        <f>IFERROR(IF(ISBLANK(INDEX(Backlog[Priority],MATCH($A276,Backlog[Requirement ID],0))),"",INDEX(Backlog[Priority],MATCH($A276,Backlog[Requirement ID],0))),"")</f>
        <v/>
      </c>
    </row>
    <row r="276" hidden="1" ht="15" customHeight="1" s="93">
      <c r="A276" s="92">
        <f>Backlog!A277</f>
        <v/>
      </c>
      <c r="B276" s="97">
        <f>IFERROR(IF(ISBLANK(INDEX(Backlog[Requirement Name],MATCH($A277,Backlog[Requirement ID],0))),"",INDEX(Backlog[Requirement Name],MATCH($A277,Backlog[Requirement ID],0))),"")</f>
        <v/>
      </c>
      <c r="C276" s="92">
        <f>IFERROR(IF(ISBLANK(INDEX(Backlog[Stream],MATCH($A277,Backlog[Requirement ID],0))),"",INDEX(Backlog[Stream],MATCH($A277,Backlog[Requirement ID],0))),"")</f>
        <v/>
      </c>
      <c r="D276" s="92">
        <f>IFERROR(IF(ISBLANK(INDEX(Backlog[Jira Link],MATCH($A277,Backlog[Requirement ID],0))),"",INDEX(Backlog[Jira Link],MATCH($A277,Backlog[Requirement ID],0))),"")</f>
        <v/>
      </c>
      <c r="E276" s="92">
        <f>IFERROR(IF(ISBLANK(INDEX(Backlog[Status],MATCH($A277,Backlog[Requirement ID],0))),"",INDEX(Backlog[Status],MATCH($A277,Backlog[Requirement ID],0))),"")</f>
        <v/>
      </c>
      <c r="F276" s="92">
        <f>IFERROR(IF(ISBLANK(INDEX(SprintPlanning[Sprint],MATCH($A277,SprintPlanning[Requirement ID],0))),"",INDEX(SprintPlanning[Sprint],MATCH($A277,SprintPlanning[Requirement ID],0))),"")</f>
        <v/>
      </c>
      <c r="H276" s="146" t="n"/>
      <c r="J276" s="92">
        <f>IFERROR(IF(ISBLANK(INDEX(Backlog[Priority],MATCH($A277,Backlog[Requirement ID],0))),"",INDEX(Backlog[Priority],MATCH($A277,Backlog[Requirement ID],0))),"")</f>
        <v/>
      </c>
    </row>
    <row r="277" hidden="1" ht="15" customHeight="1" s="93">
      <c r="A277" s="92">
        <f>Backlog!A278</f>
        <v/>
      </c>
      <c r="B277" s="97">
        <f>IFERROR(IF(ISBLANK(INDEX(Backlog[Requirement Name],MATCH($A278,Backlog[Requirement ID],0))),"",INDEX(Backlog[Requirement Name],MATCH($A278,Backlog[Requirement ID],0))),"")</f>
        <v/>
      </c>
      <c r="C277" s="92">
        <f>IFERROR(IF(ISBLANK(INDEX(Backlog[Stream],MATCH($A278,Backlog[Requirement ID],0))),"",INDEX(Backlog[Stream],MATCH($A278,Backlog[Requirement ID],0))),"")</f>
        <v/>
      </c>
      <c r="D277" s="92">
        <f>IFERROR(IF(ISBLANK(INDEX(Backlog[Jira Link],MATCH($A278,Backlog[Requirement ID],0))),"",INDEX(Backlog[Jira Link],MATCH($A278,Backlog[Requirement ID],0))),"")</f>
        <v/>
      </c>
      <c r="E277" s="92">
        <f>IFERROR(IF(ISBLANK(INDEX(Backlog[Status],MATCH($A278,Backlog[Requirement ID],0))),"",INDEX(Backlog[Status],MATCH($A278,Backlog[Requirement ID],0))),"")</f>
        <v/>
      </c>
      <c r="F277" s="92">
        <f>IFERROR(IF(ISBLANK(INDEX(SprintPlanning[Sprint],MATCH($A278,SprintPlanning[Requirement ID],0))),"",INDEX(SprintPlanning[Sprint],MATCH($A278,SprintPlanning[Requirement ID],0))),"")</f>
        <v/>
      </c>
      <c r="H277" s="146" t="n"/>
      <c r="J277" s="92">
        <f>IFERROR(IF(ISBLANK(INDEX(Backlog[Priority],MATCH($A278,Backlog[Requirement ID],0))),"",INDEX(Backlog[Priority],MATCH($A278,Backlog[Requirement ID],0))),"")</f>
        <v/>
      </c>
    </row>
    <row r="278" hidden="1" ht="15" customHeight="1" s="93">
      <c r="A278" s="92">
        <f>Backlog!A279</f>
        <v/>
      </c>
      <c r="B278" s="97">
        <f>IFERROR(IF(ISBLANK(INDEX(Backlog[Requirement Name],MATCH($A279,Backlog[Requirement ID],0))),"",INDEX(Backlog[Requirement Name],MATCH($A279,Backlog[Requirement ID],0))),"")</f>
        <v/>
      </c>
      <c r="C278" s="92">
        <f>IFERROR(IF(ISBLANK(INDEX(Backlog[Stream],MATCH($A279,Backlog[Requirement ID],0))),"",INDEX(Backlog[Stream],MATCH($A279,Backlog[Requirement ID],0))),"")</f>
        <v/>
      </c>
      <c r="D278" s="92">
        <f>IFERROR(IF(ISBLANK(INDEX(Backlog[Jira Link],MATCH($A279,Backlog[Requirement ID],0))),"",INDEX(Backlog[Jira Link],MATCH($A279,Backlog[Requirement ID],0))),"")</f>
        <v/>
      </c>
      <c r="E278" s="92">
        <f>IFERROR(IF(ISBLANK(INDEX(Backlog[Status],MATCH($A279,Backlog[Requirement ID],0))),"",INDEX(Backlog[Status],MATCH($A279,Backlog[Requirement ID],0))),"")</f>
        <v/>
      </c>
      <c r="F278" s="92">
        <f>IFERROR(IF(ISBLANK(INDEX(SprintPlanning[Sprint],MATCH($A279,SprintPlanning[Requirement ID],0))),"",INDEX(SprintPlanning[Sprint],MATCH($A279,SprintPlanning[Requirement ID],0))),"")</f>
        <v/>
      </c>
      <c r="H278" s="146" t="n"/>
      <c r="J278" s="92">
        <f>IFERROR(IF(ISBLANK(INDEX(Backlog[Priority],MATCH($A279,Backlog[Requirement ID],0))),"",INDEX(Backlog[Priority],MATCH($A279,Backlog[Requirement ID],0))),"")</f>
        <v/>
      </c>
    </row>
    <row r="279" hidden="1" ht="15" customHeight="1" s="93">
      <c r="A279" s="92">
        <f>Backlog!A280</f>
        <v/>
      </c>
      <c r="B279" s="97">
        <f>IFERROR(IF(ISBLANK(INDEX(Backlog[Requirement Name],MATCH($A280,Backlog[Requirement ID],0))),"",INDEX(Backlog[Requirement Name],MATCH($A280,Backlog[Requirement ID],0))),"")</f>
        <v/>
      </c>
      <c r="C279" s="92">
        <f>IFERROR(IF(ISBLANK(INDEX(Backlog[Stream],MATCH($A280,Backlog[Requirement ID],0))),"",INDEX(Backlog[Stream],MATCH($A280,Backlog[Requirement ID],0))),"")</f>
        <v/>
      </c>
      <c r="D279" s="92">
        <f>IFERROR(IF(ISBLANK(INDEX(Backlog[Jira Link],MATCH($A280,Backlog[Requirement ID],0))),"",INDEX(Backlog[Jira Link],MATCH($A280,Backlog[Requirement ID],0))),"")</f>
        <v/>
      </c>
      <c r="E279" s="92">
        <f>IFERROR(IF(ISBLANK(INDEX(Backlog[Status],MATCH($A280,Backlog[Requirement ID],0))),"",INDEX(Backlog[Status],MATCH($A280,Backlog[Requirement ID],0))),"")</f>
        <v/>
      </c>
      <c r="F279" s="92">
        <f>IFERROR(IF(ISBLANK(INDEX(SprintPlanning[Sprint],MATCH($A280,SprintPlanning[Requirement ID],0))),"",INDEX(SprintPlanning[Sprint],MATCH($A280,SprintPlanning[Requirement ID],0))),"")</f>
        <v/>
      </c>
      <c r="H279" s="146" t="n"/>
      <c r="J279" s="92">
        <f>IFERROR(IF(ISBLANK(INDEX(Backlog[Priority],MATCH($A280,Backlog[Requirement ID],0))),"",INDEX(Backlog[Priority],MATCH($A280,Backlog[Requirement ID],0))),"")</f>
        <v/>
      </c>
    </row>
    <row r="280" hidden="1" ht="15" customHeight="1" s="93">
      <c r="A280" s="92">
        <f>Backlog!A281</f>
        <v/>
      </c>
      <c r="B280" s="97">
        <f>IFERROR(IF(ISBLANK(INDEX(Backlog[Requirement Name],MATCH($A281,Backlog[Requirement ID],0))),"",INDEX(Backlog[Requirement Name],MATCH($A281,Backlog[Requirement ID],0))),"")</f>
        <v/>
      </c>
      <c r="C280" s="92">
        <f>IFERROR(IF(ISBLANK(INDEX(Backlog[Stream],MATCH($A281,Backlog[Requirement ID],0))),"",INDEX(Backlog[Stream],MATCH($A281,Backlog[Requirement ID],0))),"")</f>
        <v/>
      </c>
      <c r="D280" s="92">
        <f>IFERROR(IF(ISBLANK(INDEX(Backlog[Jira Link],MATCH($A281,Backlog[Requirement ID],0))),"",INDEX(Backlog[Jira Link],MATCH($A281,Backlog[Requirement ID],0))),"")</f>
        <v/>
      </c>
      <c r="E280" s="92">
        <f>IFERROR(IF(ISBLANK(INDEX(Backlog[Status],MATCH($A281,Backlog[Requirement ID],0))),"",INDEX(Backlog[Status],MATCH($A281,Backlog[Requirement ID],0))),"")</f>
        <v/>
      </c>
      <c r="F280" s="92">
        <f>IFERROR(IF(ISBLANK(INDEX(SprintPlanning[Sprint],MATCH($A281,SprintPlanning[Requirement ID],0))),"",INDEX(SprintPlanning[Sprint],MATCH($A281,SprintPlanning[Requirement ID],0))),"")</f>
        <v/>
      </c>
      <c r="H280" s="146" t="n"/>
      <c r="J280" s="92">
        <f>IFERROR(IF(ISBLANK(INDEX(Backlog[Priority],MATCH($A281,Backlog[Requirement ID],0))),"",INDEX(Backlog[Priority],MATCH($A281,Backlog[Requirement ID],0))),"")</f>
        <v/>
      </c>
    </row>
    <row r="281" hidden="1" ht="15" customHeight="1" s="93">
      <c r="A281" s="92">
        <f>Backlog!A282</f>
        <v/>
      </c>
      <c r="B281" s="97">
        <f>IFERROR(IF(ISBLANK(INDEX(Backlog[Requirement Name],MATCH($A282,Backlog[Requirement ID],0))),"",INDEX(Backlog[Requirement Name],MATCH($A282,Backlog[Requirement ID],0))),"")</f>
        <v/>
      </c>
      <c r="C281" s="92">
        <f>IFERROR(IF(ISBLANK(INDEX(Backlog[Stream],MATCH($A282,Backlog[Requirement ID],0))),"",INDEX(Backlog[Stream],MATCH($A282,Backlog[Requirement ID],0))),"")</f>
        <v/>
      </c>
      <c r="D281" s="92">
        <f>IFERROR(IF(ISBLANK(INDEX(Backlog[Jira Link],MATCH($A282,Backlog[Requirement ID],0))),"",INDEX(Backlog[Jira Link],MATCH($A282,Backlog[Requirement ID],0))),"")</f>
        <v/>
      </c>
      <c r="E281" s="92">
        <f>IFERROR(IF(ISBLANK(INDEX(Backlog[Status],MATCH($A282,Backlog[Requirement ID],0))),"",INDEX(Backlog[Status],MATCH($A282,Backlog[Requirement ID],0))),"")</f>
        <v/>
      </c>
      <c r="F281" s="92">
        <f>IFERROR(IF(ISBLANK(INDEX(SprintPlanning[Sprint],MATCH($A282,SprintPlanning[Requirement ID],0))),"",INDEX(SprintPlanning[Sprint],MATCH($A282,SprintPlanning[Requirement ID],0))),"")</f>
        <v/>
      </c>
      <c r="H281" s="146" t="n"/>
      <c r="J281" s="92">
        <f>IFERROR(IF(ISBLANK(INDEX(Backlog[Priority],MATCH($A282,Backlog[Requirement ID],0))),"",INDEX(Backlog[Priority],MATCH($A282,Backlog[Requirement ID],0))),"")</f>
        <v/>
      </c>
    </row>
    <row r="282" hidden="1" ht="15" customHeight="1" s="93">
      <c r="A282" s="92">
        <f>Backlog!A283</f>
        <v/>
      </c>
      <c r="B282" s="97">
        <f>IFERROR(IF(ISBLANK(INDEX(Backlog[Requirement Name],MATCH($A283,Backlog[Requirement ID],0))),"",INDEX(Backlog[Requirement Name],MATCH($A283,Backlog[Requirement ID],0))),"")</f>
        <v/>
      </c>
      <c r="C282" s="92">
        <f>IFERROR(IF(ISBLANK(INDEX(Backlog[Stream],MATCH($A283,Backlog[Requirement ID],0))),"",INDEX(Backlog[Stream],MATCH($A283,Backlog[Requirement ID],0))),"")</f>
        <v/>
      </c>
      <c r="D282" s="92">
        <f>IFERROR(IF(ISBLANK(INDEX(Backlog[Jira Link],MATCH($A283,Backlog[Requirement ID],0))),"",INDEX(Backlog[Jira Link],MATCH($A283,Backlog[Requirement ID],0))),"")</f>
        <v/>
      </c>
      <c r="E282" s="92">
        <f>IFERROR(IF(ISBLANK(INDEX(Backlog[Status],MATCH($A283,Backlog[Requirement ID],0))),"",INDEX(Backlog[Status],MATCH($A283,Backlog[Requirement ID],0))),"")</f>
        <v/>
      </c>
      <c r="F282" s="92">
        <f>IFERROR(IF(ISBLANK(INDEX(SprintPlanning[Sprint],MATCH($A283,SprintPlanning[Requirement ID],0))),"",INDEX(SprintPlanning[Sprint],MATCH($A283,SprintPlanning[Requirement ID],0))),"")</f>
        <v/>
      </c>
      <c r="H282" s="146" t="n"/>
      <c r="J282" s="92">
        <f>IFERROR(IF(ISBLANK(INDEX(Backlog[Priority],MATCH($A283,Backlog[Requirement ID],0))),"",INDEX(Backlog[Priority],MATCH($A283,Backlog[Requirement ID],0))),"")</f>
        <v/>
      </c>
    </row>
    <row r="283" hidden="1" ht="15" customHeight="1" s="93">
      <c r="A283" s="92">
        <f>Backlog!A284</f>
        <v/>
      </c>
      <c r="B283" s="97">
        <f>IFERROR(IF(ISBLANK(INDEX(Backlog[Requirement Name],MATCH($A284,Backlog[Requirement ID],0))),"",INDEX(Backlog[Requirement Name],MATCH($A284,Backlog[Requirement ID],0))),"")</f>
        <v/>
      </c>
      <c r="C283" s="92">
        <f>IFERROR(IF(ISBLANK(INDEX(Backlog[Stream],MATCH($A284,Backlog[Requirement ID],0))),"",INDEX(Backlog[Stream],MATCH($A284,Backlog[Requirement ID],0))),"")</f>
        <v/>
      </c>
      <c r="D283" s="92">
        <f>IFERROR(IF(ISBLANK(INDEX(Backlog[Jira Link],MATCH($A284,Backlog[Requirement ID],0))),"",INDEX(Backlog[Jira Link],MATCH($A284,Backlog[Requirement ID],0))),"")</f>
        <v/>
      </c>
      <c r="E283" s="92">
        <f>IFERROR(IF(ISBLANK(INDEX(Backlog[Status],MATCH($A284,Backlog[Requirement ID],0))),"",INDEX(Backlog[Status],MATCH($A284,Backlog[Requirement ID],0))),"")</f>
        <v/>
      </c>
      <c r="F283" s="92">
        <f>IFERROR(IF(ISBLANK(INDEX(SprintPlanning[Sprint],MATCH($A284,SprintPlanning[Requirement ID],0))),"",INDEX(SprintPlanning[Sprint],MATCH($A284,SprintPlanning[Requirement ID],0))),"")</f>
        <v/>
      </c>
      <c r="H283" s="146" t="n"/>
      <c r="J283" s="92">
        <f>IFERROR(IF(ISBLANK(INDEX(Backlog[Priority],MATCH($A284,Backlog[Requirement ID],0))),"",INDEX(Backlog[Priority],MATCH($A284,Backlog[Requirement ID],0))),"")</f>
        <v/>
      </c>
    </row>
    <row r="284" hidden="1" ht="15" customHeight="1" s="93">
      <c r="A284" s="92">
        <f>Backlog!A285</f>
        <v/>
      </c>
      <c r="B284" s="97">
        <f>IFERROR(IF(ISBLANK(INDEX(Backlog[Requirement Name],MATCH($A285,Backlog[Requirement ID],0))),"",INDEX(Backlog[Requirement Name],MATCH($A285,Backlog[Requirement ID],0))),"")</f>
        <v/>
      </c>
      <c r="C284" s="92">
        <f>IFERROR(IF(ISBLANK(INDEX(Backlog[Stream],MATCH($A285,Backlog[Requirement ID],0))),"",INDEX(Backlog[Stream],MATCH($A285,Backlog[Requirement ID],0))),"")</f>
        <v/>
      </c>
      <c r="D284" s="92">
        <f>IFERROR(IF(ISBLANK(INDEX(Backlog[Jira Link],MATCH($A285,Backlog[Requirement ID],0))),"",INDEX(Backlog[Jira Link],MATCH($A285,Backlog[Requirement ID],0))),"")</f>
        <v/>
      </c>
      <c r="E284" s="92">
        <f>IFERROR(IF(ISBLANK(INDEX(Backlog[Status],MATCH($A285,Backlog[Requirement ID],0))),"",INDEX(Backlog[Status],MATCH($A285,Backlog[Requirement ID],0))),"")</f>
        <v/>
      </c>
      <c r="F284" s="92">
        <f>IFERROR(IF(ISBLANK(INDEX(SprintPlanning[Sprint],MATCH($A285,SprintPlanning[Requirement ID],0))),"",INDEX(SprintPlanning[Sprint],MATCH($A285,SprintPlanning[Requirement ID],0))),"")</f>
        <v/>
      </c>
      <c r="H284" s="146" t="n"/>
      <c r="J284" s="92">
        <f>IFERROR(IF(ISBLANK(INDEX(Backlog[Priority],MATCH($A285,Backlog[Requirement ID],0))),"",INDEX(Backlog[Priority],MATCH($A285,Backlog[Requirement ID],0))),"")</f>
        <v/>
      </c>
    </row>
    <row r="285" hidden="1" ht="15" customHeight="1" s="93">
      <c r="A285" s="92">
        <f>Backlog!A286</f>
        <v/>
      </c>
      <c r="B285" s="97">
        <f>IFERROR(IF(ISBLANK(INDEX(Backlog[Requirement Name],MATCH($A286,Backlog[Requirement ID],0))),"",INDEX(Backlog[Requirement Name],MATCH($A286,Backlog[Requirement ID],0))),"")</f>
        <v/>
      </c>
      <c r="C285" s="92">
        <f>IFERROR(IF(ISBLANK(INDEX(Backlog[Stream],MATCH($A286,Backlog[Requirement ID],0))),"",INDEX(Backlog[Stream],MATCH($A286,Backlog[Requirement ID],0))),"")</f>
        <v/>
      </c>
      <c r="D285" s="92">
        <f>IFERROR(IF(ISBLANK(INDEX(Backlog[Jira Link],MATCH($A286,Backlog[Requirement ID],0))),"",INDEX(Backlog[Jira Link],MATCH($A286,Backlog[Requirement ID],0))),"")</f>
        <v/>
      </c>
      <c r="E285" s="92">
        <f>IFERROR(IF(ISBLANK(INDEX(Backlog[Status],MATCH($A286,Backlog[Requirement ID],0))),"",INDEX(Backlog[Status],MATCH($A286,Backlog[Requirement ID],0))),"")</f>
        <v/>
      </c>
      <c r="F285" s="92">
        <f>IFERROR(IF(ISBLANK(INDEX(SprintPlanning[Sprint],MATCH($A286,SprintPlanning[Requirement ID],0))),"",INDEX(SprintPlanning[Sprint],MATCH($A286,SprintPlanning[Requirement ID],0))),"")</f>
        <v/>
      </c>
      <c r="H285" s="146" t="n"/>
      <c r="J285" s="92">
        <f>IFERROR(IF(ISBLANK(INDEX(Backlog[Priority],MATCH($A286,Backlog[Requirement ID],0))),"",INDEX(Backlog[Priority],MATCH($A286,Backlog[Requirement ID],0))),"")</f>
        <v/>
      </c>
    </row>
    <row r="286" hidden="1" ht="15" customHeight="1" s="93">
      <c r="A286" s="92">
        <f>Backlog!A287</f>
        <v/>
      </c>
      <c r="B286" s="97">
        <f>IFERROR(IF(ISBLANK(INDEX(Backlog[Requirement Name],MATCH($A287,Backlog[Requirement ID],0))),"",INDEX(Backlog[Requirement Name],MATCH($A287,Backlog[Requirement ID],0))),"")</f>
        <v/>
      </c>
      <c r="C286" s="92">
        <f>IFERROR(IF(ISBLANK(INDEX(Backlog[Stream],MATCH($A287,Backlog[Requirement ID],0))),"",INDEX(Backlog[Stream],MATCH($A287,Backlog[Requirement ID],0))),"")</f>
        <v/>
      </c>
      <c r="D286" s="92">
        <f>IFERROR(IF(ISBLANK(INDEX(Backlog[Jira Link],MATCH($A287,Backlog[Requirement ID],0))),"",INDEX(Backlog[Jira Link],MATCH($A287,Backlog[Requirement ID],0))),"")</f>
        <v/>
      </c>
      <c r="E286" s="92">
        <f>IFERROR(IF(ISBLANK(INDEX(Backlog[Status],MATCH($A287,Backlog[Requirement ID],0))),"",INDEX(Backlog[Status],MATCH($A287,Backlog[Requirement ID],0))),"")</f>
        <v/>
      </c>
      <c r="F286" s="92">
        <f>IFERROR(IF(ISBLANK(INDEX(SprintPlanning[Sprint],MATCH($A287,SprintPlanning[Requirement ID],0))),"",INDEX(SprintPlanning[Sprint],MATCH($A287,SprintPlanning[Requirement ID],0))),"")</f>
        <v/>
      </c>
      <c r="H286" s="146" t="n"/>
      <c r="J286" s="92">
        <f>IFERROR(IF(ISBLANK(INDEX(Backlog[Priority],MATCH($A287,Backlog[Requirement ID],0))),"",INDEX(Backlog[Priority],MATCH($A287,Backlog[Requirement ID],0))),"")</f>
        <v/>
      </c>
    </row>
    <row r="287" hidden="1" ht="15" customHeight="1" s="93">
      <c r="A287" s="92">
        <f>Backlog!A288</f>
        <v/>
      </c>
      <c r="B287" s="97">
        <f>IFERROR(IF(ISBLANK(INDEX(Backlog[Requirement Name],MATCH($A288,Backlog[Requirement ID],0))),"",INDEX(Backlog[Requirement Name],MATCH($A288,Backlog[Requirement ID],0))),"")</f>
        <v/>
      </c>
      <c r="C287" s="92">
        <f>IFERROR(IF(ISBLANK(INDEX(Backlog[Stream],MATCH($A288,Backlog[Requirement ID],0))),"",INDEX(Backlog[Stream],MATCH($A288,Backlog[Requirement ID],0))),"")</f>
        <v/>
      </c>
      <c r="D287" s="92">
        <f>IFERROR(IF(ISBLANK(INDEX(Backlog[Jira Link],MATCH($A288,Backlog[Requirement ID],0))),"",INDEX(Backlog[Jira Link],MATCH($A288,Backlog[Requirement ID],0))),"")</f>
        <v/>
      </c>
      <c r="E287" s="92">
        <f>IFERROR(IF(ISBLANK(INDEX(Backlog[Status],MATCH($A288,Backlog[Requirement ID],0))),"",INDEX(Backlog[Status],MATCH($A288,Backlog[Requirement ID],0))),"")</f>
        <v/>
      </c>
      <c r="F287" s="92">
        <f>IFERROR(IF(ISBLANK(INDEX(SprintPlanning[Sprint],MATCH($A288,SprintPlanning[Requirement ID],0))),"",INDEX(SprintPlanning[Sprint],MATCH($A288,SprintPlanning[Requirement ID],0))),"")</f>
        <v/>
      </c>
      <c r="H287" s="146" t="n"/>
      <c r="J287" s="92">
        <f>IFERROR(IF(ISBLANK(INDEX(Backlog[Priority],MATCH($A288,Backlog[Requirement ID],0))),"",INDEX(Backlog[Priority],MATCH($A288,Backlog[Requirement ID],0))),"")</f>
        <v/>
      </c>
    </row>
    <row r="288" hidden="1" ht="15" customHeight="1" s="93">
      <c r="A288" s="92">
        <f>Backlog!A289</f>
        <v/>
      </c>
      <c r="B288" s="97">
        <f>IFERROR(IF(ISBLANK(INDEX(Backlog[Requirement Name],MATCH($A289,Backlog[Requirement ID],0))),"",INDEX(Backlog[Requirement Name],MATCH($A289,Backlog[Requirement ID],0))),"")</f>
        <v/>
      </c>
      <c r="C288" s="92">
        <f>IFERROR(IF(ISBLANK(INDEX(Backlog[Stream],MATCH($A289,Backlog[Requirement ID],0))),"",INDEX(Backlog[Stream],MATCH($A289,Backlog[Requirement ID],0))),"")</f>
        <v/>
      </c>
      <c r="D288" s="92">
        <f>IFERROR(IF(ISBLANK(INDEX(Backlog[Jira Link],MATCH($A289,Backlog[Requirement ID],0))),"",INDEX(Backlog[Jira Link],MATCH($A289,Backlog[Requirement ID],0))),"")</f>
        <v/>
      </c>
      <c r="E288" s="92">
        <f>IFERROR(IF(ISBLANK(INDEX(Backlog[Status],MATCH($A289,Backlog[Requirement ID],0))),"",INDEX(Backlog[Status],MATCH($A289,Backlog[Requirement ID],0))),"")</f>
        <v/>
      </c>
      <c r="F288" s="92">
        <f>IFERROR(IF(ISBLANK(INDEX(SprintPlanning[Sprint],MATCH($A289,SprintPlanning[Requirement ID],0))),"",INDEX(SprintPlanning[Sprint],MATCH($A289,SprintPlanning[Requirement ID],0))),"")</f>
        <v/>
      </c>
      <c r="H288" s="146" t="n"/>
      <c r="J288" s="92">
        <f>IFERROR(IF(ISBLANK(INDEX(Backlog[Priority],MATCH($A289,Backlog[Requirement ID],0))),"",INDEX(Backlog[Priority],MATCH($A289,Backlog[Requirement ID],0))),"")</f>
        <v/>
      </c>
    </row>
    <row r="289" hidden="1" ht="15" customHeight="1" s="93">
      <c r="A289" s="92">
        <f>Backlog!A290</f>
        <v/>
      </c>
      <c r="B289" s="97">
        <f>IFERROR(IF(ISBLANK(INDEX(Backlog[Requirement Name],MATCH($A290,Backlog[Requirement ID],0))),"",INDEX(Backlog[Requirement Name],MATCH($A290,Backlog[Requirement ID],0))),"")</f>
        <v/>
      </c>
      <c r="C289" s="92">
        <f>IFERROR(IF(ISBLANK(INDEX(Backlog[Stream],MATCH($A290,Backlog[Requirement ID],0))),"",INDEX(Backlog[Stream],MATCH($A290,Backlog[Requirement ID],0))),"")</f>
        <v/>
      </c>
      <c r="D289" s="92">
        <f>IFERROR(IF(ISBLANK(INDEX(Backlog[Jira Link],MATCH($A290,Backlog[Requirement ID],0))),"",INDEX(Backlog[Jira Link],MATCH($A290,Backlog[Requirement ID],0))),"")</f>
        <v/>
      </c>
      <c r="E289" s="92">
        <f>IFERROR(IF(ISBLANK(INDEX(Backlog[Status],MATCH($A290,Backlog[Requirement ID],0))),"",INDEX(Backlog[Status],MATCH($A290,Backlog[Requirement ID],0))),"")</f>
        <v/>
      </c>
      <c r="F289" s="92">
        <f>IFERROR(IF(ISBLANK(INDEX(SprintPlanning[Sprint],MATCH($A290,SprintPlanning[Requirement ID],0))),"",INDEX(SprintPlanning[Sprint],MATCH($A290,SprintPlanning[Requirement ID],0))),"")</f>
        <v/>
      </c>
      <c r="H289" s="146" t="n"/>
      <c r="J289" s="92">
        <f>IFERROR(IF(ISBLANK(INDEX(Backlog[Priority],MATCH($A290,Backlog[Requirement ID],0))),"",INDEX(Backlog[Priority],MATCH($A290,Backlog[Requirement ID],0))),"")</f>
        <v/>
      </c>
    </row>
    <row r="290" hidden="1" ht="15" customHeight="1" s="93">
      <c r="A290" s="92">
        <f>Backlog!A291</f>
        <v/>
      </c>
      <c r="B290" s="97">
        <f>IFERROR(IF(ISBLANK(INDEX(Backlog[Requirement Name],MATCH($A291,Backlog[Requirement ID],0))),"",INDEX(Backlog[Requirement Name],MATCH($A291,Backlog[Requirement ID],0))),"")</f>
        <v/>
      </c>
      <c r="C290" s="92">
        <f>IFERROR(IF(ISBLANK(INDEX(Backlog[Stream],MATCH($A291,Backlog[Requirement ID],0))),"",INDEX(Backlog[Stream],MATCH($A291,Backlog[Requirement ID],0))),"")</f>
        <v/>
      </c>
      <c r="D290" s="92">
        <f>IFERROR(IF(ISBLANK(INDEX(Backlog[Jira Link],MATCH($A291,Backlog[Requirement ID],0))),"",INDEX(Backlog[Jira Link],MATCH($A291,Backlog[Requirement ID],0))),"")</f>
        <v/>
      </c>
      <c r="E290" s="92">
        <f>IFERROR(IF(ISBLANK(INDEX(Backlog[Status],MATCH($A291,Backlog[Requirement ID],0))),"",INDEX(Backlog[Status],MATCH($A291,Backlog[Requirement ID],0))),"")</f>
        <v/>
      </c>
      <c r="F290" s="92">
        <f>IFERROR(IF(ISBLANK(INDEX(SprintPlanning[Sprint],MATCH($A291,SprintPlanning[Requirement ID],0))),"",INDEX(SprintPlanning[Sprint],MATCH($A291,SprintPlanning[Requirement ID],0))),"")</f>
        <v/>
      </c>
      <c r="H290" s="146" t="n"/>
      <c r="J290" s="92">
        <f>IFERROR(IF(ISBLANK(INDEX(Backlog[Priority],MATCH($A291,Backlog[Requirement ID],0))),"",INDEX(Backlog[Priority],MATCH($A291,Backlog[Requirement ID],0))),"")</f>
        <v/>
      </c>
    </row>
    <row r="291" hidden="1" ht="15" customHeight="1" s="93">
      <c r="A291" s="92">
        <f>Backlog!A292</f>
        <v/>
      </c>
      <c r="B291" s="97">
        <f>IFERROR(IF(ISBLANK(INDEX(Backlog[Requirement Name],MATCH($A292,Backlog[Requirement ID],0))),"",INDEX(Backlog[Requirement Name],MATCH($A292,Backlog[Requirement ID],0))),"")</f>
        <v/>
      </c>
      <c r="C291" s="92">
        <f>IFERROR(IF(ISBLANK(INDEX(Backlog[Stream],MATCH($A292,Backlog[Requirement ID],0))),"",INDEX(Backlog[Stream],MATCH($A292,Backlog[Requirement ID],0))),"")</f>
        <v/>
      </c>
      <c r="D291" s="92">
        <f>IFERROR(IF(ISBLANK(INDEX(Backlog[Jira Link],MATCH($A292,Backlog[Requirement ID],0))),"",INDEX(Backlog[Jira Link],MATCH($A292,Backlog[Requirement ID],0))),"")</f>
        <v/>
      </c>
      <c r="E291" s="92">
        <f>IFERROR(IF(ISBLANK(INDEX(Backlog[Status],MATCH($A292,Backlog[Requirement ID],0))),"",INDEX(Backlog[Status],MATCH($A292,Backlog[Requirement ID],0))),"")</f>
        <v/>
      </c>
      <c r="F291" s="92">
        <f>IFERROR(IF(ISBLANK(INDEX(SprintPlanning[Sprint],MATCH($A292,SprintPlanning[Requirement ID],0))),"",INDEX(SprintPlanning[Sprint],MATCH($A292,SprintPlanning[Requirement ID],0))),"")</f>
        <v/>
      </c>
      <c r="H291" s="146" t="n"/>
      <c r="J291" s="92">
        <f>IFERROR(IF(ISBLANK(INDEX(Backlog[Priority],MATCH($A292,Backlog[Requirement ID],0))),"",INDEX(Backlog[Priority],MATCH($A292,Backlog[Requirement ID],0))),"")</f>
        <v/>
      </c>
    </row>
    <row r="292" hidden="1" ht="15" customHeight="1" s="93">
      <c r="A292" s="92">
        <f>Backlog!A293</f>
        <v/>
      </c>
      <c r="B292" s="97">
        <f>IFERROR(IF(ISBLANK(INDEX(Backlog[Requirement Name],MATCH($A293,Backlog[Requirement ID],0))),"",INDEX(Backlog[Requirement Name],MATCH($A293,Backlog[Requirement ID],0))),"")</f>
        <v/>
      </c>
      <c r="C292" s="92">
        <f>IFERROR(IF(ISBLANK(INDEX(Backlog[Stream],MATCH($A293,Backlog[Requirement ID],0))),"",INDEX(Backlog[Stream],MATCH($A293,Backlog[Requirement ID],0))),"")</f>
        <v/>
      </c>
      <c r="D292" s="92">
        <f>IFERROR(IF(ISBLANK(INDEX(Backlog[Jira Link],MATCH($A293,Backlog[Requirement ID],0))),"",INDEX(Backlog[Jira Link],MATCH($A293,Backlog[Requirement ID],0))),"")</f>
        <v/>
      </c>
      <c r="E292" s="92">
        <f>IFERROR(IF(ISBLANK(INDEX(Backlog[Status],MATCH($A293,Backlog[Requirement ID],0))),"",INDEX(Backlog[Status],MATCH($A293,Backlog[Requirement ID],0))),"")</f>
        <v/>
      </c>
      <c r="F292" s="92">
        <f>IFERROR(IF(ISBLANK(INDEX(SprintPlanning[Sprint],MATCH($A293,SprintPlanning[Requirement ID],0))),"",INDEX(SprintPlanning[Sprint],MATCH($A293,SprintPlanning[Requirement ID],0))),"")</f>
        <v/>
      </c>
      <c r="H292" s="146" t="n"/>
      <c r="J292" s="92">
        <f>IFERROR(IF(ISBLANK(INDEX(Backlog[Priority],MATCH($A293,Backlog[Requirement ID],0))),"",INDEX(Backlog[Priority],MATCH($A293,Backlog[Requirement ID],0))),"")</f>
        <v/>
      </c>
    </row>
    <row r="293" hidden="1" ht="15" customHeight="1" s="93">
      <c r="A293" s="92">
        <f>Backlog!A294</f>
        <v/>
      </c>
      <c r="B293" s="97">
        <f>IFERROR(IF(ISBLANK(INDEX(Backlog[Requirement Name],MATCH($A294,Backlog[Requirement ID],0))),"",INDEX(Backlog[Requirement Name],MATCH($A294,Backlog[Requirement ID],0))),"")</f>
        <v/>
      </c>
      <c r="C293" s="92">
        <f>IFERROR(IF(ISBLANK(INDEX(Backlog[Stream],MATCH($A294,Backlog[Requirement ID],0))),"",INDEX(Backlog[Stream],MATCH($A294,Backlog[Requirement ID],0))),"")</f>
        <v/>
      </c>
      <c r="D293" s="92">
        <f>IFERROR(IF(ISBLANK(INDEX(Backlog[Jira Link],MATCH($A294,Backlog[Requirement ID],0))),"",INDEX(Backlog[Jira Link],MATCH($A294,Backlog[Requirement ID],0))),"")</f>
        <v/>
      </c>
      <c r="E293" s="92">
        <f>IFERROR(IF(ISBLANK(INDEX(Backlog[Status],MATCH($A294,Backlog[Requirement ID],0))),"",INDEX(Backlog[Status],MATCH($A294,Backlog[Requirement ID],0))),"")</f>
        <v/>
      </c>
      <c r="F293" s="92">
        <f>IFERROR(IF(ISBLANK(INDEX(SprintPlanning[Sprint],MATCH($A294,SprintPlanning[Requirement ID],0))),"",INDEX(SprintPlanning[Sprint],MATCH($A294,SprintPlanning[Requirement ID],0))),"")</f>
        <v/>
      </c>
      <c r="H293" s="146" t="n"/>
      <c r="J293" s="92">
        <f>IFERROR(IF(ISBLANK(INDEX(Backlog[Priority],MATCH($A294,Backlog[Requirement ID],0))),"",INDEX(Backlog[Priority],MATCH($A294,Backlog[Requirement ID],0))),"")</f>
        <v/>
      </c>
    </row>
    <row r="294" hidden="1" ht="15" customHeight="1" s="93">
      <c r="A294" s="92">
        <f>Backlog!A295</f>
        <v/>
      </c>
      <c r="B294" s="97">
        <f>IFERROR(IF(ISBLANK(INDEX(Backlog[Requirement Name],MATCH($A295,Backlog[Requirement ID],0))),"",INDEX(Backlog[Requirement Name],MATCH($A295,Backlog[Requirement ID],0))),"")</f>
        <v/>
      </c>
      <c r="C294" s="92">
        <f>IFERROR(IF(ISBLANK(INDEX(Backlog[Stream],MATCH($A295,Backlog[Requirement ID],0))),"",INDEX(Backlog[Stream],MATCH($A295,Backlog[Requirement ID],0))),"")</f>
        <v/>
      </c>
      <c r="D294" s="92">
        <f>IFERROR(IF(ISBLANK(INDEX(Backlog[Jira Link],MATCH($A295,Backlog[Requirement ID],0))),"",INDEX(Backlog[Jira Link],MATCH($A295,Backlog[Requirement ID],0))),"")</f>
        <v/>
      </c>
      <c r="E294" s="92">
        <f>IFERROR(IF(ISBLANK(INDEX(Backlog[Status],MATCH($A295,Backlog[Requirement ID],0))),"",INDEX(Backlog[Status],MATCH($A295,Backlog[Requirement ID],0))),"")</f>
        <v/>
      </c>
      <c r="F294" s="92">
        <f>IFERROR(IF(ISBLANK(INDEX(SprintPlanning[Sprint],MATCH($A295,SprintPlanning[Requirement ID],0))),"",INDEX(SprintPlanning[Sprint],MATCH($A295,SprintPlanning[Requirement ID],0))),"")</f>
        <v/>
      </c>
      <c r="H294" s="146" t="n"/>
      <c r="J294" s="92">
        <f>IFERROR(IF(ISBLANK(INDEX(Backlog[Priority],MATCH($A295,Backlog[Requirement ID],0))),"",INDEX(Backlog[Priority],MATCH($A295,Backlog[Requirement ID],0))),"")</f>
        <v/>
      </c>
    </row>
    <row r="295" hidden="1" ht="15" customHeight="1" s="93">
      <c r="A295" s="92">
        <f>Backlog!A296</f>
        <v/>
      </c>
      <c r="B295" s="97">
        <f>IFERROR(IF(ISBLANK(INDEX(Backlog[Requirement Name],MATCH($A296,Backlog[Requirement ID],0))),"",INDEX(Backlog[Requirement Name],MATCH($A296,Backlog[Requirement ID],0))),"")</f>
        <v/>
      </c>
      <c r="C295" s="92">
        <f>IFERROR(IF(ISBLANK(INDEX(Backlog[Stream],MATCH($A296,Backlog[Requirement ID],0))),"",INDEX(Backlog[Stream],MATCH($A296,Backlog[Requirement ID],0))),"")</f>
        <v/>
      </c>
      <c r="D295" s="92">
        <f>IFERROR(IF(ISBLANK(INDEX(Backlog[Jira Link],MATCH($A296,Backlog[Requirement ID],0))),"",INDEX(Backlog[Jira Link],MATCH($A296,Backlog[Requirement ID],0))),"")</f>
        <v/>
      </c>
      <c r="E295" s="92">
        <f>IFERROR(IF(ISBLANK(INDEX(Backlog[Status],MATCH($A296,Backlog[Requirement ID],0))),"",INDEX(Backlog[Status],MATCH($A296,Backlog[Requirement ID],0))),"")</f>
        <v/>
      </c>
      <c r="F295" s="92">
        <f>IFERROR(IF(ISBLANK(INDEX(SprintPlanning[Sprint],MATCH($A296,SprintPlanning[Requirement ID],0))),"",INDEX(SprintPlanning[Sprint],MATCH($A296,SprintPlanning[Requirement ID],0))),"")</f>
        <v/>
      </c>
      <c r="H295" s="146" t="n"/>
      <c r="J295" s="92">
        <f>IFERROR(IF(ISBLANK(INDEX(Backlog[Priority],MATCH($A296,Backlog[Requirement ID],0))),"",INDEX(Backlog[Priority],MATCH($A296,Backlog[Requirement ID],0))),"")</f>
        <v/>
      </c>
    </row>
    <row r="296" hidden="1" ht="15" customHeight="1" s="93">
      <c r="A296" s="92">
        <f>Backlog!A297</f>
        <v/>
      </c>
      <c r="B296" s="97">
        <f>IFERROR(IF(ISBLANK(INDEX(Backlog[Requirement Name],MATCH($A297,Backlog[Requirement ID],0))),"",INDEX(Backlog[Requirement Name],MATCH($A297,Backlog[Requirement ID],0))),"")</f>
        <v/>
      </c>
      <c r="C296" s="92">
        <f>IFERROR(IF(ISBLANK(INDEX(Backlog[Stream],MATCH($A297,Backlog[Requirement ID],0))),"",INDEX(Backlog[Stream],MATCH($A297,Backlog[Requirement ID],0))),"")</f>
        <v/>
      </c>
      <c r="D296" s="92">
        <f>IFERROR(IF(ISBLANK(INDEX(Backlog[Jira Link],MATCH($A297,Backlog[Requirement ID],0))),"",INDEX(Backlog[Jira Link],MATCH($A297,Backlog[Requirement ID],0))),"")</f>
        <v/>
      </c>
      <c r="E296" s="92">
        <f>IFERROR(IF(ISBLANK(INDEX(Backlog[Status],MATCH($A297,Backlog[Requirement ID],0))),"",INDEX(Backlog[Status],MATCH($A297,Backlog[Requirement ID],0))),"")</f>
        <v/>
      </c>
      <c r="F296" s="92">
        <f>IFERROR(IF(ISBLANK(INDEX(SprintPlanning[Sprint],MATCH($A297,SprintPlanning[Requirement ID],0))),"",INDEX(SprintPlanning[Sprint],MATCH($A297,SprintPlanning[Requirement ID],0))),"")</f>
        <v/>
      </c>
      <c r="H296" s="146" t="n"/>
      <c r="J296" s="92">
        <f>IFERROR(IF(ISBLANK(INDEX(Backlog[Priority],MATCH($A297,Backlog[Requirement ID],0))),"",INDEX(Backlog[Priority],MATCH($A297,Backlog[Requirement ID],0))),"")</f>
        <v/>
      </c>
    </row>
    <row r="297" hidden="1" ht="15" customHeight="1" s="93">
      <c r="A297" s="92">
        <f>Backlog!A298</f>
        <v/>
      </c>
      <c r="B297" s="97">
        <f>IFERROR(IF(ISBLANK(INDEX(Backlog[Requirement Name],MATCH($A298,Backlog[Requirement ID],0))),"",INDEX(Backlog[Requirement Name],MATCH($A298,Backlog[Requirement ID],0))),"")</f>
        <v/>
      </c>
      <c r="C297" s="92">
        <f>IFERROR(IF(ISBLANK(INDEX(Backlog[Stream],MATCH($A298,Backlog[Requirement ID],0))),"",INDEX(Backlog[Stream],MATCH($A298,Backlog[Requirement ID],0))),"")</f>
        <v/>
      </c>
      <c r="D297" s="92">
        <f>IFERROR(IF(ISBLANK(INDEX(Backlog[Jira Link],MATCH($A298,Backlog[Requirement ID],0))),"",INDEX(Backlog[Jira Link],MATCH($A298,Backlog[Requirement ID],0))),"")</f>
        <v/>
      </c>
      <c r="E297" s="92">
        <f>IFERROR(IF(ISBLANK(INDEX(Backlog[Status],MATCH($A298,Backlog[Requirement ID],0))),"",INDEX(Backlog[Status],MATCH($A298,Backlog[Requirement ID],0))),"")</f>
        <v/>
      </c>
      <c r="F297" s="92">
        <f>IFERROR(IF(ISBLANK(INDEX(SprintPlanning[Sprint],MATCH($A298,SprintPlanning[Requirement ID],0))),"",INDEX(SprintPlanning[Sprint],MATCH($A298,SprintPlanning[Requirement ID],0))),"")</f>
        <v/>
      </c>
      <c r="H297" s="146" t="n"/>
      <c r="J297" s="92">
        <f>IFERROR(IF(ISBLANK(INDEX(Backlog[Priority],MATCH($A298,Backlog[Requirement ID],0))),"",INDEX(Backlog[Priority],MATCH($A298,Backlog[Requirement ID],0))),"")</f>
        <v/>
      </c>
    </row>
    <row r="298" hidden="1" ht="15" customHeight="1" s="93">
      <c r="A298" s="92">
        <f>Backlog!A299</f>
        <v/>
      </c>
      <c r="B298" s="97">
        <f>IFERROR(IF(ISBLANK(INDEX(Backlog[Requirement Name],MATCH($A299,Backlog[Requirement ID],0))),"",INDEX(Backlog[Requirement Name],MATCH($A299,Backlog[Requirement ID],0))),"")</f>
        <v/>
      </c>
      <c r="C298" s="92">
        <f>IFERROR(IF(ISBLANK(INDEX(Backlog[Stream],MATCH($A299,Backlog[Requirement ID],0))),"",INDEX(Backlog[Stream],MATCH($A299,Backlog[Requirement ID],0))),"")</f>
        <v/>
      </c>
      <c r="D298" s="92">
        <f>IFERROR(IF(ISBLANK(INDEX(Backlog[Jira Link],MATCH($A299,Backlog[Requirement ID],0))),"",INDEX(Backlog[Jira Link],MATCH($A299,Backlog[Requirement ID],0))),"")</f>
        <v/>
      </c>
      <c r="E298" s="92">
        <f>IFERROR(IF(ISBLANK(INDEX(Backlog[Status],MATCH($A299,Backlog[Requirement ID],0))),"",INDEX(Backlog[Status],MATCH($A299,Backlog[Requirement ID],0))),"")</f>
        <v/>
      </c>
      <c r="F298" s="92">
        <f>IFERROR(IF(ISBLANK(INDEX(SprintPlanning[Sprint],MATCH($A299,SprintPlanning[Requirement ID],0))),"",INDEX(SprintPlanning[Sprint],MATCH($A299,SprintPlanning[Requirement ID],0))),"")</f>
        <v/>
      </c>
      <c r="H298" s="146" t="n"/>
      <c r="J298" s="92">
        <f>IFERROR(IF(ISBLANK(INDEX(Backlog[Priority],MATCH($A299,Backlog[Requirement ID],0))),"",INDEX(Backlog[Priority],MATCH($A299,Backlog[Requirement ID],0))),"")</f>
        <v/>
      </c>
    </row>
    <row r="299" hidden="1" ht="15" customHeight="1" s="93">
      <c r="A299" s="92">
        <f>Backlog!A300</f>
        <v/>
      </c>
      <c r="B299" s="97">
        <f>IFERROR(IF(ISBLANK(INDEX(Backlog[Requirement Name],MATCH($A300,Backlog[Requirement ID],0))),"",INDEX(Backlog[Requirement Name],MATCH($A300,Backlog[Requirement ID],0))),"")</f>
        <v/>
      </c>
      <c r="C299" s="92">
        <f>IFERROR(IF(ISBLANK(INDEX(Backlog[Stream],MATCH($A300,Backlog[Requirement ID],0))),"",INDEX(Backlog[Stream],MATCH($A300,Backlog[Requirement ID],0))),"")</f>
        <v/>
      </c>
      <c r="D299" s="92">
        <f>IFERROR(IF(ISBLANK(INDEX(Backlog[Jira Link],MATCH($A300,Backlog[Requirement ID],0))),"",INDEX(Backlog[Jira Link],MATCH($A300,Backlog[Requirement ID],0))),"")</f>
        <v/>
      </c>
      <c r="E299" s="92">
        <f>IFERROR(IF(ISBLANK(INDEX(Backlog[Status],MATCH($A300,Backlog[Requirement ID],0))),"",INDEX(Backlog[Status],MATCH($A300,Backlog[Requirement ID],0))),"")</f>
        <v/>
      </c>
      <c r="F299" s="92">
        <f>IFERROR(IF(ISBLANK(INDEX(SprintPlanning[Sprint],MATCH($A300,SprintPlanning[Requirement ID],0))),"",INDEX(SprintPlanning[Sprint],MATCH($A300,SprintPlanning[Requirement ID],0))),"")</f>
        <v/>
      </c>
      <c r="H299" s="146" t="n"/>
      <c r="J299" s="92">
        <f>IFERROR(IF(ISBLANK(INDEX(Backlog[Priority],MATCH($A300,Backlog[Requirement ID],0))),"",INDEX(Backlog[Priority],MATCH($A300,Backlog[Requirement ID],0))),"")</f>
        <v/>
      </c>
    </row>
    <row r="300" hidden="1" ht="15" customHeight="1" s="93">
      <c r="A300" s="92">
        <f>Backlog!A301</f>
        <v/>
      </c>
      <c r="B300" s="97">
        <f>IFERROR(IF(ISBLANK(INDEX(Backlog[Requirement Name],MATCH($A301,Backlog[Requirement ID],0))),"",INDEX(Backlog[Requirement Name],MATCH($A301,Backlog[Requirement ID],0))),"")</f>
        <v/>
      </c>
      <c r="C300" s="92">
        <f>IFERROR(IF(ISBLANK(INDEX(Backlog[Stream],MATCH($A301,Backlog[Requirement ID],0))),"",INDEX(Backlog[Stream],MATCH($A301,Backlog[Requirement ID],0))),"")</f>
        <v/>
      </c>
      <c r="D300" s="92">
        <f>IFERROR(IF(ISBLANK(INDEX(Backlog[Jira Link],MATCH($A301,Backlog[Requirement ID],0))),"",INDEX(Backlog[Jira Link],MATCH($A301,Backlog[Requirement ID],0))),"")</f>
        <v/>
      </c>
      <c r="E300" s="92">
        <f>IFERROR(IF(ISBLANK(INDEX(Backlog[Status],MATCH($A301,Backlog[Requirement ID],0))),"",INDEX(Backlog[Status],MATCH($A301,Backlog[Requirement ID],0))),"")</f>
        <v/>
      </c>
      <c r="F300" s="92">
        <f>IFERROR(IF(ISBLANK(INDEX(SprintPlanning[Sprint],MATCH($A301,SprintPlanning[Requirement ID],0))),"",INDEX(SprintPlanning[Sprint],MATCH($A301,SprintPlanning[Requirement ID],0))),"")</f>
        <v/>
      </c>
      <c r="H300" s="146" t="n"/>
      <c r="J300" s="92">
        <f>IFERROR(IF(ISBLANK(INDEX(Backlog[Priority],MATCH($A301,Backlog[Requirement ID],0))),"",INDEX(Backlog[Priority],MATCH($A301,Backlog[Requirement ID],0))),"")</f>
        <v/>
      </c>
    </row>
    <row r="301" hidden="1" ht="15" customHeight="1" s="93">
      <c r="A301" s="92">
        <f>Backlog!A302</f>
        <v/>
      </c>
      <c r="B301" s="97">
        <f>IFERROR(IF(ISBLANK(INDEX(Backlog[Requirement Name],MATCH($A302,Backlog[Requirement ID],0))),"",INDEX(Backlog[Requirement Name],MATCH($A302,Backlog[Requirement ID],0))),"")</f>
        <v/>
      </c>
      <c r="C301" s="92">
        <f>IFERROR(IF(ISBLANK(INDEX(Backlog[Stream],MATCH($A302,Backlog[Requirement ID],0))),"",INDEX(Backlog[Stream],MATCH($A302,Backlog[Requirement ID],0))),"")</f>
        <v/>
      </c>
      <c r="D301" s="92">
        <f>IFERROR(IF(ISBLANK(INDEX(Backlog[Jira Link],MATCH($A302,Backlog[Requirement ID],0))),"",INDEX(Backlog[Jira Link],MATCH($A302,Backlog[Requirement ID],0))),"")</f>
        <v/>
      </c>
      <c r="E301" s="92">
        <f>IFERROR(IF(ISBLANK(INDEX(Backlog[Status],MATCH($A302,Backlog[Requirement ID],0))),"",INDEX(Backlog[Status],MATCH($A302,Backlog[Requirement ID],0))),"")</f>
        <v/>
      </c>
      <c r="F301" s="92">
        <f>IFERROR(IF(ISBLANK(INDEX(SprintPlanning[Sprint],MATCH($A302,SprintPlanning[Requirement ID],0))),"",INDEX(SprintPlanning[Sprint],MATCH($A302,SprintPlanning[Requirement ID],0))),"")</f>
        <v/>
      </c>
      <c r="H301" s="146" t="n"/>
      <c r="J301" s="92">
        <f>IFERROR(IF(ISBLANK(INDEX(Backlog[Priority],MATCH($A302,Backlog[Requirement ID],0))),"",INDEX(Backlog[Priority],MATCH($A302,Backlog[Requirement ID],0))),"")</f>
        <v/>
      </c>
    </row>
    <row r="302" hidden="1" ht="15" customHeight="1" s="93">
      <c r="A302" s="92">
        <f>Backlog!A303</f>
        <v/>
      </c>
      <c r="B302" s="97">
        <f>IFERROR(IF(ISBLANK(INDEX(Backlog[Requirement Name],MATCH($A303,Backlog[Requirement ID],0))),"",INDEX(Backlog[Requirement Name],MATCH($A303,Backlog[Requirement ID],0))),"")</f>
        <v/>
      </c>
      <c r="C302" s="92">
        <f>IFERROR(IF(ISBLANK(INDEX(Backlog[Stream],MATCH($A303,Backlog[Requirement ID],0))),"",INDEX(Backlog[Stream],MATCH($A303,Backlog[Requirement ID],0))),"")</f>
        <v/>
      </c>
      <c r="D302" s="92">
        <f>IFERROR(IF(ISBLANK(INDEX(Backlog[Jira Link],MATCH($A303,Backlog[Requirement ID],0))),"",INDEX(Backlog[Jira Link],MATCH($A303,Backlog[Requirement ID],0))),"")</f>
        <v/>
      </c>
      <c r="E302" s="92">
        <f>IFERROR(IF(ISBLANK(INDEX(Backlog[Status],MATCH($A303,Backlog[Requirement ID],0))),"",INDEX(Backlog[Status],MATCH($A303,Backlog[Requirement ID],0))),"")</f>
        <v/>
      </c>
      <c r="F302" s="92">
        <f>IFERROR(IF(ISBLANK(INDEX(SprintPlanning[Sprint],MATCH($A303,SprintPlanning[Requirement ID],0))),"",INDEX(SprintPlanning[Sprint],MATCH($A303,SprintPlanning[Requirement ID],0))),"")</f>
        <v/>
      </c>
      <c r="H302" s="146" t="n"/>
      <c r="J302" s="92">
        <f>IFERROR(IF(ISBLANK(INDEX(Backlog[Priority],MATCH($A303,Backlog[Requirement ID],0))),"",INDEX(Backlog[Priority],MATCH($A303,Backlog[Requirement ID],0))),"")</f>
        <v/>
      </c>
    </row>
    <row r="303" hidden="1" ht="15" customHeight="1" s="93">
      <c r="A303" s="92">
        <f>Backlog!A304</f>
        <v/>
      </c>
      <c r="B303" s="97">
        <f>IFERROR(IF(ISBLANK(INDEX(Backlog[Requirement Name],MATCH($A304,Backlog[Requirement ID],0))),"",INDEX(Backlog[Requirement Name],MATCH($A304,Backlog[Requirement ID],0))),"")</f>
        <v/>
      </c>
      <c r="C303" s="92">
        <f>IFERROR(IF(ISBLANK(INDEX(Backlog[Stream],MATCH($A304,Backlog[Requirement ID],0))),"",INDEX(Backlog[Stream],MATCH($A304,Backlog[Requirement ID],0))),"")</f>
        <v/>
      </c>
      <c r="D303" s="92">
        <f>IFERROR(IF(ISBLANK(INDEX(Backlog[Jira Link],MATCH($A304,Backlog[Requirement ID],0))),"",INDEX(Backlog[Jira Link],MATCH($A304,Backlog[Requirement ID],0))),"")</f>
        <v/>
      </c>
      <c r="E303" s="92">
        <f>IFERROR(IF(ISBLANK(INDEX(Backlog[Status],MATCH($A304,Backlog[Requirement ID],0))),"",INDEX(Backlog[Status],MATCH($A304,Backlog[Requirement ID],0))),"")</f>
        <v/>
      </c>
      <c r="F303" s="92">
        <f>IFERROR(IF(ISBLANK(INDEX(SprintPlanning[Sprint],MATCH($A304,SprintPlanning[Requirement ID],0))),"",INDEX(SprintPlanning[Sprint],MATCH($A304,SprintPlanning[Requirement ID],0))),"")</f>
        <v/>
      </c>
      <c r="J303" s="92">
        <f>IFERROR(IF(ISBLANK(INDEX(Backlog[Priority],MATCH($A304,Backlog[Requirement ID],0))),"",INDEX(Backlog[Priority],MATCH($A304,Backlog[Requirement ID],0))),"")</f>
        <v/>
      </c>
    </row>
    <row r="304" hidden="1" ht="15" customHeight="1" s="93">
      <c r="A304" s="92">
        <f>Backlog!A305</f>
        <v/>
      </c>
      <c r="B304" s="97">
        <f>IFERROR(IF(ISBLANK(INDEX(Backlog[Requirement Name],MATCH($A305,Backlog[Requirement ID],0))),"",INDEX(Backlog[Requirement Name],MATCH($A305,Backlog[Requirement ID],0))),"")</f>
        <v/>
      </c>
      <c r="C304" s="92">
        <f>IFERROR(IF(ISBLANK(INDEX(Backlog[Stream],MATCH($A305,Backlog[Requirement ID],0))),"",INDEX(Backlog[Stream],MATCH($A305,Backlog[Requirement ID],0))),"")</f>
        <v/>
      </c>
      <c r="D304" s="92">
        <f>IFERROR(IF(ISBLANK(INDEX(Backlog[Jira Link],MATCH($A305,Backlog[Requirement ID],0))),"",INDEX(Backlog[Jira Link],MATCH($A305,Backlog[Requirement ID],0))),"")</f>
        <v/>
      </c>
      <c r="E304" s="92">
        <f>IFERROR(IF(ISBLANK(INDEX(Backlog[Status],MATCH($A305,Backlog[Requirement ID],0))),"",INDEX(Backlog[Status],MATCH($A305,Backlog[Requirement ID],0))),"")</f>
        <v/>
      </c>
      <c r="F304" s="92">
        <f>IFERROR(IF(ISBLANK(INDEX(SprintPlanning[Sprint],MATCH($A305,SprintPlanning[Requirement ID],0))),"",INDEX(SprintPlanning[Sprint],MATCH($A305,SprintPlanning[Requirement ID],0))),"")</f>
        <v/>
      </c>
      <c r="J304" s="92">
        <f>IFERROR(IF(ISBLANK(INDEX(Backlog[Priority],MATCH($A305,Backlog[Requirement ID],0))),"",INDEX(Backlog[Priority],MATCH($A305,Backlog[Requirement ID],0))),"")</f>
        <v/>
      </c>
    </row>
    <row r="305" hidden="1" ht="15" customHeight="1" s="93">
      <c r="A305" s="92">
        <f>Backlog!A306</f>
        <v/>
      </c>
      <c r="B305" s="97">
        <f>IFERROR(IF(ISBLANK(INDEX(Backlog[Requirement Name],MATCH($A306,Backlog[Requirement ID],0))),"",INDEX(Backlog[Requirement Name],MATCH($A306,Backlog[Requirement ID],0))),"")</f>
        <v/>
      </c>
      <c r="C305" s="92">
        <f>IFERROR(IF(ISBLANK(INDEX(Backlog[Stream],MATCH($A306,Backlog[Requirement ID],0))),"",INDEX(Backlog[Stream],MATCH($A306,Backlog[Requirement ID],0))),"")</f>
        <v/>
      </c>
      <c r="D305" s="92">
        <f>IFERROR(IF(ISBLANK(INDEX(Backlog[Jira Link],MATCH($A306,Backlog[Requirement ID],0))),"",INDEX(Backlog[Jira Link],MATCH($A306,Backlog[Requirement ID],0))),"")</f>
        <v/>
      </c>
      <c r="E305" s="92">
        <f>IFERROR(IF(ISBLANK(INDEX(Backlog[Status],MATCH($A306,Backlog[Requirement ID],0))),"",INDEX(Backlog[Status],MATCH($A306,Backlog[Requirement ID],0))),"")</f>
        <v/>
      </c>
      <c r="F305" s="92">
        <f>IFERROR(IF(ISBLANK(INDEX(SprintPlanning[Sprint],MATCH($A306,SprintPlanning[Requirement ID],0))),"",INDEX(SprintPlanning[Sprint],MATCH($A306,SprintPlanning[Requirement ID],0))),"")</f>
        <v/>
      </c>
      <c r="J305" s="92">
        <f>IFERROR(IF(ISBLANK(INDEX(Backlog[Priority],MATCH($A306,Backlog[Requirement ID],0))),"",INDEX(Backlog[Priority],MATCH($A306,Backlog[Requirement ID],0))),"")</f>
        <v/>
      </c>
    </row>
    <row r="306" hidden="1" ht="15" customHeight="1" s="93">
      <c r="A306" s="92">
        <f>Backlog!A307</f>
        <v/>
      </c>
      <c r="B306" s="97">
        <f>IFERROR(IF(ISBLANK(INDEX(Backlog[Requirement Name],MATCH($A307,Backlog[Requirement ID],0))),"",INDEX(Backlog[Requirement Name],MATCH($A307,Backlog[Requirement ID],0))),"")</f>
        <v/>
      </c>
      <c r="C306" s="92">
        <f>IFERROR(IF(ISBLANK(INDEX(Backlog[Stream],MATCH($A307,Backlog[Requirement ID],0))),"",INDEX(Backlog[Stream],MATCH($A307,Backlog[Requirement ID],0))),"")</f>
        <v/>
      </c>
      <c r="D306" s="92">
        <f>IFERROR(IF(ISBLANK(INDEX(Backlog[Jira Link],MATCH($A307,Backlog[Requirement ID],0))),"",INDEX(Backlog[Jira Link],MATCH($A307,Backlog[Requirement ID],0))),"")</f>
        <v/>
      </c>
      <c r="E306" s="92">
        <f>IFERROR(IF(ISBLANK(INDEX(Backlog[Status],MATCH($A307,Backlog[Requirement ID],0))),"",INDEX(Backlog[Status],MATCH($A307,Backlog[Requirement ID],0))),"")</f>
        <v/>
      </c>
      <c r="F306" s="92">
        <f>IFERROR(IF(ISBLANK(INDEX(SprintPlanning[Sprint],MATCH($A307,SprintPlanning[Requirement ID],0))),"",INDEX(SprintPlanning[Sprint],MATCH($A307,SprintPlanning[Requirement ID],0))),"")</f>
        <v/>
      </c>
      <c r="J306" s="92">
        <f>IFERROR(IF(ISBLANK(INDEX(Backlog[Priority],MATCH($A307,Backlog[Requirement ID],0))),"",INDEX(Backlog[Priority],MATCH($A307,Backlog[Requirement ID],0))),"")</f>
        <v/>
      </c>
    </row>
    <row r="307" hidden="1" ht="15" customHeight="1" s="93">
      <c r="A307" s="92">
        <f>Backlog!A308</f>
        <v/>
      </c>
      <c r="B307" s="97">
        <f>IFERROR(IF(ISBLANK(INDEX(Backlog[Requirement Name],MATCH($A308,Backlog[Requirement ID],0))),"",INDEX(Backlog[Requirement Name],MATCH($A308,Backlog[Requirement ID],0))),"")</f>
        <v/>
      </c>
      <c r="C307" s="92">
        <f>IFERROR(IF(ISBLANK(INDEX(Backlog[Stream],MATCH($A308,Backlog[Requirement ID],0))),"",INDEX(Backlog[Stream],MATCH($A308,Backlog[Requirement ID],0))),"")</f>
        <v/>
      </c>
      <c r="D307" s="92">
        <f>IFERROR(IF(ISBLANK(INDEX(Backlog[Jira Link],MATCH($A308,Backlog[Requirement ID],0))),"",INDEX(Backlog[Jira Link],MATCH($A308,Backlog[Requirement ID],0))),"")</f>
        <v/>
      </c>
      <c r="E307" s="92">
        <f>IFERROR(IF(ISBLANK(INDEX(Backlog[Status],MATCH($A308,Backlog[Requirement ID],0))),"",INDEX(Backlog[Status],MATCH($A308,Backlog[Requirement ID],0))),"")</f>
        <v/>
      </c>
      <c r="F307" s="92">
        <f>IFERROR(IF(ISBLANK(INDEX(SprintPlanning[Sprint],MATCH($A308,SprintPlanning[Requirement ID],0))),"",INDEX(SprintPlanning[Sprint],MATCH($A308,SprintPlanning[Requirement ID],0))),"")</f>
        <v/>
      </c>
      <c r="J307" s="92">
        <f>IFERROR(IF(ISBLANK(INDEX(Backlog[Priority],MATCH($A308,Backlog[Requirement ID],0))),"",INDEX(Backlog[Priority],MATCH($A308,Backlog[Requirement ID],0))),"")</f>
        <v/>
      </c>
    </row>
    <row r="308" hidden="1" ht="15" customHeight="1" s="93">
      <c r="A308" s="92">
        <f>Backlog!A309</f>
        <v/>
      </c>
      <c r="B308" s="97">
        <f>IFERROR(IF(ISBLANK(INDEX(Backlog[Requirement Name],MATCH($A309,Backlog[Requirement ID],0))),"",INDEX(Backlog[Requirement Name],MATCH($A309,Backlog[Requirement ID],0))),"")</f>
        <v/>
      </c>
      <c r="C308" s="92">
        <f>IFERROR(IF(ISBLANK(INDEX(Backlog[Stream],MATCH($A309,Backlog[Requirement ID],0))),"",INDEX(Backlog[Stream],MATCH($A309,Backlog[Requirement ID],0))),"")</f>
        <v/>
      </c>
      <c r="D308" s="92">
        <f>IFERROR(IF(ISBLANK(INDEX(Backlog[Jira Link],MATCH($A309,Backlog[Requirement ID],0))),"",INDEX(Backlog[Jira Link],MATCH($A309,Backlog[Requirement ID],0))),"")</f>
        <v/>
      </c>
      <c r="E308" s="92">
        <f>IFERROR(IF(ISBLANK(INDEX(Backlog[Status],MATCH($A309,Backlog[Requirement ID],0))),"",INDEX(Backlog[Status],MATCH($A309,Backlog[Requirement ID],0))),"")</f>
        <v/>
      </c>
      <c r="F308" s="92">
        <f>IFERROR(IF(ISBLANK(INDEX(SprintPlanning[Sprint],MATCH($A309,SprintPlanning[Requirement ID],0))),"",INDEX(SprintPlanning[Sprint],MATCH($A309,SprintPlanning[Requirement ID],0))),"")</f>
        <v/>
      </c>
      <c r="J308" s="92">
        <f>IFERROR(IF(ISBLANK(INDEX(Backlog[Priority],MATCH($A309,Backlog[Requirement ID],0))),"",INDEX(Backlog[Priority],MATCH($A309,Backlog[Requirement ID],0))),"")</f>
        <v/>
      </c>
    </row>
    <row r="309" hidden="1" ht="15" customHeight="1" s="93">
      <c r="A309" s="92">
        <f>Backlog!A310</f>
        <v/>
      </c>
      <c r="B309" s="97">
        <f>IFERROR(IF(ISBLANK(INDEX(Backlog[Requirement Name],MATCH($A310,Backlog[Requirement ID],0))),"",INDEX(Backlog[Requirement Name],MATCH($A310,Backlog[Requirement ID],0))),"")</f>
        <v/>
      </c>
      <c r="C309" s="92">
        <f>IFERROR(IF(ISBLANK(INDEX(Backlog[Stream],MATCH($A310,Backlog[Requirement ID],0))),"",INDEX(Backlog[Stream],MATCH($A310,Backlog[Requirement ID],0))),"")</f>
        <v/>
      </c>
      <c r="D309" s="92">
        <f>IFERROR(IF(ISBLANK(INDEX(Backlog[Jira Link],MATCH($A310,Backlog[Requirement ID],0))),"",INDEX(Backlog[Jira Link],MATCH($A310,Backlog[Requirement ID],0))),"")</f>
        <v/>
      </c>
      <c r="E309" s="92">
        <f>IFERROR(IF(ISBLANK(INDEX(Backlog[Status],MATCH($A310,Backlog[Requirement ID],0))),"",INDEX(Backlog[Status],MATCH($A310,Backlog[Requirement ID],0))),"")</f>
        <v/>
      </c>
      <c r="F309" s="92">
        <f>IFERROR(IF(ISBLANK(INDEX(SprintPlanning[Sprint],MATCH($A310,SprintPlanning[Requirement ID],0))),"",INDEX(SprintPlanning[Sprint],MATCH($A310,SprintPlanning[Requirement ID],0))),"")</f>
        <v/>
      </c>
      <c r="J309" s="92">
        <f>IFERROR(IF(ISBLANK(INDEX(Backlog[Priority],MATCH($A310,Backlog[Requirement ID],0))),"",INDEX(Backlog[Priority],MATCH($A310,Backlog[Requirement ID],0))),"")</f>
        <v/>
      </c>
    </row>
    <row r="310" hidden="1" ht="15" customHeight="1" s="93">
      <c r="A310" s="92">
        <f>Backlog!A311</f>
        <v/>
      </c>
      <c r="B310" s="97">
        <f>IFERROR(IF(ISBLANK(INDEX(Backlog[Requirement Name],MATCH($A311,Backlog[Requirement ID],0))),"",INDEX(Backlog[Requirement Name],MATCH($A311,Backlog[Requirement ID],0))),"")</f>
        <v/>
      </c>
      <c r="C310" s="92">
        <f>IFERROR(IF(ISBLANK(INDEX(Backlog[Stream],MATCH($A311,Backlog[Requirement ID],0))),"",INDEX(Backlog[Stream],MATCH($A311,Backlog[Requirement ID],0))),"")</f>
        <v/>
      </c>
      <c r="D310" s="92">
        <f>IFERROR(IF(ISBLANK(INDEX(Backlog[Jira Link],MATCH($A311,Backlog[Requirement ID],0))),"",INDEX(Backlog[Jira Link],MATCH($A311,Backlog[Requirement ID],0))),"")</f>
        <v/>
      </c>
      <c r="E310" s="92">
        <f>IFERROR(IF(ISBLANK(INDEX(Backlog[Status],MATCH($A311,Backlog[Requirement ID],0))),"",INDEX(Backlog[Status],MATCH($A311,Backlog[Requirement ID],0))),"")</f>
        <v/>
      </c>
      <c r="F310" s="92">
        <f>IFERROR(IF(ISBLANK(INDEX(SprintPlanning[Sprint],MATCH($A311,SprintPlanning[Requirement ID],0))),"",INDEX(SprintPlanning[Sprint],MATCH($A311,SprintPlanning[Requirement ID],0))),"")</f>
        <v/>
      </c>
      <c r="J310" s="92">
        <f>IFERROR(IF(ISBLANK(INDEX(Backlog[Priority],MATCH($A311,Backlog[Requirement ID],0))),"",INDEX(Backlog[Priority],MATCH($A311,Backlog[Requirement ID],0))),"")</f>
        <v/>
      </c>
    </row>
    <row r="311" hidden="1" ht="15" customHeight="1" s="93">
      <c r="A311" s="92">
        <f>Backlog!A312</f>
        <v/>
      </c>
      <c r="B311" s="97">
        <f>IFERROR(IF(ISBLANK(INDEX(Backlog[Requirement Name],MATCH($A312,Backlog[Requirement ID],0))),"",INDEX(Backlog[Requirement Name],MATCH($A312,Backlog[Requirement ID],0))),"")</f>
        <v/>
      </c>
      <c r="C311" s="92">
        <f>IFERROR(IF(ISBLANK(INDEX(Backlog[Stream],MATCH($A312,Backlog[Requirement ID],0))),"",INDEX(Backlog[Stream],MATCH($A312,Backlog[Requirement ID],0))),"")</f>
        <v/>
      </c>
      <c r="D311" s="92">
        <f>IFERROR(IF(ISBLANK(INDEX(Backlog[Jira Link],MATCH($A312,Backlog[Requirement ID],0))),"",INDEX(Backlog[Jira Link],MATCH($A312,Backlog[Requirement ID],0))),"")</f>
        <v/>
      </c>
      <c r="E311" s="92">
        <f>IFERROR(IF(ISBLANK(INDEX(Backlog[Status],MATCH($A312,Backlog[Requirement ID],0))),"",INDEX(Backlog[Status],MATCH($A312,Backlog[Requirement ID],0))),"")</f>
        <v/>
      </c>
      <c r="F311" s="92">
        <f>IFERROR(IF(ISBLANK(INDEX(SprintPlanning[Sprint],MATCH($A312,SprintPlanning[Requirement ID],0))),"",INDEX(SprintPlanning[Sprint],MATCH($A312,SprintPlanning[Requirement ID],0))),"")</f>
        <v/>
      </c>
      <c r="J311" s="92">
        <f>IFERROR(IF(ISBLANK(INDEX(Backlog[Priority],MATCH($A312,Backlog[Requirement ID],0))),"",INDEX(Backlog[Priority],MATCH($A312,Backlog[Requirement ID],0))),"")</f>
        <v/>
      </c>
    </row>
    <row r="312" hidden="1" ht="15" customHeight="1" s="93">
      <c r="A312" s="92">
        <f>Backlog!A313</f>
        <v/>
      </c>
      <c r="B312" s="97">
        <f>IFERROR(IF(ISBLANK(INDEX(Backlog[Requirement Name],MATCH($A313,Backlog[Requirement ID],0))),"",INDEX(Backlog[Requirement Name],MATCH($A313,Backlog[Requirement ID],0))),"")</f>
        <v/>
      </c>
      <c r="C312" s="92">
        <f>IFERROR(IF(ISBLANK(INDEX(Backlog[Stream],MATCH($A313,Backlog[Requirement ID],0))),"",INDEX(Backlog[Stream],MATCH($A313,Backlog[Requirement ID],0))),"")</f>
        <v/>
      </c>
      <c r="D312" s="92">
        <f>IFERROR(IF(ISBLANK(INDEX(Backlog[Jira Link],MATCH($A313,Backlog[Requirement ID],0))),"",INDEX(Backlog[Jira Link],MATCH($A313,Backlog[Requirement ID],0))),"")</f>
        <v/>
      </c>
      <c r="E312" s="92">
        <f>IFERROR(IF(ISBLANK(INDEX(Backlog[Status],MATCH($A313,Backlog[Requirement ID],0))),"",INDEX(Backlog[Status],MATCH($A313,Backlog[Requirement ID],0))),"")</f>
        <v/>
      </c>
      <c r="F312" s="92">
        <f>IFERROR(IF(ISBLANK(INDEX(SprintPlanning[Sprint],MATCH($A313,SprintPlanning[Requirement ID],0))),"",INDEX(SprintPlanning[Sprint],MATCH($A313,SprintPlanning[Requirement ID],0))),"")</f>
        <v/>
      </c>
      <c r="J312" s="92">
        <f>IFERROR(IF(ISBLANK(INDEX(Backlog[Priority],MATCH($A313,Backlog[Requirement ID],0))),"",INDEX(Backlog[Priority],MATCH($A313,Backlog[Requirement ID],0))),"")</f>
        <v/>
      </c>
    </row>
    <row r="313" hidden="1" ht="15" customHeight="1" s="93">
      <c r="A313" s="92">
        <f>Backlog!A314</f>
        <v/>
      </c>
      <c r="B313" s="97">
        <f>IFERROR(IF(ISBLANK(INDEX(Backlog[Requirement Name],MATCH($A314,Backlog[Requirement ID],0))),"",INDEX(Backlog[Requirement Name],MATCH($A314,Backlog[Requirement ID],0))),"")</f>
        <v/>
      </c>
      <c r="C313" s="92">
        <f>IFERROR(IF(ISBLANK(INDEX(Backlog[Stream],MATCH($A314,Backlog[Requirement ID],0))),"",INDEX(Backlog[Stream],MATCH($A314,Backlog[Requirement ID],0))),"")</f>
        <v/>
      </c>
      <c r="D313" s="92">
        <f>IFERROR(IF(ISBLANK(INDEX(Backlog[Jira Link],MATCH($A314,Backlog[Requirement ID],0))),"",INDEX(Backlog[Jira Link],MATCH($A314,Backlog[Requirement ID],0))),"")</f>
        <v/>
      </c>
      <c r="E313" s="92">
        <f>IFERROR(IF(ISBLANK(INDEX(Backlog[Status],MATCH($A314,Backlog[Requirement ID],0))),"",INDEX(Backlog[Status],MATCH($A314,Backlog[Requirement ID],0))),"")</f>
        <v/>
      </c>
      <c r="F313" s="92">
        <f>IFERROR(IF(ISBLANK(INDEX(SprintPlanning[Sprint],MATCH($A314,SprintPlanning[Requirement ID],0))),"",INDEX(SprintPlanning[Sprint],MATCH($A314,SprintPlanning[Requirement ID],0))),"")</f>
        <v/>
      </c>
      <c r="J313" s="92">
        <f>IFERROR(IF(ISBLANK(INDEX(Backlog[Priority],MATCH($A314,Backlog[Requirement ID],0))),"",INDEX(Backlog[Priority],MATCH($A314,Backlog[Requirement ID],0))),"")</f>
        <v/>
      </c>
    </row>
    <row r="314" hidden="1" ht="15" customHeight="1" s="93">
      <c r="A314" s="92">
        <f>Backlog!A315</f>
        <v/>
      </c>
      <c r="B314" s="97">
        <f>IFERROR(IF(ISBLANK(INDEX(Backlog[Requirement Name],MATCH($A315,Backlog[Requirement ID],0))),"",INDEX(Backlog[Requirement Name],MATCH($A315,Backlog[Requirement ID],0))),"")</f>
        <v/>
      </c>
      <c r="C314" s="92">
        <f>IFERROR(IF(ISBLANK(INDEX(Backlog[Stream],MATCH($A315,Backlog[Requirement ID],0))),"",INDEX(Backlog[Stream],MATCH($A315,Backlog[Requirement ID],0))),"")</f>
        <v/>
      </c>
      <c r="D314" s="92">
        <f>IFERROR(IF(ISBLANK(INDEX(Backlog[Jira Link],MATCH($A315,Backlog[Requirement ID],0))),"",INDEX(Backlog[Jira Link],MATCH($A315,Backlog[Requirement ID],0))),"")</f>
        <v/>
      </c>
      <c r="E314" s="92">
        <f>IFERROR(IF(ISBLANK(INDEX(Backlog[Status],MATCH($A315,Backlog[Requirement ID],0))),"",INDEX(Backlog[Status],MATCH($A315,Backlog[Requirement ID],0))),"")</f>
        <v/>
      </c>
      <c r="F314" s="92">
        <f>IFERROR(IF(ISBLANK(INDEX(SprintPlanning[Sprint],MATCH($A315,SprintPlanning[Requirement ID],0))),"",INDEX(SprintPlanning[Sprint],MATCH($A315,SprintPlanning[Requirement ID],0))),"")</f>
        <v/>
      </c>
      <c r="J314" s="92">
        <f>IFERROR(IF(ISBLANK(INDEX(Backlog[Priority],MATCH($A315,Backlog[Requirement ID],0))),"",INDEX(Backlog[Priority],MATCH($A315,Backlog[Requirement ID],0))),"")</f>
        <v/>
      </c>
    </row>
    <row r="315" hidden="1" ht="15" customHeight="1" s="93">
      <c r="A315" s="92">
        <f>Backlog!A316</f>
        <v/>
      </c>
      <c r="B315" s="97">
        <f>IFERROR(IF(ISBLANK(INDEX(Backlog[Requirement Name],MATCH($A316,Backlog[Requirement ID],0))),"",INDEX(Backlog[Requirement Name],MATCH($A316,Backlog[Requirement ID],0))),"")</f>
        <v/>
      </c>
      <c r="C315" s="92">
        <f>IFERROR(IF(ISBLANK(INDEX(Backlog[Stream],MATCH($A316,Backlog[Requirement ID],0))),"",INDEX(Backlog[Stream],MATCH($A316,Backlog[Requirement ID],0))),"")</f>
        <v/>
      </c>
      <c r="D315" s="92">
        <f>IFERROR(IF(ISBLANK(INDEX(Backlog[Jira Link],MATCH($A316,Backlog[Requirement ID],0))),"",INDEX(Backlog[Jira Link],MATCH($A316,Backlog[Requirement ID],0))),"")</f>
        <v/>
      </c>
      <c r="E315" s="92">
        <f>IFERROR(IF(ISBLANK(INDEX(Backlog[Status],MATCH($A316,Backlog[Requirement ID],0))),"",INDEX(Backlog[Status],MATCH($A316,Backlog[Requirement ID],0))),"")</f>
        <v/>
      </c>
      <c r="F315" s="92">
        <f>IFERROR(IF(ISBLANK(INDEX(SprintPlanning[Sprint],MATCH($A316,SprintPlanning[Requirement ID],0))),"",INDEX(SprintPlanning[Sprint],MATCH($A316,SprintPlanning[Requirement ID],0))),"")</f>
        <v/>
      </c>
      <c r="J315" s="92">
        <f>IFERROR(IF(ISBLANK(INDEX(Backlog[Priority],MATCH($A316,Backlog[Requirement ID],0))),"",INDEX(Backlog[Priority],MATCH($A316,Backlog[Requirement ID],0))),"")</f>
        <v/>
      </c>
    </row>
    <row r="316" hidden="1" ht="15" customHeight="1" s="93">
      <c r="A316" s="92">
        <f>Backlog!A317</f>
        <v/>
      </c>
      <c r="B316" s="97">
        <f>IFERROR(IF(ISBLANK(INDEX(Backlog[Requirement Name],MATCH($A317,Backlog[Requirement ID],0))),"",INDEX(Backlog[Requirement Name],MATCH($A317,Backlog[Requirement ID],0))),"")</f>
        <v/>
      </c>
      <c r="C316" s="92">
        <f>IFERROR(IF(ISBLANK(INDEX(Backlog[Stream],MATCH($A317,Backlog[Requirement ID],0))),"",INDEX(Backlog[Stream],MATCH($A317,Backlog[Requirement ID],0))),"")</f>
        <v/>
      </c>
      <c r="D316" s="92">
        <f>IFERROR(IF(ISBLANK(INDEX(Backlog[Jira Link],MATCH($A317,Backlog[Requirement ID],0))),"",INDEX(Backlog[Jira Link],MATCH($A317,Backlog[Requirement ID],0))),"")</f>
        <v/>
      </c>
      <c r="E316" s="92">
        <f>IFERROR(IF(ISBLANK(INDEX(Backlog[Status],MATCH($A317,Backlog[Requirement ID],0))),"",INDEX(Backlog[Status],MATCH($A317,Backlog[Requirement ID],0))),"")</f>
        <v/>
      </c>
      <c r="F316" s="92">
        <f>IFERROR(IF(ISBLANK(INDEX(SprintPlanning[Sprint],MATCH($A317,SprintPlanning[Requirement ID],0))),"",INDEX(SprintPlanning[Sprint],MATCH($A317,SprintPlanning[Requirement ID],0))),"")</f>
        <v/>
      </c>
      <c r="J316" s="92">
        <f>IFERROR(IF(ISBLANK(INDEX(Backlog[Priority],MATCH($A317,Backlog[Requirement ID],0))),"",INDEX(Backlog[Priority],MATCH($A317,Backlog[Requirement ID],0))),"")</f>
        <v/>
      </c>
    </row>
    <row r="317" hidden="1" ht="15" customHeight="1" s="93">
      <c r="A317" s="92">
        <f>Backlog!A318</f>
        <v/>
      </c>
      <c r="B317" s="97">
        <f>IFERROR(IF(ISBLANK(INDEX(Backlog[Requirement Name],MATCH($A318,Backlog[Requirement ID],0))),"",INDEX(Backlog[Requirement Name],MATCH($A318,Backlog[Requirement ID],0))),"")</f>
        <v/>
      </c>
      <c r="C317" s="92">
        <f>IFERROR(IF(ISBLANK(INDEX(Backlog[Stream],MATCH($A318,Backlog[Requirement ID],0))),"",INDEX(Backlog[Stream],MATCH($A318,Backlog[Requirement ID],0))),"")</f>
        <v/>
      </c>
      <c r="D317" s="92">
        <f>IFERROR(IF(ISBLANK(INDEX(Backlog[Jira Link],MATCH($A318,Backlog[Requirement ID],0))),"",INDEX(Backlog[Jira Link],MATCH($A318,Backlog[Requirement ID],0))),"")</f>
        <v/>
      </c>
      <c r="E317" s="92">
        <f>IFERROR(IF(ISBLANK(INDEX(Backlog[Status],MATCH($A318,Backlog[Requirement ID],0))),"",INDEX(Backlog[Status],MATCH($A318,Backlog[Requirement ID],0))),"")</f>
        <v/>
      </c>
      <c r="F317" s="92">
        <f>IFERROR(IF(ISBLANK(INDEX(SprintPlanning[Sprint],MATCH($A318,SprintPlanning[Requirement ID],0))),"",INDEX(SprintPlanning[Sprint],MATCH($A318,SprintPlanning[Requirement ID],0))),"")</f>
        <v/>
      </c>
      <c r="J317" s="92">
        <f>IFERROR(IF(ISBLANK(INDEX(Backlog[Priority],MATCH($A318,Backlog[Requirement ID],0))),"",INDEX(Backlog[Priority],MATCH($A318,Backlog[Requirement ID],0))),"")</f>
        <v/>
      </c>
    </row>
    <row r="318" hidden="1" ht="15" customHeight="1" s="93">
      <c r="A318" s="92">
        <f>Backlog!A319</f>
        <v/>
      </c>
      <c r="B318" s="97">
        <f>IFERROR(IF(ISBLANK(INDEX(Backlog[Requirement Name],MATCH($A319,Backlog[Requirement ID],0))),"",INDEX(Backlog[Requirement Name],MATCH($A319,Backlog[Requirement ID],0))),"")</f>
        <v/>
      </c>
      <c r="C318" s="92">
        <f>IFERROR(IF(ISBLANK(INDEX(Backlog[Stream],MATCH($A319,Backlog[Requirement ID],0))),"",INDEX(Backlog[Stream],MATCH($A319,Backlog[Requirement ID],0))),"")</f>
        <v/>
      </c>
      <c r="D318" s="92">
        <f>IFERROR(IF(ISBLANK(INDEX(Backlog[Jira Link],MATCH($A319,Backlog[Requirement ID],0))),"",INDEX(Backlog[Jira Link],MATCH($A319,Backlog[Requirement ID],0))),"")</f>
        <v/>
      </c>
      <c r="E318" s="92">
        <f>IFERROR(IF(ISBLANK(INDEX(Backlog[Status],MATCH($A319,Backlog[Requirement ID],0))),"",INDEX(Backlog[Status],MATCH($A319,Backlog[Requirement ID],0))),"")</f>
        <v/>
      </c>
      <c r="F318" s="92">
        <f>IFERROR(IF(ISBLANK(INDEX(SprintPlanning[Sprint],MATCH($A319,SprintPlanning[Requirement ID],0))),"",INDEX(SprintPlanning[Sprint],MATCH($A319,SprintPlanning[Requirement ID],0))),"")</f>
        <v/>
      </c>
      <c r="J318" s="92">
        <f>IFERROR(IF(ISBLANK(INDEX(Backlog[Priority],MATCH($A319,Backlog[Requirement ID],0))),"",INDEX(Backlog[Priority],MATCH($A319,Backlog[Requirement ID],0))),"")</f>
        <v/>
      </c>
    </row>
    <row r="319" hidden="1" ht="15" customHeight="1" s="93">
      <c r="A319" s="92">
        <f>Backlog!A320</f>
        <v/>
      </c>
      <c r="B319" s="97">
        <f>IFERROR(IF(ISBLANK(INDEX(Backlog[Requirement Name],MATCH($A320,Backlog[Requirement ID],0))),"",INDEX(Backlog[Requirement Name],MATCH($A320,Backlog[Requirement ID],0))),"")</f>
        <v/>
      </c>
      <c r="C319" s="92">
        <f>IFERROR(IF(ISBLANK(INDEX(Backlog[Stream],MATCH($A320,Backlog[Requirement ID],0))),"",INDEX(Backlog[Stream],MATCH($A320,Backlog[Requirement ID],0))),"")</f>
        <v/>
      </c>
      <c r="D319" s="92">
        <f>IFERROR(IF(ISBLANK(INDEX(Backlog[Jira Link],MATCH($A320,Backlog[Requirement ID],0))),"",INDEX(Backlog[Jira Link],MATCH($A320,Backlog[Requirement ID],0))),"")</f>
        <v/>
      </c>
      <c r="E319" s="92">
        <f>IFERROR(IF(ISBLANK(INDEX(Backlog[Status],MATCH($A320,Backlog[Requirement ID],0))),"",INDEX(Backlog[Status],MATCH($A320,Backlog[Requirement ID],0))),"")</f>
        <v/>
      </c>
      <c r="F319" s="92">
        <f>IFERROR(IF(ISBLANK(INDEX(SprintPlanning[Sprint],MATCH($A320,SprintPlanning[Requirement ID],0))),"",INDEX(SprintPlanning[Sprint],MATCH($A320,SprintPlanning[Requirement ID],0))),"")</f>
        <v/>
      </c>
      <c r="J319" s="92">
        <f>IFERROR(IF(ISBLANK(INDEX(Backlog[Priority],MATCH($A320,Backlog[Requirement ID],0))),"",INDEX(Backlog[Priority],MATCH($A320,Backlog[Requirement ID],0))),"")</f>
        <v/>
      </c>
    </row>
    <row r="320" hidden="1" ht="15" customHeight="1" s="93">
      <c r="A320" s="92">
        <f>Backlog!A321</f>
        <v/>
      </c>
      <c r="B320" s="97">
        <f>IFERROR(IF(ISBLANK(INDEX(Backlog[Requirement Name],MATCH($A321,Backlog[Requirement ID],0))),"",INDEX(Backlog[Requirement Name],MATCH($A321,Backlog[Requirement ID],0))),"")</f>
        <v/>
      </c>
      <c r="C320" s="92">
        <f>IFERROR(IF(ISBLANK(INDEX(Backlog[Stream],MATCH($A321,Backlog[Requirement ID],0))),"",INDEX(Backlog[Stream],MATCH($A321,Backlog[Requirement ID],0))),"")</f>
        <v/>
      </c>
      <c r="D320" s="92">
        <f>IFERROR(IF(ISBLANK(INDEX(Backlog[Jira Link],MATCH($A321,Backlog[Requirement ID],0))),"",INDEX(Backlog[Jira Link],MATCH($A321,Backlog[Requirement ID],0))),"")</f>
        <v/>
      </c>
      <c r="E320" s="92">
        <f>IFERROR(IF(ISBLANK(INDEX(Backlog[Status],MATCH($A321,Backlog[Requirement ID],0))),"",INDEX(Backlog[Status],MATCH($A321,Backlog[Requirement ID],0))),"")</f>
        <v/>
      </c>
      <c r="F320" s="92">
        <f>IFERROR(IF(ISBLANK(INDEX(SprintPlanning[Sprint],MATCH($A321,SprintPlanning[Requirement ID],0))),"",INDEX(SprintPlanning[Sprint],MATCH($A321,SprintPlanning[Requirement ID],0))),"")</f>
        <v/>
      </c>
      <c r="J320" s="92">
        <f>IFERROR(IF(ISBLANK(INDEX(Backlog[Priority],MATCH($A321,Backlog[Requirement ID],0))),"",INDEX(Backlog[Priority],MATCH($A321,Backlog[Requirement ID],0))),"")</f>
        <v/>
      </c>
    </row>
    <row r="321" hidden="1" ht="15" customHeight="1" s="93">
      <c r="A321" s="92">
        <f>Backlog!A322</f>
        <v/>
      </c>
      <c r="B321" s="97">
        <f>IFERROR(IF(ISBLANK(INDEX(Backlog[Requirement Name],MATCH($A322,Backlog[Requirement ID],0))),"",INDEX(Backlog[Requirement Name],MATCH($A322,Backlog[Requirement ID],0))),"")</f>
        <v/>
      </c>
      <c r="C321" s="92">
        <f>IFERROR(IF(ISBLANK(INDEX(Backlog[Stream],MATCH($A322,Backlog[Requirement ID],0))),"",INDEX(Backlog[Stream],MATCH($A322,Backlog[Requirement ID],0))),"")</f>
        <v/>
      </c>
      <c r="D321" s="92">
        <f>IFERROR(IF(ISBLANK(INDEX(Backlog[Jira Link],MATCH($A322,Backlog[Requirement ID],0))),"",INDEX(Backlog[Jira Link],MATCH($A322,Backlog[Requirement ID],0))),"")</f>
        <v/>
      </c>
      <c r="E321" s="92">
        <f>IFERROR(IF(ISBLANK(INDEX(Backlog[Status],MATCH($A322,Backlog[Requirement ID],0))),"",INDEX(Backlog[Status],MATCH($A322,Backlog[Requirement ID],0))),"")</f>
        <v/>
      </c>
      <c r="F321" s="92">
        <f>IFERROR(IF(ISBLANK(INDEX(SprintPlanning[Sprint],MATCH($A322,SprintPlanning[Requirement ID],0))),"",INDEX(SprintPlanning[Sprint],MATCH($A322,SprintPlanning[Requirement ID],0))),"")</f>
        <v/>
      </c>
      <c r="J321" s="92">
        <f>IFERROR(IF(ISBLANK(INDEX(Backlog[Priority],MATCH($A322,Backlog[Requirement ID],0))),"",INDEX(Backlog[Priority],MATCH($A322,Backlog[Requirement ID],0))),"")</f>
        <v/>
      </c>
    </row>
    <row r="322" hidden="1" ht="15" customHeight="1" s="93">
      <c r="A322" s="92">
        <f>Backlog!A323</f>
        <v/>
      </c>
      <c r="B322" s="97">
        <f>IFERROR(IF(ISBLANK(INDEX(Backlog[Requirement Name],MATCH($A323,Backlog[Requirement ID],0))),"",INDEX(Backlog[Requirement Name],MATCH($A323,Backlog[Requirement ID],0))),"")</f>
        <v/>
      </c>
      <c r="C322" s="92">
        <f>IFERROR(IF(ISBLANK(INDEX(Backlog[Stream],MATCH($A323,Backlog[Requirement ID],0))),"",INDEX(Backlog[Stream],MATCH($A323,Backlog[Requirement ID],0))),"")</f>
        <v/>
      </c>
      <c r="D322" s="92">
        <f>IFERROR(IF(ISBLANK(INDEX(Backlog[Jira Link],MATCH($A323,Backlog[Requirement ID],0))),"",INDEX(Backlog[Jira Link],MATCH($A323,Backlog[Requirement ID],0))),"")</f>
        <v/>
      </c>
      <c r="E322" s="92">
        <f>IFERROR(IF(ISBLANK(INDEX(Backlog[Status],MATCH($A323,Backlog[Requirement ID],0))),"",INDEX(Backlog[Status],MATCH($A323,Backlog[Requirement ID],0))),"")</f>
        <v/>
      </c>
      <c r="F322" s="92">
        <f>IFERROR(IF(ISBLANK(INDEX(SprintPlanning[Sprint],MATCH($A323,SprintPlanning[Requirement ID],0))),"",INDEX(SprintPlanning[Sprint],MATCH($A323,SprintPlanning[Requirement ID],0))),"")</f>
        <v/>
      </c>
      <c r="J322" s="92">
        <f>IFERROR(IF(ISBLANK(INDEX(Backlog[Priority],MATCH($A323,Backlog[Requirement ID],0))),"",INDEX(Backlog[Priority],MATCH($A323,Backlog[Requirement ID],0))),"")</f>
        <v/>
      </c>
    </row>
    <row r="323" hidden="1" ht="15" customHeight="1" s="93">
      <c r="A323" s="92">
        <f>Backlog!A324</f>
        <v/>
      </c>
      <c r="B323" s="97">
        <f>IFERROR(IF(ISBLANK(INDEX(Backlog[Requirement Name],MATCH($A324,Backlog[Requirement ID],0))),"",INDEX(Backlog[Requirement Name],MATCH($A324,Backlog[Requirement ID],0))),"")</f>
        <v/>
      </c>
      <c r="C323" s="92">
        <f>IFERROR(IF(ISBLANK(INDEX(Backlog[Stream],MATCH($A324,Backlog[Requirement ID],0))),"",INDEX(Backlog[Stream],MATCH($A324,Backlog[Requirement ID],0))),"")</f>
        <v/>
      </c>
      <c r="D323" s="92">
        <f>IFERROR(IF(ISBLANK(INDEX(Backlog[Jira Link],MATCH($A324,Backlog[Requirement ID],0))),"",INDEX(Backlog[Jira Link],MATCH($A324,Backlog[Requirement ID],0))),"")</f>
        <v/>
      </c>
      <c r="E323" s="92">
        <f>IFERROR(IF(ISBLANK(INDEX(Backlog[Status],MATCH($A324,Backlog[Requirement ID],0))),"",INDEX(Backlog[Status],MATCH($A324,Backlog[Requirement ID],0))),"")</f>
        <v/>
      </c>
      <c r="F323" s="92">
        <f>IFERROR(IF(ISBLANK(INDEX(SprintPlanning[Sprint],MATCH($A324,SprintPlanning[Requirement ID],0))),"",INDEX(SprintPlanning[Sprint],MATCH($A324,SprintPlanning[Requirement ID],0))),"")</f>
        <v/>
      </c>
      <c r="J323" s="92">
        <f>IFERROR(IF(ISBLANK(INDEX(Backlog[Priority],MATCH($A324,Backlog[Requirement ID],0))),"",INDEX(Backlog[Priority],MATCH($A324,Backlog[Requirement ID],0))),"")</f>
        <v/>
      </c>
    </row>
    <row r="324" hidden="1" ht="15" customHeight="1" s="93">
      <c r="A324" s="92">
        <f>Backlog!A325</f>
        <v/>
      </c>
      <c r="B324" s="97">
        <f>IFERROR(IF(ISBLANK(INDEX(Backlog[Requirement Name],MATCH($A325,Backlog[Requirement ID],0))),"",INDEX(Backlog[Requirement Name],MATCH($A325,Backlog[Requirement ID],0))),"")</f>
        <v/>
      </c>
      <c r="C324" s="92">
        <f>IFERROR(IF(ISBLANK(INDEX(Backlog[Stream],MATCH($A325,Backlog[Requirement ID],0))),"",INDEX(Backlog[Stream],MATCH($A325,Backlog[Requirement ID],0))),"")</f>
        <v/>
      </c>
      <c r="D324" s="92">
        <f>IFERROR(IF(ISBLANK(INDEX(Backlog[Jira Link],MATCH($A325,Backlog[Requirement ID],0))),"",INDEX(Backlog[Jira Link],MATCH($A325,Backlog[Requirement ID],0))),"")</f>
        <v/>
      </c>
      <c r="E324" s="92">
        <f>IFERROR(IF(ISBLANK(INDEX(Backlog[Status],MATCH($A325,Backlog[Requirement ID],0))),"",INDEX(Backlog[Status],MATCH($A325,Backlog[Requirement ID],0))),"")</f>
        <v/>
      </c>
      <c r="F324" s="92">
        <f>IFERROR(IF(ISBLANK(INDEX(SprintPlanning[Sprint],MATCH($A325,SprintPlanning[Requirement ID],0))),"",INDEX(SprintPlanning[Sprint],MATCH($A325,SprintPlanning[Requirement ID],0))),"")</f>
        <v/>
      </c>
      <c r="J324" s="92">
        <f>IFERROR(IF(ISBLANK(INDEX(Backlog[Priority],MATCH($A325,Backlog[Requirement ID],0))),"",INDEX(Backlog[Priority],MATCH($A325,Backlog[Requirement ID],0))),"")</f>
        <v/>
      </c>
    </row>
    <row r="325" hidden="1" ht="15" customHeight="1" s="93">
      <c r="B325" s="97" t="n"/>
    </row>
    <row r="326" ht="15" customHeight="1" s="93">
      <c r="B326" s="97" t="n"/>
    </row>
    <row r="327" ht="15" customHeight="1" s="93">
      <c r="B327" s="97" t="n"/>
    </row>
    <row r="328" ht="15" customHeight="1" s="93">
      <c r="B328" s="97" t="n"/>
    </row>
    <row r="329" ht="15" customHeight="1" s="93">
      <c r="B329" s="97" t="n"/>
    </row>
    <row r="330" ht="15" customHeight="1" s="93">
      <c r="B330" s="97" t="n"/>
    </row>
    <row r="331" ht="15" customHeight="1" s="93">
      <c r="B331" s="97" t="n"/>
    </row>
    <row r="332" ht="15" customHeight="1" s="93">
      <c r="B332" s="97" t="n"/>
    </row>
    <row r="333" ht="15" customHeight="1" s="93">
      <c r="B333" s="97" t="n"/>
    </row>
    <row r="334" ht="15" customHeight="1" s="93">
      <c r="B334" s="97" t="n"/>
    </row>
    <row r="335" ht="15" customHeight="1" s="93">
      <c r="B335" s="97" t="n"/>
    </row>
    <row r="336" ht="15" customHeight="1" s="93">
      <c r="B336" s="97" t="n"/>
    </row>
    <row r="337" ht="15" customHeight="1" s="93">
      <c r="B337" s="97" t="n"/>
    </row>
    <row r="338" ht="15" customHeight="1" s="93">
      <c r="B338" s="97" t="n"/>
    </row>
    <row r="339" ht="15" customHeight="1" s="93">
      <c r="B339" s="97" t="n"/>
    </row>
    <row r="340" ht="15" customHeight="1" s="93">
      <c r="B340" s="97" t="n"/>
    </row>
    <row r="341" ht="15" customHeight="1" s="93">
      <c r="B341" s="97" t="n"/>
    </row>
    <row r="342" ht="15" customHeight="1" s="93">
      <c r="B342" s="97" t="n"/>
    </row>
    <row r="343" ht="15" customHeight="1" s="93">
      <c r="B343" s="97" t="n"/>
    </row>
    <row r="344" ht="15" customHeight="1" s="93">
      <c r="B344" s="97" t="n"/>
    </row>
    <row r="345" ht="15" customHeight="1" s="93">
      <c r="B345" s="97" t="n"/>
    </row>
    <row r="346" ht="15" customHeight="1" s="93">
      <c r="B346" s="97" t="n"/>
    </row>
    <row r="347" ht="15" customHeight="1" s="93">
      <c r="B347" s="97" t="n"/>
    </row>
    <row r="348" ht="15" customHeight="1" s="93">
      <c r="B348" s="97" t="n"/>
    </row>
    <row r="349" ht="15" customHeight="1" s="93">
      <c r="B349" s="97" t="n"/>
    </row>
    <row r="350" ht="15" customHeight="1" s="93">
      <c r="B350" s="97" t="n"/>
    </row>
    <row r="351" ht="15" customHeight="1" s="93">
      <c r="B351" s="97" t="n"/>
    </row>
    <row r="352" ht="15" customHeight="1" s="93">
      <c r="B352" s="97" t="n"/>
    </row>
    <row r="353" ht="15" customHeight="1" s="93">
      <c r="B353" s="97" t="n"/>
    </row>
    <row r="354" ht="15" customHeight="1" s="93">
      <c r="B354" s="97" t="n"/>
    </row>
    <row r="355" ht="15" customHeight="1" s="93">
      <c r="B355" s="97" t="n"/>
    </row>
    <row r="356" ht="15" customHeight="1" s="93">
      <c r="B356" s="97" t="n"/>
    </row>
    <row r="357" ht="15" customHeight="1" s="93">
      <c r="B357" s="97" t="n"/>
    </row>
    <row r="358" ht="15" customHeight="1" s="93">
      <c r="B358" s="97" t="n"/>
    </row>
    <row r="359" ht="15" customHeight="1" s="93">
      <c r="B359" s="97" t="n"/>
    </row>
    <row r="360" ht="15" customHeight="1" s="93">
      <c r="B360" s="97" t="n"/>
    </row>
    <row r="361" ht="15" customHeight="1" s="93">
      <c r="B361" s="97" t="n"/>
    </row>
    <row r="362" ht="15" customHeight="1" s="93">
      <c r="B362" s="97" t="n"/>
    </row>
    <row r="363" ht="15" customHeight="1" s="93">
      <c r="B363" s="97" t="n"/>
    </row>
    <row r="364" ht="15" customHeight="1" s="93">
      <c r="B364" s="97" t="n"/>
    </row>
    <row r="365" ht="15" customHeight="1" s="93">
      <c r="B365" s="97" t="n"/>
    </row>
    <row r="366" ht="15" customHeight="1" s="93">
      <c r="B366" s="97" t="n"/>
    </row>
    <row r="367" ht="15" customHeight="1" s="93">
      <c r="B367" s="97" t="n"/>
    </row>
    <row r="368" ht="15" customHeight="1" s="93">
      <c r="B368" s="97" t="n"/>
    </row>
    <row r="369" ht="15" customHeight="1" s="93">
      <c r="B369" s="97" t="n"/>
    </row>
    <row r="370" ht="15" customHeight="1" s="93">
      <c r="B370" s="97" t="n"/>
    </row>
    <row r="371" ht="15" customHeight="1" s="93">
      <c r="B371" s="97" t="n"/>
    </row>
    <row r="372" ht="15" customHeight="1" s="93">
      <c r="B372" s="97" t="n"/>
    </row>
    <row r="373" ht="15" customHeight="1" s="93">
      <c r="B373" s="97" t="n"/>
    </row>
    <row r="374" ht="15" customHeight="1" s="93">
      <c r="B374" s="97" t="n"/>
    </row>
    <row r="375" ht="15" customHeight="1" s="93">
      <c r="B375" s="97" t="n"/>
    </row>
    <row r="376" ht="15" customHeight="1" s="93">
      <c r="B376" s="97" t="n"/>
    </row>
    <row r="377" ht="15" customHeight="1" s="93">
      <c r="B377" s="97" t="n"/>
    </row>
    <row r="378" ht="15" customHeight="1" s="93">
      <c r="B378" s="97" t="n"/>
    </row>
    <row r="379" ht="15" customHeight="1" s="93">
      <c r="B379" s="97" t="n"/>
    </row>
    <row r="380" ht="15" customHeight="1" s="93">
      <c r="B380" s="97" t="n"/>
    </row>
    <row r="381" ht="15" customHeight="1" s="93">
      <c r="B381" s="97" t="n"/>
    </row>
    <row r="382" ht="15" customHeight="1" s="93">
      <c r="B382" s="97" t="n"/>
    </row>
    <row r="383" ht="15" customHeight="1" s="93">
      <c r="B383" s="97" t="n"/>
    </row>
    <row r="384" ht="15" customHeight="1" s="93">
      <c r="B384" s="97" t="n"/>
    </row>
    <row r="385" ht="15" customHeight="1" s="93">
      <c r="B385" s="97" t="n"/>
    </row>
    <row r="386" ht="15" customHeight="1" s="93">
      <c r="B386" s="97" t="n"/>
    </row>
    <row r="387" ht="15" customHeight="1" s="93">
      <c r="B387" s="97" t="n"/>
    </row>
    <row r="388" ht="15" customHeight="1" s="93">
      <c r="B388" s="97" t="n"/>
    </row>
    <row r="389" ht="15" customHeight="1" s="93">
      <c r="B389" s="97" t="n"/>
    </row>
    <row r="390" ht="15" customHeight="1" s="93">
      <c r="B390" s="97" t="n"/>
    </row>
    <row r="391" ht="15" customHeight="1" s="93">
      <c r="B391" s="97" t="n"/>
    </row>
    <row r="392" ht="15" customHeight="1" s="93">
      <c r="B392" s="97" t="n"/>
    </row>
    <row r="393" ht="15" customHeight="1" s="93">
      <c r="B393" s="97" t="n"/>
    </row>
    <row r="394" ht="15" customHeight="1" s="93">
      <c r="B394" s="97" t="n"/>
    </row>
    <row r="395" ht="15" customHeight="1" s="93">
      <c r="B395" s="97" t="n"/>
    </row>
    <row r="396" ht="15" customHeight="1" s="93">
      <c r="B396" s="97" t="n"/>
    </row>
    <row r="397" ht="15" customHeight="1" s="93">
      <c r="B397" s="97" t="n"/>
    </row>
    <row r="398" ht="15" customHeight="1" s="93">
      <c r="B398" s="97" t="n"/>
    </row>
    <row r="399" ht="15" customHeight="1" s="93">
      <c r="B399" s="97" t="n"/>
    </row>
    <row r="400" ht="15" customHeight="1" s="93">
      <c r="B400" s="97" t="n"/>
    </row>
    <row r="401" ht="15" customHeight="1" s="93">
      <c r="B401" s="97" t="n"/>
    </row>
    <row r="402" ht="15" customHeight="1" s="93">
      <c r="B402" s="97" t="n"/>
    </row>
    <row r="403" ht="15" customHeight="1" s="93">
      <c r="B403" s="97" t="n"/>
    </row>
    <row r="404" ht="15" customHeight="1" s="93">
      <c r="B404" s="97" t="n"/>
    </row>
    <row r="405" ht="15" customHeight="1" s="93">
      <c r="B405" s="97" t="n"/>
    </row>
    <row r="406" ht="15" customHeight="1" s="93">
      <c r="B406" s="97" t="n"/>
    </row>
    <row r="407" ht="15" customHeight="1" s="93">
      <c r="B407" s="97" t="n"/>
    </row>
    <row r="408" ht="15" customHeight="1" s="93">
      <c r="B408" s="97" t="n"/>
    </row>
    <row r="409" ht="15" customHeight="1" s="93">
      <c r="B409" s="97" t="n"/>
    </row>
    <row r="410" ht="15" customHeight="1" s="93">
      <c r="B410" s="97" t="n"/>
    </row>
    <row r="411" ht="15" customHeight="1" s="93">
      <c r="B411" s="97" t="n"/>
    </row>
    <row r="412" ht="15" customHeight="1" s="93">
      <c r="B412" s="97" t="n"/>
    </row>
    <row r="413" ht="15" customHeight="1" s="93">
      <c r="B413" s="97" t="n"/>
    </row>
    <row r="414" ht="15" customHeight="1" s="93">
      <c r="B414" s="97" t="n"/>
    </row>
    <row r="415" ht="15" customHeight="1" s="93">
      <c r="B415" s="97" t="n"/>
    </row>
    <row r="416" ht="15" customHeight="1" s="93">
      <c r="B416" s="97" t="n"/>
    </row>
    <row r="417" ht="15" customHeight="1" s="93">
      <c r="B417" s="97" t="n"/>
    </row>
    <row r="418" ht="15" customHeight="1" s="93">
      <c r="B418" s="97" t="n"/>
    </row>
    <row r="419" ht="15" customHeight="1" s="93">
      <c r="B419" s="97" t="n"/>
    </row>
    <row r="420" ht="15" customHeight="1" s="93">
      <c r="B420" s="97" t="n"/>
    </row>
    <row r="421" ht="15" customHeight="1" s="93">
      <c r="B421" s="97" t="n"/>
    </row>
    <row r="422" ht="15" customHeight="1" s="93">
      <c r="B422" s="97" t="n"/>
    </row>
    <row r="423" ht="15" customHeight="1" s="93">
      <c r="B423" s="97" t="n"/>
    </row>
    <row r="424" ht="15" customHeight="1" s="93">
      <c r="B424" s="97" t="n"/>
    </row>
    <row r="425" ht="15" customHeight="1" s="93">
      <c r="B425" s="97" t="n"/>
    </row>
    <row r="426" ht="15" customHeight="1" s="93">
      <c r="B426" s="97" t="n"/>
    </row>
    <row r="427" ht="15" customHeight="1" s="93">
      <c r="B427" s="97" t="n"/>
    </row>
    <row r="428" ht="15" customHeight="1" s="93">
      <c r="B428" s="97" t="n"/>
    </row>
    <row r="429" ht="15" customHeight="1" s="93">
      <c r="B429" s="97" t="n"/>
    </row>
    <row r="430" ht="15" customHeight="1" s="93">
      <c r="B430" s="97" t="n"/>
    </row>
    <row r="431" ht="15" customHeight="1" s="93">
      <c r="B431" s="97" t="n"/>
    </row>
    <row r="432" ht="15" customHeight="1" s="93">
      <c r="B432" s="97" t="n"/>
    </row>
    <row r="433" ht="15" customHeight="1" s="93">
      <c r="B433" s="97" t="n"/>
    </row>
    <row r="434" ht="15" customHeight="1" s="93">
      <c r="B434" s="97" t="n"/>
    </row>
    <row r="435" ht="15" customHeight="1" s="93">
      <c r="B435" s="97" t="n"/>
    </row>
    <row r="436" ht="15" customHeight="1" s="93">
      <c r="B436" s="97" t="n"/>
    </row>
    <row r="437" ht="15" customHeight="1" s="93">
      <c r="B437" s="97" t="n"/>
    </row>
    <row r="438" ht="15" customHeight="1" s="93">
      <c r="B438" s="97" t="n"/>
    </row>
    <row r="439" ht="15" customHeight="1" s="93">
      <c r="B439" s="97" t="n"/>
    </row>
    <row r="440" ht="15" customHeight="1" s="93">
      <c r="B440" s="97" t="n"/>
    </row>
    <row r="441" ht="15" customHeight="1" s="93">
      <c r="B441" s="97" t="n"/>
    </row>
    <row r="442" ht="15" customHeight="1" s="93">
      <c r="B442" s="97" t="n"/>
    </row>
    <row r="443" ht="15" customHeight="1" s="93">
      <c r="B443" s="97" t="n"/>
    </row>
    <row r="444" ht="15" customHeight="1" s="93">
      <c r="B444" s="97" t="n"/>
    </row>
    <row r="445" ht="15" customHeight="1" s="93">
      <c r="B445" s="97" t="n"/>
    </row>
    <row r="446" ht="15" customHeight="1" s="93">
      <c r="B446" s="97" t="n"/>
    </row>
    <row r="447" ht="15" customHeight="1" s="93">
      <c r="B447" s="97" t="n"/>
    </row>
    <row r="448" ht="15" customHeight="1" s="93">
      <c r="B448" s="97" t="n"/>
    </row>
    <row r="449" ht="15" customHeight="1" s="93">
      <c r="B449" s="97" t="n"/>
    </row>
    <row r="450" ht="15" customHeight="1" s="93">
      <c r="B450" s="97" t="n"/>
    </row>
    <row r="451" ht="15" customHeight="1" s="93">
      <c r="B451" s="97" t="n"/>
    </row>
    <row r="452" ht="15" customHeight="1" s="93">
      <c r="B452" s="97" t="n"/>
    </row>
    <row r="453" ht="15" customHeight="1" s="93">
      <c r="B453" s="97" t="n"/>
    </row>
    <row r="454" ht="15" customHeight="1" s="93">
      <c r="B454" s="97" t="n"/>
    </row>
    <row r="455" ht="15" customHeight="1" s="93">
      <c r="B455" s="97" t="n"/>
    </row>
    <row r="456" ht="15" customHeight="1" s="93">
      <c r="B456" s="97" t="n"/>
    </row>
    <row r="457" ht="15" customHeight="1" s="93">
      <c r="B457" s="97" t="n"/>
    </row>
    <row r="458" ht="15" customHeight="1" s="93">
      <c r="B458" s="97" t="n"/>
    </row>
    <row r="459" ht="15" customHeight="1" s="93">
      <c r="B459" s="97" t="n"/>
    </row>
    <row r="460" ht="15" customHeight="1" s="93">
      <c r="B460" s="97" t="n"/>
    </row>
    <row r="461" ht="15" customHeight="1" s="93">
      <c r="B461" s="97" t="n"/>
    </row>
    <row r="462" ht="15" customHeight="1" s="93">
      <c r="B462" s="97" t="n"/>
    </row>
    <row r="463" ht="15" customHeight="1" s="93">
      <c r="B463" s="97" t="n"/>
    </row>
    <row r="464" ht="15" customHeight="1" s="93">
      <c r="B464" s="97" t="n"/>
    </row>
    <row r="465" ht="15" customHeight="1" s="93">
      <c r="B465" s="97" t="n"/>
    </row>
    <row r="466" ht="15" customHeight="1" s="93">
      <c r="B466" s="97" t="n"/>
    </row>
    <row r="467" ht="15" customHeight="1" s="93">
      <c r="B467" s="97" t="n"/>
    </row>
    <row r="468" ht="15" customHeight="1" s="93">
      <c r="B468" s="97" t="n"/>
    </row>
    <row r="469" ht="15" customHeight="1" s="93">
      <c r="B469" s="97" t="n"/>
    </row>
    <row r="470" ht="15" customHeight="1" s="93">
      <c r="B470" s="97" t="n"/>
    </row>
    <row r="471" ht="15" customHeight="1" s="93">
      <c r="B471" s="97" t="n"/>
    </row>
    <row r="472" ht="15" customHeight="1" s="93">
      <c r="B472" s="97" t="n"/>
    </row>
    <row r="473" ht="15" customHeight="1" s="93">
      <c r="B473" s="97" t="n"/>
    </row>
    <row r="474" ht="15" customHeight="1" s="93">
      <c r="B474" s="97" t="n"/>
    </row>
    <row r="475" ht="15" customHeight="1" s="93">
      <c r="B475" s="97" t="n"/>
    </row>
    <row r="476" ht="15" customHeight="1" s="93">
      <c r="B476" s="97" t="n"/>
    </row>
    <row r="477" ht="15" customHeight="1" s="93">
      <c r="B477" s="97" t="n"/>
    </row>
    <row r="478" ht="15" customHeight="1" s="93">
      <c r="B478" s="97" t="n"/>
    </row>
    <row r="479" ht="15" customHeight="1" s="93">
      <c r="B479" s="97" t="n"/>
    </row>
    <row r="480" ht="15" customHeight="1" s="93">
      <c r="B480" s="97" t="n"/>
    </row>
    <row r="481" ht="15" customHeight="1" s="93">
      <c r="B481" s="97" t="n"/>
    </row>
    <row r="482" ht="15" customHeight="1" s="93">
      <c r="B482" s="97" t="n"/>
    </row>
    <row r="483" ht="15" customHeight="1" s="93">
      <c r="B483" s="97" t="n"/>
    </row>
    <row r="484" ht="15" customHeight="1" s="93">
      <c r="B484" s="97" t="n"/>
    </row>
    <row r="485" ht="15" customHeight="1" s="93">
      <c r="B485" s="97" t="n"/>
    </row>
    <row r="486" ht="15" customHeight="1" s="93">
      <c r="B486" s="97" t="n"/>
    </row>
    <row r="487" ht="15" customHeight="1" s="93">
      <c r="B487" s="97" t="n"/>
    </row>
    <row r="488" ht="15" customHeight="1" s="93">
      <c r="B488" s="97" t="n"/>
    </row>
    <row r="489" ht="15" customHeight="1" s="93">
      <c r="B489" s="97" t="n"/>
    </row>
    <row r="490" ht="15" customHeight="1" s="93">
      <c r="B490" s="97" t="n"/>
    </row>
    <row r="491" ht="15" customHeight="1" s="93">
      <c r="B491" s="97" t="n"/>
    </row>
    <row r="492" ht="15" customHeight="1" s="93">
      <c r="B492" s="97" t="n"/>
    </row>
    <row r="493" ht="15" customHeight="1" s="93">
      <c r="B493" s="97" t="n"/>
    </row>
    <row r="494" ht="15" customHeight="1" s="93">
      <c r="B494" s="97" t="n"/>
    </row>
    <row r="495" ht="15" customHeight="1" s="93">
      <c r="B495" s="97" t="n"/>
    </row>
    <row r="496" ht="15" customHeight="1" s="93">
      <c r="B496" s="97" t="n"/>
    </row>
    <row r="497" ht="15" customHeight="1" s="93">
      <c r="B497" s="97" t="n"/>
    </row>
    <row r="498" ht="15" customHeight="1" s="93">
      <c r="B498" s="97" t="n"/>
    </row>
    <row r="499" ht="15" customHeight="1" s="93">
      <c r="B499" s="97" t="n"/>
    </row>
    <row r="500" ht="15" customHeight="1" s="93">
      <c r="B500" s="97" t="n"/>
    </row>
    <row r="501" ht="15" customHeight="1" s="93">
      <c r="B501" s="97" t="n"/>
    </row>
    <row r="502" ht="15" customHeight="1" s="93">
      <c r="B502" s="97" t="n"/>
    </row>
    <row r="503" ht="15" customHeight="1" s="93">
      <c r="B503" s="97" t="n"/>
    </row>
    <row r="504" ht="15" customHeight="1" s="93">
      <c r="B504" s="97" t="n"/>
    </row>
    <row r="505" ht="15" customHeight="1" s="93">
      <c r="B505" s="97" t="n"/>
    </row>
    <row r="506" ht="15" customHeight="1" s="93">
      <c r="B506" s="97" t="n"/>
    </row>
    <row r="507" ht="15" customHeight="1" s="93">
      <c r="B507" s="97" t="n"/>
    </row>
    <row r="508" ht="15" customHeight="1" s="93">
      <c r="B508" s="97" t="n"/>
    </row>
    <row r="509" ht="15" customHeight="1" s="93">
      <c r="B509" s="97" t="n"/>
    </row>
    <row r="510" ht="15" customHeight="1" s="93">
      <c r="B510" s="97" t="n"/>
    </row>
    <row r="511" ht="15" customHeight="1" s="93">
      <c r="B511" s="97" t="n"/>
    </row>
    <row r="512" ht="15" customHeight="1" s="93">
      <c r="B512" s="97" t="n"/>
    </row>
    <row r="513" ht="15" customHeight="1" s="93">
      <c r="B513" s="97" t="n"/>
    </row>
    <row r="514" ht="15" customHeight="1" s="93">
      <c r="B514" s="97" t="n"/>
    </row>
    <row r="515" ht="15" customHeight="1" s="93">
      <c r="B515" s="97" t="n"/>
    </row>
    <row r="516" ht="15" customHeight="1" s="93">
      <c r="B516" s="97" t="n"/>
    </row>
    <row r="517" ht="15" customHeight="1" s="93">
      <c r="B517" s="97" t="n"/>
    </row>
    <row r="518" ht="15" customHeight="1" s="93">
      <c r="B518" s="97" t="n"/>
    </row>
    <row r="519" ht="15" customHeight="1" s="93">
      <c r="B519" s="97" t="n"/>
    </row>
    <row r="520" ht="15" customHeight="1" s="93">
      <c r="B520" s="97" t="n"/>
    </row>
    <row r="521" ht="15" customHeight="1" s="93">
      <c r="B521" s="97" t="n"/>
    </row>
    <row r="522" ht="15" customHeight="1" s="93">
      <c r="B522" s="97" t="n"/>
    </row>
    <row r="523" ht="15" customHeight="1" s="93">
      <c r="B523" s="97" t="n"/>
    </row>
    <row r="524" ht="15" customHeight="1" s="93">
      <c r="B524" s="97" t="n"/>
    </row>
    <row r="525" ht="15" customHeight="1" s="93">
      <c r="B525" s="97" t="n"/>
    </row>
    <row r="526" ht="15" customHeight="1" s="93">
      <c r="B526" s="97" t="n"/>
    </row>
    <row r="527" ht="15" customHeight="1" s="93">
      <c r="B527" s="97" t="n"/>
    </row>
    <row r="528" ht="15" customHeight="1" s="93">
      <c r="B528" s="97" t="n"/>
    </row>
    <row r="529" ht="15" customHeight="1" s="93">
      <c r="B529" s="97" t="n"/>
    </row>
    <row r="530" ht="15" customHeight="1" s="93">
      <c r="B530" s="97" t="n"/>
    </row>
    <row r="531" ht="15" customHeight="1" s="93">
      <c r="B531" s="97" t="n"/>
    </row>
    <row r="532" ht="15" customHeight="1" s="93">
      <c r="B532" s="97" t="n"/>
    </row>
    <row r="533" ht="15" customHeight="1" s="93">
      <c r="B533" s="97" t="n"/>
    </row>
    <row r="534" ht="15" customHeight="1" s="93">
      <c r="B534" s="97" t="n"/>
    </row>
    <row r="535" ht="15" customHeight="1" s="93">
      <c r="B535" s="97" t="n"/>
    </row>
    <row r="536" ht="15" customHeight="1" s="93">
      <c r="B536" s="97" t="n"/>
    </row>
    <row r="537" ht="15" customHeight="1" s="93">
      <c r="B537" s="97" t="n"/>
    </row>
    <row r="538" ht="15" customHeight="1" s="93">
      <c r="B538" s="97" t="n"/>
    </row>
    <row r="539" ht="15" customHeight="1" s="93">
      <c r="B539" s="97" t="n"/>
    </row>
    <row r="540" ht="15" customHeight="1" s="93">
      <c r="B540" s="97" t="n"/>
    </row>
    <row r="541" ht="15" customHeight="1" s="93">
      <c r="B541" s="97" t="n"/>
    </row>
    <row r="542" ht="15" customHeight="1" s="93">
      <c r="B542" s="97" t="n"/>
    </row>
    <row r="543" ht="15" customHeight="1" s="93">
      <c r="B543" s="97" t="n"/>
    </row>
    <row r="544" ht="15" customHeight="1" s="93">
      <c r="B544" s="97" t="n"/>
    </row>
    <row r="545" ht="15" customHeight="1" s="93">
      <c r="B545" s="97" t="n"/>
    </row>
    <row r="546" ht="15" customHeight="1" s="93">
      <c r="B546" s="97" t="n"/>
    </row>
    <row r="547" ht="15" customHeight="1" s="93">
      <c r="B547" s="97" t="n"/>
    </row>
    <row r="548" ht="15" customHeight="1" s="93">
      <c r="B548" s="97" t="n"/>
    </row>
    <row r="549" ht="15" customHeight="1" s="93">
      <c r="B549" s="97" t="n"/>
    </row>
    <row r="550" ht="15" customHeight="1" s="93">
      <c r="B550" s="97" t="n"/>
    </row>
    <row r="551" ht="15" customHeight="1" s="93">
      <c r="B551" s="97" t="n"/>
    </row>
    <row r="552" ht="15" customHeight="1" s="93">
      <c r="B552" s="97" t="n"/>
    </row>
    <row r="553" ht="15" customHeight="1" s="93">
      <c r="B553" s="97" t="n"/>
    </row>
    <row r="554" ht="15" customHeight="1" s="93">
      <c r="B554" s="97" t="n"/>
    </row>
    <row r="555" ht="15" customHeight="1" s="93">
      <c r="B555" s="97" t="n"/>
    </row>
    <row r="556" ht="15" customHeight="1" s="93">
      <c r="B556" s="97" t="n"/>
    </row>
    <row r="557" ht="15" customHeight="1" s="93">
      <c r="B557" s="97" t="n"/>
    </row>
    <row r="558" ht="15" customHeight="1" s="93">
      <c r="B558" s="97" t="n"/>
    </row>
    <row r="559" ht="15" customHeight="1" s="93">
      <c r="B559" s="97" t="n"/>
    </row>
    <row r="560" ht="15" customHeight="1" s="93">
      <c r="B560" s="97" t="n"/>
    </row>
    <row r="561" ht="15" customHeight="1" s="93">
      <c r="B561" s="97" t="n"/>
    </row>
    <row r="562" ht="15" customHeight="1" s="93">
      <c r="B562" s="97" t="n"/>
    </row>
    <row r="563" ht="15" customHeight="1" s="93">
      <c r="B563" s="97" t="n"/>
    </row>
    <row r="564" ht="15" customHeight="1" s="93">
      <c r="B564" s="97" t="n"/>
    </row>
    <row r="565" ht="15" customHeight="1" s="93">
      <c r="B565" s="97" t="n"/>
    </row>
    <row r="566" ht="15" customHeight="1" s="93">
      <c r="B566" s="97" t="n"/>
    </row>
    <row r="567" ht="15" customHeight="1" s="93">
      <c r="B567" s="97" t="n"/>
    </row>
    <row r="568" ht="15" customHeight="1" s="93">
      <c r="B568" s="97" t="n"/>
    </row>
    <row r="569" ht="15" customHeight="1" s="93">
      <c r="B569" s="97" t="n"/>
    </row>
    <row r="570" ht="15" customHeight="1" s="93">
      <c r="B570" s="97" t="n"/>
    </row>
    <row r="571" ht="15" customHeight="1" s="93">
      <c r="B571" s="97" t="n"/>
    </row>
    <row r="572" ht="15" customHeight="1" s="93">
      <c r="B572" s="97" t="n"/>
    </row>
    <row r="573" ht="15" customHeight="1" s="93">
      <c r="B573" s="97" t="n"/>
    </row>
    <row r="574" ht="15" customHeight="1" s="93">
      <c r="B574" s="97" t="n"/>
    </row>
    <row r="575" ht="15" customHeight="1" s="93">
      <c r="B575" s="97" t="n"/>
    </row>
    <row r="576" ht="15" customHeight="1" s="93">
      <c r="B576" s="97" t="n"/>
    </row>
    <row r="577" ht="15" customHeight="1" s="93">
      <c r="B577" s="97" t="n"/>
    </row>
    <row r="578" ht="15" customHeight="1" s="93">
      <c r="B578" s="97" t="n"/>
    </row>
    <row r="579" ht="15" customHeight="1" s="93">
      <c r="B579" s="97" t="n"/>
    </row>
    <row r="580" ht="15" customHeight="1" s="93">
      <c r="B580" s="97" t="n"/>
    </row>
    <row r="581" ht="15" customHeight="1" s="93">
      <c r="B581" s="97" t="n"/>
    </row>
    <row r="582" ht="15" customHeight="1" s="93">
      <c r="B582" s="97" t="n"/>
    </row>
    <row r="583" ht="15" customHeight="1" s="93">
      <c r="B583" s="97" t="n"/>
    </row>
    <row r="584" ht="15" customHeight="1" s="93">
      <c r="B584" s="97" t="n"/>
    </row>
    <row r="585" ht="15" customHeight="1" s="93">
      <c r="B585" s="97" t="n"/>
    </row>
    <row r="586" ht="15" customHeight="1" s="93">
      <c r="B586" s="97" t="n"/>
    </row>
    <row r="587" ht="15" customHeight="1" s="93">
      <c r="B587" s="97" t="n"/>
    </row>
    <row r="588" ht="15" customHeight="1" s="93">
      <c r="B588" s="97" t="n"/>
    </row>
    <row r="589" ht="15" customHeight="1" s="93">
      <c r="B589" s="97" t="n"/>
    </row>
    <row r="590" ht="15" customHeight="1" s="93">
      <c r="B590" s="97" t="n"/>
    </row>
    <row r="591" ht="15" customHeight="1" s="93">
      <c r="B591" s="97" t="n"/>
    </row>
    <row r="592" ht="15" customHeight="1" s="93">
      <c r="B592" s="97" t="n"/>
    </row>
    <row r="593" ht="15" customHeight="1" s="93">
      <c r="B593" s="97" t="n"/>
    </row>
    <row r="594" ht="15" customHeight="1" s="93">
      <c r="B594" s="97" t="n"/>
    </row>
    <row r="595" ht="15" customHeight="1" s="93">
      <c r="B595" s="97" t="n"/>
    </row>
    <row r="596" ht="15" customHeight="1" s="93">
      <c r="B596" s="97" t="n"/>
    </row>
    <row r="597" ht="15" customHeight="1" s="93">
      <c r="B597" s="97" t="n"/>
    </row>
    <row r="598" ht="15" customHeight="1" s="93">
      <c r="B598" s="97" t="n"/>
    </row>
    <row r="599" ht="15" customHeight="1" s="93">
      <c r="B599" s="97" t="n"/>
    </row>
    <row r="600" ht="15" customHeight="1" s="93">
      <c r="B600" s="97" t="n"/>
    </row>
    <row r="601" ht="15" customHeight="1" s="93">
      <c r="B601" s="97" t="n"/>
    </row>
    <row r="602" ht="15" customHeight="1" s="93">
      <c r="B602" s="97" t="n"/>
    </row>
    <row r="603" ht="15" customHeight="1" s="93">
      <c r="B603" s="97" t="n"/>
    </row>
    <row r="604" ht="15" customHeight="1" s="93">
      <c r="B604" s="97" t="n"/>
    </row>
    <row r="605" ht="15" customHeight="1" s="93">
      <c r="B605" s="97" t="n"/>
    </row>
    <row r="606" ht="15" customHeight="1" s="93">
      <c r="B606" s="97" t="n"/>
    </row>
    <row r="607" ht="15" customHeight="1" s="93">
      <c r="B607" s="97" t="n"/>
    </row>
    <row r="608" ht="15" customHeight="1" s="93">
      <c r="B608" s="97" t="n"/>
    </row>
    <row r="609" ht="15" customHeight="1" s="93">
      <c r="B609" s="97" t="n"/>
    </row>
    <row r="610" ht="15" customHeight="1" s="93">
      <c r="B610" s="97" t="n"/>
    </row>
    <row r="611" ht="15" customHeight="1" s="93">
      <c r="B611" s="97" t="n"/>
    </row>
    <row r="612" ht="15" customHeight="1" s="93">
      <c r="B612" s="97" t="n"/>
    </row>
    <row r="613" ht="15" customHeight="1" s="93">
      <c r="B613" s="97" t="n"/>
    </row>
    <row r="614" ht="15" customHeight="1" s="93">
      <c r="B614" s="97" t="n"/>
    </row>
    <row r="615" ht="15" customHeight="1" s="93">
      <c r="B615" s="97" t="n"/>
    </row>
    <row r="616" ht="15" customHeight="1" s="93">
      <c r="B616" s="97" t="n"/>
    </row>
    <row r="617" ht="15" customHeight="1" s="93">
      <c r="B617" s="97" t="n"/>
    </row>
    <row r="618" ht="15" customHeight="1" s="93">
      <c r="B618" s="97" t="n"/>
    </row>
    <row r="619" ht="15" customHeight="1" s="93">
      <c r="B619" s="97" t="n"/>
    </row>
    <row r="620" ht="15" customHeight="1" s="93">
      <c r="B620" s="97" t="n"/>
    </row>
    <row r="621" ht="15" customHeight="1" s="93">
      <c r="B621" s="97" t="n"/>
    </row>
    <row r="622" ht="15" customHeight="1" s="93">
      <c r="B622" s="97" t="n"/>
    </row>
    <row r="623" ht="15" customHeight="1" s="93">
      <c r="B623" s="97" t="n"/>
    </row>
    <row r="624" ht="15" customHeight="1" s="93">
      <c r="B624" s="97" t="n"/>
    </row>
    <row r="625" ht="15" customHeight="1" s="93">
      <c r="B625" s="97" t="n"/>
    </row>
    <row r="626" ht="15" customHeight="1" s="93">
      <c r="B626" s="97" t="n"/>
    </row>
    <row r="627" ht="15" customHeight="1" s="93">
      <c r="B627" s="97" t="n"/>
    </row>
    <row r="628" ht="15" customHeight="1" s="93">
      <c r="B628" s="97" t="n"/>
    </row>
    <row r="629" ht="15" customHeight="1" s="93">
      <c r="B629" s="97" t="n"/>
    </row>
    <row r="630" ht="15" customHeight="1" s="93">
      <c r="B630" s="97" t="n"/>
    </row>
    <row r="631" ht="15" customHeight="1" s="93">
      <c r="B631" s="97" t="n"/>
    </row>
    <row r="632" ht="15" customHeight="1" s="93">
      <c r="B632" s="97" t="n"/>
    </row>
    <row r="633" ht="15" customHeight="1" s="93">
      <c r="B633" s="97" t="n"/>
    </row>
    <row r="634" ht="15" customHeight="1" s="93">
      <c r="B634" s="97" t="n"/>
    </row>
    <row r="635" ht="15" customHeight="1" s="93">
      <c r="B635" s="97" t="n"/>
    </row>
    <row r="636" ht="15" customHeight="1" s="93">
      <c r="B636" s="97" t="n"/>
    </row>
    <row r="637" ht="15" customHeight="1" s="93">
      <c r="B637" s="97" t="n"/>
    </row>
    <row r="638" ht="15" customHeight="1" s="93">
      <c r="B638" s="97" t="n"/>
    </row>
    <row r="639" ht="15" customHeight="1" s="93">
      <c r="B639" s="97" t="n"/>
    </row>
    <row r="640" ht="15" customHeight="1" s="93">
      <c r="B640" s="97" t="n"/>
    </row>
    <row r="641" ht="15" customHeight="1" s="93">
      <c r="B641" s="97" t="n"/>
    </row>
    <row r="642" ht="15" customHeight="1" s="93">
      <c r="B642" s="97" t="n"/>
    </row>
    <row r="643" ht="15" customHeight="1" s="93">
      <c r="B643" s="97" t="n"/>
    </row>
    <row r="644" ht="15" customHeight="1" s="93">
      <c r="B644" s="97" t="n"/>
    </row>
    <row r="645" ht="15" customHeight="1" s="93">
      <c r="B645" s="97" t="n"/>
    </row>
    <row r="646" ht="15" customHeight="1" s="93">
      <c r="B646" s="97" t="n"/>
    </row>
    <row r="647" ht="15" customHeight="1" s="93">
      <c r="B647" s="97" t="n"/>
    </row>
    <row r="648" ht="15" customHeight="1" s="93">
      <c r="B648" s="97" t="n"/>
    </row>
    <row r="649" ht="15" customHeight="1" s="93">
      <c r="B649" s="97" t="n"/>
    </row>
    <row r="650" ht="15" customHeight="1" s="93">
      <c r="B650" s="97" t="n"/>
    </row>
    <row r="651" ht="15" customHeight="1" s="93">
      <c r="B651" s="97" t="n"/>
    </row>
    <row r="652" ht="15" customHeight="1" s="93">
      <c r="B652" s="97" t="n"/>
    </row>
    <row r="653" ht="15" customHeight="1" s="93">
      <c r="B653" s="97" t="n"/>
    </row>
    <row r="654" ht="15" customHeight="1" s="93">
      <c r="B654" s="97" t="n"/>
    </row>
    <row r="655" ht="15" customHeight="1" s="93">
      <c r="B655" s="97" t="n"/>
    </row>
    <row r="656" ht="15" customHeight="1" s="93">
      <c r="B656" s="97" t="n"/>
    </row>
    <row r="657" ht="15" customHeight="1" s="93">
      <c r="B657" s="97" t="n"/>
    </row>
    <row r="658" ht="15" customHeight="1" s="93">
      <c r="B658" s="97" t="n"/>
    </row>
    <row r="659" ht="15" customHeight="1" s="93">
      <c r="B659" s="97" t="n"/>
    </row>
    <row r="660" ht="15" customHeight="1" s="93">
      <c r="B660" s="97" t="n"/>
    </row>
    <row r="661" ht="15" customHeight="1" s="93">
      <c r="B661" s="97" t="n"/>
    </row>
    <row r="662" ht="15" customHeight="1" s="93">
      <c r="B662" s="97" t="n"/>
    </row>
    <row r="663" ht="15" customHeight="1" s="93">
      <c r="B663" s="97" t="n"/>
    </row>
    <row r="664" ht="15" customHeight="1" s="93">
      <c r="B664" s="97" t="n"/>
    </row>
    <row r="665" ht="15" customHeight="1" s="93">
      <c r="B665" s="97" t="n"/>
    </row>
    <row r="666" ht="15" customHeight="1" s="93">
      <c r="B666" s="97" t="n"/>
    </row>
    <row r="667" ht="15" customHeight="1" s="93">
      <c r="B667" s="97" t="n"/>
    </row>
    <row r="668" ht="15" customHeight="1" s="93">
      <c r="B668" s="97" t="n"/>
    </row>
    <row r="669" ht="15" customHeight="1" s="93">
      <c r="B669" s="97" t="n"/>
    </row>
    <row r="670" ht="15" customHeight="1" s="93">
      <c r="B670" s="97" t="n"/>
    </row>
    <row r="671" ht="15" customHeight="1" s="93">
      <c r="B671" s="97" t="n"/>
    </row>
    <row r="672" ht="15" customHeight="1" s="93">
      <c r="B672" s="97" t="n"/>
    </row>
    <row r="673" ht="15" customHeight="1" s="93">
      <c r="B673" s="97" t="n"/>
    </row>
    <row r="674" ht="15" customHeight="1" s="93">
      <c r="B674" s="97" t="n"/>
    </row>
    <row r="675" ht="15" customHeight="1" s="93">
      <c r="B675" s="97" t="n"/>
    </row>
    <row r="676" ht="15" customHeight="1" s="93">
      <c r="B676" s="97" t="n"/>
    </row>
    <row r="677" ht="15" customHeight="1" s="93">
      <c r="B677" s="97" t="n"/>
    </row>
    <row r="678" ht="15" customHeight="1" s="93">
      <c r="B678" s="97" t="n"/>
    </row>
    <row r="679" ht="15" customHeight="1" s="93">
      <c r="B679" s="97" t="n"/>
    </row>
    <row r="680" ht="15" customHeight="1" s="93">
      <c r="B680" s="97" t="n"/>
    </row>
    <row r="681" ht="15" customHeight="1" s="93">
      <c r="B681" s="97" t="n"/>
    </row>
    <row r="682" ht="15" customHeight="1" s="93">
      <c r="B682" s="97" t="n"/>
    </row>
    <row r="683" ht="15" customHeight="1" s="93">
      <c r="B683" s="97" t="n"/>
    </row>
    <row r="684" ht="15" customHeight="1" s="93">
      <c r="B684" s="97" t="n"/>
    </row>
    <row r="685" ht="15" customHeight="1" s="93">
      <c r="B685" s="97" t="n"/>
    </row>
    <row r="686" ht="15" customHeight="1" s="93">
      <c r="B686" s="97" t="n"/>
    </row>
    <row r="687" ht="15" customHeight="1" s="93">
      <c r="B687" s="97" t="n"/>
    </row>
    <row r="688" ht="15" customHeight="1" s="93">
      <c r="B688" s="97" t="n"/>
    </row>
    <row r="689" ht="15" customHeight="1" s="93">
      <c r="B689" s="97" t="n"/>
    </row>
    <row r="690" ht="15" customHeight="1" s="93">
      <c r="B690" s="97" t="n"/>
    </row>
    <row r="691" ht="15" customHeight="1" s="93">
      <c r="B691" s="97" t="n"/>
    </row>
    <row r="692" ht="15" customHeight="1" s="93">
      <c r="B692" s="97" t="n"/>
    </row>
    <row r="693" ht="15" customHeight="1" s="93">
      <c r="B693" s="97" t="n"/>
    </row>
    <row r="694" ht="15" customHeight="1" s="93">
      <c r="B694" s="97" t="n"/>
    </row>
    <row r="695" ht="15" customHeight="1" s="93">
      <c r="B695" s="97" t="n"/>
    </row>
    <row r="696" ht="15" customHeight="1" s="93">
      <c r="B696" s="97" t="n"/>
    </row>
    <row r="697" ht="15" customHeight="1" s="93">
      <c r="B697" s="97" t="n"/>
    </row>
    <row r="698" ht="15" customHeight="1" s="93">
      <c r="B698" s="97" t="n"/>
    </row>
    <row r="699" ht="15" customHeight="1" s="93">
      <c r="B699" s="97" t="n"/>
    </row>
    <row r="700" ht="15" customHeight="1" s="93">
      <c r="B700" s="97" t="n"/>
    </row>
    <row r="701" ht="15" customHeight="1" s="93">
      <c r="B701" s="97" t="n"/>
    </row>
    <row r="702" ht="15" customHeight="1" s="93">
      <c r="B702" s="97" t="n"/>
    </row>
    <row r="703" ht="15" customHeight="1" s="93">
      <c r="B703" s="97" t="n"/>
    </row>
    <row r="704" ht="15" customHeight="1" s="93">
      <c r="B704" s="97" t="n"/>
    </row>
    <row r="705" ht="15" customHeight="1" s="93">
      <c r="B705" s="97" t="n"/>
    </row>
    <row r="706" ht="15" customHeight="1" s="93">
      <c r="B706" s="97" t="n"/>
    </row>
    <row r="707" ht="15" customHeight="1" s="93">
      <c r="B707" s="97" t="n"/>
    </row>
    <row r="708" ht="15" customHeight="1" s="93">
      <c r="B708" s="97" t="n"/>
    </row>
    <row r="709" ht="15" customHeight="1" s="93">
      <c r="B709" s="97" t="n"/>
    </row>
    <row r="710" ht="15" customHeight="1" s="93">
      <c r="B710" s="97" t="n"/>
    </row>
    <row r="711" ht="15" customHeight="1" s="93">
      <c r="B711" s="97" t="n"/>
    </row>
    <row r="712" ht="15" customHeight="1" s="93">
      <c r="B712" s="97" t="n"/>
    </row>
    <row r="713" ht="15" customHeight="1" s="93">
      <c r="B713" s="97" t="n"/>
    </row>
    <row r="714" ht="15" customHeight="1" s="93">
      <c r="B714" s="97" t="n"/>
    </row>
    <row r="715" ht="15" customHeight="1" s="93">
      <c r="B715" s="97" t="n"/>
    </row>
    <row r="716" ht="15" customHeight="1" s="93">
      <c r="B716" s="97" t="n"/>
    </row>
    <row r="717" ht="15" customHeight="1" s="93">
      <c r="B717" s="97" t="n"/>
    </row>
    <row r="718" ht="15" customHeight="1" s="93">
      <c r="B718" s="97" t="n"/>
    </row>
    <row r="719" ht="15" customHeight="1" s="93">
      <c r="B719" s="97" t="n"/>
    </row>
    <row r="720" ht="15" customHeight="1" s="93">
      <c r="B720" s="97" t="n"/>
    </row>
    <row r="721" ht="15" customHeight="1" s="93">
      <c r="B721" s="97" t="n"/>
    </row>
    <row r="722" ht="15" customHeight="1" s="93">
      <c r="B722" s="97" t="n"/>
    </row>
    <row r="723" ht="15" customHeight="1" s="93">
      <c r="B723" s="97" t="n"/>
    </row>
    <row r="724" ht="15" customHeight="1" s="93">
      <c r="B724" s="97" t="n"/>
    </row>
    <row r="725" ht="15" customHeight="1" s="93">
      <c r="B725" s="97" t="n"/>
    </row>
    <row r="726" ht="15" customHeight="1" s="93">
      <c r="B726" s="97" t="n"/>
    </row>
    <row r="727" ht="15" customHeight="1" s="93">
      <c r="B727" s="97" t="n"/>
    </row>
    <row r="728" ht="15" customHeight="1" s="93">
      <c r="B728" s="97" t="n"/>
    </row>
    <row r="729" ht="15" customHeight="1" s="93">
      <c r="B729" s="97" t="n"/>
    </row>
    <row r="730" ht="15" customHeight="1" s="93">
      <c r="B730" s="97" t="n"/>
    </row>
    <row r="731" ht="15" customHeight="1" s="93">
      <c r="B731" s="97" t="n"/>
    </row>
    <row r="732" ht="15" customHeight="1" s="93">
      <c r="B732" s="97" t="n"/>
    </row>
    <row r="733" ht="15" customHeight="1" s="93">
      <c r="B733" s="97" t="n"/>
    </row>
    <row r="734" ht="15" customHeight="1" s="93">
      <c r="B734" s="97" t="n"/>
    </row>
    <row r="735" ht="15" customHeight="1" s="93">
      <c r="B735" s="97" t="n"/>
    </row>
    <row r="736" ht="15" customHeight="1" s="93">
      <c r="B736" s="97" t="n"/>
    </row>
    <row r="737" ht="15" customHeight="1" s="93">
      <c r="B737" s="97" t="n"/>
    </row>
    <row r="738" ht="15" customHeight="1" s="93">
      <c r="B738" s="97" t="n"/>
    </row>
    <row r="739" ht="15" customHeight="1" s="93">
      <c r="B739" s="97" t="n"/>
    </row>
    <row r="740" ht="15" customHeight="1" s="93">
      <c r="B740" s="97" t="n"/>
    </row>
    <row r="741" ht="15" customHeight="1" s="93">
      <c r="B741" s="97" t="n"/>
    </row>
    <row r="742" ht="15" customHeight="1" s="93">
      <c r="B742" s="97" t="n"/>
    </row>
    <row r="743" ht="15" customHeight="1" s="93">
      <c r="B743" s="97" t="n"/>
    </row>
    <row r="744" ht="15" customHeight="1" s="93">
      <c r="B744" s="97" t="n"/>
    </row>
    <row r="745" ht="15" customHeight="1" s="93">
      <c r="B745" s="97" t="n"/>
    </row>
    <row r="746" ht="15" customHeight="1" s="93">
      <c r="B746" s="97" t="n"/>
    </row>
    <row r="747" ht="15" customHeight="1" s="93">
      <c r="B747" s="97" t="n"/>
    </row>
    <row r="748" ht="15" customHeight="1" s="93">
      <c r="B748" s="97" t="n"/>
    </row>
    <row r="749" ht="15" customHeight="1" s="93">
      <c r="B749" s="97" t="n"/>
    </row>
    <row r="750" ht="15" customHeight="1" s="93">
      <c r="B750" s="97" t="n"/>
    </row>
    <row r="751" ht="15" customHeight="1" s="93">
      <c r="B751" s="97" t="n"/>
    </row>
    <row r="752" ht="15" customHeight="1" s="93">
      <c r="B752" s="97" t="n"/>
    </row>
    <row r="753" ht="15" customHeight="1" s="93">
      <c r="B753" s="97" t="n"/>
    </row>
    <row r="754" ht="15" customHeight="1" s="93">
      <c r="B754" s="97" t="n"/>
    </row>
    <row r="755" ht="15" customHeight="1" s="93">
      <c r="B755" s="97" t="n"/>
    </row>
    <row r="756" ht="15" customHeight="1" s="93">
      <c r="B756" s="97" t="n"/>
    </row>
    <row r="757" ht="15" customHeight="1" s="93">
      <c r="B757" s="97" t="n"/>
    </row>
    <row r="758" ht="15" customHeight="1" s="93">
      <c r="B758" s="97" t="n"/>
    </row>
    <row r="759" ht="15" customHeight="1" s="93">
      <c r="B759" s="97" t="n"/>
    </row>
    <row r="760" ht="15" customHeight="1" s="93">
      <c r="B760" s="97" t="n"/>
    </row>
    <row r="761" ht="15" customHeight="1" s="93">
      <c r="B761" s="97" t="n"/>
    </row>
    <row r="762" ht="15" customHeight="1" s="93">
      <c r="B762" s="97" t="n"/>
    </row>
    <row r="763" ht="15" customHeight="1" s="93">
      <c r="B763" s="97" t="n"/>
    </row>
    <row r="764" ht="15" customHeight="1" s="93">
      <c r="B764" s="97" t="n"/>
    </row>
    <row r="765" ht="15" customHeight="1" s="93">
      <c r="B765" s="97" t="n"/>
    </row>
    <row r="766" ht="15" customHeight="1" s="93">
      <c r="B766" s="97" t="n"/>
    </row>
    <row r="767" ht="15" customHeight="1" s="93">
      <c r="B767" s="97" t="n"/>
    </row>
    <row r="768" ht="15" customHeight="1" s="93">
      <c r="B768" s="97" t="n"/>
    </row>
    <row r="769" ht="15" customHeight="1" s="93">
      <c r="B769" s="97" t="n"/>
    </row>
    <row r="770" ht="15" customHeight="1" s="93">
      <c r="B770" s="97" t="n"/>
    </row>
    <row r="771" ht="15" customHeight="1" s="93">
      <c r="B771" s="97" t="n"/>
    </row>
    <row r="772" ht="15" customHeight="1" s="93">
      <c r="B772" s="97" t="n"/>
    </row>
    <row r="773" ht="15" customHeight="1" s="93">
      <c r="B773" s="97" t="n"/>
    </row>
    <row r="774" ht="15" customHeight="1" s="93">
      <c r="B774" s="97" t="n"/>
    </row>
    <row r="775" ht="15" customHeight="1" s="93">
      <c r="B775" s="97" t="n"/>
    </row>
    <row r="776" ht="15" customHeight="1" s="93">
      <c r="B776" s="97" t="n"/>
    </row>
    <row r="777" ht="15" customHeight="1" s="93">
      <c r="B777" s="97" t="n"/>
    </row>
    <row r="778" ht="15" customHeight="1" s="93">
      <c r="B778" s="97" t="n"/>
    </row>
    <row r="779" ht="15" customHeight="1" s="93">
      <c r="B779" s="97" t="n"/>
    </row>
    <row r="780" ht="15" customHeight="1" s="93">
      <c r="B780" s="97" t="n"/>
    </row>
    <row r="781" ht="15" customHeight="1" s="93">
      <c r="B781" s="97" t="n"/>
    </row>
    <row r="782" ht="15" customHeight="1" s="93">
      <c r="B782" s="97" t="n"/>
    </row>
    <row r="783" ht="15" customHeight="1" s="93">
      <c r="B783" s="97" t="n"/>
    </row>
    <row r="784" ht="15" customHeight="1" s="93">
      <c r="B784" s="97" t="n"/>
    </row>
    <row r="785" ht="15" customHeight="1" s="93">
      <c r="B785" s="97" t="n"/>
    </row>
    <row r="786" ht="15" customHeight="1" s="93">
      <c r="B786" s="97" t="n"/>
    </row>
    <row r="787" ht="15" customHeight="1" s="93">
      <c r="B787" s="97" t="n"/>
    </row>
    <row r="788" ht="15" customHeight="1" s="93">
      <c r="B788" s="97" t="n"/>
    </row>
    <row r="789" ht="15" customHeight="1" s="93">
      <c r="B789" s="97" t="n"/>
    </row>
    <row r="790" ht="15" customHeight="1" s="93">
      <c r="B790" s="97" t="n"/>
    </row>
    <row r="791" ht="15" customHeight="1" s="93">
      <c r="B791" s="97" t="n"/>
    </row>
    <row r="792" ht="15" customHeight="1" s="93">
      <c r="B792" s="97" t="n"/>
    </row>
    <row r="793" ht="15" customHeight="1" s="93">
      <c r="B793" s="97" t="n"/>
    </row>
    <row r="794" ht="15" customHeight="1" s="93">
      <c r="B794" s="97" t="n"/>
    </row>
    <row r="795" ht="15" customHeight="1" s="93">
      <c r="B795" s="97" t="n"/>
    </row>
    <row r="796" ht="15" customHeight="1" s="93">
      <c r="B796" s="97" t="n"/>
    </row>
    <row r="797" ht="15" customHeight="1" s="93">
      <c r="B797" s="97" t="n"/>
    </row>
    <row r="798" ht="15" customHeight="1" s="93">
      <c r="B798" s="97" t="n"/>
    </row>
    <row r="799" ht="15" customHeight="1" s="93">
      <c r="B799" s="97" t="n"/>
    </row>
    <row r="800" ht="15" customHeight="1" s="93">
      <c r="B800" s="97" t="n"/>
    </row>
    <row r="801" ht="15" customHeight="1" s="93">
      <c r="B801" s="97" t="n"/>
    </row>
    <row r="802" ht="15" customHeight="1" s="93">
      <c r="B802" s="97" t="n"/>
    </row>
    <row r="803" ht="15" customHeight="1" s="93">
      <c r="B803" s="97" t="n"/>
    </row>
    <row r="804" ht="15" customHeight="1" s="93">
      <c r="B804" s="97" t="n"/>
    </row>
    <row r="805" ht="15" customHeight="1" s="93">
      <c r="B805" s="97" t="n"/>
    </row>
    <row r="806" ht="15" customHeight="1" s="93">
      <c r="B806" s="97" t="n"/>
    </row>
    <row r="807" ht="15" customHeight="1" s="93">
      <c r="B807" s="97" t="n"/>
    </row>
    <row r="808" ht="15" customHeight="1" s="93">
      <c r="B808" s="97" t="n"/>
    </row>
    <row r="809" ht="15" customHeight="1" s="93">
      <c r="B809" s="97" t="n"/>
    </row>
    <row r="810" ht="15" customHeight="1" s="93">
      <c r="B810" s="97" t="n"/>
    </row>
    <row r="811" ht="15" customHeight="1" s="93">
      <c r="B811" s="97" t="n"/>
    </row>
    <row r="812" ht="15" customHeight="1" s="93">
      <c r="B812" s="97" t="n"/>
    </row>
    <row r="813" ht="15" customHeight="1" s="93">
      <c r="B813" s="97" t="n"/>
    </row>
    <row r="814" ht="15" customHeight="1" s="93">
      <c r="B814" s="97" t="n"/>
    </row>
    <row r="815" ht="15" customHeight="1" s="93">
      <c r="B815" s="97" t="n"/>
    </row>
    <row r="816" ht="15" customHeight="1" s="93">
      <c r="B816" s="97" t="n"/>
    </row>
    <row r="817" ht="15" customHeight="1" s="93">
      <c r="B817" s="97" t="n"/>
    </row>
    <row r="818" ht="15" customHeight="1" s="93">
      <c r="B818" s="97" t="n"/>
    </row>
    <row r="819" ht="15" customHeight="1" s="93">
      <c r="B819" s="97" t="n"/>
    </row>
    <row r="820" ht="15" customHeight="1" s="93">
      <c r="B820" s="97" t="n"/>
    </row>
    <row r="821" ht="15" customHeight="1" s="93">
      <c r="B821" s="97" t="n"/>
    </row>
    <row r="822" ht="15" customHeight="1" s="93">
      <c r="B822" s="97" t="n"/>
    </row>
    <row r="823" ht="15" customHeight="1" s="93">
      <c r="B823" s="97" t="n"/>
    </row>
    <row r="824" ht="15" customHeight="1" s="93">
      <c r="B824" s="97" t="n"/>
    </row>
    <row r="825" ht="15" customHeight="1" s="93">
      <c r="B825" s="97" t="n"/>
    </row>
    <row r="826" ht="15" customHeight="1" s="93">
      <c r="B826" s="97" t="n"/>
    </row>
    <row r="827" ht="15" customHeight="1" s="93">
      <c r="B827" s="97" t="n"/>
    </row>
    <row r="828" ht="15" customHeight="1" s="93">
      <c r="B828" s="97" t="n"/>
    </row>
    <row r="829" ht="15" customHeight="1" s="93">
      <c r="B829" s="97" t="n"/>
    </row>
    <row r="830" ht="15" customHeight="1" s="93">
      <c r="B830" s="97" t="n"/>
    </row>
    <row r="831" ht="15" customHeight="1" s="93">
      <c r="B831" s="97" t="n"/>
    </row>
    <row r="832" ht="15" customHeight="1" s="93">
      <c r="B832" s="97" t="n"/>
    </row>
    <row r="833" ht="15" customHeight="1" s="93">
      <c r="B833" s="97" t="n"/>
    </row>
    <row r="834" ht="15" customHeight="1" s="93">
      <c r="B834" s="97" t="n"/>
    </row>
    <row r="835" ht="15" customHeight="1" s="93">
      <c r="B835" s="97" t="n"/>
    </row>
    <row r="836" ht="15" customHeight="1" s="93">
      <c r="B836" s="97" t="n"/>
    </row>
    <row r="837" ht="15" customHeight="1" s="93">
      <c r="B837" s="97" t="n"/>
    </row>
    <row r="838" ht="15" customHeight="1" s="93">
      <c r="B838" s="97" t="n"/>
    </row>
    <row r="839" ht="15" customHeight="1" s="93">
      <c r="B839" s="97" t="n"/>
    </row>
    <row r="840" ht="15" customHeight="1" s="93">
      <c r="B840" s="97" t="n"/>
    </row>
    <row r="841" ht="15" customHeight="1" s="93">
      <c r="B841" s="97" t="n"/>
    </row>
    <row r="842" ht="15" customHeight="1" s="93">
      <c r="B842" s="97" t="n"/>
    </row>
    <row r="843" ht="15" customHeight="1" s="93">
      <c r="B843" s="97" t="n"/>
    </row>
    <row r="844" ht="15" customHeight="1" s="93">
      <c r="B844" s="97" t="n"/>
    </row>
    <row r="845" ht="15" customHeight="1" s="93">
      <c r="B845" s="97" t="n"/>
    </row>
    <row r="846" ht="15" customHeight="1" s="93">
      <c r="B846" s="97" t="n"/>
    </row>
    <row r="847" ht="15" customHeight="1" s="93">
      <c r="B847" s="97" t="n"/>
    </row>
    <row r="848" ht="15" customHeight="1" s="93">
      <c r="B848" s="97" t="n"/>
    </row>
    <row r="849" ht="15" customHeight="1" s="93">
      <c r="B849" s="97" t="n"/>
    </row>
    <row r="850" ht="15" customHeight="1" s="93">
      <c r="B850" s="97" t="n"/>
    </row>
    <row r="851" ht="15" customHeight="1" s="93">
      <c r="B851" s="97" t="n"/>
    </row>
    <row r="852" ht="15" customHeight="1" s="93">
      <c r="B852" s="97" t="n"/>
    </row>
    <row r="853" ht="15" customHeight="1" s="93">
      <c r="B853" s="97" t="n"/>
    </row>
    <row r="854" ht="15" customHeight="1" s="93">
      <c r="B854" s="97" t="n"/>
    </row>
    <row r="855" ht="15" customHeight="1" s="93">
      <c r="B855" s="97" t="n"/>
    </row>
    <row r="856" ht="15" customHeight="1" s="93">
      <c r="B856" s="97" t="n"/>
    </row>
    <row r="857" ht="15" customHeight="1" s="93">
      <c r="B857" s="97" t="n"/>
    </row>
    <row r="858" ht="15" customHeight="1" s="93">
      <c r="B858" s="97" t="n"/>
    </row>
    <row r="859" ht="15" customHeight="1" s="93">
      <c r="B859" s="97" t="n"/>
    </row>
    <row r="860" ht="15" customHeight="1" s="93">
      <c r="B860" s="97" t="n"/>
    </row>
    <row r="861" ht="15" customHeight="1" s="93">
      <c r="B861" s="97" t="n"/>
    </row>
    <row r="862" ht="15" customHeight="1" s="93">
      <c r="B862" s="97" t="n"/>
    </row>
    <row r="863" ht="15" customHeight="1" s="93">
      <c r="B863" s="97" t="n"/>
    </row>
    <row r="864" ht="15" customHeight="1" s="93">
      <c r="B864" s="97" t="n"/>
    </row>
    <row r="865" ht="15" customHeight="1" s="93">
      <c r="B865" s="97" t="n"/>
    </row>
    <row r="866" ht="15" customHeight="1" s="93">
      <c r="B866" s="97" t="n"/>
    </row>
    <row r="867" ht="15" customHeight="1" s="93">
      <c r="B867" s="97" t="n"/>
    </row>
    <row r="868" ht="15" customHeight="1" s="93">
      <c r="B868" s="97" t="n"/>
    </row>
    <row r="869" ht="15" customHeight="1" s="93">
      <c r="B869" s="97" t="n"/>
    </row>
    <row r="870" ht="15" customHeight="1" s="93">
      <c r="B870" s="97" t="n"/>
    </row>
    <row r="871" ht="15" customHeight="1" s="93">
      <c r="B871" s="97" t="n"/>
    </row>
    <row r="872" ht="15" customHeight="1" s="93">
      <c r="B872" s="97" t="n"/>
    </row>
    <row r="873" ht="15" customHeight="1" s="93">
      <c r="B873" s="97" t="n"/>
    </row>
    <row r="874" ht="15" customHeight="1" s="93">
      <c r="B874" s="97" t="n"/>
    </row>
    <row r="875" ht="15" customHeight="1" s="93">
      <c r="B875" s="97" t="n"/>
    </row>
    <row r="876" ht="15" customHeight="1" s="93">
      <c r="B876" s="97" t="n"/>
    </row>
    <row r="877" ht="15" customHeight="1" s="93">
      <c r="B877" s="97" t="n"/>
    </row>
    <row r="878" ht="15" customHeight="1" s="93">
      <c r="B878" s="97" t="n"/>
    </row>
    <row r="879" ht="15" customHeight="1" s="93">
      <c r="B879" s="97" t="n"/>
    </row>
    <row r="880" ht="15" customHeight="1" s="93">
      <c r="B880" s="97" t="n"/>
    </row>
    <row r="881" ht="15" customHeight="1" s="93">
      <c r="B881" s="97" t="n"/>
    </row>
    <row r="882" ht="15" customHeight="1" s="93">
      <c r="B882" s="97" t="n"/>
    </row>
    <row r="883" ht="15" customHeight="1" s="93">
      <c r="B883" s="97" t="n"/>
    </row>
    <row r="884" ht="15" customHeight="1" s="93">
      <c r="B884" s="97" t="n"/>
    </row>
    <row r="885" ht="15" customHeight="1" s="93">
      <c r="B885" s="97" t="n"/>
    </row>
    <row r="886" ht="15" customHeight="1" s="93">
      <c r="B886" s="97" t="n"/>
    </row>
    <row r="887" ht="15" customHeight="1" s="93">
      <c r="B887" s="97" t="n"/>
    </row>
    <row r="888" ht="15" customHeight="1" s="93">
      <c r="B888" s="97" t="n"/>
    </row>
    <row r="889" ht="15" customHeight="1" s="93">
      <c r="B889" s="97" t="n"/>
    </row>
    <row r="890" ht="15" customHeight="1" s="93">
      <c r="B890" s="97" t="n"/>
    </row>
    <row r="891" ht="15" customHeight="1" s="93">
      <c r="B891" s="97" t="n"/>
    </row>
    <row r="892" ht="15" customHeight="1" s="93">
      <c r="B892" s="97" t="n"/>
    </row>
    <row r="893" ht="15" customHeight="1" s="93">
      <c r="B893" s="97" t="n"/>
    </row>
    <row r="894" ht="15" customHeight="1" s="93">
      <c r="B894" s="97" t="n"/>
    </row>
    <row r="895" ht="15" customHeight="1" s="93">
      <c r="B895" s="97" t="n"/>
    </row>
    <row r="896" ht="15" customHeight="1" s="93">
      <c r="B896" s="97" t="n"/>
    </row>
    <row r="897" ht="15" customHeight="1" s="93">
      <c r="B897" s="97" t="n"/>
    </row>
    <row r="898" ht="15" customHeight="1" s="93">
      <c r="B898" s="97" t="n"/>
    </row>
    <row r="899" ht="15" customHeight="1" s="93">
      <c r="B899" s="97" t="n"/>
    </row>
    <row r="900" ht="15" customHeight="1" s="93">
      <c r="B900" s="97" t="n"/>
    </row>
    <row r="901" ht="15" customHeight="1" s="93">
      <c r="B901" s="97" t="n"/>
    </row>
    <row r="902" ht="15" customHeight="1" s="93">
      <c r="B902" s="97" t="n"/>
    </row>
    <row r="903" ht="15" customHeight="1" s="93">
      <c r="B903" s="97" t="n"/>
    </row>
    <row r="904" ht="15" customHeight="1" s="93">
      <c r="B904" s="97" t="n"/>
    </row>
    <row r="905" ht="15" customHeight="1" s="93">
      <c r="B905" s="97" t="n"/>
    </row>
    <row r="906" ht="15" customHeight="1" s="93">
      <c r="B906" s="97" t="n"/>
    </row>
    <row r="907" ht="15" customHeight="1" s="93">
      <c r="B907" s="97" t="n"/>
    </row>
    <row r="908" ht="15" customHeight="1" s="93">
      <c r="B908" s="97" t="n"/>
    </row>
    <row r="909" ht="15" customHeight="1" s="93">
      <c r="B909" s="97" t="n"/>
    </row>
    <row r="910" ht="15" customHeight="1" s="93">
      <c r="B910" s="97" t="n"/>
    </row>
    <row r="911" ht="15" customHeight="1" s="93">
      <c r="B911" s="97" t="n"/>
    </row>
    <row r="912" ht="15" customHeight="1" s="93">
      <c r="B912" s="97" t="n"/>
    </row>
    <row r="913" ht="15" customHeight="1" s="93">
      <c r="B913" s="97" t="n"/>
    </row>
    <row r="914" ht="15" customHeight="1" s="93">
      <c r="B914" s="97" t="n"/>
    </row>
    <row r="915" ht="15" customHeight="1" s="93">
      <c r="B915" s="97" t="n"/>
    </row>
    <row r="916" ht="15" customHeight="1" s="93">
      <c r="B916" s="97" t="n"/>
    </row>
    <row r="917" ht="15" customHeight="1" s="93">
      <c r="B917" s="97" t="n"/>
    </row>
    <row r="918" ht="15" customHeight="1" s="93">
      <c r="B918" s="97" t="n"/>
    </row>
    <row r="919" ht="15" customHeight="1" s="93">
      <c r="B919" s="97" t="n"/>
    </row>
    <row r="920" ht="15" customHeight="1" s="93">
      <c r="B920" s="97" t="n"/>
    </row>
    <row r="921" ht="15" customHeight="1" s="93">
      <c r="B921" s="97" t="n"/>
    </row>
    <row r="922" ht="15" customHeight="1" s="93">
      <c r="B922" s="97" t="n"/>
    </row>
    <row r="923" ht="15" customHeight="1" s="93">
      <c r="B923" s="97" t="n"/>
    </row>
    <row r="924" ht="15" customHeight="1" s="93">
      <c r="B924" s="97" t="n"/>
    </row>
    <row r="925" ht="15" customHeight="1" s="93">
      <c r="B925" s="97" t="n"/>
    </row>
    <row r="926" ht="15" customHeight="1" s="93">
      <c r="B926" s="97" t="n"/>
    </row>
    <row r="927" ht="15" customHeight="1" s="93">
      <c r="B927" s="97" t="n"/>
    </row>
    <row r="928" ht="15" customHeight="1" s="93">
      <c r="B928" s="97" t="n"/>
    </row>
    <row r="929" ht="15" customHeight="1" s="93">
      <c r="B929" s="97" t="n"/>
    </row>
    <row r="930" ht="15" customHeight="1" s="93">
      <c r="B930" s="97" t="n"/>
    </row>
    <row r="931" ht="15" customHeight="1" s="93">
      <c r="B931" s="97" t="n"/>
    </row>
    <row r="932" ht="15" customHeight="1" s="93">
      <c r="B932" s="97" t="n"/>
    </row>
    <row r="933" ht="15" customHeight="1" s="93">
      <c r="B933" s="97" t="n"/>
    </row>
    <row r="934" ht="15" customHeight="1" s="93">
      <c r="B934" s="97" t="n"/>
    </row>
    <row r="935" ht="15" customHeight="1" s="93">
      <c r="B935" s="97" t="n"/>
    </row>
    <row r="936" ht="15" customHeight="1" s="93">
      <c r="B936" s="97" t="n"/>
    </row>
    <row r="937" ht="15" customHeight="1" s="93">
      <c r="B937" s="97" t="n"/>
    </row>
    <row r="938" ht="15" customHeight="1" s="93">
      <c r="B938" s="97" t="n"/>
    </row>
    <row r="939" ht="15" customHeight="1" s="93">
      <c r="B939" s="97" t="n"/>
    </row>
    <row r="940" ht="15" customHeight="1" s="93">
      <c r="B940" s="97" t="n"/>
    </row>
    <row r="941" ht="15" customHeight="1" s="93">
      <c r="B941" s="97" t="n"/>
    </row>
    <row r="942" ht="15" customHeight="1" s="93">
      <c r="B942" s="97" t="n"/>
    </row>
    <row r="943" ht="15" customHeight="1" s="93">
      <c r="B943" s="97" t="n"/>
    </row>
    <row r="944" ht="15" customHeight="1" s="93">
      <c r="B944" s="97" t="n"/>
    </row>
    <row r="945" ht="15" customHeight="1" s="93">
      <c r="B945" s="97" t="n"/>
    </row>
    <row r="946" ht="15" customHeight="1" s="93">
      <c r="B946" s="97" t="n"/>
    </row>
    <row r="947" ht="15" customHeight="1" s="93">
      <c r="B947" s="97" t="n"/>
    </row>
    <row r="948" ht="15" customHeight="1" s="93">
      <c r="B948" s="97" t="n"/>
    </row>
    <row r="949" ht="15" customHeight="1" s="93">
      <c r="B949" s="97" t="n"/>
    </row>
    <row r="950" ht="15" customHeight="1" s="93">
      <c r="B950" s="97" t="n"/>
    </row>
    <row r="951" ht="15" customHeight="1" s="93">
      <c r="B951" s="97" t="n"/>
    </row>
    <row r="952" ht="15" customHeight="1" s="93">
      <c r="B952" s="97" t="n"/>
    </row>
    <row r="953" ht="15" customHeight="1" s="93">
      <c r="B953" s="97" t="n"/>
    </row>
    <row r="954" ht="15" customHeight="1" s="93">
      <c r="B954" s="97" t="n"/>
    </row>
    <row r="955" ht="15" customHeight="1" s="93">
      <c r="B955" s="97" t="n"/>
    </row>
    <row r="956" ht="15" customHeight="1" s="93">
      <c r="B956" s="97" t="n"/>
    </row>
    <row r="957" ht="15" customHeight="1" s="93">
      <c r="B957" s="97" t="n"/>
    </row>
    <row r="958" ht="15" customHeight="1" s="93">
      <c r="B958" s="97" t="n"/>
    </row>
    <row r="959" ht="15" customHeight="1" s="93">
      <c r="B959" s="97" t="n"/>
    </row>
    <row r="960" ht="15" customHeight="1" s="93">
      <c r="B960" s="97" t="n"/>
    </row>
    <row r="961" ht="15" customHeight="1" s="93">
      <c r="B961" s="97" t="n"/>
    </row>
    <row r="962" ht="15" customHeight="1" s="93">
      <c r="B962" s="97" t="n"/>
    </row>
    <row r="963" ht="15" customHeight="1" s="93">
      <c r="B963" s="97" t="n"/>
    </row>
    <row r="964" ht="15" customHeight="1" s="93">
      <c r="B964" s="97" t="n"/>
    </row>
    <row r="965" ht="15" customHeight="1" s="93">
      <c r="B965" s="97" t="n"/>
    </row>
    <row r="966" ht="15" customHeight="1" s="93">
      <c r="B966" s="97" t="n"/>
    </row>
    <row r="967" ht="15" customHeight="1" s="93">
      <c r="B967" s="97" t="n"/>
    </row>
    <row r="968" ht="15" customHeight="1" s="93">
      <c r="B968" s="97" t="n"/>
    </row>
    <row r="969" ht="15" customHeight="1" s="93">
      <c r="B969" s="97" t="n"/>
    </row>
    <row r="970" ht="15" customHeight="1" s="93">
      <c r="B970" s="97" t="n"/>
    </row>
    <row r="971" ht="15" customHeight="1" s="93">
      <c r="B971" s="97" t="n"/>
    </row>
    <row r="972" ht="15" customHeight="1" s="93">
      <c r="B972" s="97" t="n"/>
    </row>
    <row r="973" ht="15" customHeight="1" s="93">
      <c r="B973" s="97" t="n"/>
    </row>
    <row r="974" ht="15" customHeight="1" s="93">
      <c r="B974" s="97" t="n"/>
    </row>
    <row r="975" ht="15" customHeight="1" s="93">
      <c r="B975" s="97" t="n"/>
    </row>
    <row r="976" ht="15" customHeight="1" s="93">
      <c r="B976" s="97" t="n"/>
    </row>
    <row r="977" ht="15" customHeight="1" s="93">
      <c r="B977" s="97" t="n"/>
    </row>
    <row r="978" ht="15" customHeight="1" s="93">
      <c r="B978" s="97" t="n"/>
    </row>
    <row r="979" ht="15" customHeight="1" s="93">
      <c r="B979" s="97" t="n"/>
    </row>
    <row r="980" ht="15" customHeight="1" s="93">
      <c r="B980" s="97" t="n"/>
    </row>
    <row r="981" ht="15" customHeight="1" s="93">
      <c r="B981" s="97" t="n"/>
    </row>
    <row r="982" ht="15" customHeight="1" s="93">
      <c r="B982" s="97" t="n"/>
    </row>
    <row r="983" ht="15" customHeight="1" s="93">
      <c r="B983" s="97" t="n"/>
    </row>
    <row r="984" ht="15" customHeight="1" s="93">
      <c r="B984" s="97" t="n"/>
    </row>
    <row r="985" ht="15" customHeight="1" s="93">
      <c r="B985" s="97" t="n"/>
    </row>
    <row r="986" ht="15" customHeight="1" s="93">
      <c r="B986" s="97" t="n"/>
    </row>
    <row r="987" ht="15" customHeight="1" s="93">
      <c r="B987" s="97" t="n"/>
    </row>
    <row r="988" ht="15" customHeight="1" s="93">
      <c r="B988" s="97" t="n"/>
    </row>
    <row r="989" ht="15" customHeight="1" s="93">
      <c r="B989" s="97" t="n"/>
    </row>
    <row r="990" ht="15" customHeight="1" s="93">
      <c r="B990" s="97" t="n"/>
    </row>
    <row r="991" ht="15" customHeight="1" s="93">
      <c r="B991" s="97" t="n"/>
    </row>
    <row r="992" ht="15" customHeight="1" s="93">
      <c r="B992" s="97" t="n"/>
    </row>
    <row r="993" ht="15" customHeight="1" s="93">
      <c r="B993" s="97" t="n"/>
    </row>
    <row r="994" ht="15" customHeight="1" s="93">
      <c r="B994" s="97" t="n"/>
    </row>
    <row r="995" ht="15" customHeight="1" s="93">
      <c r="B995" s="97" t="n"/>
    </row>
    <row r="996" ht="15" customHeight="1" s="93">
      <c r="B996" s="97" t="n"/>
    </row>
    <row r="997" ht="15" customHeight="1" s="93">
      <c r="B997" s="97" t="n"/>
    </row>
    <row r="998" ht="15" customHeight="1" s="93"/>
  </sheetData>
  <conditionalFormatting sqref="A2:L998">
    <cfRule type="expression" rank="0" priority="2" equalAverage="0" aboveAverage="0" dxfId="11" text="" percent="0" bottom="0">
      <formula>$C2="US"</formula>
    </cfRule>
    <cfRule type="expression" rank="0" priority="3" equalAverage="0" aboveAverage="0" dxfId="12" text="" percent="0" bottom="0">
      <formula>$C2="MyMSC"</formula>
    </cfRule>
    <cfRule type="expression" rank="0" priority="4" equalAverage="0" aboveAverage="0" dxfId="13" text="" percent="0" bottom="0">
      <formula>$C2="Rollout"</formula>
    </cfRule>
    <cfRule type="expression" rank="0" priority="5" equalAverage="0" aboveAverage="0" dxfId="13" text="" percent="0" bottom="0">
      <formula>$C2="MVP Rollout"</formula>
    </cfRule>
    <cfRule type="expression" rank="0" priority="6" equalAverage="0" aboveAverage="0" dxfId="14" text="" percent="0" bottom="0">
      <formula>$C2="Backlog"</formula>
    </cfRule>
    <cfRule type="expression" rank="0" priority="7" equalAverage="0" aboveAverage="0" dxfId="14" text="" percent="0" bottom="0">
      <formula>$C2="Growth"</formula>
    </cfRule>
    <cfRule type="expression" rank="0" priority="8" equalAverage="0" aboveAverage="0" dxfId="15" text="" percent="0" bottom="0">
      <formula>$C2="Tech Enhancements"</formula>
    </cfRule>
    <cfRule type="expression" rank="0" priority="9" equalAverage="0" aboveAverage="0" dxfId="16" text="" percent="0" bottom="0">
      <formula>LEFT($C2,2)="PI"</formula>
    </cfRule>
  </conditionalFormatting>
  <dataValidations count="4">
    <dataValidation sqref="G2:G498" showDropDown="0" showInputMessage="0" showErrorMessage="0" allowBlank="1" type="list" errorStyle="stop" operator="between">
      <formula1>"Yes,No,TBC"</formula1>
      <formula2>0</formula2>
    </dataValidation>
    <dataValidation sqref="I2:I498" showDropDown="0" showInputMessage="0" showErrorMessage="0" allowBlank="1" type="list" errorStyle="stop" operator="between">
      <formula1>"Clare,Luke,Bipin,Remo,Praneeth"</formula1>
      <formula2>0</formula2>
    </dataValidation>
    <dataValidation sqref="K2:K498" showDropDown="0" showInputMessage="0" showErrorMessage="0" allowBlank="1" type="list" errorStyle="stop" operator="between">
      <formula1>"No Design Required,Ready for Development,Design in Progress,Pending Review,Pending Solution,Pending Design"</formula1>
      <formula2>0</formula2>
    </dataValidation>
    <dataValidation sqref="L2:L498" showDropDown="0" showInputMessage="0" showErrorMessage="0" allowBlank="1" type="list" errorStyle="stop" operator="between">
      <formula1>"Yes,No,NA"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Q9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I25" activeCellId="0" sqref="I25"/>
    </sheetView>
  </sheetViews>
  <sheetFormatPr baseColWidth="8" defaultColWidth="8.66796875" defaultRowHeight="15" customHeight="0" zeroHeight="0" outlineLevelRow="0"/>
  <cols>
    <col width="16" customWidth="1" style="92" min="1" max="1"/>
    <col width="52" customWidth="1" style="92" min="2" max="2"/>
    <col width="12" customWidth="1" style="92" min="3" max="3"/>
    <col width="9.83" customWidth="1" style="92" min="4" max="4"/>
    <col width="13" customWidth="1" style="92" min="5" max="5"/>
    <col width="14" customWidth="1" style="92" min="6" max="6"/>
    <col width="12" customWidth="1" style="92" min="7" max="7"/>
    <col width="12.16" customWidth="1" style="92" min="8" max="8"/>
    <col width="14.33" customWidth="1" style="92" min="9" max="9"/>
    <col width="11.5" customWidth="1" style="92" min="10" max="11"/>
    <col width="18.34" customWidth="1" style="97" min="12" max="12"/>
    <col width="19.83" customWidth="1" style="97" min="13" max="13"/>
    <col width="14" customWidth="1" style="92" min="14" max="14"/>
    <col width="14.51" customWidth="1" style="97" min="15" max="15"/>
    <col width="26.16" customWidth="1" style="92" min="17" max="17"/>
  </cols>
  <sheetData>
    <row r="1" ht="30" customHeight="1" s="93">
      <c r="A1" s="113" t="inlineStr">
        <is>
          <t>Requirement ID</t>
        </is>
      </c>
      <c r="B1" s="114" t="inlineStr">
        <is>
          <t>Requirement Name</t>
        </is>
      </c>
      <c r="C1" s="114" t="inlineStr">
        <is>
          <t>Stream</t>
        </is>
      </c>
      <c r="D1" s="114" t="inlineStr">
        <is>
          <t>Stream Owner</t>
        </is>
      </c>
      <c r="E1" s="114" t="inlineStr">
        <is>
          <t>Jira Link</t>
        </is>
      </c>
      <c r="F1" s="113" t="inlineStr">
        <is>
          <t>HLD Completed</t>
        </is>
      </c>
      <c r="G1" s="113" t="inlineStr">
        <is>
          <t>LLD Completed</t>
        </is>
      </c>
      <c r="H1" s="113" t="inlineStr">
        <is>
          <t>Sprint</t>
        </is>
      </c>
      <c r="I1" s="114" t="inlineStr">
        <is>
          <t>Status</t>
        </is>
      </c>
      <c r="J1" s="114" t="inlineStr">
        <is>
          <t>Priority</t>
        </is>
      </c>
      <c r="K1" s="113" t="inlineStr">
        <is>
          <t>Predecessor Stream</t>
        </is>
      </c>
      <c r="L1" s="113" t="inlineStr">
        <is>
          <t>Predecessor Task</t>
        </is>
      </c>
      <c r="M1" s="113" t="inlineStr">
        <is>
          <t>Predecessor Jira Link</t>
        </is>
      </c>
      <c r="N1" s="113" t="inlineStr">
        <is>
          <t>Successor Stream</t>
        </is>
      </c>
      <c r="O1" s="147" t="inlineStr">
        <is>
          <t>Successor Jira Link</t>
        </is>
      </c>
      <c r="P1" s="111" t="inlineStr">
        <is>
          <t>Dependency Status</t>
        </is>
      </c>
      <c r="Q1" s="111" t="inlineStr">
        <is>
          <t>Notes</t>
        </is>
      </c>
    </row>
    <row r="2" ht="15" customHeight="1" s="93">
      <c r="A2" s="115">
        <f>Backlog!A2</f>
        <v/>
      </c>
      <c r="B2" s="117">
        <f>IFERROR(IF(ISBLANK(INDEX(Backlog[Requirement Name],MATCH($A2,Backlog[Requirement ID],0))),"",INDEX(Backlog[Requirement Name],MATCH($A2,Backlog[Requirement ID],0))),"")</f>
        <v/>
      </c>
      <c r="C2" s="117">
        <f>IFERROR(IF(ISBLANK(INDEX(Backlog[Stream],MATCH($A2,Backlog[Requirement ID],0))),"",INDEX(Backlog[Stream],MATCH($A2,Backlog[Requirement ID],0))),"")</f>
        <v/>
      </c>
      <c r="D2" s="117">
        <f>IFERROR(IF(ISBLANK(INDEX(Backlog[Stream Owner],MATCH($A2,Backlog[Requirement ID],0))),"",INDEX(Backlog[Stream Owner],MATCH($A2,Backlog[Requirement ID],0))),"")</f>
        <v/>
      </c>
      <c r="E2" s="117">
        <f>IFERROR(IF(ISBLANK(INDEX(Backlog[Jira Link],MATCH($A2,Backlog[Requirement ID],0))),"",INDEX(Backlog[Jira Link],MATCH($A2,Backlog[Requirement ID],0))),"")</f>
        <v/>
      </c>
      <c r="F2" s="115" t="inlineStr">
        <is>
          <t>Yes</t>
        </is>
      </c>
      <c r="G2" s="115" t="inlineStr">
        <is>
          <t>Yes</t>
        </is>
      </c>
      <c r="H2" s="128">
        <f>IFERROR(IF(ISBLANK(INDEX(SprintPlanning[Sprint],MATCH($A2,SprintPlanning[Requirement ID],0))),"",INDEX(SprintPlanning[Sprint],MATCH($A2,SprintPlanning[Requirement ID],0))),"")</f>
        <v/>
      </c>
      <c r="I2" s="117">
        <f>IFERROR(IF(ISBLANK(INDEX(Backlog[Status],MATCH($A2,Backlog[Requirement ID],0))),"",INDEX(Backlog[Status],MATCH($A2,Backlog[Requirement ID],0))),"")</f>
        <v/>
      </c>
      <c r="J2" s="117">
        <f>IFERROR(IF(ISBLANK(INDEX(Backlog[Priority],MATCH($A2,Backlog[Requirement ID],0))),"",INDEX(Backlog[Priority],MATCH($A2,Backlog[Requirement ID],0))),"")</f>
        <v/>
      </c>
      <c r="K2" s="115" t="inlineStr">
        <is>
          <t>CHUB</t>
        </is>
      </c>
      <c r="L2" s="148" t="inlineStr">
        <is>
          <t>Update to CH042 on profiling consents</t>
        </is>
      </c>
      <c r="M2" s="148" t="n"/>
      <c r="N2" s="115" t="n"/>
      <c r="O2" s="149" t="n"/>
      <c r="P2" s="121" t="n"/>
      <c r="Q2" s="121" t="n"/>
    </row>
    <row r="3" ht="15" customHeight="1" s="93">
      <c r="A3" s="115">
        <f>Backlog!A3</f>
        <v/>
      </c>
      <c r="B3" s="117">
        <f>IFERROR(IF(ISBLANK(INDEX(Backlog[Requirement Name],MATCH($A3,Backlog[Requirement ID],0))),"",INDEX(Backlog[Requirement Name],MATCH($A3,Backlog[Requirement ID],0))),"")</f>
        <v/>
      </c>
      <c r="C3" s="117">
        <f>IFERROR(IF(ISBLANK(INDEX(Backlog[Stream],MATCH($A3,Backlog[Requirement ID],0))),"",INDEX(Backlog[Stream],MATCH($A3,Backlog[Requirement ID],0))),"")</f>
        <v/>
      </c>
      <c r="D3" s="117">
        <f>IFERROR(IF(ISBLANK(INDEX(Backlog[Stream Owner],MATCH($A3,Backlog[Requirement ID],0))),"",INDEX(Backlog[Stream Owner],MATCH($A3,Backlog[Requirement ID],0))),"")</f>
        <v/>
      </c>
      <c r="E3" s="117">
        <f>IFERROR(IF(ISBLANK(INDEX(Backlog[Jira Link],MATCH($A3,Backlog[Requirement ID],0))),"",INDEX(Backlog[Jira Link],MATCH($A3,Backlog[Requirement ID],0))),"")</f>
        <v/>
      </c>
      <c r="F3" s="115" t="n"/>
      <c r="G3" s="115" t="n"/>
      <c r="H3" s="128">
        <f>IFERROR(IF(ISBLANK(INDEX(SprintPlanning[Sprint],MATCH($A3,SprintPlanning[Requirement ID],0))),"",INDEX(SprintPlanning[Sprint],MATCH($A3,SprintPlanning[Requirement ID],0))),"")</f>
        <v/>
      </c>
      <c r="I3" s="117">
        <f>IFERROR(IF(ISBLANK(INDEX(Backlog[Status],MATCH($A3,Backlog[Requirement ID],0))),"",INDEX(Backlog[Status],MATCH($A3,Backlog[Requirement ID],0))),"")</f>
        <v/>
      </c>
      <c r="J3" s="117">
        <f>IFERROR(IF(ISBLANK(INDEX(Backlog[Priority],MATCH($A3,Backlog[Requirement ID],0))),"",INDEX(Backlog[Priority],MATCH($A3,Backlog[Requirement ID],0))),"")</f>
        <v/>
      </c>
      <c r="K3" s="115" t="n"/>
      <c r="L3" s="148" t="n"/>
      <c r="M3" s="148" t="n"/>
      <c r="N3" s="115" t="n"/>
      <c r="O3" s="149" t="n"/>
      <c r="P3" s="121" t="n"/>
      <c r="Q3" s="121" t="n"/>
    </row>
    <row r="4" ht="36" customHeight="1" s="93">
      <c r="A4" s="115">
        <f>Backlog!A4</f>
        <v/>
      </c>
      <c r="B4" s="117">
        <f>IFERROR(IF(ISBLANK(INDEX(Backlog[Requirement Name],MATCH($A4,Backlog[Requirement ID],0))),"",INDEX(Backlog[Requirement Name],MATCH($A4,Backlog[Requirement ID],0))),"")</f>
        <v/>
      </c>
      <c r="C4" s="117">
        <f>IFERROR(IF(ISBLANK(INDEX(Backlog[Stream],MATCH($A4,Backlog[Requirement ID],0))),"",INDEX(Backlog[Stream],MATCH($A4,Backlog[Requirement ID],0))),"")</f>
        <v/>
      </c>
      <c r="D4" s="117">
        <f>IFERROR(IF(ISBLANK(INDEX(Backlog[Stream Owner],MATCH($A4,Backlog[Requirement ID],0))),"",INDEX(Backlog[Stream Owner],MATCH($A4,Backlog[Requirement ID],0))),"")</f>
        <v/>
      </c>
      <c r="E4" s="117">
        <f>IFERROR(IF(ISBLANK(INDEX(Backlog[Jira Link],MATCH($A4,Backlog[Requirement ID],0))),"",INDEX(Backlog[Jira Link],MATCH($A4,Backlog[Requirement ID],0))),"")</f>
        <v/>
      </c>
      <c r="F4" s="115" t="inlineStr">
        <is>
          <t>Yes</t>
        </is>
      </c>
      <c r="G4" s="115" t="inlineStr">
        <is>
          <t>Yes</t>
        </is>
      </c>
      <c r="H4" s="128">
        <f>IFERROR(IF(ISBLANK(INDEX(SprintPlanning[Sprint],MATCH($A4,SprintPlanning[Requirement ID],0))),"",INDEX(SprintPlanning[Sprint],MATCH($A4,SprintPlanning[Requirement ID],0))),"")</f>
        <v/>
      </c>
      <c r="I4" s="117">
        <f>IFERROR(IF(ISBLANK(INDEX(Backlog[Status],MATCH($A4,Backlog[Requirement ID],0))),"",INDEX(Backlog[Status],MATCH($A4,Backlog[Requirement ID],0))),"")</f>
        <v/>
      </c>
      <c r="J4" s="117">
        <f>IFERROR(IF(ISBLANK(INDEX(Backlog[Priority],MATCH($A4,Backlog[Requirement ID],0))),"",INDEX(Backlog[Priority],MATCH($A4,Backlog[Requirement ID],0))),"")</f>
        <v/>
      </c>
      <c r="K4" s="115" t="inlineStr">
        <is>
          <t>S&amp;S</t>
        </is>
      </c>
      <c r="L4" s="148" t="inlineStr">
        <is>
          <t>Updates to S008</t>
        </is>
      </c>
      <c r="M4" s="148" t="n"/>
      <c r="N4" s="115" t="inlineStr">
        <is>
          <t>F&amp;F</t>
        </is>
      </c>
      <c r="O4" s="149" t="inlineStr">
        <is>
          <t>https://smartship.atlassian.net/browse/DTTP25-352</t>
        </is>
      </c>
      <c r="P4" s="121" t="n"/>
      <c r="Q4" s="121" t="n"/>
    </row>
    <row r="5" ht="15" customHeight="1" s="93">
      <c r="A5" s="115">
        <f>Backlog!A5</f>
        <v/>
      </c>
      <c r="B5" s="117">
        <f>IFERROR(IF(ISBLANK(INDEX(Backlog[Requirement Name],MATCH($A5,Backlog[Requirement ID],0))),"",INDEX(Backlog[Requirement Name],MATCH($A5,Backlog[Requirement ID],0))),"")</f>
        <v/>
      </c>
      <c r="C5" s="117">
        <f>IFERROR(IF(ISBLANK(INDEX(Backlog[Stream],MATCH($A5,Backlog[Requirement ID],0))),"",INDEX(Backlog[Stream],MATCH($A5,Backlog[Requirement ID],0))),"")</f>
        <v/>
      </c>
      <c r="D5" s="117">
        <f>IFERROR(IF(ISBLANK(INDEX(Backlog[Stream Owner],MATCH($A5,Backlog[Requirement ID],0))),"",INDEX(Backlog[Stream Owner],MATCH($A5,Backlog[Requirement ID],0))),"")</f>
        <v/>
      </c>
      <c r="E5" s="117">
        <f>IFERROR(IF(ISBLANK(INDEX(Backlog[Jira Link],MATCH($A5,Backlog[Requirement ID],0))),"",INDEX(Backlog[Jira Link],MATCH($A5,Backlog[Requirement ID],0))),"")</f>
        <v/>
      </c>
      <c r="F5" s="115" t="inlineStr">
        <is>
          <t>No</t>
        </is>
      </c>
      <c r="G5" s="115" t="inlineStr">
        <is>
          <t>No</t>
        </is>
      </c>
      <c r="H5" s="128">
        <f>IFERROR(IF(ISBLANK(INDEX(SprintPlanning[Sprint],MATCH($A5,SprintPlanning[Requirement ID],0))),"",INDEX(SprintPlanning[Sprint],MATCH($A5,SprintPlanning[Requirement ID],0))),"")</f>
        <v/>
      </c>
      <c r="I5" s="117">
        <f>IFERROR(IF(ISBLANK(INDEX(Backlog[Status],MATCH($A5,Backlog[Requirement ID],0))),"",INDEX(Backlog[Status],MATCH($A5,Backlog[Requirement ID],0))),"")</f>
        <v/>
      </c>
      <c r="J5" s="117">
        <f>IFERROR(IF(ISBLANK(INDEX(Backlog[Priority],MATCH($A5,Backlog[Requirement ID],0))),"",INDEX(Backlog[Priority],MATCH($A5,Backlog[Requirement ID],0))),"")</f>
        <v/>
      </c>
      <c r="K5" s="115" t="n"/>
      <c r="L5" s="148" t="n"/>
      <c r="M5" s="148" t="n"/>
      <c r="N5" s="115" t="n"/>
      <c r="O5" s="149" t="n"/>
      <c r="P5" s="121" t="n"/>
      <c r="Q5" s="121" t="n"/>
    </row>
    <row r="6" ht="15" customHeight="1" s="93">
      <c r="A6" s="115">
        <f>Backlog!A6</f>
        <v/>
      </c>
      <c r="B6" s="117">
        <f>IFERROR(IF(ISBLANK(INDEX(Backlog[Requirement Name],MATCH($A6,Backlog[Requirement ID],0))),"",INDEX(Backlog[Requirement Name],MATCH($A6,Backlog[Requirement ID],0))),"")</f>
        <v/>
      </c>
      <c r="C6" s="117">
        <f>IFERROR(IF(ISBLANK(INDEX(Backlog[Stream],MATCH($A6,Backlog[Requirement ID],0))),"",INDEX(Backlog[Stream],MATCH($A6,Backlog[Requirement ID],0))),"")</f>
        <v/>
      </c>
      <c r="D6" s="117">
        <f>IFERROR(IF(ISBLANK(INDEX(Backlog[Stream Owner],MATCH($A6,Backlog[Requirement ID],0))),"",INDEX(Backlog[Stream Owner],MATCH($A6,Backlog[Requirement ID],0))),"")</f>
        <v/>
      </c>
      <c r="E6" s="117">
        <f>IFERROR(IF(ISBLANK(INDEX(Backlog[Jira Link],MATCH($A6,Backlog[Requirement ID],0))),"",INDEX(Backlog[Jira Link],MATCH($A6,Backlog[Requirement ID],0))),"")</f>
        <v/>
      </c>
      <c r="F6" s="115" t="inlineStr">
        <is>
          <t>No</t>
        </is>
      </c>
      <c r="G6" s="115" t="inlineStr">
        <is>
          <t>No</t>
        </is>
      </c>
      <c r="H6" s="128">
        <f>IFERROR(IF(ISBLANK(INDEX(SprintPlanning[Sprint],MATCH($A6,SprintPlanning[Requirement ID],0))),"",INDEX(SprintPlanning[Sprint],MATCH($A6,SprintPlanning[Requirement ID],0))),"")</f>
        <v/>
      </c>
      <c r="I6" s="117">
        <f>IFERROR(IF(ISBLANK(INDEX(Backlog[Status],MATCH($A6,Backlog[Requirement ID],0))),"",INDEX(Backlog[Status],MATCH($A6,Backlog[Requirement ID],0))),"")</f>
        <v/>
      </c>
      <c r="J6" s="117">
        <f>IFERROR(IF(ISBLANK(INDEX(Backlog[Priority],MATCH($A6,Backlog[Requirement ID],0))),"",INDEX(Backlog[Priority],MATCH($A6,Backlog[Requirement ID],0))),"")</f>
        <v/>
      </c>
      <c r="K6" s="115" t="n"/>
      <c r="L6" s="148" t="n"/>
      <c r="M6" s="148" t="n"/>
      <c r="N6" s="115" t="n"/>
      <c r="O6" s="149" t="n"/>
      <c r="P6" s="121" t="n"/>
      <c r="Q6" s="121" t="n"/>
    </row>
    <row r="7" ht="15" customHeight="1" s="93">
      <c r="A7" s="115">
        <f>Backlog!A7</f>
        <v/>
      </c>
      <c r="B7" s="117">
        <f>IFERROR(IF(ISBLANK(INDEX(Backlog[Requirement Name],MATCH($A7,Backlog[Requirement ID],0))),"",INDEX(Backlog[Requirement Name],MATCH($A7,Backlog[Requirement ID],0))),"")</f>
        <v/>
      </c>
      <c r="C7" s="117">
        <f>IFERROR(IF(ISBLANK(INDEX(Backlog[Stream],MATCH($A7,Backlog[Requirement ID],0))),"",INDEX(Backlog[Stream],MATCH($A7,Backlog[Requirement ID],0))),"")</f>
        <v/>
      </c>
      <c r="D7" s="117">
        <f>IFERROR(IF(ISBLANK(INDEX(Backlog[Stream Owner],MATCH($A7,Backlog[Requirement ID],0))),"",INDEX(Backlog[Stream Owner],MATCH($A7,Backlog[Requirement ID],0))),"")</f>
        <v/>
      </c>
      <c r="E7" s="117">
        <f>IFERROR(IF(ISBLANK(INDEX(Backlog[Jira Link],MATCH($A7,Backlog[Requirement ID],0))),"",INDEX(Backlog[Jira Link],MATCH($A7,Backlog[Requirement ID],0))),"")</f>
        <v/>
      </c>
      <c r="F7" s="115" t="inlineStr">
        <is>
          <t>No</t>
        </is>
      </c>
      <c r="G7" s="115" t="inlineStr">
        <is>
          <t>No</t>
        </is>
      </c>
      <c r="H7" s="128">
        <f>IFERROR(IF(ISBLANK(INDEX(SprintPlanning[Sprint],MATCH($A7,SprintPlanning[Requirement ID],0))),"",INDEX(SprintPlanning[Sprint],MATCH($A7,SprintPlanning[Requirement ID],0))),"")</f>
        <v/>
      </c>
      <c r="I7" s="117">
        <f>IFERROR(IF(ISBLANK(INDEX(Backlog[Status],MATCH($A7,Backlog[Requirement ID],0))),"",INDEX(Backlog[Status],MATCH($A7,Backlog[Requirement ID],0))),"")</f>
        <v/>
      </c>
      <c r="J7" s="117">
        <f>IFERROR(IF(ISBLANK(INDEX(Backlog[Priority],MATCH($A7,Backlog[Requirement ID],0))),"",INDEX(Backlog[Priority],MATCH($A7,Backlog[Requirement ID],0))),"")</f>
        <v/>
      </c>
      <c r="K7" s="115" t="n"/>
      <c r="L7" s="148" t="n"/>
      <c r="M7" s="148" t="n"/>
      <c r="N7" s="115" t="n"/>
      <c r="O7" s="149" t="n"/>
      <c r="P7" s="121" t="n"/>
      <c r="Q7" s="121" t="n"/>
    </row>
    <row r="8" ht="15" customHeight="1" s="93">
      <c r="A8" s="115">
        <f>Backlog!A8</f>
        <v/>
      </c>
      <c r="B8" s="117">
        <f>IFERROR(IF(ISBLANK(INDEX(Backlog[Requirement Name],MATCH($A8,Backlog[Requirement ID],0))),"",INDEX(Backlog[Requirement Name],MATCH($A8,Backlog[Requirement ID],0))),"")</f>
        <v/>
      </c>
      <c r="C8" s="117">
        <f>IFERROR(IF(ISBLANK(INDEX(Backlog[Stream],MATCH($A8,Backlog[Requirement ID],0))),"",INDEX(Backlog[Stream],MATCH($A8,Backlog[Requirement ID],0))),"")</f>
        <v/>
      </c>
      <c r="D8" s="117">
        <f>IFERROR(IF(ISBLANK(INDEX(Backlog[Stream Owner],MATCH($A8,Backlog[Requirement ID],0))),"",INDEX(Backlog[Stream Owner],MATCH($A8,Backlog[Requirement ID],0))),"")</f>
        <v/>
      </c>
      <c r="E8" s="117">
        <f>IFERROR(IF(ISBLANK(INDEX(Backlog[Jira Link],MATCH($A8,Backlog[Requirement ID],0))),"",INDEX(Backlog[Jira Link],MATCH($A8,Backlog[Requirement ID],0))),"")</f>
        <v/>
      </c>
      <c r="F8" s="115" t="inlineStr">
        <is>
          <t>No</t>
        </is>
      </c>
      <c r="G8" s="115" t="inlineStr">
        <is>
          <t>No</t>
        </is>
      </c>
      <c r="H8" s="128">
        <f>IFERROR(IF(ISBLANK(INDEX(SprintPlanning[Sprint],MATCH($A8,SprintPlanning[Requirement ID],0))),"",INDEX(SprintPlanning[Sprint],MATCH($A8,SprintPlanning[Requirement ID],0))),"")</f>
        <v/>
      </c>
      <c r="I8" s="117">
        <f>IFERROR(IF(ISBLANK(INDEX(Backlog[Status],MATCH($A8,Backlog[Requirement ID],0))),"",INDEX(Backlog[Status],MATCH($A8,Backlog[Requirement ID],0))),"")</f>
        <v/>
      </c>
      <c r="J8" s="117">
        <f>IFERROR(IF(ISBLANK(INDEX(Backlog[Priority],MATCH($A8,Backlog[Requirement ID],0))),"",INDEX(Backlog[Priority],MATCH($A8,Backlog[Requirement ID],0))),"")</f>
        <v/>
      </c>
      <c r="K8" s="115" t="n"/>
      <c r="L8" s="148" t="n"/>
      <c r="M8" s="148" t="n"/>
      <c r="N8" s="115" t="n"/>
      <c r="O8" s="149" t="n"/>
      <c r="P8" s="121" t="n"/>
      <c r="Q8" s="121" t="n"/>
    </row>
    <row r="9" ht="15" customHeight="1" s="93">
      <c r="A9" s="115">
        <f>Backlog!A9</f>
        <v/>
      </c>
      <c r="B9" s="117">
        <f>IFERROR(IF(ISBLANK(INDEX(Backlog[Requirement Name],MATCH($A9,Backlog[Requirement ID],0))),"",INDEX(Backlog[Requirement Name],MATCH($A9,Backlog[Requirement ID],0))),"")</f>
        <v/>
      </c>
      <c r="C9" s="117">
        <f>IFERROR(IF(ISBLANK(INDEX(Backlog[Stream],MATCH($A9,Backlog[Requirement ID],0))),"",INDEX(Backlog[Stream],MATCH($A9,Backlog[Requirement ID],0))),"")</f>
        <v/>
      </c>
      <c r="D9" s="117">
        <f>IFERROR(IF(ISBLANK(INDEX(Backlog[Stream Owner],MATCH($A9,Backlog[Requirement ID],0))),"",INDEX(Backlog[Stream Owner],MATCH($A9,Backlog[Requirement ID],0))),"")</f>
        <v/>
      </c>
      <c r="E9" s="117">
        <f>IFERROR(IF(ISBLANK(INDEX(Backlog[Jira Link],MATCH($A9,Backlog[Requirement ID],0))),"",INDEX(Backlog[Jira Link],MATCH($A9,Backlog[Requirement ID],0))),"")</f>
        <v/>
      </c>
      <c r="F9" s="115" t="inlineStr">
        <is>
          <t>No</t>
        </is>
      </c>
      <c r="G9" s="115" t="inlineStr">
        <is>
          <t>No</t>
        </is>
      </c>
      <c r="H9" s="128">
        <f>IFERROR(IF(ISBLANK(INDEX(SprintPlanning[Sprint],MATCH($A9,SprintPlanning[Requirement ID],0))),"",INDEX(SprintPlanning[Sprint],MATCH($A9,SprintPlanning[Requirement ID],0))),"")</f>
        <v/>
      </c>
      <c r="I9" s="117">
        <f>IFERROR(IF(ISBLANK(INDEX(Backlog[Status],MATCH($A9,Backlog[Requirement ID],0))),"",INDEX(Backlog[Status],MATCH($A9,Backlog[Requirement ID],0))),"")</f>
        <v/>
      </c>
      <c r="J9" s="117">
        <f>IFERROR(IF(ISBLANK(INDEX(Backlog[Priority],MATCH($A9,Backlog[Requirement ID],0))),"",INDEX(Backlog[Priority],MATCH($A9,Backlog[Requirement ID],0))),"")</f>
        <v/>
      </c>
      <c r="K9" s="115" t="n"/>
      <c r="L9" s="148" t="n"/>
      <c r="M9" s="148" t="n"/>
      <c r="N9" s="115" t="n"/>
      <c r="O9" s="149" t="n"/>
      <c r="P9" s="121" t="n"/>
      <c r="Q9" s="121" t="n"/>
    </row>
    <row r="10" ht="15" customHeight="1" s="93">
      <c r="A10" s="115">
        <f>Backlog!A10</f>
        <v/>
      </c>
      <c r="B10" s="117">
        <f>IFERROR(IF(ISBLANK(INDEX(Backlog[Requirement Name],MATCH($A10,Backlog[Requirement ID],0))),"",INDEX(Backlog[Requirement Name],MATCH($A10,Backlog[Requirement ID],0))),"")</f>
        <v/>
      </c>
      <c r="C10" s="117">
        <f>IFERROR(IF(ISBLANK(INDEX(Backlog[Stream],MATCH($A10,Backlog[Requirement ID],0))),"",INDEX(Backlog[Stream],MATCH($A10,Backlog[Requirement ID],0))),"")</f>
        <v/>
      </c>
      <c r="D10" s="117">
        <f>IFERROR(IF(ISBLANK(INDEX(Backlog[Stream Owner],MATCH($A10,Backlog[Requirement ID],0))),"",INDEX(Backlog[Stream Owner],MATCH($A10,Backlog[Requirement ID],0))),"")</f>
        <v/>
      </c>
      <c r="E10" s="117">
        <f>IFERROR(IF(ISBLANK(INDEX(Backlog[Jira Link],MATCH($A10,Backlog[Requirement ID],0))),"",INDEX(Backlog[Jira Link],MATCH($A10,Backlog[Requirement ID],0))),"")</f>
        <v/>
      </c>
      <c r="F10" s="115" t="inlineStr">
        <is>
          <t>No</t>
        </is>
      </c>
      <c r="G10" s="115" t="inlineStr">
        <is>
          <t>No</t>
        </is>
      </c>
      <c r="H10" s="128">
        <f>IFERROR(IF(ISBLANK(INDEX(SprintPlanning[Sprint],MATCH($A10,SprintPlanning[Requirement ID],0))),"",INDEX(SprintPlanning[Sprint],MATCH($A10,SprintPlanning[Requirement ID],0))),"")</f>
        <v/>
      </c>
      <c r="I10" s="117">
        <f>IFERROR(IF(ISBLANK(INDEX(Backlog[Status],MATCH($A10,Backlog[Requirement ID],0))),"",INDEX(Backlog[Status],MATCH($A10,Backlog[Requirement ID],0))),"")</f>
        <v/>
      </c>
      <c r="J10" s="117">
        <f>IFERROR(IF(ISBLANK(INDEX(Backlog[Priority],MATCH($A10,Backlog[Requirement ID],0))),"",INDEX(Backlog[Priority],MATCH($A10,Backlog[Requirement ID],0))),"")</f>
        <v/>
      </c>
      <c r="K10" s="115" t="n"/>
      <c r="L10" s="148" t="n"/>
      <c r="M10" s="148" t="n"/>
      <c r="N10" s="115" t="n"/>
      <c r="O10" s="149" t="n"/>
      <c r="P10" s="121" t="n"/>
      <c r="Q10" s="121" t="n"/>
    </row>
    <row r="11" ht="15" customHeight="1" s="93">
      <c r="A11" s="115">
        <f>Backlog!A11</f>
        <v/>
      </c>
      <c r="B11" s="117">
        <f>IFERROR(IF(ISBLANK(INDEX(Backlog[Requirement Name],MATCH($A11,Backlog[Requirement ID],0))),"",INDEX(Backlog[Requirement Name],MATCH($A11,Backlog[Requirement ID],0))),"")</f>
        <v/>
      </c>
      <c r="C11" s="117">
        <f>IFERROR(IF(ISBLANK(INDEX(Backlog[Stream],MATCH($A11,Backlog[Requirement ID],0))),"",INDEX(Backlog[Stream],MATCH($A11,Backlog[Requirement ID],0))),"")</f>
        <v/>
      </c>
      <c r="D11" s="117">
        <f>IFERROR(IF(ISBLANK(INDEX(Backlog[Stream Owner],MATCH($A11,Backlog[Requirement ID],0))),"",INDEX(Backlog[Stream Owner],MATCH($A11,Backlog[Requirement ID],0))),"")</f>
        <v/>
      </c>
      <c r="E11" s="117">
        <f>IFERROR(IF(ISBLANK(INDEX(Backlog[Jira Link],MATCH($A11,Backlog[Requirement ID],0))),"",INDEX(Backlog[Jira Link],MATCH($A11,Backlog[Requirement ID],0))),"")</f>
        <v/>
      </c>
      <c r="F11" s="115" t="inlineStr">
        <is>
          <t>No</t>
        </is>
      </c>
      <c r="G11" s="115" t="inlineStr">
        <is>
          <t>No</t>
        </is>
      </c>
      <c r="H11" s="128">
        <f>IFERROR(IF(ISBLANK(INDEX(SprintPlanning[Sprint],MATCH($A11,SprintPlanning[Requirement ID],0))),"",INDEX(SprintPlanning[Sprint],MATCH($A11,SprintPlanning[Requirement ID],0))),"")</f>
        <v/>
      </c>
      <c r="I11" s="117">
        <f>IFERROR(IF(ISBLANK(INDEX(Backlog[Status],MATCH($A11,Backlog[Requirement ID],0))),"",INDEX(Backlog[Status],MATCH($A11,Backlog[Requirement ID],0))),"")</f>
        <v/>
      </c>
      <c r="J11" s="117">
        <f>IFERROR(IF(ISBLANK(INDEX(Backlog[Priority],MATCH($A11,Backlog[Requirement ID],0))),"",INDEX(Backlog[Priority],MATCH($A11,Backlog[Requirement ID],0))),"")</f>
        <v/>
      </c>
      <c r="K11" s="115" t="n"/>
      <c r="L11" s="148" t="n"/>
      <c r="M11" s="148" t="n"/>
      <c r="N11" s="115" t="n"/>
      <c r="O11" s="149" t="n"/>
      <c r="P11" s="121" t="n"/>
      <c r="Q11" s="121" t="n"/>
    </row>
    <row r="12" ht="15" customHeight="1" s="93">
      <c r="A12" s="115">
        <f>Backlog!A12</f>
        <v/>
      </c>
      <c r="B12" s="117">
        <f>IFERROR(IF(ISBLANK(INDEX(Backlog[Requirement Name],MATCH($A12,Backlog[Requirement ID],0))),"",INDEX(Backlog[Requirement Name],MATCH($A12,Backlog[Requirement ID],0))),"")</f>
        <v/>
      </c>
      <c r="C12" s="117">
        <f>IFERROR(IF(ISBLANK(INDEX(Backlog[Stream],MATCH($A12,Backlog[Requirement ID],0))),"",INDEX(Backlog[Stream],MATCH($A12,Backlog[Requirement ID],0))),"")</f>
        <v/>
      </c>
      <c r="D12" s="117">
        <f>IFERROR(IF(ISBLANK(INDEX(Backlog[Stream Owner],MATCH($A12,Backlog[Requirement ID],0))),"",INDEX(Backlog[Stream Owner],MATCH($A12,Backlog[Requirement ID],0))),"")</f>
        <v/>
      </c>
      <c r="E12" s="117">
        <f>IFERROR(IF(ISBLANK(INDEX(Backlog[Jira Link],MATCH($A12,Backlog[Requirement ID],0))),"",INDEX(Backlog[Jira Link],MATCH($A12,Backlog[Requirement ID],0))),"")</f>
        <v/>
      </c>
      <c r="F12" s="115" t="inlineStr">
        <is>
          <t>No</t>
        </is>
      </c>
      <c r="G12" s="115" t="inlineStr">
        <is>
          <t>No</t>
        </is>
      </c>
      <c r="H12" s="128">
        <f>IFERROR(IF(ISBLANK(INDEX(SprintPlanning[Sprint],MATCH($A12,SprintPlanning[Requirement ID],0))),"",INDEX(SprintPlanning[Sprint],MATCH($A12,SprintPlanning[Requirement ID],0))),"")</f>
        <v/>
      </c>
      <c r="I12" s="117">
        <f>IFERROR(IF(ISBLANK(INDEX(Backlog[Status],MATCH($A12,Backlog[Requirement ID],0))),"",INDEX(Backlog[Status],MATCH($A12,Backlog[Requirement ID],0))),"")</f>
        <v/>
      </c>
      <c r="J12" s="117">
        <f>IFERROR(IF(ISBLANK(INDEX(Backlog[Priority],MATCH($A12,Backlog[Requirement ID],0))),"",INDEX(Backlog[Priority],MATCH($A12,Backlog[Requirement ID],0))),"")</f>
        <v/>
      </c>
      <c r="K12" s="115" t="n"/>
      <c r="L12" s="148" t="n"/>
      <c r="M12" s="148" t="n"/>
      <c r="N12" s="115" t="n"/>
      <c r="O12" s="149" t="n"/>
      <c r="P12" s="121" t="n"/>
      <c r="Q12" s="121" t="n"/>
    </row>
    <row r="13" ht="15" customHeight="1" s="93">
      <c r="A13" s="115">
        <f>Backlog!A13</f>
        <v/>
      </c>
      <c r="B13" s="117">
        <f>IFERROR(IF(ISBLANK(INDEX(Backlog[Requirement Name],MATCH($A13,Backlog[Requirement ID],0))),"",INDEX(Backlog[Requirement Name],MATCH($A13,Backlog[Requirement ID],0))),"")</f>
        <v/>
      </c>
      <c r="C13" s="117">
        <f>IFERROR(IF(ISBLANK(INDEX(Backlog[Stream],MATCH($A13,Backlog[Requirement ID],0))),"",INDEX(Backlog[Stream],MATCH($A13,Backlog[Requirement ID],0))),"")</f>
        <v/>
      </c>
      <c r="D13" s="117">
        <f>IFERROR(IF(ISBLANK(INDEX(Backlog[Stream Owner],MATCH($A13,Backlog[Requirement ID],0))),"",INDEX(Backlog[Stream Owner],MATCH($A13,Backlog[Requirement ID],0))),"")</f>
        <v/>
      </c>
      <c r="E13" s="117">
        <f>IFERROR(IF(ISBLANK(INDEX(Backlog[Jira Link],MATCH($A13,Backlog[Requirement ID],0))),"",INDEX(Backlog[Jira Link],MATCH($A13,Backlog[Requirement ID],0))),"")</f>
        <v/>
      </c>
      <c r="F13" s="115" t="inlineStr">
        <is>
          <t>No</t>
        </is>
      </c>
      <c r="G13" s="115" t="inlineStr">
        <is>
          <t>No</t>
        </is>
      </c>
      <c r="H13" s="128">
        <f>IFERROR(IF(ISBLANK(INDEX(SprintPlanning[Sprint],MATCH($A13,SprintPlanning[Requirement ID],0))),"",INDEX(SprintPlanning[Sprint],MATCH($A13,SprintPlanning[Requirement ID],0))),"")</f>
        <v/>
      </c>
      <c r="I13" s="117">
        <f>IFERROR(IF(ISBLANK(INDEX(Backlog[Status],MATCH($A13,Backlog[Requirement ID],0))),"",INDEX(Backlog[Status],MATCH($A13,Backlog[Requirement ID],0))),"")</f>
        <v/>
      </c>
      <c r="J13" s="117">
        <f>IFERROR(IF(ISBLANK(INDEX(Backlog[Priority],MATCH($A13,Backlog[Requirement ID],0))),"",INDEX(Backlog[Priority],MATCH($A13,Backlog[Requirement ID],0))),"")</f>
        <v/>
      </c>
      <c r="K13" s="115" t="n"/>
      <c r="L13" s="148" t="inlineStr">
        <is>
          <t>To confirm</t>
        </is>
      </c>
      <c r="M13" s="148" t="n"/>
      <c r="N13" s="115" t="n"/>
      <c r="O13" s="149" t="n"/>
      <c r="P13" s="121" t="n"/>
      <c r="Q13" s="121" t="n"/>
    </row>
    <row r="14" ht="15" customHeight="1" s="93">
      <c r="A14" s="115">
        <f>Backlog!A14</f>
        <v/>
      </c>
      <c r="B14" s="117">
        <f>IFERROR(IF(ISBLANK(INDEX(Backlog[Requirement Name],MATCH($A14,Backlog[Requirement ID],0))),"",INDEX(Backlog[Requirement Name],MATCH($A14,Backlog[Requirement ID],0))),"")</f>
        <v/>
      </c>
      <c r="C14" s="117">
        <f>IFERROR(IF(ISBLANK(INDEX(Backlog[Stream],MATCH($A14,Backlog[Requirement ID],0))),"",INDEX(Backlog[Stream],MATCH($A14,Backlog[Requirement ID],0))),"")</f>
        <v/>
      </c>
      <c r="D14" s="117">
        <f>IFERROR(IF(ISBLANK(INDEX(Backlog[Stream Owner],MATCH($A14,Backlog[Requirement ID],0))),"",INDEX(Backlog[Stream Owner],MATCH($A14,Backlog[Requirement ID],0))),"")</f>
        <v/>
      </c>
      <c r="E14" s="117">
        <f>IFERROR(IF(ISBLANK(INDEX(Backlog[Jira Link],MATCH($A14,Backlog[Requirement ID],0))),"",INDEX(Backlog[Jira Link],MATCH($A14,Backlog[Requirement ID],0))),"")</f>
        <v/>
      </c>
      <c r="F14" s="115" t="inlineStr">
        <is>
          <t>Yes</t>
        </is>
      </c>
      <c r="G14" s="115" t="inlineStr">
        <is>
          <t>No</t>
        </is>
      </c>
      <c r="H14" s="128">
        <f>IFERROR(IF(ISBLANK(INDEX(SprintPlanning[Sprint],MATCH($A14,SprintPlanning[Requirement ID],0))),"",INDEX(SprintPlanning[Sprint],MATCH($A14,SprintPlanning[Requirement ID],0))),"")</f>
        <v/>
      </c>
      <c r="I14" s="137">
        <f>IFERROR(IF(ISBLANK(INDEX(Backlog[Status],MATCH($A14,Backlog[Requirement ID],0))),"",INDEX(Backlog[Status],MATCH($A14,Backlog[Requirement ID],0))),"")</f>
        <v/>
      </c>
      <c r="J14" s="137">
        <f>IFERROR(IF(ISBLANK(INDEX(Backlog[Priority],MATCH($A14,Backlog[Requirement ID],0))),"",INDEX(Backlog[Priority],MATCH($A14,Backlog[Requirement ID],0))),"")</f>
        <v/>
      </c>
      <c r="K14" s="115" t="inlineStr">
        <is>
          <t>DTS</t>
        </is>
      </c>
      <c r="L14" s="148" t="inlineStr">
        <is>
          <t>Updates in GetBookings</t>
        </is>
      </c>
      <c r="M14" s="148" t="inlineStr">
        <is>
          <t xml:space="preserve">https://smartship.atlassian.net/browse/RES2-29207,  https://smartship.atlassian.net/browse/RES2-29208, https://smartship.atlassian.net/browse/RES2-29200, </t>
        </is>
      </c>
      <c r="N14" s="115" t="n"/>
      <c r="O14" s="149" t="n"/>
      <c r="P14" s="121" t="inlineStr">
        <is>
          <t xml:space="preserve">Done </t>
        </is>
      </c>
      <c r="Q14" s="121" t="n"/>
    </row>
    <row r="15" ht="15" customHeight="1" s="93">
      <c r="A15" s="115">
        <f>Backlog!A15</f>
        <v/>
      </c>
      <c r="B15" s="117">
        <f>IFERROR(IF(ISBLANK(INDEX(Backlog[Requirement Name],MATCH($A15,Backlog[Requirement ID],0))),"",INDEX(Backlog[Requirement Name],MATCH($A15,Backlog[Requirement ID],0))),"")</f>
        <v/>
      </c>
      <c r="C15" s="117">
        <f>IFERROR(IF(ISBLANK(INDEX(Backlog[Stream],MATCH($A15,Backlog[Requirement ID],0))),"",INDEX(Backlog[Stream],MATCH($A15,Backlog[Requirement ID],0))),"")</f>
        <v/>
      </c>
      <c r="D15" s="117">
        <f>IFERROR(IF(ISBLANK(INDEX(Backlog[Stream Owner],MATCH($A15,Backlog[Requirement ID],0))),"",INDEX(Backlog[Stream Owner],MATCH($A15,Backlog[Requirement ID],0))),"")</f>
        <v/>
      </c>
      <c r="E15" s="117">
        <f>IFERROR(IF(ISBLANK(INDEX(Backlog[Jira Link],MATCH($A15,Backlog[Requirement ID],0))),"",INDEX(Backlog[Jira Link],MATCH($A15,Backlog[Requirement ID],0))),"")</f>
        <v/>
      </c>
      <c r="F15" s="115" t="inlineStr">
        <is>
          <t>NA</t>
        </is>
      </c>
      <c r="G15" s="115" t="inlineStr">
        <is>
          <t>No</t>
        </is>
      </c>
      <c r="H15" s="128">
        <f>IFERROR(IF(ISBLANK(INDEX(SprintPlanning[Sprint],MATCH($A15,SprintPlanning[Requirement ID],0))),"",INDEX(SprintPlanning[Sprint],MATCH($A15,SprintPlanning[Requirement ID],0))),"")</f>
        <v/>
      </c>
      <c r="I15" s="117">
        <f>IFERROR(IF(ISBLANK(INDEX(Backlog[Status],MATCH($A15,Backlog[Requirement ID],0))),"",INDEX(Backlog[Status],MATCH($A15,Backlog[Requirement ID],0))),"")</f>
        <v/>
      </c>
      <c r="J15" s="117">
        <f>IFERROR(IF(ISBLANK(INDEX(Backlog[Priority],MATCH($A15,Backlog[Requirement ID],0))),"",INDEX(Backlog[Priority],MATCH($A15,Backlog[Requirement ID],0))),"")</f>
        <v/>
      </c>
      <c r="K15" s="115" t="n"/>
      <c r="L15" s="148" t="n"/>
      <c r="M15" s="148" t="n"/>
      <c r="N15" s="115" t="n"/>
      <c r="O15" s="149" t="n"/>
      <c r="P15" s="121" t="n"/>
      <c r="Q15" s="121" t="n"/>
    </row>
    <row r="16" ht="90.75" customHeight="1" s="93">
      <c r="A16" s="115">
        <f>Backlog!A16</f>
        <v/>
      </c>
      <c r="B16" s="117">
        <f>IFERROR(IF(ISBLANK(INDEX(Backlog[Requirement Name],MATCH($A16,Backlog[Requirement ID],0))),"",INDEX(Backlog[Requirement Name],MATCH($A16,Backlog[Requirement ID],0))),"")</f>
        <v/>
      </c>
      <c r="C16" s="117">
        <f>IFERROR(IF(ISBLANK(INDEX(Backlog[Stream],MATCH($A16,Backlog[Requirement ID],0))),"",INDEX(Backlog[Stream],MATCH($A16,Backlog[Requirement ID],0))),"")</f>
        <v/>
      </c>
      <c r="D16" s="117">
        <f>IFERROR(IF(ISBLANK(INDEX(Backlog[Stream Owner],MATCH($A16,Backlog[Requirement ID],0))),"",INDEX(Backlog[Stream Owner],MATCH($A16,Backlog[Requirement ID],0))),"")</f>
        <v/>
      </c>
      <c r="E16" s="117">
        <f>IFERROR(IF(ISBLANK(INDEX(Backlog[Jira Link],MATCH($A16,Backlog[Requirement ID],0))),"",INDEX(Backlog[Jira Link],MATCH($A16,Backlog[Requirement ID],0))),"")</f>
        <v/>
      </c>
      <c r="F16" s="115" t="inlineStr">
        <is>
          <t>No</t>
        </is>
      </c>
      <c r="G16" s="115" t="inlineStr">
        <is>
          <t>No</t>
        </is>
      </c>
      <c r="H16" s="128">
        <f>IFERROR(IF(ISBLANK(INDEX(SprintPlanning[Sprint],MATCH($A16,SprintPlanning[Requirement ID],0))),"",INDEX(SprintPlanning[Sprint],MATCH($A16,SprintPlanning[Requirement ID],0))),"")</f>
        <v/>
      </c>
      <c r="I16" s="117">
        <f>IFERROR(IF(ISBLANK(INDEX(Backlog[Status],MATCH($A16,Backlog[Requirement ID],0))),"",INDEX(Backlog[Status],MATCH($A16,Backlog[Requirement ID],0))),"")</f>
        <v/>
      </c>
      <c r="J16" s="117">
        <f>IFERROR(IF(ISBLANK(INDEX(Backlog[Priority],MATCH($A16,Backlog[Requirement ID],0))),"",INDEX(Backlog[Priority],MATCH($A16,Backlog[Requirement ID],0))),"")</f>
        <v/>
      </c>
      <c r="K16" s="115" t="n"/>
      <c r="L16" s="148" t="n"/>
      <c r="M16" s="148" t="n"/>
      <c r="N16" s="115" t="n"/>
      <c r="O16" s="149" t="n"/>
      <c r="P16" s="121" t="n"/>
      <c r="Q16" s="121" t="n"/>
    </row>
    <row r="17" ht="15" customHeight="1" s="93">
      <c r="A17" s="115">
        <f>Backlog!A17</f>
        <v/>
      </c>
      <c r="B17" s="117">
        <f>IFERROR(IF(ISBLANK(INDEX(Backlog[Requirement Name],MATCH($A17,Backlog[Requirement ID],0))),"",INDEX(Backlog[Requirement Name],MATCH($A17,Backlog[Requirement ID],0))),"")</f>
        <v/>
      </c>
      <c r="C17" s="117">
        <f>IFERROR(IF(ISBLANK(INDEX(Backlog[Stream],MATCH($A17,Backlog[Requirement ID],0))),"",INDEX(Backlog[Stream],MATCH($A17,Backlog[Requirement ID],0))),"")</f>
        <v/>
      </c>
      <c r="D17" s="117">
        <f>IFERROR(IF(ISBLANK(INDEX(Backlog[Stream Owner],MATCH($A17,Backlog[Requirement ID],0))),"",INDEX(Backlog[Stream Owner],MATCH($A17,Backlog[Requirement ID],0))),"")</f>
        <v/>
      </c>
      <c r="E17" s="117">
        <f>IFERROR(IF(ISBLANK(INDEX(Backlog[Jira Link],MATCH($A17,Backlog[Requirement ID],0))),"",INDEX(Backlog[Jira Link],MATCH($A17,Backlog[Requirement ID],0))),"")</f>
        <v/>
      </c>
      <c r="F17" s="115" t="inlineStr">
        <is>
          <t>NA</t>
        </is>
      </c>
      <c r="G17" s="115" t="inlineStr">
        <is>
          <t>NA</t>
        </is>
      </c>
      <c r="H17" s="128">
        <f>IFERROR(IF(ISBLANK(INDEX(SprintPlanning[Sprint],MATCH($A17,SprintPlanning[Requirement ID],0))),"",INDEX(SprintPlanning[Sprint],MATCH($A17,SprintPlanning[Requirement ID],0))),"")</f>
        <v/>
      </c>
      <c r="I17" s="117">
        <f>IFERROR(IF(ISBLANK(INDEX(Backlog[Status],MATCH($A17,Backlog[Requirement ID],0))),"",INDEX(Backlog[Status],MATCH($A17,Backlog[Requirement ID],0))),"")</f>
        <v/>
      </c>
      <c r="J17" s="117">
        <f>IFERROR(IF(ISBLANK(INDEX(Backlog[Priority],MATCH($A17,Backlog[Requirement ID],0))),"",INDEX(Backlog[Priority],MATCH($A17,Backlog[Requirement ID],0))),"")</f>
        <v/>
      </c>
      <c r="K17" s="115" t="n"/>
      <c r="L17" s="148" t="n"/>
      <c r="M17" s="148" t="n"/>
      <c r="N17" s="115" t="n"/>
      <c r="O17" s="149" t="n"/>
      <c r="P17" s="121" t="n"/>
      <c r="Q17" s="121" t="n"/>
    </row>
    <row r="18" ht="15" customHeight="1" s="93">
      <c r="A18" s="115">
        <f>Backlog!A18</f>
        <v/>
      </c>
      <c r="B18" s="117">
        <f>IFERROR(IF(ISBLANK(INDEX(Backlog[Requirement Name],MATCH($A18,Backlog[Requirement ID],0))),"",INDEX(Backlog[Requirement Name],MATCH($A18,Backlog[Requirement ID],0))),"")</f>
        <v/>
      </c>
      <c r="C18" s="117">
        <f>IFERROR(IF(ISBLANK(INDEX(Backlog[Stream],MATCH($A18,Backlog[Requirement ID],0))),"",INDEX(Backlog[Stream],MATCH($A18,Backlog[Requirement ID],0))),"")</f>
        <v/>
      </c>
      <c r="D18" s="117">
        <f>IFERROR(IF(ISBLANK(INDEX(Backlog[Stream Owner],MATCH($A18,Backlog[Requirement ID],0))),"",INDEX(Backlog[Stream Owner],MATCH($A18,Backlog[Requirement ID],0))),"")</f>
        <v/>
      </c>
      <c r="E18" s="117">
        <f>IFERROR(IF(ISBLANK(INDEX(Backlog[Jira Link],MATCH($A18,Backlog[Requirement ID],0))),"",INDEX(Backlog[Jira Link],MATCH($A18,Backlog[Requirement ID],0))),"")</f>
        <v/>
      </c>
      <c r="F18" s="115" t="inlineStr">
        <is>
          <t>NA</t>
        </is>
      </c>
      <c r="G18" s="115" t="inlineStr">
        <is>
          <t>Yes</t>
        </is>
      </c>
      <c r="H18" s="128">
        <f>IFERROR(IF(ISBLANK(INDEX(SprintPlanning[Sprint],MATCH($A18,SprintPlanning[Requirement ID],0))),"",INDEX(SprintPlanning[Sprint],MATCH($A18,SprintPlanning[Requirement ID],0))),"")</f>
        <v/>
      </c>
      <c r="I18" s="117">
        <f>IFERROR(IF(ISBLANK(INDEX(Backlog[Status],MATCH($A18,Backlog[Requirement ID],0))),"",INDEX(Backlog[Status],MATCH($A18,Backlog[Requirement ID],0))),"")</f>
        <v/>
      </c>
      <c r="J18" s="117">
        <f>IFERROR(IF(ISBLANK(INDEX(Backlog[Priority],MATCH($A18,Backlog[Requirement ID],0))),"",INDEX(Backlog[Priority],MATCH($A18,Backlog[Requirement ID],0))),"")</f>
        <v/>
      </c>
      <c r="K18" s="115" t="n"/>
      <c r="L18" s="148" t="n"/>
      <c r="M18" s="148" t="n"/>
      <c r="N18" s="115" t="n"/>
      <c r="O18" s="149" t="n"/>
      <c r="P18" s="121" t="n"/>
      <c r="Q18" s="121" t="n"/>
    </row>
    <row r="19" ht="15" customHeight="1" s="93">
      <c r="A19" s="115">
        <f>Backlog!A19</f>
        <v/>
      </c>
      <c r="B19" s="117">
        <f>IFERROR(IF(ISBLANK(INDEX(Backlog[Requirement Name],MATCH($A19,Backlog[Requirement ID],0))),"",INDEX(Backlog[Requirement Name],MATCH($A19,Backlog[Requirement ID],0))),"")</f>
        <v/>
      </c>
      <c r="C19" s="117">
        <f>IFERROR(IF(ISBLANK(INDEX(Backlog[Stream],MATCH($A19,Backlog[Requirement ID],0))),"",INDEX(Backlog[Stream],MATCH($A19,Backlog[Requirement ID],0))),"")</f>
        <v/>
      </c>
      <c r="D19" s="117">
        <f>IFERROR(IF(ISBLANK(INDEX(Backlog[Stream Owner],MATCH($A19,Backlog[Requirement ID],0))),"",INDEX(Backlog[Stream Owner],MATCH($A19,Backlog[Requirement ID],0))),"")</f>
        <v/>
      </c>
      <c r="E19" s="117">
        <f>IFERROR(IF(ISBLANK(INDEX(Backlog[Jira Link],MATCH($A19,Backlog[Requirement ID],0))),"",INDEX(Backlog[Jira Link],MATCH($A19,Backlog[Requirement ID],0))),"")</f>
        <v/>
      </c>
      <c r="F19" s="115" t="inlineStr">
        <is>
          <t>NA</t>
        </is>
      </c>
      <c r="G19" s="115" t="inlineStr">
        <is>
          <t>NA</t>
        </is>
      </c>
      <c r="H19" s="128">
        <f>IFERROR(IF(ISBLANK(INDEX(SprintPlanning[Sprint],MATCH($A19,SprintPlanning[Requirement ID],0))),"",INDEX(SprintPlanning[Sprint],MATCH($A19,SprintPlanning[Requirement ID],0))),"")</f>
        <v/>
      </c>
      <c r="I19" s="117">
        <f>IFERROR(IF(ISBLANK(INDEX(Backlog[Status],MATCH($A19,Backlog[Requirement ID],0))),"",INDEX(Backlog[Status],MATCH($A19,Backlog[Requirement ID],0))),"")</f>
        <v/>
      </c>
      <c r="J19" s="117">
        <f>IFERROR(IF(ISBLANK(INDEX(Backlog[Priority],MATCH($A19,Backlog[Requirement ID],0))),"",INDEX(Backlog[Priority],MATCH($A19,Backlog[Requirement ID],0))),"")</f>
        <v/>
      </c>
      <c r="K19" s="115" t="n"/>
      <c r="L19" s="148" t="n"/>
      <c r="M19" s="148" t="n"/>
      <c r="N19" s="115" t="n"/>
      <c r="O19" s="149" t="n"/>
      <c r="P19" s="121" t="n"/>
      <c r="Q19" s="121" t="n"/>
    </row>
    <row r="20" ht="15" customHeight="1" s="93">
      <c r="A20" s="115">
        <f>Backlog!A20</f>
        <v/>
      </c>
      <c r="B20" s="117">
        <f>IFERROR(IF(ISBLANK(INDEX(Backlog[Requirement Name],MATCH($A20,Backlog[Requirement ID],0))),"",INDEX(Backlog[Requirement Name],MATCH($A20,Backlog[Requirement ID],0))),"")</f>
        <v/>
      </c>
      <c r="C20" s="117">
        <f>IFERROR(IF(ISBLANK(INDEX(Backlog[Stream],MATCH($A20,Backlog[Requirement ID],0))),"",INDEX(Backlog[Stream],MATCH($A20,Backlog[Requirement ID],0))),"")</f>
        <v/>
      </c>
      <c r="D20" s="117">
        <f>IFERROR(IF(ISBLANK(INDEX(Backlog[Stream Owner],MATCH($A20,Backlog[Requirement ID],0))),"",INDEX(Backlog[Stream Owner],MATCH($A20,Backlog[Requirement ID],0))),"")</f>
        <v/>
      </c>
      <c r="E20" s="117">
        <f>IFERROR(IF(ISBLANK(INDEX(Backlog[Jira Link],MATCH($A20,Backlog[Requirement ID],0))),"",INDEX(Backlog[Jira Link],MATCH($A20,Backlog[Requirement ID],0))),"")</f>
        <v/>
      </c>
      <c r="F20" s="115" t="inlineStr">
        <is>
          <t>NA</t>
        </is>
      </c>
      <c r="G20" s="115" t="inlineStr">
        <is>
          <t>NA</t>
        </is>
      </c>
      <c r="H20" s="128">
        <f>IFERROR(IF(ISBLANK(INDEX(SprintPlanning[Sprint],MATCH($A20,SprintPlanning[Requirement ID],0))),"",INDEX(SprintPlanning[Sprint],MATCH($A20,SprintPlanning[Requirement ID],0))),"")</f>
        <v/>
      </c>
      <c r="I20" s="117">
        <f>IFERROR(IF(ISBLANK(INDEX(Backlog[Status],MATCH($A20,Backlog[Requirement ID],0))),"",INDEX(Backlog[Status],MATCH($A20,Backlog[Requirement ID],0))),"")</f>
        <v/>
      </c>
      <c r="J20" s="117">
        <f>IFERROR(IF(ISBLANK(INDEX(Backlog[Priority],MATCH($A20,Backlog[Requirement ID],0))),"",INDEX(Backlog[Priority],MATCH($A20,Backlog[Requirement ID],0))),"")</f>
        <v/>
      </c>
      <c r="K20" s="115" t="n"/>
      <c r="L20" s="148" t="n"/>
      <c r="M20" s="148" t="n"/>
      <c r="N20" s="115" t="n"/>
      <c r="O20" s="149" t="n"/>
      <c r="P20" s="121" t="n"/>
      <c r="Q20" s="121" t="n"/>
    </row>
    <row r="21" ht="15" customHeight="1" s="93">
      <c r="A21" s="115">
        <f>Backlog!A21</f>
        <v/>
      </c>
      <c r="B21" s="117">
        <f>IFERROR(IF(ISBLANK(INDEX(Backlog[Requirement Name],MATCH($A21,Backlog[Requirement ID],0))),"",INDEX(Backlog[Requirement Name],MATCH($A21,Backlog[Requirement ID],0))),"")</f>
        <v/>
      </c>
      <c r="C21" s="117">
        <f>IFERROR(IF(ISBLANK(INDEX(Backlog[Stream],MATCH($A21,Backlog[Requirement ID],0))),"",INDEX(Backlog[Stream],MATCH($A21,Backlog[Requirement ID],0))),"")</f>
        <v/>
      </c>
      <c r="D21" s="117">
        <f>IFERROR(IF(ISBLANK(INDEX(Backlog[Stream Owner],MATCH($A21,Backlog[Requirement ID],0))),"",INDEX(Backlog[Stream Owner],MATCH($A21,Backlog[Requirement ID],0))),"")</f>
        <v/>
      </c>
      <c r="E21" s="117">
        <f>IFERROR(IF(ISBLANK(INDEX(Backlog[Jira Link],MATCH($A21,Backlog[Requirement ID],0))),"",INDEX(Backlog[Jira Link],MATCH($A21,Backlog[Requirement ID],0))),"")</f>
        <v/>
      </c>
      <c r="F21" s="115" t="inlineStr">
        <is>
          <t>NA</t>
        </is>
      </c>
      <c r="G21" s="115" t="inlineStr">
        <is>
          <t>NA</t>
        </is>
      </c>
      <c r="H21" s="128">
        <f>IFERROR(IF(ISBLANK(INDEX(SprintPlanning[Sprint],MATCH($A21,SprintPlanning[Requirement ID],0))),"",INDEX(SprintPlanning[Sprint],MATCH($A21,SprintPlanning[Requirement ID],0))),"")</f>
        <v/>
      </c>
      <c r="I21" s="117">
        <f>IFERROR(IF(ISBLANK(INDEX(Backlog[Status],MATCH($A21,Backlog[Requirement ID],0))),"",INDEX(Backlog[Status],MATCH($A21,Backlog[Requirement ID],0))),"")</f>
        <v/>
      </c>
      <c r="J21" s="117">
        <f>IFERROR(IF(ISBLANK(INDEX(Backlog[Priority],MATCH($A21,Backlog[Requirement ID],0))),"",INDEX(Backlog[Priority],MATCH($A21,Backlog[Requirement ID],0))),"")</f>
        <v/>
      </c>
      <c r="K21" s="115" t="n"/>
      <c r="L21" s="148" t="n"/>
      <c r="M21" s="148" t="n"/>
      <c r="N21" s="115" t="n"/>
      <c r="O21" s="149" t="n"/>
      <c r="P21" s="121" t="n"/>
      <c r="Q21" s="121" t="n"/>
    </row>
    <row r="22" ht="15" customHeight="1" s="93">
      <c r="A22" s="115">
        <f>Backlog!A22</f>
        <v/>
      </c>
      <c r="B22" s="117">
        <f>IFERROR(IF(ISBLANK(INDEX(Backlog[Requirement Name],MATCH($A22,Backlog[Requirement ID],0))),"",INDEX(Backlog[Requirement Name],MATCH($A22,Backlog[Requirement ID],0))),"")</f>
        <v/>
      </c>
      <c r="C22" s="117">
        <f>IFERROR(IF(ISBLANK(INDEX(Backlog[Stream],MATCH($A22,Backlog[Requirement ID],0))),"",INDEX(Backlog[Stream],MATCH($A22,Backlog[Requirement ID],0))),"")</f>
        <v/>
      </c>
      <c r="D22" s="117">
        <f>IFERROR(IF(ISBLANK(INDEX(Backlog[Stream Owner],MATCH($A22,Backlog[Requirement ID],0))),"",INDEX(Backlog[Stream Owner],MATCH($A22,Backlog[Requirement ID],0))),"")</f>
        <v/>
      </c>
      <c r="E22" s="117">
        <f>IFERROR(IF(ISBLANK(INDEX(Backlog[Jira Link],MATCH($A22,Backlog[Requirement ID],0))),"",INDEX(Backlog[Jira Link],MATCH($A22,Backlog[Requirement ID],0))),"")</f>
        <v/>
      </c>
      <c r="F22" s="115" t="inlineStr">
        <is>
          <t>NA</t>
        </is>
      </c>
      <c r="G22" s="115" t="inlineStr">
        <is>
          <t>NA</t>
        </is>
      </c>
      <c r="H22" s="128">
        <f>IFERROR(IF(ISBLANK(INDEX(SprintPlanning[Sprint],MATCH($A22,SprintPlanning[Requirement ID],0))),"",INDEX(SprintPlanning[Sprint],MATCH($A22,SprintPlanning[Requirement ID],0))),"")</f>
        <v/>
      </c>
      <c r="I22" s="117">
        <f>IFERROR(IF(ISBLANK(INDEX(Backlog[Status],MATCH($A22,Backlog[Requirement ID],0))),"",INDEX(Backlog[Status],MATCH($A22,Backlog[Requirement ID],0))),"")</f>
        <v/>
      </c>
      <c r="J22" s="117">
        <f>IFERROR(IF(ISBLANK(INDEX(Backlog[Priority],MATCH($A22,Backlog[Requirement ID],0))),"",INDEX(Backlog[Priority],MATCH($A22,Backlog[Requirement ID],0))),"")</f>
        <v/>
      </c>
      <c r="K22" s="115" t="n"/>
      <c r="L22" s="148" t="n"/>
      <c r="M22" s="148" t="n"/>
      <c r="N22" s="115" t="n"/>
      <c r="O22" s="149" t="n"/>
      <c r="P22" s="121" t="n"/>
      <c r="Q22" s="121" t="n"/>
    </row>
    <row r="23" ht="15" customHeight="1" s="93">
      <c r="A23" s="115">
        <f>Backlog!A23</f>
        <v/>
      </c>
      <c r="B23" s="117">
        <f>IFERROR(IF(ISBLANK(INDEX(Backlog[Requirement Name],MATCH($A23,Backlog[Requirement ID],0))),"",INDEX(Backlog[Requirement Name],MATCH($A23,Backlog[Requirement ID],0))),"")</f>
        <v/>
      </c>
      <c r="C23" s="117">
        <f>IFERROR(IF(ISBLANK(INDEX(Backlog[Stream],MATCH($A23,Backlog[Requirement ID],0))),"",INDEX(Backlog[Stream],MATCH($A23,Backlog[Requirement ID],0))),"")</f>
        <v/>
      </c>
      <c r="D23" s="117">
        <f>IFERROR(IF(ISBLANK(INDEX(Backlog[Stream Owner],MATCH($A23,Backlog[Requirement ID],0))),"",INDEX(Backlog[Stream Owner],MATCH($A23,Backlog[Requirement ID],0))),"")</f>
        <v/>
      </c>
      <c r="E23" s="117">
        <f>IFERROR(IF(ISBLANK(INDEX(Backlog[Jira Link],MATCH($A23,Backlog[Requirement ID],0))),"",INDEX(Backlog[Jira Link],MATCH($A23,Backlog[Requirement ID],0))),"")</f>
        <v/>
      </c>
      <c r="F23" s="115" t="inlineStr">
        <is>
          <t>No</t>
        </is>
      </c>
      <c r="G23" s="115" t="inlineStr">
        <is>
          <t>No</t>
        </is>
      </c>
      <c r="H23" s="128">
        <f>IFERROR(IF(ISBLANK(INDEX(SprintPlanning[Sprint],MATCH($A23,SprintPlanning[Requirement ID],0))),"",INDEX(SprintPlanning[Sprint],MATCH($A23,SprintPlanning[Requirement ID],0))),"")</f>
        <v/>
      </c>
      <c r="I23" s="117">
        <f>IFERROR(IF(ISBLANK(INDEX(Backlog[Status],MATCH($A23,Backlog[Requirement ID],0))),"",INDEX(Backlog[Status],MATCH($A23,Backlog[Requirement ID],0))),"")</f>
        <v/>
      </c>
      <c r="J23" s="117">
        <f>IFERROR(IF(ISBLANK(INDEX(Backlog[Priority],MATCH($A23,Backlog[Requirement ID],0))),"",INDEX(Backlog[Priority],MATCH($A23,Backlog[Requirement ID],0))),"")</f>
        <v/>
      </c>
      <c r="K23" s="115" t="n"/>
      <c r="L23" s="148" t="inlineStr">
        <is>
          <t>Updates to Booking Event (DTS)</t>
        </is>
      </c>
      <c r="M23" s="148" t="inlineStr">
        <is>
          <t>https://smartship.atlassian.net/browse/DTTP25-41759</t>
        </is>
      </c>
      <c r="N23" s="115" t="n"/>
      <c r="O23" s="149" t="n"/>
      <c r="P23" s="121" t="n"/>
      <c r="Q23" s="121" t="n"/>
    </row>
    <row r="24" ht="15" customHeight="1" s="93">
      <c r="A24" s="115">
        <f>Backlog!A24</f>
        <v/>
      </c>
      <c r="B24" s="117">
        <f>IFERROR(IF(ISBLANK(INDEX(Backlog[Requirement Name],MATCH($A24,Backlog[Requirement ID],0))),"",INDEX(Backlog[Requirement Name],MATCH($A24,Backlog[Requirement ID],0))),"")</f>
        <v/>
      </c>
      <c r="C24" s="117">
        <f>IFERROR(IF(ISBLANK(INDEX(Backlog[Stream],MATCH($A24,Backlog[Requirement ID],0))),"",INDEX(Backlog[Stream],MATCH($A24,Backlog[Requirement ID],0))),"")</f>
        <v/>
      </c>
      <c r="D24" s="117">
        <f>IFERROR(IF(ISBLANK(INDEX(Backlog[Stream Owner],MATCH($A24,Backlog[Requirement ID],0))),"",INDEX(Backlog[Stream Owner],MATCH($A24,Backlog[Requirement ID],0))),"")</f>
        <v/>
      </c>
      <c r="E24" s="117">
        <f>IFERROR(IF(ISBLANK(INDEX(Backlog[Jira Link],MATCH($A24,Backlog[Requirement ID],0))),"",INDEX(Backlog[Jira Link],MATCH($A24,Backlog[Requirement ID],0))),"")</f>
        <v/>
      </c>
      <c r="F24" s="115" t="inlineStr">
        <is>
          <t>Yes</t>
        </is>
      </c>
      <c r="G24" s="115" t="inlineStr">
        <is>
          <t>No</t>
        </is>
      </c>
      <c r="H24" s="128">
        <f>IFERROR(IF(ISBLANK(INDEX(SprintPlanning[Sprint],MATCH($A24,SprintPlanning[Requirement ID],0))),"",INDEX(SprintPlanning[Sprint],MATCH($A24,SprintPlanning[Requirement ID],0))),"")</f>
        <v/>
      </c>
      <c r="I24" s="117">
        <f>IFERROR(IF(ISBLANK(INDEX(Backlog[Status],MATCH($A24,Backlog[Requirement ID],0))),"",INDEX(Backlog[Status],MATCH($A24,Backlog[Requirement ID],0))),"")</f>
        <v/>
      </c>
      <c r="J24" s="117">
        <f>IFERROR(IF(ISBLANK(INDEX(Backlog[Priority],MATCH($A24,Backlog[Requirement ID],0))),"",INDEX(Backlog[Priority],MATCH($A24,Backlog[Requirement ID],0))),"")</f>
        <v/>
      </c>
      <c r="K24" s="115" t="n"/>
      <c r="L24" s="148" t="n"/>
      <c r="M24" s="148" t="n"/>
      <c r="N24" s="115" t="n"/>
      <c r="O24" s="149" t="n"/>
      <c r="P24" s="121" t="n"/>
      <c r="Q24" s="121" t="n"/>
    </row>
    <row r="25" ht="15" customHeight="1" s="93">
      <c r="A25" s="115">
        <f>Backlog!A25</f>
        <v/>
      </c>
      <c r="B25" s="117">
        <f>IFERROR(IF(ISBLANK(INDEX(Backlog[Requirement Name],MATCH($A25,Backlog[Requirement ID],0))),"",INDEX(Backlog[Requirement Name],MATCH($A25,Backlog[Requirement ID],0))),"")</f>
        <v/>
      </c>
      <c r="C25" s="117">
        <f>IFERROR(IF(ISBLANK(INDEX(Backlog[Stream],MATCH($A25,Backlog[Requirement ID],0))),"",INDEX(Backlog[Stream],MATCH($A25,Backlog[Requirement ID],0))),"")</f>
        <v/>
      </c>
      <c r="D25" s="117">
        <f>IFERROR(IF(ISBLANK(INDEX(Backlog[Stream Owner],MATCH($A25,Backlog[Requirement ID],0))),"",INDEX(Backlog[Stream Owner],MATCH($A25,Backlog[Requirement ID],0))),"")</f>
        <v/>
      </c>
      <c r="E25" s="117">
        <f>IFERROR(IF(ISBLANK(INDEX(Backlog[Jira Link],MATCH($A25,Backlog[Requirement ID],0))),"",INDEX(Backlog[Jira Link],MATCH($A25,Backlog[Requirement ID],0))),"")</f>
        <v/>
      </c>
      <c r="F25" s="115" t="inlineStr">
        <is>
          <t>No</t>
        </is>
      </c>
      <c r="G25" s="115" t="inlineStr">
        <is>
          <t>No</t>
        </is>
      </c>
      <c r="H25" s="128">
        <f>IFERROR(IF(ISBLANK(INDEX(SprintPlanning[Sprint],MATCH($A25,SprintPlanning[Requirement ID],0))),"",INDEX(SprintPlanning[Sprint],MATCH($A25,SprintPlanning[Requirement ID],0))),"")</f>
        <v/>
      </c>
      <c r="I25" s="117">
        <f>IFERROR(IF(ISBLANK(INDEX(Backlog[Status],MATCH($A25,Backlog[Requirement ID],0))),"",INDEX(Backlog[Status],MATCH($A25,Backlog[Requirement ID],0))),"")</f>
        <v/>
      </c>
      <c r="J25" s="117">
        <f>IFERROR(IF(ISBLANK(INDEX(Backlog[Priority],MATCH($A25,Backlog[Requirement ID],0))),"",INDEX(Backlog[Priority],MATCH($A25,Backlog[Requirement ID],0))),"")</f>
        <v/>
      </c>
      <c r="K25" s="115" t="n"/>
      <c r="L25" s="148" t="n"/>
      <c r="M25" s="148" t="n"/>
      <c r="N25" s="115" t="n"/>
      <c r="O25" s="149" t="n"/>
      <c r="P25" s="121" t="n"/>
      <c r="Q25" s="121" t="n"/>
    </row>
    <row r="26" ht="15" customHeight="1" s="93">
      <c r="A26" s="115">
        <f>Backlog!A26</f>
        <v/>
      </c>
      <c r="B26" s="117">
        <f>IFERROR(IF(ISBLANK(INDEX(Backlog[Requirement Name],MATCH($A26,Backlog[Requirement ID],0))),"",INDEX(Backlog[Requirement Name],MATCH($A26,Backlog[Requirement ID],0))),"")</f>
        <v/>
      </c>
      <c r="C26" s="117">
        <f>IFERROR(IF(ISBLANK(INDEX(Backlog[Stream],MATCH($A26,Backlog[Requirement ID],0))),"",INDEX(Backlog[Stream],MATCH($A26,Backlog[Requirement ID],0))),"")</f>
        <v/>
      </c>
      <c r="D26" s="117">
        <f>IFERROR(IF(ISBLANK(INDEX(Backlog[Stream Owner],MATCH($A26,Backlog[Requirement ID],0))),"",INDEX(Backlog[Stream Owner],MATCH($A26,Backlog[Requirement ID],0))),"")</f>
        <v/>
      </c>
      <c r="E26" s="117">
        <f>IFERROR(IF(ISBLANK(INDEX(Backlog[Jira Link],MATCH($A26,Backlog[Requirement ID],0))),"",INDEX(Backlog[Jira Link],MATCH($A26,Backlog[Requirement ID],0))),"")</f>
        <v/>
      </c>
      <c r="F26" s="115" t="inlineStr">
        <is>
          <t>NA</t>
        </is>
      </c>
      <c r="G26" s="115" t="inlineStr">
        <is>
          <t>NA</t>
        </is>
      </c>
      <c r="H26" s="128">
        <f>IFERROR(IF(ISBLANK(INDEX(SprintPlanning[Sprint],MATCH($A26,SprintPlanning[Requirement ID],0))),"",INDEX(SprintPlanning[Sprint],MATCH($A26,SprintPlanning[Requirement ID],0))),"")</f>
        <v/>
      </c>
      <c r="I26" s="117">
        <f>IFERROR(IF(ISBLANK(INDEX(Backlog[Status],MATCH($A26,Backlog[Requirement ID],0))),"",INDEX(Backlog[Status],MATCH($A26,Backlog[Requirement ID],0))),"")</f>
        <v/>
      </c>
      <c r="J26" s="117">
        <f>IFERROR(IF(ISBLANK(INDEX(Backlog[Priority],MATCH($A26,Backlog[Requirement ID],0))),"",INDEX(Backlog[Priority],MATCH($A26,Backlog[Requirement ID],0))),"")</f>
        <v/>
      </c>
      <c r="K26" s="115" t="n"/>
      <c r="L26" s="148" t="n"/>
      <c r="M26" s="148" t="n"/>
      <c r="N26" s="115" t="n"/>
      <c r="O26" s="149" t="n"/>
      <c r="P26" s="121" t="n"/>
      <c r="Q26" s="121" t="n"/>
    </row>
    <row r="27" ht="15" customHeight="1" s="93">
      <c r="A27" s="115">
        <f>Backlog!A27</f>
        <v/>
      </c>
      <c r="B27" s="117">
        <f>IFERROR(IF(ISBLANK(INDEX(Backlog[Requirement Name],MATCH($A27,Backlog[Requirement ID],0))),"",INDEX(Backlog[Requirement Name],MATCH($A27,Backlog[Requirement ID],0))),"")</f>
        <v/>
      </c>
      <c r="C27" s="117">
        <f>IFERROR(IF(ISBLANK(INDEX(Backlog[Stream],MATCH($A27,Backlog[Requirement ID],0))),"",INDEX(Backlog[Stream],MATCH($A27,Backlog[Requirement ID],0))),"")</f>
        <v/>
      </c>
      <c r="D27" s="117">
        <f>IFERROR(IF(ISBLANK(INDEX(Backlog[Stream Owner],MATCH($A27,Backlog[Requirement ID],0))),"",INDEX(Backlog[Stream Owner],MATCH($A27,Backlog[Requirement ID],0))),"")</f>
        <v/>
      </c>
      <c r="E27" s="117">
        <f>IFERROR(IF(ISBLANK(INDEX(Backlog[Jira Link],MATCH($A27,Backlog[Requirement ID],0))),"",INDEX(Backlog[Jira Link],MATCH($A27,Backlog[Requirement ID],0))),"")</f>
        <v/>
      </c>
      <c r="F27" s="115" t="inlineStr">
        <is>
          <t>No</t>
        </is>
      </c>
      <c r="G27" s="115" t="inlineStr">
        <is>
          <t>No</t>
        </is>
      </c>
      <c r="H27" s="128">
        <f>IFERROR(IF(ISBLANK(INDEX(SprintPlanning[Sprint],MATCH($A27,SprintPlanning[Requirement ID],0))),"",INDEX(SprintPlanning[Sprint],MATCH($A27,SprintPlanning[Requirement ID],0))),"")</f>
        <v/>
      </c>
      <c r="I27" s="117">
        <f>IFERROR(IF(ISBLANK(INDEX(Backlog[Status],MATCH($A27,Backlog[Requirement ID],0))),"",INDEX(Backlog[Status],MATCH($A27,Backlog[Requirement ID],0))),"")</f>
        <v/>
      </c>
      <c r="J27" s="117">
        <f>IFERROR(IF(ISBLANK(INDEX(Backlog[Priority],MATCH($A27,Backlog[Requirement ID],0))),"",INDEX(Backlog[Priority],MATCH($A27,Backlog[Requirement ID],0))),"")</f>
        <v/>
      </c>
      <c r="K27" s="115" t="n"/>
      <c r="L27" s="148" t="n"/>
      <c r="M27" s="148" t="n"/>
      <c r="N27" s="115" t="n"/>
      <c r="O27" s="149" t="n"/>
      <c r="P27" s="121" t="n"/>
      <c r="Q27" s="121" t="n"/>
    </row>
    <row r="28" ht="18.75" customHeight="1" s="93">
      <c r="A28" s="115">
        <f>Backlog!A28</f>
        <v/>
      </c>
      <c r="B28" s="117">
        <f>IFERROR(IF(ISBLANK(INDEX(Backlog[Requirement Name],MATCH($A28,Backlog[Requirement ID],0))),"",INDEX(Backlog[Requirement Name],MATCH($A28,Backlog[Requirement ID],0))),"")</f>
        <v/>
      </c>
      <c r="C28" s="117">
        <f>IFERROR(IF(ISBLANK(INDEX(Backlog[Stream],MATCH($A28,Backlog[Requirement ID],0))),"",INDEX(Backlog[Stream],MATCH($A28,Backlog[Requirement ID],0))),"")</f>
        <v/>
      </c>
      <c r="D28" s="117">
        <f>IFERROR(IF(ISBLANK(INDEX(Backlog[Stream Owner],MATCH($A28,Backlog[Requirement ID],0))),"",INDEX(Backlog[Stream Owner],MATCH($A28,Backlog[Requirement ID],0))),"")</f>
        <v/>
      </c>
      <c r="E28" s="117">
        <f>IFERROR(IF(ISBLANK(INDEX(Backlog[Jira Link],MATCH($A28,Backlog[Requirement ID],0))),"",INDEX(Backlog[Jira Link],MATCH($A28,Backlog[Requirement ID],0))),"")</f>
        <v/>
      </c>
      <c r="F28" s="115" t="inlineStr">
        <is>
          <t>No</t>
        </is>
      </c>
      <c r="G28" s="115" t="inlineStr">
        <is>
          <t>No</t>
        </is>
      </c>
      <c r="H28" s="128">
        <f>IFERROR(IF(ISBLANK(INDEX(SprintPlanning[Sprint],MATCH($A28,SprintPlanning[Requirement ID],0))),"",INDEX(SprintPlanning[Sprint],MATCH($A28,SprintPlanning[Requirement ID],0))),"")</f>
        <v/>
      </c>
      <c r="I28" s="117">
        <f>IFERROR(IF(ISBLANK(INDEX(Backlog[Status],MATCH($A28,Backlog[Requirement ID],0))),"",INDEX(Backlog[Status],MATCH($A28,Backlog[Requirement ID],0))),"")</f>
        <v/>
      </c>
      <c r="J28" s="117">
        <f>IFERROR(IF(ISBLANK(INDEX(Backlog[Priority],MATCH($A28,Backlog[Requirement ID],0))),"",INDEX(Backlog[Priority],MATCH($A28,Backlog[Requirement ID],0))),"")</f>
        <v/>
      </c>
      <c r="K28" s="115" t="n"/>
      <c r="L28" s="148" t="n"/>
      <c r="M28" s="148" t="n"/>
      <c r="N28" s="115" t="n"/>
      <c r="O28" s="149" t="n"/>
      <c r="P28" s="121" t="n"/>
      <c r="Q28" s="121" t="n"/>
    </row>
    <row r="29" ht="15" customHeight="1" s="93">
      <c r="A29" s="115">
        <f>Backlog!A29</f>
        <v/>
      </c>
      <c r="B29" s="117">
        <f>IFERROR(IF(ISBLANK(INDEX(Backlog[Requirement Name],MATCH($A29,Backlog[Requirement ID],0))),"",INDEX(Backlog[Requirement Name],MATCH($A29,Backlog[Requirement ID],0))),"")</f>
        <v/>
      </c>
      <c r="C29" s="117">
        <f>IFERROR(IF(ISBLANK(INDEX(Backlog[Stream],MATCH($A29,Backlog[Requirement ID],0))),"",INDEX(Backlog[Stream],MATCH($A29,Backlog[Requirement ID],0))),"")</f>
        <v/>
      </c>
      <c r="D29" s="117">
        <f>IFERROR(IF(ISBLANK(INDEX(Backlog[Stream Owner],MATCH($A29,Backlog[Requirement ID],0))),"",INDEX(Backlog[Stream Owner],MATCH($A29,Backlog[Requirement ID],0))),"")</f>
        <v/>
      </c>
      <c r="E29" s="117">
        <f>IFERROR(IF(ISBLANK(INDEX(Backlog[Jira Link],MATCH($A29,Backlog[Requirement ID],0))),"",INDEX(Backlog[Jira Link],MATCH($A29,Backlog[Requirement ID],0))),"")</f>
        <v/>
      </c>
      <c r="F29" s="115" t="inlineStr">
        <is>
          <t>No</t>
        </is>
      </c>
      <c r="G29" s="115" t="inlineStr">
        <is>
          <t>No</t>
        </is>
      </c>
      <c r="H29" s="128">
        <f>IFERROR(IF(ISBLANK(INDEX(SprintPlanning[Sprint],MATCH($A29,SprintPlanning[Requirement ID],0))),"",INDEX(SprintPlanning[Sprint],MATCH($A29,SprintPlanning[Requirement ID],0))),"")</f>
        <v/>
      </c>
      <c r="I29" s="117">
        <f>IFERROR(IF(ISBLANK(INDEX(Backlog[Status],MATCH($A29,Backlog[Requirement ID],0))),"",INDEX(Backlog[Status],MATCH($A29,Backlog[Requirement ID],0))),"")</f>
        <v/>
      </c>
      <c r="J29" s="117">
        <f>IFERROR(IF(ISBLANK(INDEX(Backlog[Priority],MATCH($A29,Backlog[Requirement ID],0))),"",INDEX(Backlog[Priority],MATCH($A29,Backlog[Requirement ID],0))),"")</f>
        <v/>
      </c>
      <c r="K29" s="115" t="n"/>
      <c r="L29" s="148" t="n"/>
      <c r="M29" s="148" t="n"/>
      <c r="N29" s="115" t="n"/>
      <c r="O29" s="149" t="n"/>
      <c r="P29" s="121" t="n"/>
      <c r="Q29" s="121" t="n"/>
    </row>
    <row r="30" ht="15" customHeight="1" s="93">
      <c r="A30" s="115">
        <f>Backlog!A30</f>
        <v/>
      </c>
      <c r="B30" s="117">
        <f>IFERROR(IF(ISBLANK(INDEX(Backlog[Requirement Name],MATCH($A30,Backlog[Requirement ID],0))),"",INDEX(Backlog[Requirement Name],MATCH($A30,Backlog[Requirement ID],0))),"")</f>
        <v/>
      </c>
      <c r="C30" s="117">
        <f>IFERROR(IF(ISBLANK(INDEX(Backlog[Stream],MATCH($A30,Backlog[Requirement ID],0))),"",INDEX(Backlog[Stream],MATCH($A30,Backlog[Requirement ID],0))),"")</f>
        <v/>
      </c>
      <c r="D30" s="117">
        <f>IFERROR(IF(ISBLANK(INDEX(Backlog[Stream Owner],MATCH($A30,Backlog[Requirement ID],0))),"",INDEX(Backlog[Stream Owner],MATCH($A30,Backlog[Requirement ID],0))),"")</f>
        <v/>
      </c>
      <c r="E30" s="117">
        <f>IFERROR(IF(ISBLANK(INDEX(Backlog[Jira Link],MATCH($A30,Backlog[Requirement ID],0))),"",INDEX(Backlog[Jira Link],MATCH($A30,Backlog[Requirement ID],0))),"")</f>
        <v/>
      </c>
      <c r="F30" s="115" t="inlineStr">
        <is>
          <t>Yes</t>
        </is>
      </c>
      <c r="G30" s="115" t="inlineStr">
        <is>
          <t>No</t>
        </is>
      </c>
      <c r="H30" s="128">
        <f>IFERROR(IF(ISBLANK(INDEX(SprintPlanning[Sprint],MATCH($A30,SprintPlanning[Requirement ID],0))),"",INDEX(SprintPlanning[Sprint],MATCH($A30,SprintPlanning[Requirement ID],0))),"")</f>
        <v/>
      </c>
      <c r="I30" s="117">
        <f>IFERROR(IF(ISBLANK(INDEX(Backlog[Status],MATCH($A30,Backlog[Requirement ID],0))),"",INDEX(Backlog[Status],MATCH($A30,Backlog[Requirement ID],0))),"")</f>
        <v/>
      </c>
      <c r="J30" s="117">
        <f>IFERROR(IF(ISBLANK(INDEX(Backlog[Priority],MATCH($A30,Backlog[Requirement ID],0))),"",INDEX(Backlog[Priority],MATCH($A30,Backlog[Requirement ID],0))),"")</f>
        <v/>
      </c>
      <c r="K30" s="115" t="n"/>
      <c r="L30" s="148" t="n"/>
      <c r="M30" s="148" t="n"/>
      <c r="N30" s="115" t="n"/>
      <c r="O30" s="149" t="n"/>
      <c r="P30" s="121" t="n"/>
      <c r="Q30" s="121" t="n"/>
    </row>
    <row r="31" ht="15" customHeight="1" s="93">
      <c r="A31" s="115">
        <f>Backlog!A31</f>
        <v/>
      </c>
      <c r="B31" s="117">
        <f>IFERROR(IF(ISBLANK(INDEX(Backlog[Requirement Name],MATCH($A31,Backlog[Requirement ID],0))),"",INDEX(Backlog[Requirement Name],MATCH($A31,Backlog[Requirement ID],0))),"")</f>
        <v/>
      </c>
      <c r="C31" s="117">
        <f>IFERROR(IF(ISBLANK(INDEX(Backlog[Stream],MATCH($A31,Backlog[Requirement ID],0))),"",INDEX(Backlog[Stream],MATCH($A31,Backlog[Requirement ID],0))),"")</f>
        <v/>
      </c>
      <c r="D31" s="117">
        <f>IFERROR(IF(ISBLANK(INDEX(Backlog[Stream Owner],MATCH($A31,Backlog[Requirement ID],0))),"",INDEX(Backlog[Stream Owner],MATCH($A31,Backlog[Requirement ID],0))),"")</f>
        <v/>
      </c>
      <c r="E31" s="117">
        <f>IFERROR(IF(ISBLANK(INDEX(Backlog[Jira Link],MATCH($A31,Backlog[Requirement ID],0))),"",INDEX(Backlog[Jira Link],MATCH($A31,Backlog[Requirement ID],0))),"")</f>
        <v/>
      </c>
      <c r="F31" s="115" t="inlineStr">
        <is>
          <t>Yes</t>
        </is>
      </c>
      <c r="G31" s="115" t="inlineStr">
        <is>
          <t>No</t>
        </is>
      </c>
      <c r="H31" s="128">
        <f>IFERROR(IF(ISBLANK(INDEX(SprintPlanning[Sprint],MATCH($A31,SprintPlanning[Requirement ID],0))),"",INDEX(SprintPlanning[Sprint],MATCH($A31,SprintPlanning[Requirement ID],0))),"")</f>
        <v/>
      </c>
      <c r="I31" s="117">
        <f>IFERROR(IF(ISBLANK(INDEX(Backlog[Status],MATCH($A31,Backlog[Requirement ID],0))),"",INDEX(Backlog[Status],MATCH($A31,Backlog[Requirement ID],0))),"")</f>
        <v/>
      </c>
      <c r="J31" s="117">
        <f>IFERROR(IF(ISBLANK(INDEX(Backlog[Priority],MATCH($A31,Backlog[Requirement ID],0))),"",INDEX(Backlog[Priority],MATCH($A31,Backlog[Requirement ID],0))),"")</f>
        <v/>
      </c>
      <c r="K31" s="115" t="n"/>
      <c r="L31" s="148" t="n"/>
      <c r="M31" s="148" t="n"/>
      <c r="N31" s="115" t="n"/>
      <c r="O31" s="149" t="n"/>
      <c r="P31" s="121" t="n"/>
      <c r="Q31" s="121" t="n"/>
    </row>
    <row r="32" ht="15" customHeight="1" s="93">
      <c r="A32" s="115">
        <f>Backlog!A32</f>
        <v/>
      </c>
      <c r="B32" s="117">
        <f>IFERROR(IF(ISBLANK(INDEX(Backlog[Requirement Name],MATCH($A32,Backlog[Requirement ID],0))),"",INDEX(Backlog[Requirement Name],MATCH($A32,Backlog[Requirement ID],0))),"")</f>
        <v/>
      </c>
      <c r="C32" s="117">
        <f>IFERROR(IF(ISBLANK(INDEX(Backlog[Stream],MATCH($A32,Backlog[Requirement ID],0))),"",INDEX(Backlog[Stream],MATCH($A32,Backlog[Requirement ID],0))),"")</f>
        <v/>
      </c>
      <c r="D32" s="117">
        <f>IFERROR(IF(ISBLANK(INDEX(Backlog[Stream Owner],MATCH($A32,Backlog[Requirement ID],0))),"",INDEX(Backlog[Stream Owner],MATCH($A32,Backlog[Requirement ID],0))),"")</f>
        <v/>
      </c>
      <c r="E32" s="117">
        <f>IFERROR(IF(ISBLANK(INDEX(Backlog[Jira Link],MATCH($A32,Backlog[Requirement ID],0))),"",INDEX(Backlog[Jira Link],MATCH($A32,Backlog[Requirement ID],0))),"")</f>
        <v/>
      </c>
      <c r="F32" s="115" t="inlineStr">
        <is>
          <t>NA</t>
        </is>
      </c>
      <c r="G32" s="115" t="inlineStr">
        <is>
          <t>NA</t>
        </is>
      </c>
      <c r="H32" s="128">
        <f>IFERROR(IF(ISBLANK(INDEX(SprintPlanning[Sprint],MATCH($A32,SprintPlanning[Requirement ID],0))),"",INDEX(SprintPlanning[Sprint],MATCH($A32,SprintPlanning[Requirement ID],0))),"")</f>
        <v/>
      </c>
      <c r="I32" s="117">
        <f>IFERROR(IF(ISBLANK(INDEX(Backlog[Status],MATCH($A32,Backlog[Requirement ID],0))),"",INDEX(Backlog[Status],MATCH($A32,Backlog[Requirement ID],0))),"")</f>
        <v/>
      </c>
      <c r="J32" s="117">
        <f>IFERROR(IF(ISBLANK(INDEX(Backlog[Priority],MATCH($A32,Backlog[Requirement ID],0))),"",INDEX(Backlog[Priority],MATCH($A32,Backlog[Requirement ID],0))),"")</f>
        <v/>
      </c>
      <c r="K32" s="115" t="n"/>
      <c r="L32" s="148" t="n"/>
      <c r="M32" s="148" t="n"/>
      <c r="N32" s="115" t="n"/>
      <c r="O32" s="149" t="n"/>
      <c r="P32" s="121" t="n"/>
      <c r="Q32" s="121" t="n"/>
    </row>
    <row r="33" ht="15" customHeight="1" s="93">
      <c r="A33" s="115">
        <f>Backlog!A33</f>
        <v/>
      </c>
      <c r="B33" s="117">
        <f>IFERROR(IF(ISBLANK(INDEX(Backlog[Requirement Name],MATCH($A33,Backlog[Requirement ID],0))),"",INDEX(Backlog[Requirement Name],MATCH($A33,Backlog[Requirement ID],0))),"")</f>
        <v/>
      </c>
      <c r="C33" s="117">
        <f>IFERROR(IF(ISBLANK(INDEX(Backlog[Stream],MATCH($A33,Backlog[Requirement ID],0))),"",INDEX(Backlog[Stream],MATCH($A33,Backlog[Requirement ID],0))),"")</f>
        <v/>
      </c>
      <c r="D33" s="117">
        <f>IFERROR(IF(ISBLANK(INDEX(Backlog[Stream Owner],MATCH($A33,Backlog[Requirement ID],0))),"",INDEX(Backlog[Stream Owner],MATCH($A33,Backlog[Requirement ID],0))),"")</f>
        <v/>
      </c>
      <c r="E33" s="117">
        <f>IFERROR(IF(ISBLANK(INDEX(Backlog[Jira Link],MATCH($A33,Backlog[Requirement ID],0))),"",INDEX(Backlog[Jira Link],MATCH($A33,Backlog[Requirement ID],0))),"")</f>
        <v/>
      </c>
      <c r="F33" s="115" t="inlineStr">
        <is>
          <t>NA</t>
        </is>
      </c>
      <c r="G33" s="115" t="inlineStr">
        <is>
          <t>NA</t>
        </is>
      </c>
      <c r="H33" s="128">
        <f>IFERROR(IF(ISBLANK(INDEX(SprintPlanning[Sprint],MATCH($A33,SprintPlanning[Requirement ID],0))),"",INDEX(SprintPlanning[Sprint],MATCH($A33,SprintPlanning[Requirement ID],0))),"")</f>
        <v/>
      </c>
      <c r="I33" s="117">
        <f>IFERROR(IF(ISBLANK(INDEX(Backlog[Status],MATCH($A33,Backlog[Requirement ID],0))),"",INDEX(Backlog[Status],MATCH($A33,Backlog[Requirement ID],0))),"")</f>
        <v/>
      </c>
      <c r="J33" s="117">
        <f>IFERROR(IF(ISBLANK(INDEX(Backlog[Priority],MATCH($A33,Backlog[Requirement ID],0))),"",INDEX(Backlog[Priority],MATCH($A33,Backlog[Requirement ID],0))),"")</f>
        <v/>
      </c>
      <c r="K33" s="115" t="n"/>
      <c r="L33" s="148" t="n"/>
      <c r="M33" s="148" t="n"/>
      <c r="N33" s="115" t="n"/>
      <c r="O33" s="149" t="n"/>
      <c r="P33" s="121" t="n"/>
      <c r="Q33" s="121" t="n"/>
    </row>
    <row r="34" ht="15" customHeight="1" s="93">
      <c r="A34" s="115">
        <f>Backlog!A34</f>
        <v/>
      </c>
      <c r="B34" s="117">
        <f>IFERROR(IF(ISBLANK(INDEX(Backlog[Requirement Name],MATCH($A34,Backlog[Requirement ID],0))),"",INDEX(Backlog[Requirement Name],MATCH($A34,Backlog[Requirement ID],0))),"")</f>
        <v/>
      </c>
      <c r="C34" s="117">
        <f>IFERROR(IF(ISBLANK(INDEX(Backlog[Stream],MATCH($A34,Backlog[Requirement ID],0))),"",INDEX(Backlog[Stream],MATCH($A34,Backlog[Requirement ID],0))),"")</f>
        <v/>
      </c>
      <c r="D34" s="117">
        <f>IFERROR(IF(ISBLANK(INDEX(Backlog[Stream Owner],MATCH($A34,Backlog[Requirement ID],0))),"",INDEX(Backlog[Stream Owner],MATCH($A34,Backlog[Requirement ID],0))),"")</f>
        <v/>
      </c>
      <c r="E34" s="117">
        <f>IFERROR(IF(ISBLANK(INDEX(Backlog[Jira Link],MATCH($A34,Backlog[Requirement ID],0))),"",INDEX(Backlog[Jira Link],MATCH($A34,Backlog[Requirement ID],0))),"")</f>
        <v/>
      </c>
      <c r="F34" s="115" t="inlineStr">
        <is>
          <t>NA</t>
        </is>
      </c>
      <c r="G34" s="115" t="inlineStr">
        <is>
          <t>NA</t>
        </is>
      </c>
      <c r="H34" s="128">
        <f>IFERROR(IF(ISBLANK(INDEX(SprintPlanning[Sprint],MATCH($A34,SprintPlanning[Requirement ID],0))),"",INDEX(SprintPlanning[Sprint],MATCH($A34,SprintPlanning[Requirement ID],0))),"")</f>
        <v/>
      </c>
      <c r="I34" s="117">
        <f>IFERROR(IF(ISBLANK(INDEX(Backlog[Status],MATCH($A34,Backlog[Requirement ID],0))),"",INDEX(Backlog[Status],MATCH($A34,Backlog[Requirement ID],0))),"")</f>
        <v/>
      </c>
      <c r="J34" s="117">
        <f>IFERROR(IF(ISBLANK(INDEX(Backlog[Priority],MATCH($A34,Backlog[Requirement ID],0))),"",INDEX(Backlog[Priority],MATCH($A34,Backlog[Requirement ID],0))),"")</f>
        <v/>
      </c>
      <c r="K34" s="115" t="n"/>
      <c r="L34" s="148" t="n"/>
      <c r="M34" s="148" t="n"/>
      <c r="N34" s="115" t="n"/>
      <c r="O34" s="149" t="n"/>
      <c r="P34" s="121" t="n"/>
      <c r="Q34" s="121" t="n"/>
    </row>
    <row r="35" ht="15" customHeight="1" s="93">
      <c r="A35" s="115">
        <f>Backlog!A35</f>
        <v/>
      </c>
      <c r="B35" s="117">
        <f>IFERROR(IF(ISBLANK(INDEX(Backlog[Requirement Name],MATCH($A35,Backlog[Requirement ID],0))),"",INDEX(Backlog[Requirement Name],MATCH($A35,Backlog[Requirement ID],0))),"")</f>
        <v/>
      </c>
      <c r="C35" s="117">
        <f>IFERROR(IF(ISBLANK(INDEX(Backlog[Stream],MATCH($A35,Backlog[Requirement ID],0))),"",INDEX(Backlog[Stream],MATCH($A35,Backlog[Requirement ID],0))),"")</f>
        <v/>
      </c>
      <c r="D35" s="117">
        <f>IFERROR(IF(ISBLANK(INDEX(Backlog[Stream Owner],MATCH($A35,Backlog[Requirement ID],0))),"",INDEX(Backlog[Stream Owner],MATCH($A35,Backlog[Requirement ID],0))),"")</f>
        <v/>
      </c>
      <c r="E35" s="117">
        <f>IFERROR(IF(ISBLANK(INDEX(Backlog[Jira Link],MATCH($A35,Backlog[Requirement ID],0))),"",INDEX(Backlog[Jira Link],MATCH($A35,Backlog[Requirement ID],0))),"")</f>
        <v/>
      </c>
      <c r="F35" s="115" t="inlineStr">
        <is>
          <t>No</t>
        </is>
      </c>
      <c r="G35" s="115" t="inlineStr">
        <is>
          <t>No</t>
        </is>
      </c>
      <c r="H35" s="128">
        <f>IFERROR(IF(ISBLANK(INDEX(SprintPlanning[Sprint],MATCH($A35,SprintPlanning[Requirement ID],0))),"",INDEX(SprintPlanning[Sprint],MATCH($A35,SprintPlanning[Requirement ID],0))),"")</f>
        <v/>
      </c>
      <c r="I35" s="117">
        <f>IFERROR(IF(ISBLANK(INDEX(Backlog[Status],MATCH($A35,Backlog[Requirement ID],0))),"",INDEX(Backlog[Status],MATCH($A35,Backlog[Requirement ID],0))),"")</f>
        <v/>
      </c>
      <c r="J35" s="117">
        <f>IFERROR(IF(ISBLANK(INDEX(Backlog[Priority],MATCH($A35,Backlog[Requirement ID],0))),"",INDEX(Backlog[Priority],MATCH($A35,Backlog[Requirement ID],0))),"")</f>
        <v/>
      </c>
      <c r="K35" s="115" t="n"/>
      <c r="L35" s="148" t="n"/>
      <c r="M35" s="148" t="n"/>
      <c r="N35" s="115" t="n"/>
      <c r="O35" s="149" t="n"/>
      <c r="P35" s="121" t="n"/>
      <c r="Q35" s="121" t="n"/>
    </row>
    <row r="36" ht="15" customHeight="1" s="93">
      <c r="A36" s="115">
        <f>Backlog!A36</f>
        <v/>
      </c>
      <c r="B36" s="117">
        <f>IFERROR(IF(ISBLANK(INDEX(Backlog[Requirement Name],MATCH($A36,Backlog[Requirement ID],0))),"",INDEX(Backlog[Requirement Name],MATCH($A36,Backlog[Requirement ID],0))),"")</f>
        <v/>
      </c>
      <c r="C36" s="117">
        <f>IFERROR(IF(ISBLANK(INDEX(Backlog[Stream],MATCH($A36,Backlog[Requirement ID],0))),"",INDEX(Backlog[Stream],MATCH($A36,Backlog[Requirement ID],0))),"")</f>
        <v/>
      </c>
      <c r="D36" s="117">
        <f>IFERROR(IF(ISBLANK(INDEX(Backlog[Stream Owner],MATCH($A36,Backlog[Requirement ID],0))),"",INDEX(Backlog[Stream Owner],MATCH($A36,Backlog[Requirement ID],0))),"")</f>
        <v/>
      </c>
      <c r="E36" s="117">
        <f>IFERROR(IF(ISBLANK(INDEX(Backlog[Jira Link],MATCH($A36,Backlog[Requirement ID],0))),"",INDEX(Backlog[Jira Link],MATCH($A36,Backlog[Requirement ID],0))),"")</f>
        <v/>
      </c>
      <c r="F36" s="115" t="inlineStr">
        <is>
          <t>No</t>
        </is>
      </c>
      <c r="G36" s="115" t="inlineStr">
        <is>
          <t>No</t>
        </is>
      </c>
      <c r="H36" s="128">
        <f>IFERROR(IF(ISBLANK(INDEX(SprintPlanning[Sprint],MATCH($A36,SprintPlanning[Requirement ID],0))),"",INDEX(SprintPlanning[Sprint],MATCH($A36,SprintPlanning[Requirement ID],0))),"")</f>
        <v/>
      </c>
      <c r="I36" s="117">
        <f>IFERROR(IF(ISBLANK(INDEX(Backlog[Status],MATCH($A36,Backlog[Requirement ID],0))),"",INDEX(Backlog[Status],MATCH($A36,Backlog[Requirement ID],0))),"")</f>
        <v/>
      </c>
      <c r="J36" s="117">
        <f>IFERROR(IF(ISBLANK(INDEX(Backlog[Priority],MATCH($A36,Backlog[Requirement ID],0))),"",INDEX(Backlog[Priority],MATCH($A36,Backlog[Requirement ID],0))),"")</f>
        <v/>
      </c>
      <c r="K36" s="115" t="n"/>
      <c r="L36" s="148" t="n"/>
      <c r="M36" s="148" t="n"/>
      <c r="N36" s="115" t="n"/>
      <c r="O36" s="149" t="n"/>
      <c r="P36" s="121" t="n"/>
      <c r="Q36" s="121" t="n"/>
    </row>
    <row r="37" ht="15" customHeight="1" s="93">
      <c r="A37" s="115">
        <f>Backlog!A37</f>
        <v/>
      </c>
      <c r="B37" s="117">
        <f>IFERROR(IF(ISBLANK(INDEX(Backlog[Requirement Name],MATCH($A37,Backlog[Requirement ID],0))),"",INDEX(Backlog[Requirement Name],MATCH($A37,Backlog[Requirement ID],0))),"")</f>
        <v/>
      </c>
      <c r="C37" s="117">
        <f>IFERROR(IF(ISBLANK(INDEX(Backlog[Stream],MATCH($A37,Backlog[Requirement ID],0))),"",INDEX(Backlog[Stream],MATCH($A37,Backlog[Requirement ID],0))),"")</f>
        <v/>
      </c>
      <c r="D37" s="117">
        <f>IFERROR(IF(ISBLANK(INDEX(Backlog[Stream Owner],MATCH($A37,Backlog[Requirement ID],0))),"",INDEX(Backlog[Stream Owner],MATCH($A37,Backlog[Requirement ID],0))),"")</f>
        <v/>
      </c>
      <c r="E37" s="117">
        <f>IFERROR(IF(ISBLANK(INDEX(Backlog[Jira Link],MATCH($A37,Backlog[Requirement ID],0))),"",INDEX(Backlog[Jira Link],MATCH($A37,Backlog[Requirement ID],0))),"")</f>
        <v/>
      </c>
      <c r="F37" s="115" t="inlineStr">
        <is>
          <t>No</t>
        </is>
      </c>
      <c r="G37" s="115" t="inlineStr">
        <is>
          <t>No</t>
        </is>
      </c>
      <c r="H37" s="128">
        <f>IFERROR(IF(ISBLANK(INDEX(SprintPlanning[Sprint],MATCH($A37,SprintPlanning[Requirement ID],0))),"",INDEX(SprintPlanning[Sprint],MATCH($A37,SprintPlanning[Requirement ID],0))),"")</f>
        <v/>
      </c>
      <c r="I37" s="117">
        <f>IFERROR(IF(ISBLANK(INDEX(Backlog[Status],MATCH($A37,Backlog[Requirement ID],0))),"",INDEX(Backlog[Status],MATCH($A37,Backlog[Requirement ID],0))),"")</f>
        <v/>
      </c>
      <c r="J37" s="117">
        <f>IFERROR(IF(ISBLANK(INDEX(Backlog[Priority],MATCH($A37,Backlog[Requirement ID],0))),"",INDEX(Backlog[Priority],MATCH($A37,Backlog[Requirement ID],0))),"")</f>
        <v/>
      </c>
      <c r="K37" s="115" t="n"/>
      <c r="L37" s="148" t="n"/>
      <c r="M37" s="148" t="n"/>
      <c r="N37" s="115" t="n"/>
      <c r="O37" s="149" t="n"/>
      <c r="P37" s="121" t="n"/>
      <c r="Q37" s="121" t="n"/>
    </row>
    <row r="38" ht="15" customHeight="1" s="93">
      <c r="A38" s="115">
        <f>Backlog!A38</f>
        <v/>
      </c>
      <c r="B38" s="117">
        <f>IFERROR(IF(ISBLANK(INDEX(Backlog[Requirement Name],MATCH($A38,Backlog[Requirement ID],0))),"",INDEX(Backlog[Requirement Name],MATCH($A38,Backlog[Requirement ID],0))),"")</f>
        <v/>
      </c>
      <c r="C38" s="117">
        <f>IFERROR(IF(ISBLANK(INDEX(Backlog[Stream],MATCH($A38,Backlog[Requirement ID],0))),"",INDEX(Backlog[Stream],MATCH($A38,Backlog[Requirement ID],0))),"")</f>
        <v/>
      </c>
      <c r="D38" s="117">
        <f>IFERROR(IF(ISBLANK(INDEX(Backlog[Stream Owner],MATCH($A38,Backlog[Requirement ID],0))),"",INDEX(Backlog[Stream Owner],MATCH($A38,Backlog[Requirement ID],0))),"")</f>
        <v/>
      </c>
      <c r="E38" s="117">
        <f>IFERROR(IF(ISBLANK(INDEX(Backlog[Jira Link],MATCH($A38,Backlog[Requirement ID],0))),"",INDEX(Backlog[Jira Link],MATCH($A38,Backlog[Requirement ID],0))),"")</f>
        <v/>
      </c>
      <c r="F38" s="115" t="inlineStr">
        <is>
          <t>No</t>
        </is>
      </c>
      <c r="G38" s="115" t="inlineStr">
        <is>
          <t>No</t>
        </is>
      </c>
      <c r="H38" s="128">
        <f>IFERROR(IF(ISBLANK(INDEX(SprintPlanning[Sprint],MATCH($A38,SprintPlanning[Requirement ID],0))),"",INDEX(SprintPlanning[Sprint],MATCH($A38,SprintPlanning[Requirement ID],0))),"")</f>
        <v/>
      </c>
      <c r="I38" s="117">
        <f>IFERROR(IF(ISBLANK(INDEX(Backlog[Status],MATCH($A38,Backlog[Requirement ID],0))),"",INDEX(Backlog[Status],MATCH($A38,Backlog[Requirement ID],0))),"")</f>
        <v/>
      </c>
      <c r="J38" s="117">
        <f>IFERROR(IF(ISBLANK(INDEX(Backlog[Priority],MATCH($A38,Backlog[Requirement ID],0))),"",INDEX(Backlog[Priority],MATCH($A38,Backlog[Requirement ID],0))),"")</f>
        <v/>
      </c>
      <c r="K38" s="115" t="n"/>
      <c r="L38" s="148" t="n"/>
      <c r="M38" s="148" t="n"/>
      <c r="N38" s="115" t="n"/>
      <c r="O38" s="149" t="n"/>
      <c r="P38" s="121" t="n"/>
      <c r="Q38" s="121" t="n"/>
    </row>
    <row r="39" ht="15" customHeight="1" s="93">
      <c r="A39" s="115">
        <f>Backlog!A39</f>
        <v/>
      </c>
      <c r="B39" s="117">
        <f>IFERROR(IF(ISBLANK(INDEX(Backlog[Requirement Name],MATCH($A39,Backlog[Requirement ID],0))),"",INDEX(Backlog[Requirement Name],MATCH($A39,Backlog[Requirement ID],0))),"")</f>
        <v/>
      </c>
      <c r="C39" s="117">
        <f>IFERROR(IF(ISBLANK(INDEX(Backlog[Stream],MATCH($A39,Backlog[Requirement ID],0))),"",INDEX(Backlog[Stream],MATCH($A39,Backlog[Requirement ID],0))),"")</f>
        <v/>
      </c>
      <c r="D39" s="117">
        <f>IFERROR(IF(ISBLANK(INDEX(Backlog[Stream Owner],MATCH($A39,Backlog[Requirement ID],0))),"",INDEX(Backlog[Stream Owner],MATCH($A39,Backlog[Requirement ID],0))),"")</f>
        <v/>
      </c>
      <c r="E39" s="117">
        <f>IFERROR(IF(ISBLANK(INDEX(Backlog[Jira Link],MATCH($A39,Backlog[Requirement ID],0))),"",INDEX(Backlog[Jira Link],MATCH($A39,Backlog[Requirement ID],0))),"")</f>
        <v/>
      </c>
      <c r="F39" s="115" t="inlineStr">
        <is>
          <t>Yes</t>
        </is>
      </c>
      <c r="G39" s="115" t="inlineStr">
        <is>
          <t>Yes</t>
        </is>
      </c>
      <c r="H39" s="128">
        <f>IFERROR(IF(ISBLANK(INDEX(SprintPlanning[Sprint],MATCH($A39,SprintPlanning[Requirement ID],0))),"",INDEX(SprintPlanning[Sprint],MATCH($A39,SprintPlanning[Requirement ID],0))),"")</f>
        <v/>
      </c>
      <c r="I39" s="117">
        <f>IFERROR(IF(ISBLANK(INDEX(Backlog[Status],MATCH($A39,Backlog[Requirement ID],0))),"",INDEX(Backlog[Status],MATCH($A39,Backlog[Requirement ID],0))),"")</f>
        <v/>
      </c>
      <c r="J39" s="117">
        <f>IFERROR(IF(ISBLANK(INDEX(Backlog[Priority],MATCH($A39,Backlog[Requirement ID],0))),"",INDEX(Backlog[Priority],MATCH($A39,Backlog[Requirement ID],0))),"")</f>
        <v/>
      </c>
      <c r="K39" s="115" t="n"/>
      <c r="L39" s="148" t="n"/>
      <c r="M39" s="148" t="n"/>
      <c r="N39" s="115" t="n"/>
      <c r="O39" s="149" t="n"/>
      <c r="P39" s="121" t="n"/>
      <c r="Q39" s="121" t="n"/>
    </row>
    <row r="40" ht="15" customHeight="1" s="93">
      <c r="A40" s="115">
        <f>Backlog!A40</f>
        <v/>
      </c>
      <c r="B40" s="117">
        <f>IFERROR(IF(ISBLANK(INDEX(Backlog[Requirement Name],MATCH($A40,Backlog[Requirement ID],0))),"",INDEX(Backlog[Requirement Name],MATCH($A40,Backlog[Requirement ID],0))),"")</f>
        <v/>
      </c>
      <c r="C40" s="117">
        <f>IFERROR(IF(ISBLANK(INDEX(Backlog[Stream],MATCH($A40,Backlog[Requirement ID],0))),"",INDEX(Backlog[Stream],MATCH($A40,Backlog[Requirement ID],0))),"")</f>
        <v/>
      </c>
      <c r="D40" s="117">
        <f>IFERROR(IF(ISBLANK(INDEX(Backlog[Stream Owner],MATCH($A40,Backlog[Requirement ID],0))),"",INDEX(Backlog[Stream Owner],MATCH($A40,Backlog[Requirement ID],0))),"")</f>
        <v/>
      </c>
      <c r="E40" s="117">
        <f>IFERROR(IF(ISBLANK(INDEX(Backlog[Jira Link],MATCH($A40,Backlog[Requirement ID],0))),"",INDEX(Backlog[Jira Link],MATCH($A40,Backlog[Requirement ID],0))),"")</f>
        <v/>
      </c>
      <c r="F40" s="115" t="inlineStr">
        <is>
          <t>Yes</t>
        </is>
      </c>
      <c r="G40" s="115" t="inlineStr">
        <is>
          <t>Yes</t>
        </is>
      </c>
      <c r="H40" s="128">
        <f>IFERROR(IF(ISBLANK(INDEX(SprintPlanning[Sprint],MATCH($A40,SprintPlanning[Requirement ID],0))),"",INDEX(SprintPlanning[Sprint],MATCH($A40,SprintPlanning[Requirement ID],0))),"")</f>
        <v/>
      </c>
      <c r="I40" s="117">
        <f>IFERROR(IF(ISBLANK(INDEX(Backlog[Status],MATCH($A40,Backlog[Requirement ID],0))),"",INDEX(Backlog[Status],MATCH($A40,Backlog[Requirement ID],0))),"")</f>
        <v/>
      </c>
      <c r="J40" s="117">
        <f>IFERROR(IF(ISBLANK(INDEX(Backlog[Priority],MATCH($A40,Backlog[Requirement ID],0))),"",INDEX(Backlog[Priority],MATCH($A40,Backlog[Requirement ID],0))),"")</f>
        <v/>
      </c>
      <c r="K40" s="115" t="n"/>
      <c r="L40" s="148" t="n"/>
      <c r="M40" s="148" t="n"/>
      <c r="N40" s="115" t="n"/>
      <c r="O40" s="149" t="n"/>
      <c r="P40" s="121" t="n"/>
      <c r="Q40" s="121" t="n"/>
    </row>
    <row r="41" ht="15" customHeight="1" s="93">
      <c r="A41" s="115">
        <f>Backlog!A41</f>
        <v/>
      </c>
      <c r="B41" s="117">
        <f>IFERROR(IF(ISBLANK(INDEX(Backlog[Requirement Name],MATCH($A41,Backlog[Requirement ID],0))),"",INDEX(Backlog[Requirement Name],MATCH($A41,Backlog[Requirement ID],0))),"")</f>
        <v/>
      </c>
      <c r="C41" s="117">
        <f>IFERROR(IF(ISBLANK(INDEX(Backlog[Stream],MATCH($A41,Backlog[Requirement ID],0))),"",INDEX(Backlog[Stream],MATCH($A41,Backlog[Requirement ID],0))),"")</f>
        <v/>
      </c>
      <c r="D41" s="117">
        <f>IFERROR(IF(ISBLANK(INDEX(Backlog[Stream Owner],MATCH($A41,Backlog[Requirement ID],0))),"",INDEX(Backlog[Stream Owner],MATCH($A41,Backlog[Requirement ID],0))),"")</f>
        <v/>
      </c>
      <c r="E41" s="117">
        <f>IFERROR(IF(ISBLANK(INDEX(Backlog[Jira Link],MATCH($A41,Backlog[Requirement ID],0))),"",INDEX(Backlog[Jira Link],MATCH($A41,Backlog[Requirement ID],0))),"")</f>
        <v/>
      </c>
      <c r="F41" s="115" t="inlineStr">
        <is>
          <t>Yes</t>
        </is>
      </c>
      <c r="G41" s="115" t="inlineStr">
        <is>
          <t>Yes</t>
        </is>
      </c>
      <c r="H41" s="128">
        <f>IFERROR(IF(ISBLANK(INDEX(SprintPlanning[Sprint],MATCH($A41,SprintPlanning[Requirement ID],0))),"",INDEX(SprintPlanning[Sprint],MATCH($A41,SprintPlanning[Requirement ID],0))),"")</f>
        <v/>
      </c>
      <c r="I41" s="117">
        <f>IFERROR(IF(ISBLANK(INDEX(Backlog[Status],MATCH($A41,Backlog[Requirement ID],0))),"",INDEX(Backlog[Status],MATCH($A41,Backlog[Requirement ID],0))),"")</f>
        <v/>
      </c>
      <c r="J41" s="117">
        <f>IFERROR(IF(ISBLANK(INDEX(Backlog[Priority],MATCH($A41,Backlog[Requirement ID],0))),"",INDEX(Backlog[Priority],MATCH($A41,Backlog[Requirement ID],0))),"")</f>
        <v/>
      </c>
      <c r="K41" s="115" t="n"/>
      <c r="L41" s="148" t="n"/>
      <c r="M41" s="148" t="n"/>
      <c r="N41" s="115" t="n"/>
      <c r="O41" s="149" t="n"/>
      <c r="P41" s="121" t="n"/>
      <c r="Q41" s="121" t="n"/>
    </row>
    <row r="42" ht="15" customHeight="1" s="93">
      <c r="A42" s="115">
        <f>Backlog!A42</f>
        <v/>
      </c>
      <c r="B42" s="117">
        <f>IFERROR(IF(ISBLANK(INDEX(Backlog[Requirement Name],MATCH($A42,Backlog[Requirement ID],0))),"",INDEX(Backlog[Requirement Name],MATCH($A42,Backlog[Requirement ID],0))),"")</f>
        <v/>
      </c>
      <c r="C42" s="117">
        <f>IFERROR(IF(ISBLANK(INDEX(Backlog[Stream],MATCH($A42,Backlog[Requirement ID],0))),"",INDEX(Backlog[Stream],MATCH($A42,Backlog[Requirement ID],0))),"")</f>
        <v/>
      </c>
      <c r="D42" s="117">
        <f>IFERROR(IF(ISBLANK(INDEX(Backlog[Stream Owner],MATCH($A42,Backlog[Requirement ID],0))),"",INDEX(Backlog[Stream Owner],MATCH($A42,Backlog[Requirement ID],0))),"")</f>
        <v/>
      </c>
      <c r="E42" s="117">
        <f>IFERROR(IF(ISBLANK(INDEX(Backlog[Jira Link],MATCH($A42,Backlog[Requirement ID],0))),"",INDEX(Backlog[Jira Link],MATCH($A42,Backlog[Requirement ID],0))),"")</f>
        <v/>
      </c>
      <c r="F42" s="115" t="inlineStr">
        <is>
          <t>No</t>
        </is>
      </c>
      <c r="G42" s="115" t="inlineStr">
        <is>
          <t>No</t>
        </is>
      </c>
      <c r="H42" s="128">
        <f>IFERROR(IF(ISBLANK(INDEX(SprintPlanning[Sprint],MATCH($A42,SprintPlanning[Requirement ID],0))),"",INDEX(SprintPlanning[Sprint],MATCH($A42,SprintPlanning[Requirement ID],0))),"")</f>
        <v/>
      </c>
      <c r="I42" s="117">
        <f>IFERROR(IF(ISBLANK(INDEX(Backlog[Status],MATCH($A42,Backlog[Requirement ID],0))),"",INDEX(Backlog[Status],MATCH($A42,Backlog[Requirement ID],0))),"")</f>
        <v/>
      </c>
      <c r="J42" s="117">
        <f>IFERROR(IF(ISBLANK(INDEX(Backlog[Priority],MATCH($A42,Backlog[Requirement ID],0))),"",INDEX(Backlog[Priority],MATCH($A42,Backlog[Requirement ID],0))),"")</f>
        <v/>
      </c>
      <c r="K42" s="115" t="n"/>
      <c r="L42" s="148" t="n"/>
      <c r="M42" s="148" t="n"/>
      <c r="N42" s="115" t="n"/>
      <c r="O42" s="149" t="n"/>
      <c r="P42" s="121" t="n"/>
      <c r="Q42" s="121" t="n"/>
    </row>
    <row r="43" ht="15" customHeight="1" s="93">
      <c r="A43" s="115">
        <f>Backlog!A43</f>
        <v/>
      </c>
      <c r="B43" s="117">
        <f>IFERROR(IF(ISBLANK(INDEX(Backlog[Requirement Name],MATCH($A43,Backlog[Requirement ID],0))),"",INDEX(Backlog[Requirement Name],MATCH($A43,Backlog[Requirement ID],0))),"")</f>
        <v/>
      </c>
      <c r="C43" s="117">
        <f>IFERROR(IF(ISBLANK(INDEX(Backlog[Stream],MATCH($A43,Backlog[Requirement ID],0))),"",INDEX(Backlog[Stream],MATCH($A43,Backlog[Requirement ID],0))),"")</f>
        <v/>
      </c>
      <c r="D43" s="117">
        <f>IFERROR(IF(ISBLANK(INDEX(Backlog[Stream Owner],MATCH($A43,Backlog[Requirement ID],0))),"",INDEX(Backlog[Stream Owner],MATCH($A43,Backlog[Requirement ID],0))),"")</f>
        <v/>
      </c>
      <c r="E43" s="117">
        <f>IFERROR(IF(ISBLANK(INDEX(Backlog[Jira Link],MATCH($A43,Backlog[Requirement ID],0))),"",INDEX(Backlog[Jira Link],MATCH($A43,Backlog[Requirement ID],0))),"")</f>
        <v/>
      </c>
      <c r="F43" s="115" t="inlineStr">
        <is>
          <t>No</t>
        </is>
      </c>
      <c r="G43" s="115" t="inlineStr">
        <is>
          <t>No</t>
        </is>
      </c>
      <c r="H43" s="128">
        <f>IFERROR(IF(ISBLANK(INDEX(SprintPlanning[Sprint],MATCH($A43,SprintPlanning[Requirement ID],0))),"",INDEX(SprintPlanning[Sprint],MATCH($A43,SprintPlanning[Requirement ID],0))),"")</f>
        <v/>
      </c>
      <c r="I43" s="117">
        <f>IFERROR(IF(ISBLANK(INDEX(Backlog[Status],MATCH($A43,Backlog[Requirement ID],0))),"",INDEX(Backlog[Status],MATCH($A43,Backlog[Requirement ID],0))),"")</f>
        <v/>
      </c>
      <c r="J43" s="117">
        <f>IFERROR(IF(ISBLANK(INDEX(Backlog[Priority],MATCH($A43,Backlog[Requirement ID],0))),"",INDEX(Backlog[Priority],MATCH($A43,Backlog[Requirement ID],0))),"")</f>
        <v/>
      </c>
      <c r="K43" s="115" t="n"/>
      <c r="L43" s="148" t="n"/>
      <c r="M43" s="148" t="n"/>
      <c r="N43" s="115" t="n"/>
      <c r="O43" s="149" t="n"/>
      <c r="P43" s="121" t="n"/>
      <c r="Q43" s="121" t="n"/>
    </row>
    <row r="44" ht="15" customHeight="1" s="93">
      <c r="A44" s="115">
        <f>Backlog!A44</f>
        <v/>
      </c>
      <c r="B44" s="117">
        <f>IFERROR(IF(ISBLANK(INDEX(Backlog[Requirement Name],MATCH($A44,Backlog[Requirement ID],0))),"",INDEX(Backlog[Requirement Name],MATCH($A44,Backlog[Requirement ID],0))),"")</f>
        <v/>
      </c>
      <c r="C44" s="117">
        <f>IFERROR(IF(ISBLANK(INDEX(Backlog[Stream],MATCH($A44,Backlog[Requirement ID],0))),"",INDEX(Backlog[Stream],MATCH($A44,Backlog[Requirement ID],0))),"")</f>
        <v/>
      </c>
      <c r="D44" s="117">
        <f>IFERROR(IF(ISBLANK(INDEX(Backlog[Stream Owner],MATCH($A44,Backlog[Requirement ID],0))),"",INDEX(Backlog[Stream Owner],MATCH($A44,Backlog[Requirement ID],0))),"")</f>
        <v/>
      </c>
      <c r="E44" s="117">
        <f>IFERROR(IF(ISBLANK(INDEX(Backlog[Jira Link],MATCH($A44,Backlog[Requirement ID],0))),"",INDEX(Backlog[Jira Link],MATCH($A44,Backlog[Requirement ID],0))),"")</f>
        <v/>
      </c>
      <c r="F44" s="115" t="inlineStr">
        <is>
          <t>NA</t>
        </is>
      </c>
      <c r="G44" s="115" t="inlineStr">
        <is>
          <t>NA</t>
        </is>
      </c>
      <c r="H44" s="128">
        <f>IFERROR(IF(ISBLANK(INDEX(SprintPlanning[Sprint],MATCH($A44,SprintPlanning[Requirement ID],0))),"",INDEX(SprintPlanning[Sprint],MATCH($A44,SprintPlanning[Requirement ID],0))),"")</f>
        <v/>
      </c>
      <c r="I44" s="117">
        <f>IFERROR(IF(ISBLANK(INDEX(Backlog[Status],MATCH($A44,Backlog[Requirement ID],0))),"",INDEX(Backlog[Status],MATCH($A44,Backlog[Requirement ID],0))),"")</f>
        <v/>
      </c>
      <c r="J44" s="117">
        <f>IFERROR(IF(ISBLANK(INDEX(Backlog[Priority],MATCH($A44,Backlog[Requirement ID],0))),"",INDEX(Backlog[Priority],MATCH($A44,Backlog[Requirement ID],0))),"")</f>
        <v/>
      </c>
      <c r="K44" s="115" t="n"/>
      <c r="L44" s="148" t="n"/>
      <c r="M44" s="148" t="n"/>
      <c r="N44" s="115" t="n"/>
      <c r="O44" s="149" t="n"/>
      <c r="P44" s="121" t="n"/>
      <c r="Q44" s="121" t="n"/>
    </row>
    <row r="45" ht="15" customHeight="1" s="93">
      <c r="A45" s="115">
        <f>Backlog!A45</f>
        <v/>
      </c>
      <c r="B45" s="117">
        <f>IFERROR(IF(ISBLANK(INDEX(Backlog[Requirement Name],MATCH($A45,Backlog[Requirement ID],0))),"",INDEX(Backlog[Requirement Name],MATCH($A45,Backlog[Requirement ID],0))),"")</f>
        <v/>
      </c>
      <c r="C45" s="117">
        <f>IFERROR(IF(ISBLANK(INDEX(Backlog[Stream],MATCH($A45,Backlog[Requirement ID],0))),"",INDEX(Backlog[Stream],MATCH($A45,Backlog[Requirement ID],0))),"")</f>
        <v/>
      </c>
      <c r="D45" s="117">
        <f>IFERROR(IF(ISBLANK(INDEX(Backlog[Stream Owner],MATCH($A45,Backlog[Requirement ID],0))),"",INDEX(Backlog[Stream Owner],MATCH($A45,Backlog[Requirement ID],0))),"")</f>
        <v/>
      </c>
      <c r="E45" s="117">
        <f>IFERROR(IF(ISBLANK(INDEX(Backlog[Jira Link],MATCH($A45,Backlog[Requirement ID],0))),"",INDEX(Backlog[Jira Link],MATCH($A45,Backlog[Requirement ID],0))),"")</f>
        <v/>
      </c>
      <c r="F45" s="115" t="inlineStr">
        <is>
          <t>No</t>
        </is>
      </c>
      <c r="G45" s="115" t="inlineStr">
        <is>
          <t>No</t>
        </is>
      </c>
      <c r="H45" s="128">
        <f>IFERROR(IF(ISBLANK(INDEX(SprintPlanning[Sprint],MATCH($A45,SprintPlanning[Requirement ID],0))),"",INDEX(SprintPlanning[Sprint],MATCH($A45,SprintPlanning[Requirement ID],0))),"")</f>
        <v/>
      </c>
      <c r="I45" s="117">
        <f>IFERROR(IF(ISBLANK(INDEX(Backlog[Status],MATCH($A45,Backlog[Requirement ID],0))),"",INDEX(Backlog[Status],MATCH($A45,Backlog[Requirement ID],0))),"")</f>
        <v/>
      </c>
      <c r="J45" s="117">
        <f>IFERROR(IF(ISBLANK(INDEX(Backlog[Priority],MATCH($A45,Backlog[Requirement ID],0))),"",INDEX(Backlog[Priority],MATCH($A45,Backlog[Requirement ID],0))),"")</f>
        <v/>
      </c>
      <c r="K45" s="115" t="n"/>
      <c r="L45" s="148" t="n"/>
      <c r="M45" s="148" t="n"/>
      <c r="N45" s="115" t="n"/>
      <c r="O45" s="149" t="n"/>
      <c r="P45" s="121" t="n"/>
      <c r="Q45" s="121" t="n"/>
    </row>
    <row r="46" ht="15" customHeight="1" s="93">
      <c r="A46" s="115">
        <f>Backlog!A46</f>
        <v/>
      </c>
      <c r="B46" s="117">
        <f>IFERROR(IF(ISBLANK(INDEX(Backlog[Requirement Name],MATCH($A46,Backlog[Requirement ID],0))),"",INDEX(Backlog[Requirement Name],MATCH($A46,Backlog[Requirement ID],0))),"")</f>
        <v/>
      </c>
      <c r="C46" s="117">
        <f>IFERROR(IF(ISBLANK(INDEX(Backlog[Stream],MATCH($A46,Backlog[Requirement ID],0))),"",INDEX(Backlog[Stream],MATCH($A46,Backlog[Requirement ID],0))),"")</f>
        <v/>
      </c>
      <c r="D46" s="117">
        <f>IFERROR(IF(ISBLANK(INDEX(Backlog[Stream Owner],MATCH($A46,Backlog[Requirement ID],0))),"",INDEX(Backlog[Stream Owner],MATCH($A46,Backlog[Requirement ID],0))),"")</f>
        <v/>
      </c>
      <c r="E46" s="117">
        <f>IFERROR(IF(ISBLANK(INDEX(Backlog[Jira Link],MATCH($A46,Backlog[Requirement ID],0))),"",INDEX(Backlog[Jira Link],MATCH($A46,Backlog[Requirement ID],0))),"")</f>
        <v/>
      </c>
      <c r="F46" s="115" t="inlineStr">
        <is>
          <t>No</t>
        </is>
      </c>
      <c r="G46" s="115" t="inlineStr">
        <is>
          <t>No</t>
        </is>
      </c>
      <c r="H46" s="128">
        <f>IFERROR(IF(ISBLANK(INDEX(SprintPlanning[Sprint],MATCH($A46,SprintPlanning[Requirement ID],0))),"",INDEX(SprintPlanning[Sprint],MATCH($A46,SprintPlanning[Requirement ID],0))),"")</f>
        <v/>
      </c>
      <c r="I46" s="117">
        <f>IFERROR(IF(ISBLANK(INDEX(Backlog[Status],MATCH($A46,Backlog[Requirement ID],0))),"",INDEX(Backlog[Status],MATCH($A46,Backlog[Requirement ID],0))),"")</f>
        <v/>
      </c>
      <c r="J46" s="117">
        <f>IFERROR(IF(ISBLANK(INDEX(Backlog[Priority],MATCH($A46,Backlog[Requirement ID],0))),"",INDEX(Backlog[Priority],MATCH($A46,Backlog[Requirement ID],0))),"")</f>
        <v/>
      </c>
      <c r="K46" s="115" t="n"/>
      <c r="L46" s="148" t="n"/>
      <c r="M46" s="148" t="n"/>
      <c r="N46" s="115" t="n"/>
      <c r="O46" s="149" t="n"/>
      <c r="P46" s="121" t="n"/>
      <c r="Q46" s="121" t="n"/>
    </row>
    <row r="47" ht="15" customHeight="1" s="93">
      <c r="A47" s="115">
        <f>Backlog!A47</f>
        <v/>
      </c>
      <c r="B47" s="117">
        <f>IFERROR(IF(ISBLANK(INDEX(Backlog[Requirement Name],MATCH($A47,Backlog[Requirement ID],0))),"",INDEX(Backlog[Requirement Name],MATCH($A47,Backlog[Requirement ID],0))),"")</f>
        <v/>
      </c>
      <c r="C47" s="117">
        <f>IFERROR(IF(ISBLANK(INDEX(Backlog[Stream],MATCH($A47,Backlog[Requirement ID],0))),"",INDEX(Backlog[Stream],MATCH($A47,Backlog[Requirement ID],0))),"")</f>
        <v/>
      </c>
      <c r="D47" s="117">
        <f>IFERROR(IF(ISBLANK(INDEX(Backlog[Stream Owner],MATCH($A47,Backlog[Requirement ID],0))),"",INDEX(Backlog[Stream Owner],MATCH($A47,Backlog[Requirement ID],0))),"")</f>
        <v/>
      </c>
      <c r="E47" s="117">
        <f>IFERROR(IF(ISBLANK(INDEX(Backlog[Jira Link],MATCH($A47,Backlog[Requirement ID],0))),"",INDEX(Backlog[Jira Link],MATCH($A47,Backlog[Requirement ID],0))),"")</f>
        <v/>
      </c>
      <c r="F47" s="115" t="inlineStr">
        <is>
          <t>No</t>
        </is>
      </c>
      <c r="G47" s="115" t="inlineStr">
        <is>
          <t>No</t>
        </is>
      </c>
      <c r="H47" s="128">
        <f>IFERROR(IF(ISBLANK(INDEX(SprintPlanning[Sprint],MATCH($A47,SprintPlanning[Requirement ID],0))),"",INDEX(SprintPlanning[Sprint],MATCH($A47,SprintPlanning[Requirement ID],0))),"")</f>
        <v/>
      </c>
      <c r="I47" s="117">
        <f>IFERROR(IF(ISBLANK(INDEX(Backlog[Status],MATCH($A47,Backlog[Requirement ID],0))),"",INDEX(Backlog[Status],MATCH($A47,Backlog[Requirement ID],0))),"")</f>
        <v/>
      </c>
      <c r="J47" s="117">
        <f>IFERROR(IF(ISBLANK(INDEX(Backlog[Priority],MATCH($A47,Backlog[Requirement ID],0))),"",INDEX(Backlog[Priority],MATCH($A47,Backlog[Requirement ID],0))),"")</f>
        <v/>
      </c>
      <c r="K47" s="115" t="n"/>
      <c r="L47" s="148" t="n"/>
      <c r="M47" s="148" t="n"/>
      <c r="N47" s="115" t="n"/>
      <c r="O47" s="149" t="n"/>
      <c r="P47" s="121" t="n"/>
      <c r="Q47" s="121" t="n"/>
    </row>
    <row r="48" ht="15" customHeight="1" s="93">
      <c r="A48" s="115">
        <f>Backlog!A48</f>
        <v/>
      </c>
      <c r="B48" s="117">
        <f>IFERROR(IF(ISBLANK(INDEX(Backlog[Requirement Name],MATCH($A48,Backlog[Requirement ID],0))),"",INDEX(Backlog[Requirement Name],MATCH($A48,Backlog[Requirement ID],0))),"")</f>
        <v/>
      </c>
      <c r="C48" s="117">
        <f>IFERROR(IF(ISBLANK(INDEX(Backlog[Stream],MATCH($A48,Backlog[Requirement ID],0))),"",INDEX(Backlog[Stream],MATCH($A48,Backlog[Requirement ID],0))),"")</f>
        <v/>
      </c>
      <c r="D48" s="117">
        <f>IFERROR(IF(ISBLANK(INDEX(Backlog[Stream Owner],MATCH($A48,Backlog[Requirement ID],0))),"",INDEX(Backlog[Stream Owner],MATCH($A48,Backlog[Requirement ID],0))),"")</f>
        <v/>
      </c>
      <c r="E48" s="117">
        <f>IFERROR(IF(ISBLANK(INDEX(Backlog[Jira Link],MATCH($A48,Backlog[Requirement ID],0))),"",INDEX(Backlog[Jira Link],MATCH($A48,Backlog[Requirement ID],0))),"")</f>
        <v/>
      </c>
      <c r="F48" s="115" t="inlineStr">
        <is>
          <t>No</t>
        </is>
      </c>
      <c r="G48" s="115" t="inlineStr">
        <is>
          <t>No</t>
        </is>
      </c>
      <c r="H48" s="128">
        <f>IFERROR(IF(ISBLANK(INDEX(SprintPlanning[Sprint],MATCH($A48,SprintPlanning[Requirement ID],0))),"",INDEX(SprintPlanning[Sprint],MATCH($A48,SprintPlanning[Requirement ID],0))),"")</f>
        <v/>
      </c>
      <c r="I48" s="117">
        <f>IFERROR(IF(ISBLANK(INDEX(Backlog[Status],MATCH($A48,Backlog[Requirement ID],0))),"",INDEX(Backlog[Status],MATCH($A48,Backlog[Requirement ID],0))),"")</f>
        <v/>
      </c>
      <c r="J48" s="117">
        <f>IFERROR(IF(ISBLANK(INDEX(Backlog[Priority],MATCH($A48,Backlog[Requirement ID],0))),"",INDEX(Backlog[Priority],MATCH($A48,Backlog[Requirement ID],0))),"")</f>
        <v/>
      </c>
      <c r="K48" s="115" t="n"/>
      <c r="L48" s="148" t="n"/>
      <c r="M48" s="148" t="n"/>
      <c r="N48" s="115" t="n"/>
      <c r="O48" s="149" t="n"/>
      <c r="P48" s="121" t="n"/>
      <c r="Q48" s="121" t="n"/>
    </row>
    <row r="49" ht="15" customHeight="1" s="93">
      <c r="A49" s="115">
        <f>Backlog!A49</f>
        <v/>
      </c>
      <c r="B49" s="117">
        <f>IFERROR(IF(ISBLANK(INDEX(Backlog[Requirement Name],MATCH($A49,Backlog[Requirement ID],0))),"",INDEX(Backlog[Requirement Name],MATCH($A49,Backlog[Requirement ID],0))),"")</f>
        <v/>
      </c>
      <c r="C49" s="117">
        <f>IFERROR(IF(ISBLANK(INDEX(Backlog[Stream],MATCH($A49,Backlog[Requirement ID],0))),"",INDEX(Backlog[Stream],MATCH($A49,Backlog[Requirement ID],0))),"")</f>
        <v/>
      </c>
      <c r="D49" s="117">
        <f>IFERROR(IF(ISBLANK(INDEX(Backlog[Stream Owner],MATCH($A49,Backlog[Requirement ID],0))),"",INDEX(Backlog[Stream Owner],MATCH($A49,Backlog[Requirement ID],0))),"")</f>
        <v/>
      </c>
      <c r="E49" s="117">
        <f>IFERROR(IF(ISBLANK(INDEX(Backlog[Jira Link],MATCH($A49,Backlog[Requirement ID],0))),"",INDEX(Backlog[Jira Link],MATCH($A49,Backlog[Requirement ID],0))),"")</f>
        <v/>
      </c>
      <c r="F49" s="115" t="inlineStr">
        <is>
          <t>No</t>
        </is>
      </c>
      <c r="G49" s="115" t="inlineStr">
        <is>
          <t>No</t>
        </is>
      </c>
      <c r="H49" s="128">
        <f>IFERROR(IF(ISBLANK(INDEX(SprintPlanning[Sprint],MATCH($A49,SprintPlanning[Requirement ID],0))),"",INDEX(SprintPlanning[Sprint],MATCH($A49,SprintPlanning[Requirement ID],0))),"")</f>
        <v/>
      </c>
      <c r="I49" s="117">
        <f>IFERROR(IF(ISBLANK(INDEX(Backlog[Status],MATCH($A49,Backlog[Requirement ID],0))),"",INDEX(Backlog[Status],MATCH($A49,Backlog[Requirement ID],0))),"")</f>
        <v/>
      </c>
      <c r="J49" s="117">
        <f>IFERROR(IF(ISBLANK(INDEX(Backlog[Priority],MATCH($A49,Backlog[Requirement ID],0))),"",INDEX(Backlog[Priority],MATCH($A49,Backlog[Requirement ID],0))),"")</f>
        <v/>
      </c>
      <c r="K49" s="115" t="n"/>
      <c r="L49" s="148" t="n"/>
      <c r="M49" s="148" t="n"/>
      <c r="N49" s="115" t="n"/>
      <c r="O49" s="149" t="n"/>
      <c r="P49" s="121" t="n"/>
      <c r="Q49" s="121" t="n"/>
    </row>
    <row r="50" ht="15" customHeight="1" s="93">
      <c r="A50" s="115">
        <f>Backlog!A50</f>
        <v/>
      </c>
      <c r="B50" s="117">
        <f>IFERROR(IF(ISBLANK(INDEX(Backlog[Requirement Name],MATCH($A50,Backlog[Requirement ID],0))),"",INDEX(Backlog[Requirement Name],MATCH($A50,Backlog[Requirement ID],0))),"")</f>
        <v/>
      </c>
      <c r="C50" s="117">
        <f>IFERROR(IF(ISBLANK(INDEX(Backlog[Stream],MATCH($A50,Backlog[Requirement ID],0))),"",INDEX(Backlog[Stream],MATCH($A50,Backlog[Requirement ID],0))),"")</f>
        <v/>
      </c>
      <c r="D50" s="117">
        <f>IFERROR(IF(ISBLANK(INDEX(Backlog[Stream Owner],MATCH($A50,Backlog[Requirement ID],0))),"",INDEX(Backlog[Stream Owner],MATCH($A50,Backlog[Requirement ID],0))),"")</f>
        <v/>
      </c>
      <c r="E50" s="117">
        <f>IFERROR(IF(ISBLANK(INDEX(Backlog[Jira Link],MATCH($A50,Backlog[Requirement ID],0))),"",INDEX(Backlog[Jira Link],MATCH($A50,Backlog[Requirement ID],0))),"")</f>
        <v/>
      </c>
      <c r="F50" s="115" t="inlineStr">
        <is>
          <t>Yes</t>
        </is>
      </c>
      <c r="G50" s="115" t="inlineStr">
        <is>
          <t>No</t>
        </is>
      </c>
      <c r="H50" s="128">
        <f>IFERROR(IF(ISBLANK(INDEX(SprintPlanning[Sprint],MATCH($A50,SprintPlanning[Requirement ID],0))),"",INDEX(SprintPlanning[Sprint],MATCH($A50,SprintPlanning[Requirement ID],0))),"")</f>
        <v/>
      </c>
      <c r="I50" s="117">
        <f>IFERROR(IF(ISBLANK(INDEX(Backlog[Status],MATCH($A50,Backlog[Requirement ID],0))),"",INDEX(Backlog[Status],MATCH($A50,Backlog[Requirement ID],0))),"")</f>
        <v/>
      </c>
      <c r="J50" s="117">
        <f>IFERROR(IF(ISBLANK(INDEX(Backlog[Priority],MATCH($A50,Backlog[Requirement ID],0))),"",INDEX(Backlog[Priority],MATCH($A50,Backlog[Requirement ID],0))),"")</f>
        <v/>
      </c>
      <c r="K50" s="115" t="n"/>
      <c r="L50" s="148" t="n"/>
      <c r="M50" s="148" t="n"/>
      <c r="N50" s="115" t="n"/>
      <c r="O50" s="149" t="n"/>
      <c r="P50" s="121" t="n"/>
      <c r="Q50" s="121" t="n"/>
    </row>
    <row r="51" ht="15" customHeight="1" s="93">
      <c r="A51" s="115">
        <f>Backlog!A51</f>
        <v/>
      </c>
      <c r="B51" s="117">
        <f>IFERROR(IF(ISBLANK(INDEX(Backlog[Requirement Name],MATCH($A51,Backlog[Requirement ID],0))),"",INDEX(Backlog[Requirement Name],MATCH($A51,Backlog[Requirement ID],0))),"")</f>
        <v/>
      </c>
      <c r="C51" s="117">
        <f>IFERROR(IF(ISBLANK(INDEX(Backlog[Stream],MATCH($A51,Backlog[Requirement ID],0))),"",INDEX(Backlog[Stream],MATCH($A51,Backlog[Requirement ID],0))),"")</f>
        <v/>
      </c>
      <c r="D51" s="117">
        <f>IFERROR(IF(ISBLANK(INDEX(Backlog[Stream Owner],MATCH($A51,Backlog[Requirement ID],0))),"",INDEX(Backlog[Stream Owner],MATCH($A51,Backlog[Requirement ID],0))),"")</f>
        <v/>
      </c>
      <c r="E51" s="117">
        <f>IFERROR(IF(ISBLANK(INDEX(Backlog[Jira Link],MATCH($A51,Backlog[Requirement ID],0))),"",INDEX(Backlog[Jira Link],MATCH($A51,Backlog[Requirement ID],0))),"")</f>
        <v/>
      </c>
      <c r="F51" s="115" t="inlineStr">
        <is>
          <t>No</t>
        </is>
      </c>
      <c r="G51" s="115" t="inlineStr">
        <is>
          <t>No</t>
        </is>
      </c>
      <c r="H51" s="128">
        <f>IFERROR(IF(ISBLANK(INDEX(SprintPlanning[Sprint],MATCH($A51,SprintPlanning[Requirement ID],0))),"",INDEX(SprintPlanning[Sprint],MATCH($A51,SprintPlanning[Requirement ID],0))),"")</f>
        <v/>
      </c>
      <c r="I51" s="117">
        <f>IFERROR(IF(ISBLANK(INDEX(Backlog[Status],MATCH($A51,Backlog[Requirement ID],0))),"",INDEX(Backlog[Status],MATCH($A51,Backlog[Requirement ID],0))),"")</f>
        <v/>
      </c>
      <c r="J51" s="117">
        <f>IFERROR(IF(ISBLANK(INDEX(Backlog[Priority],MATCH($A51,Backlog[Requirement ID],0))),"",INDEX(Backlog[Priority],MATCH($A51,Backlog[Requirement ID],0))),"")</f>
        <v/>
      </c>
      <c r="K51" s="115" t="n"/>
      <c r="L51" s="148" t="n"/>
      <c r="M51" s="148" t="n"/>
      <c r="N51" s="115" t="n"/>
      <c r="O51" s="149" t="n"/>
      <c r="P51" s="121" t="n"/>
      <c r="Q51" s="121" t="n"/>
    </row>
    <row r="52" ht="15" customHeight="1" s="93">
      <c r="A52" s="115">
        <f>Backlog!A52</f>
        <v/>
      </c>
      <c r="B52" s="117">
        <f>IFERROR(IF(ISBLANK(INDEX(Backlog[Requirement Name],MATCH($A52,Backlog[Requirement ID],0))),"",INDEX(Backlog[Requirement Name],MATCH($A52,Backlog[Requirement ID],0))),"")</f>
        <v/>
      </c>
      <c r="C52" s="117">
        <f>IFERROR(IF(ISBLANK(INDEX(Backlog[Stream],MATCH($A52,Backlog[Requirement ID],0))),"",INDEX(Backlog[Stream],MATCH($A52,Backlog[Requirement ID],0))),"")</f>
        <v/>
      </c>
      <c r="D52" s="117">
        <f>IFERROR(IF(ISBLANK(INDEX(Backlog[Stream Owner],MATCH($A52,Backlog[Requirement ID],0))),"",INDEX(Backlog[Stream Owner],MATCH($A52,Backlog[Requirement ID],0))),"")</f>
        <v/>
      </c>
      <c r="E52" s="117">
        <f>IFERROR(IF(ISBLANK(INDEX(Backlog[Jira Link],MATCH($A52,Backlog[Requirement ID],0))),"",INDEX(Backlog[Jira Link],MATCH($A52,Backlog[Requirement ID],0))),"")</f>
        <v/>
      </c>
      <c r="F52" s="115" t="inlineStr">
        <is>
          <t>No</t>
        </is>
      </c>
      <c r="G52" s="115" t="inlineStr">
        <is>
          <t>No</t>
        </is>
      </c>
      <c r="H52" s="128">
        <f>IFERROR(IF(ISBLANK(INDEX(SprintPlanning[Sprint],MATCH($A52,SprintPlanning[Requirement ID],0))),"",INDEX(SprintPlanning[Sprint],MATCH($A52,SprintPlanning[Requirement ID],0))),"")</f>
        <v/>
      </c>
      <c r="I52" s="117">
        <f>IFERROR(IF(ISBLANK(INDEX(Backlog[Status],MATCH($A52,Backlog[Requirement ID],0))),"",INDEX(Backlog[Status],MATCH($A52,Backlog[Requirement ID],0))),"")</f>
        <v/>
      </c>
      <c r="J52" s="117">
        <f>IFERROR(IF(ISBLANK(INDEX(Backlog[Priority],MATCH($A52,Backlog[Requirement ID],0))),"",INDEX(Backlog[Priority],MATCH($A52,Backlog[Requirement ID],0))),"")</f>
        <v/>
      </c>
      <c r="K52" s="115" t="n"/>
      <c r="L52" s="148" t="n"/>
      <c r="M52" s="148" t="n"/>
      <c r="N52" s="115" t="n"/>
      <c r="O52" s="149" t="n"/>
      <c r="P52" s="121" t="n"/>
      <c r="Q52" s="121" t="n"/>
    </row>
    <row r="53" ht="15" customHeight="1" s="93">
      <c r="A53" s="115">
        <f>Backlog!A53</f>
        <v/>
      </c>
      <c r="B53" s="117">
        <f>IFERROR(IF(ISBLANK(INDEX(Backlog[Requirement Name],MATCH($A53,Backlog[Requirement ID],0))),"",INDEX(Backlog[Requirement Name],MATCH($A53,Backlog[Requirement ID],0))),"")</f>
        <v/>
      </c>
      <c r="C53" s="117">
        <f>IFERROR(IF(ISBLANK(INDEX(Backlog[Stream],MATCH($A53,Backlog[Requirement ID],0))),"",INDEX(Backlog[Stream],MATCH($A53,Backlog[Requirement ID],0))),"")</f>
        <v/>
      </c>
      <c r="D53" s="117">
        <f>IFERROR(IF(ISBLANK(INDEX(Backlog[Stream Owner],MATCH($A53,Backlog[Requirement ID],0))),"",INDEX(Backlog[Stream Owner],MATCH($A53,Backlog[Requirement ID],0))),"")</f>
        <v/>
      </c>
      <c r="E53" s="117">
        <f>IFERROR(IF(ISBLANK(INDEX(Backlog[Jira Link],MATCH($A53,Backlog[Requirement ID],0))),"",INDEX(Backlog[Jira Link],MATCH($A53,Backlog[Requirement ID],0))),"")</f>
        <v/>
      </c>
      <c r="F53" s="115" t="inlineStr">
        <is>
          <t>No</t>
        </is>
      </c>
      <c r="G53" s="115" t="inlineStr">
        <is>
          <t>No</t>
        </is>
      </c>
      <c r="H53" s="128">
        <f>IFERROR(IF(ISBLANK(INDEX(SprintPlanning[Sprint],MATCH($A53,SprintPlanning[Requirement ID],0))),"",INDEX(SprintPlanning[Sprint],MATCH($A53,SprintPlanning[Requirement ID],0))),"")</f>
        <v/>
      </c>
      <c r="I53" s="117">
        <f>IFERROR(IF(ISBLANK(INDEX(Backlog[Status],MATCH($A53,Backlog[Requirement ID],0))),"",INDEX(Backlog[Status],MATCH($A53,Backlog[Requirement ID],0))),"")</f>
        <v/>
      </c>
      <c r="J53" s="117">
        <f>IFERROR(IF(ISBLANK(INDEX(Backlog[Priority],MATCH($A53,Backlog[Requirement ID],0))),"",INDEX(Backlog[Priority],MATCH($A53,Backlog[Requirement ID],0))),"")</f>
        <v/>
      </c>
      <c r="K53" s="115" t="n"/>
      <c r="L53" s="148" t="n"/>
      <c r="M53" s="148" t="n"/>
      <c r="N53" s="115" t="n"/>
      <c r="O53" s="149" t="n"/>
      <c r="P53" s="121" t="n"/>
      <c r="Q53" s="121" t="n"/>
    </row>
    <row r="54" ht="15" customHeight="1" s="93">
      <c r="A54" s="115">
        <f>Backlog!A54</f>
        <v/>
      </c>
      <c r="B54" s="117">
        <f>IFERROR(IF(ISBLANK(INDEX(Backlog[Requirement Name],MATCH($A54,Backlog[Requirement ID],0))),"",INDEX(Backlog[Requirement Name],MATCH($A54,Backlog[Requirement ID],0))),"")</f>
        <v/>
      </c>
      <c r="C54" s="117">
        <f>IFERROR(IF(ISBLANK(INDEX(Backlog[Stream],MATCH($A54,Backlog[Requirement ID],0))),"",INDEX(Backlog[Stream],MATCH($A54,Backlog[Requirement ID],0))),"")</f>
        <v/>
      </c>
      <c r="D54" s="117">
        <f>IFERROR(IF(ISBLANK(INDEX(Backlog[Stream Owner],MATCH($A54,Backlog[Requirement ID],0))),"",INDEX(Backlog[Stream Owner],MATCH($A54,Backlog[Requirement ID],0))),"")</f>
        <v/>
      </c>
      <c r="E54" s="117">
        <f>IFERROR(IF(ISBLANK(INDEX(Backlog[Jira Link],MATCH($A54,Backlog[Requirement ID],0))),"",INDEX(Backlog[Jira Link],MATCH($A54,Backlog[Requirement ID],0))),"")</f>
        <v/>
      </c>
      <c r="F54" s="115" t="inlineStr">
        <is>
          <t>No</t>
        </is>
      </c>
      <c r="G54" s="115" t="inlineStr">
        <is>
          <t>No</t>
        </is>
      </c>
      <c r="H54" s="128">
        <f>IFERROR(IF(ISBLANK(INDEX(SprintPlanning[Sprint],MATCH($A54,SprintPlanning[Requirement ID],0))),"",INDEX(SprintPlanning[Sprint],MATCH($A54,SprintPlanning[Requirement ID],0))),"")</f>
        <v/>
      </c>
      <c r="I54" s="117">
        <f>IFERROR(IF(ISBLANK(INDEX(Backlog[Status],MATCH($A54,Backlog[Requirement ID],0))),"",INDEX(Backlog[Status],MATCH($A54,Backlog[Requirement ID],0))),"")</f>
        <v/>
      </c>
      <c r="J54" s="117">
        <f>IFERROR(IF(ISBLANK(INDEX(Backlog[Priority],MATCH($A54,Backlog[Requirement ID],0))),"",INDEX(Backlog[Priority],MATCH($A54,Backlog[Requirement ID],0))),"")</f>
        <v/>
      </c>
      <c r="K54" s="115" t="n"/>
      <c r="L54" s="148" t="n"/>
      <c r="M54" s="148" t="n"/>
      <c r="N54" s="115" t="n"/>
      <c r="O54" s="149" t="n"/>
      <c r="P54" s="121" t="n"/>
      <c r="Q54" s="121" t="n"/>
    </row>
    <row r="55" ht="15" customHeight="1" s="93">
      <c r="A55" s="115">
        <f>Backlog!A55</f>
        <v/>
      </c>
      <c r="B55" s="117">
        <f>IFERROR(IF(ISBLANK(INDEX(Backlog[Requirement Name],MATCH($A55,Backlog[Requirement ID],0))),"",INDEX(Backlog[Requirement Name],MATCH($A55,Backlog[Requirement ID],0))),"")</f>
        <v/>
      </c>
      <c r="C55" s="117">
        <f>IFERROR(IF(ISBLANK(INDEX(Backlog[Stream],MATCH($A55,Backlog[Requirement ID],0))),"",INDEX(Backlog[Stream],MATCH($A55,Backlog[Requirement ID],0))),"")</f>
        <v/>
      </c>
      <c r="D55" s="117">
        <f>IFERROR(IF(ISBLANK(INDEX(Backlog[Stream Owner],MATCH($A55,Backlog[Requirement ID],0))),"",INDEX(Backlog[Stream Owner],MATCH($A55,Backlog[Requirement ID],0))),"")</f>
        <v/>
      </c>
      <c r="E55" s="117">
        <f>IFERROR(IF(ISBLANK(INDEX(Backlog[Jira Link],MATCH($A55,Backlog[Requirement ID],0))),"",INDEX(Backlog[Jira Link],MATCH($A55,Backlog[Requirement ID],0))),"")</f>
        <v/>
      </c>
      <c r="F55" s="115" t="inlineStr">
        <is>
          <t>No</t>
        </is>
      </c>
      <c r="G55" s="115" t="inlineStr">
        <is>
          <t>No</t>
        </is>
      </c>
      <c r="H55" s="128">
        <f>IFERROR(IF(ISBLANK(INDEX(SprintPlanning[Sprint],MATCH($A55,SprintPlanning[Requirement ID],0))),"",INDEX(SprintPlanning[Sprint],MATCH($A55,SprintPlanning[Requirement ID],0))),"")</f>
        <v/>
      </c>
      <c r="I55" s="117">
        <f>IFERROR(IF(ISBLANK(INDEX(Backlog[Status],MATCH($A55,Backlog[Requirement ID],0))),"",INDEX(Backlog[Status],MATCH($A55,Backlog[Requirement ID],0))),"")</f>
        <v/>
      </c>
      <c r="J55" s="117">
        <f>IFERROR(IF(ISBLANK(INDEX(Backlog[Priority],MATCH($A55,Backlog[Requirement ID],0))),"",INDEX(Backlog[Priority],MATCH($A55,Backlog[Requirement ID],0))),"")</f>
        <v/>
      </c>
      <c r="K55" s="115" t="n"/>
      <c r="L55" s="148" t="n"/>
      <c r="M55" s="148" t="n"/>
      <c r="N55" s="115" t="n"/>
      <c r="O55" s="149" t="n"/>
      <c r="P55" s="121" t="n"/>
      <c r="Q55" s="121" t="n"/>
    </row>
    <row r="56" ht="15" customHeight="1" s="93">
      <c r="A56" s="115">
        <f>Backlog!A56</f>
        <v/>
      </c>
      <c r="B56" s="117">
        <f>IFERROR(IF(ISBLANK(INDEX(Backlog[Requirement Name],MATCH($A56,Backlog[Requirement ID],0))),"",INDEX(Backlog[Requirement Name],MATCH($A56,Backlog[Requirement ID],0))),"")</f>
        <v/>
      </c>
      <c r="C56" s="117">
        <f>IFERROR(IF(ISBLANK(INDEX(Backlog[Stream],MATCH($A56,Backlog[Requirement ID],0))),"",INDEX(Backlog[Stream],MATCH($A56,Backlog[Requirement ID],0))),"")</f>
        <v/>
      </c>
      <c r="D56" s="117">
        <f>IFERROR(IF(ISBLANK(INDEX(Backlog[Stream Owner],MATCH($A56,Backlog[Requirement ID],0))),"",INDEX(Backlog[Stream Owner],MATCH($A56,Backlog[Requirement ID],0))),"")</f>
        <v/>
      </c>
      <c r="E56" s="117">
        <f>IFERROR(IF(ISBLANK(INDEX(Backlog[Jira Link],MATCH($A56,Backlog[Requirement ID],0))),"",INDEX(Backlog[Jira Link],MATCH($A56,Backlog[Requirement ID],0))),"")</f>
        <v/>
      </c>
      <c r="F56" s="115" t="inlineStr">
        <is>
          <t>No</t>
        </is>
      </c>
      <c r="G56" s="115" t="inlineStr">
        <is>
          <t>No</t>
        </is>
      </c>
      <c r="H56" s="128">
        <f>IFERROR(IF(ISBLANK(INDEX(SprintPlanning[Sprint],MATCH($A56,SprintPlanning[Requirement ID],0))),"",INDEX(SprintPlanning[Sprint],MATCH($A56,SprintPlanning[Requirement ID],0))),"")</f>
        <v/>
      </c>
      <c r="I56" s="117">
        <f>IFERROR(IF(ISBLANK(INDEX(Backlog[Status],MATCH($A56,Backlog[Requirement ID],0))),"",INDEX(Backlog[Status],MATCH($A56,Backlog[Requirement ID],0))),"")</f>
        <v/>
      </c>
      <c r="J56" s="117">
        <f>IFERROR(IF(ISBLANK(INDEX(Backlog[Priority],MATCH($A56,Backlog[Requirement ID],0))),"",INDEX(Backlog[Priority],MATCH($A56,Backlog[Requirement ID],0))),"")</f>
        <v/>
      </c>
      <c r="K56" s="115" t="n"/>
      <c r="L56" s="148" t="n"/>
      <c r="M56" s="148" t="n"/>
      <c r="N56" s="115" t="n"/>
      <c r="O56" s="149" t="n"/>
      <c r="P56" s="121" t="n"/>
      <c r="Q56" s="121" t="n"/>
    </row>
    <row r="57" ht="15" customHeight="1" s="93">
      <c r="A57" s="115">
        <f>Backlog!A57</f>
        <v/>
      </c>
      <c r="B57" s="117">
        <f>IFERROR(IF(ISBLANK(INDEX(Backlog[Requirement Name],MATCH($A57,Backlog[Requirement ID],0))),"",INDEX(Backlog[Requirement Name],MATCH($A57,Backlog[Requirement ID],0))),"")</f>
        <v/>
      </c>
      <c r="C57" s="117">
        <f>IFERROR(IF(ISBLANK(INDEX(Backlog[Stream],MATCH($A57,Backlog[Requirement ID],0))),"",INDEX(Backlog[Stream],MATCH($A57,Backlog[Requirement ID],0))),"")</f>
        <v/>
      </c>
      <c r="D57" s="117">
        <f>IFERROR(IF(ISBLANK(INDEX(Backlog[Stream Owner],MATCH($A57,Backlog[Requirement ID],0))),"",INDEX(Backlog[Stream Owner],MATCH($A57,Backlog[Requirement ID],0))),"")</f>
        <v/>
      </c>
      <c r="E57" s="117">
        <f>IFERROR(IF(ISBLANK(INDEX(Backlog[Jira Link],MATCH($A57,Backlog[Requirement ID],0))),"",INDEX(Backlog[Jira Link],MATCH($A57,Backlog[Requirement ID],0))),"")</f>
        <v/>
      </c>
      <c r="F57" s="115" t="inlineStr">
        <is>
          <t>No</t>
        </is>
      </c>
      <c r="G57" s="115" t="inlineStr">
        <is>
          <t>No</t>
        </is>
      </c>
      <c r="H57" s="128">
        <f>IFERROR(IF(ISBLANK(INDEX(SprintPlanning[Sprint],MATCH($A57,SprintPlanning[Requirement ID],0))),"",INDEX(SprintPlanning[Sprint],MATCH($A57,SprintPlanning[Requirement ID],0))),"")</f>
        <v/>
      </c>
      <c r="I57" s="117">
        <f>IFERROR(IF(ISBLANK(INDEX(Backlog[Status],MATCH($A57,Backlog[Requirement ID],0))),"",INDEX(Backlog[Status],MATCH($A57,Backlog[Requirement ID],0))),"")</f>
        <v/>
      </c>
      <c r="J57" s="117">
        <f>IFERROR(IF(ISBLANK(INDEX(Backlog[Priority],MATCH($A57,Backlog[Requirement ID],0))),"",INDEX(Backlog[Priority],MATCH($A57,Backlog[Requirement ID],0))),"")</f>
        <v/>
      </c>
      <c r="K57" s="115" t="n"/>
      <c r="L57" s="148" t="n"/>
      <c r="M57" s="148" t="n"/>
      <c r="N57" s="115" t="n"/>
      <c r="O57" s="149" t="n"/>
      <c r="P57" s="121" t="n"/>
      <c r="Q57" s="121" t="n"/>
    </row>
    <row r="58" ht="15" customHeight="1" s="93">
      <c r="A58" s="115">
        <f>Backlog!A58</f>
        <v/>
      </c>
      <c r="B58" s="117">
        <f>IFERROR(IF(ISBLANK(INDEX(Backlog[Requirement Name],MATCH($A58,Backlog[Requirement ID],0))),"",INDEX(Backlog[Requirement Name],MATCH($A58,Backlog[Requirement ID],0))),"")</f>
        <v/>
      </c>
      <c r="C58" s="117">
        <f>IFERROR(IF(ISBLANK(INDEX(Backlog[Stream],MATCH($A58,Backlog[Requirement ID],0))),"",INDEX(Backlog[Stream],MATCH($A58,Backlog[Requirement ID],0))),"")</f>
        <v/>
      </c>
      <c r="D58" s="117">
        <f>IFERROR(IF(ISBLANK(INDEX(Backlog[Stream Owner],MATCH($A58,Backlog[Requirement ID],0))),"",INDEX(Backlog[Stream Owner],MATCH($A58,Backlog[Requirement ID],0))),"")</f>
        <v/>
      </c>
      <c r="E58" s="117">
        <f>IFERROR(IF(ISBLANK(INDEX(Backlog[Jira Link],MATCH($A58,Backlog[Requirement ID],0))),"",INDEX(Backlog[Jira Link],MATCH($A58,Backlog[Requirement ID],0))),"")</f>
        <v/>
      </c>
      <c r="F58" s="115" t="inlineStr">
        <is>
          <t>No</t>
        </is>
      </c>
      <c r="G58" s="115" t="inlineStr">
        <is>
          <t>No</t>
        </is>
      </c>
      <c r="H58" s="128">
        <f>IFERROR(IF(ISBLANK(INDEX(SprintPlanning[Sprint],MATCH($A58,SprintPlanning[Requirement ID],0))),"",INDEX(SprintPlanning[Sprint],MATCH($A58,SprintPlanning[Requirement ID],0))),"")</f>
        <v/>
      </c>
      <c r="I58" s="117">
        <f>IFERROR(IF(ISBLANK(INDEX(Backlog[Status],MATCH($A58,Backlog[Requirement ID],0))),"",INDEX(Backlog[Status],MATCH($A58,Backlog[Requirement ID],0))),"")</f>
        <v/>
      </c>
      <c r="J58" s="117">
        <f>IFERROR(IF(ISBLANK(INDEX(Backlog[Priority],MATCH($A58,Backlog[Requirement ID],0))),"",INDEX(Backlog[Priority],MATCH($A58,Backlog[Requirement ID],0))),"")</f>
        <v/>
      </c>
      <c r="K58" s="115" t="n"/>
      <c r="L58" s="148" t="n"/>
      <c r="M58" s="148" t="n"/>
      <c r="N58" s="115" t="n"/>
      <c r="O58" s="149" t="n"/>
      <c r="P58" s="121" t="n"/>
      <c r="Q58" s="121" t="n"/>
    </row>
    <row r="59" ht="15" customHeight="1" s="93">
      <c r="A59" s="115">
        <f>Backlog!A59</f>
        <v/>
      </c>
      <c r="B59" s="117">
        <f>IFERROR(IF(ISBLANK(INDEX(Backlog[Requirement Name],MATCH($A59,Backlog[Requirement ID],0))),"",INDEX(Backlog[Requirement Name],MATCH($A59,Backlog[Requirement ID],0))),"")</f>
        <v/>
      </c>
      <c r="C59" s="117">
        <f>IFERROR(IF(ISBLANK(INDEX(Backlog[Stream],MATCH($A59,Backlog[Requirement ID],0))),"",INDEX(Backlog[Stream],MATCH($A59,Backlog[Requirement ID],0))),"")</f>
        <v/>
      </c>
      <c r="D59" s="117">
        <f>IFERROR(IF(ISBLANK(INDEX(Backlog[Stream Owner],MATCH($A59,Backlog[Requirement ID],0))),"",INDEX(Backlog[Stream Owner],MATCH($A59,Backlog[Requirement ID],0))),"")</f>
        <v/>
      </c>
      <c r="E59" s="117">
        <f>IFERROR(IF(ISBLANK(INDEX(Backlog[Jira Link],MATCH($A59,Backlog[Requirement ID],0))),"",INDEX(Backlog[Jira Link],MATCH($A59,Backlog[Requirement ID],0))),"")</f>
        <v/>
      </c>
      <c r="F59" s="115" t="inlineStr">
        <is>
          <t>No</t>
        </is>
      </c>
      <c r="G59" s="115" t="inlineStr">
        <is>
          <t>No</t>
        </is>
      </c>
      <c r="H59" s="128">
        <f>IFERROR(IF(ISBLANK(INDEX(SprintPlanning[Sprint],MATCH($A59,SprintPlanning[Requirement ID],0))),"",INDEX(SprintPlanning[Sprint],MATCH($A59,SprintPlanning[Requirement ID],0))),"")</f>
        <v/>
      </c>
      <c r="I59" s="117">
        <f>IFERROR(IF(ISBLANK(INDEX(Backlog[Status],MATCH($A59,Backlog[Requirement ID],0))),"",INDEX(Backlog[Status],MATCH($A59,Backlog[Requirement ID],0))),"")</f>
        <v/>
      </c>
      <c r="J59" s="117">
        <f>IFERROR(IF(ISBLANK(INDEX(Backlog[Priority],MATCH($A59,Backlog[Requirement ID],0))),"",INDEX(Backlog[Priority],MATCH($A59,Backlog[Requirement ID],0))),"")</f>
        <v/>
      </c>
      <c r="K59" s="115" t="n"/>
      <c r="L59" s="148" t="n"/>
      <c r="M59" s="148" t="n"/>
      <c r="N59" s="115" t="n"/>
      <c r="O59" s="149" t="n"/>
      <c r="P59" s="121" t="n"/>
      <c r="Q59" s="121" t="n"/>
    </row>
    <row r="60" ht="15" customHeight="1" s="93">
      <c r="A60" s="115">
        <f>Backlog!A60</f>
        <v/>
      </c>
      <c r="B60" s="137">
        <f>IFERROR(IF(ISBLANK(INDEX(Backlog[Requirement Name],MATCH($A60,Backlog[Requirement ID],0))),"",INDEX(Backlog[Requirement Name],MATCH($A60,Backlog[Requirement ID],0))),"")</f>
        <v/>
      </c>
      <c r="C60" s="117">
        <f>IFERROR(IF(ISBLANK(INDEX(Backlog[Stream],MATCH($A60,Backlog[Requirement ID],0))),"",INDEX(Backlog[Stream],MATCH($A60,Backlog[Requirement ID],0))),"")</f>
        <v/>
      </c>
      <c r="D60" s="117">
        <f>IFERROR(IF(ISBLANK(INDEX(Backlog[Stream Owner],MATCH($A60,Backlog[Requirement ID],0))),"",INDEX(Backlog[Stream Owner],MATCH($A60,Backlog[Requirement ID],0))),"")</f>
        <v/>
      </c>
      <c r="E60" s="117">
        <f>IFERROR(IF(ISBLANK(INDEX(Backlog[Jira Link],MATCH($A60,Backlog[Requirement ID],0))),"",INDEX(Backlog[Jira Link],MATCH($A60,Backlog[Requirement ID],0))),"")</f>
        <v/>
      </c>
      <c r="F60" s="115" t="inlineStr">
        <is>
          <t>No</t>
        </is>
      </c>
      <c r="G60" s="115" t="inlineStr">
        <is>
          <t>No</t>
        </is>
      </c>
      <c r="H60" s="128">
        <f>IFERROR(IF(ISBLANK(INDEX(SprintPlanning[Sprint],MATCH($A60,SprintPlanning[Requirement ID],0))),"",INDEX(SprintPlanning[Sprint],MATCH($A60,SprintPlanning[Requirement ID],0))),"")</f>
        <v/>
      </c>
      <c r="I60" s="117">
        <f>IFERROR(IF(ISBLANK(INDEX(Backlog[Status],MATCH($A60,Backlog[Requirement ID],0))),"",INDEX(Backlog[Status],MATCH($A60,Backlog[Requirement ID],0))),"")</f>
        <v/>
      </c>
      <c r="J60" s="117">
        <f>IFERROR(IF(ISBLANK(INDEX(Backlog[Priority],MATCH($A60,Backlog[Requirement ID],0))),"",INDEX(Backlog[Priority],MATCH($A60,Backlog[Requirement ID],0))),"")</f>
        <v/>
      </c>
      <c r="K60" s="115" t="n"/>
      <c r="L60" s="148" t="n"/>
      <c r="M60" s="148" t="n"/>
      <c r="N60" s="115" t="n"/>
      <c r="O60" s="149" t="n"/>
      <c r="P60" s="121" t="n"/>
      <c r="Q60" s="121" t="n"/>
    </row>
    <row r="61" ht="15" customHeight="1" s="93">
      <c r="A61" s="115">
        <f>Backlog!A61</f>
        <v/>
      </c>
      <c r="B61" s="117">
        <f>IFERROR(IF(ISBLANK(INDEX(Backlog[Requirement Name],MATCH($A61,Backlog[Requirement ID],0))),"",INDEX(Backlog[Requirement Name],MATCH($A61,Backlog[Requirement ID],0))),"")</f>
        <v/>
      </c>
      <c r="C61" s="117">
        <f>IFERROR(IF(ISBLANK(INDEX(Backlog[Stream],MATCH($A61,Backlog[Requirement ID],0))),"",INDEX(Backlog[Stream],MATCH($A61,Backlog[Requirement ID],0))),"")</f>
        <v/>
      </c>
      <c r="D61" s="117">
        <f>IFERROR(IF(ISBLANK(INDEX(Backlog[Stream Owner],MATCH($A61,Backlog[Requirement ID],0))),"",INDEX(Backlog[Stream Owner],MATCH($A61,Backlog[Requirement ID],0))),"")</f>
        <v/>
      </c>
      <c r="E61" s="117">
        <f>IFERROR(IF(ISBLANK(INDEX(Backlog[Jira Link],MATCH($A61,Backlog[Requirement ID],0))),"",INDEX(Backlog[Jira Link],MATCH($A61,Backlog[Requirement ID],0))),"")</f>
        <v/>
      </c>
      <c r="F61" s="115" t="inlineStr">
        <is>
          <t>No</t>
        </is>
      </c>
      <c r="G61" s="115" t="inlineStr">
        <is>
          <t>No</t>
        </is>
      </c>
      <c r="H61" s="128">
        <f>IFERROR(IF(ISBLANK(INDEX(SprintPlanning[Sprint],MATCH($A61,SprintPlanning[Requirement ID],0))),"",INDEX(SprintPlanning[Sprint],MATCH($A61,SprintPlanning[Requirement ID],0))),"")</f>
        <v/>
      </c>
      <c r="I61" s="117">
        <f>IFERROR(IF(ISBLANK(INDEX(Backlog[Status],MATCH($A61,Backlog[Requirement ID],0))),"",INDEX(Backlog[Status],MATCH($A61,Backlog[Requirement ID],0))),"")</f>
        <v/>
      </c>
      <c r="J61" s="117">
        <f>IFERROR(IF(ISBLANK(INDEX(Backlog[Priority],MATCH($A61,Backlog[Requirement ID],0))),"",INDEX(Backlog[Priority],MATCH($A61,Backlog[Requirement ID],0))),"")</f>
        <v/>
      </c>
      <c r="K61" s="115" t="n"/>
      <c r="L61" s="148" t="n"/>
      <c r="M61" s="148" t="n"/>
      <c r="N61" s="115" t="n"/>
      <c r="O61" s="149" t="n"/>
      <c r="P61" s="121" t="n"/>
      <c r="Q61" s="121" t="n"/>
    </row>
    <row r="62" ht="15" customHeight="1" s="93">
      <c r="A62" s="115">
        <f>Backlog!A62</f>
        <v/>
      </c>
      <c r="B62" s="117">
        <f>IFERROR(IF(ISBLANK(INDEX(Backlog[Requirement Name],MATCH($A62,Backlog[Requirement ID],0))),"",INDEX(Backlog[Requirement Name],MATCH($A62,Backlog[Requirement ID],0))),"")</f>
        <v/>
      </c>
      <c r="C62" s="117">
        <f>IFERROR(IF(ISBLANK(INDEX(Backlog[Stream],MATCH($A62,Backlog[Requirement ID],0))),"",INDEX(Backlog[Stream],MATCH($A62,Backlog[Requirement ID],0))),"")</f>
        <v/>
      </c>
      <c r="D62" s="117">
        <f>IFERROR(IF(ISBLANK(INDEX(Backlog[Stream Owner],MATCH($A62,Backlog[Requirement ID],0))),"",INDEX(Backlog[Stream Owner],MATCH($A62,Backlog[Requirement ID],0))),"")</f>
        <v/>
      </c>
      <c r="E62" s="117">
        <f>IFERROR(IF(ISBLANK(INDEX(Backlog[Jira Link],MATCH($A62,Backlog[Requirement ID],0))),"",INDEX(Backlog[Jira Link],MATCH($A62,Backlog[Requirement ID],0))),"")</f>
        <v/>
      </c>
      <c r="F62" s="115" t="inlineStr">
        <is>
          <t>No</t>
        </is>
      </c>
      <c r="G62" s="115" t="inlineStr">
        <is>
          <t>No</t>
        </is>
      </c>
      <c r="H62" s="128">
        <f>IFERROR(IF(ISBLANK(INDEX(SprintPlanning[Sprint],MATCH($A62,SprintPlanning[Requirement ID],0))),"",INDEX(SprintPlanning[Sprint],MATCH($A62,SprintPlanning[Requirement ID],0))),"")</f>
        <v/>
      </c>
      <c r="I62" s="117">
        <f>IFERROR(IF(ISBLANK(INDEX(Backlog[Status],MATCH($A62,Backlog[Requirement ID],0))),"",INDEX(Backlog[Status],MATCH($A62,Backlog[Requirement ID],0))),"")</f>
        <v/>
      </c>
      <c r="J62" s="117">
        <f>IFERROR(IF(ISBLANK(INDEX(Backlog[Priority],MATCH($A62,Backlog[Requirement ID],0))),"",INDEX(Backlog[Priority],MATCH($A62,Backlog[Requirement ID],0))),"")</f>
        <v/>
      </c>
      <c r="K62" s="115" t="n"/>
      <c r="L62" s="148" t="n"/>
      <c r="M62" s="148" t="n"/>
      <c r="N62" s="115" t="n"/>
      <c r="O62" s="149" t="n"/>
      <c r="P62" s="121" t="n"/>
      <c r="Q62" s="121" t="n"/>
    </row>
    <row r="63" ht="15" customHeight="1" s="93">
      <c r="A63" s="115">
        <f>Backlog!A63</f>
        <v/>
      </c>
      <c r="B63" s="117">
        <f>IFERROR(IF(ISBLANK(INDEX(Backlog[Requirement Name],MATCH($A63,Backlog[Requirement ID],0))),"",INDEX(Backlog[Requirement Name],MATCH($A63,Backlog[Requirement ID],0))),"")</f>
        <v/>
      </c>
      <c r="C63" s="117">
        <f>IFERROR(IF(ISBLANK(INDEX(Backlog[Stream],MATCH($A63,Backlog[Requirement ID],0))),"",INDEX(Backlog[Stream],MATCH($A63,Backlog[Requirement ID],0))),"")</f>
        <v/>
      </c>
      <c r="D63" s="117">
        <f>IFERROR(IF(ISBLANK(INDEX(Backlog[Stream Owner],MATCH($A63,Backlog[Requirement ID],0))),"",INDEX(Backlog[Stream Owner],MATCH($A63,Backlog[Requirement ID],0))),"")</f>
        <v/>
      </c>
      <c r="E63" s="117">
        <f>IFERROR(IF(ISBLANK(INDEX(Backlog[Jira Link],MATCH($A63,Backlog[Requirement ID],0))),"",INDEX(Backlog[Jira Link],MATCH($A63,Backlog[Requirement ID],0))),"")</f>
        <v/>
      </c>
      <c r="F63" s="115" t="inlineStr">
        <is>
          <t>No</t>
        </is>
      </c>
      <c r="G63" s="115" t="inlineStr">
        <is>
          <t>No</t>
        </is>
      </c>
      <c r="H63" s="128">
        <f>IFERROR(IF(ISBLANK(INDEX(SprintPlanning[Sprint],MATCH($A63,SprintPlanning[Requirement ID],0))),"",INDEX(SprintPlanning[Sprint],MATCH($A63,SprintPlanning[Requirement ID],0))),"")</f>
        <v/>
      </c>
      <c r="I63" s="117">
        <f>IFERROR(IF(ISBLANK(INDEX(Backlog[Status],MATCH($A63,Backlog[Requirement ID],0))),"",INDEX(Backlog[Status],MATCH($A63,Backlog[Requirement ID],0))),"")</f>
        <v/>
      </c>
      <c r="J63" s="117">
        <f>IFERROR(IF(ISBLANK(INDEX(Backlog[Priority],MATCH($A63,Backlog[Requirement ID],0))),"",INDEX(Backlog[Priority],MATCH($A63,Backlog[Requirement ID],0))),"")</f>
        <v/>
      </c>
      <c r="K63" s="115" t="n"/>
      <c r="L63" s="148" t="n"/>
      <c r="M63" s="148" t="n"/>
      <c r="N63" s="115" t="n"/>
      <c r="O63" s="149" t="n"/>
      <c r="P63" s="121" t="n"/>
      <c r="Q63" s="121" t="n"/>
    </row>
    <row r="64" ht="15" customHeight="1" s="93">
      <c r="A64" s="115">
        <f>Backlog!A64</f>
        <v/>
      </c>
      <c r="B64" s="117">
        <f>IFERROR(IF(ISBLANK(INDEX(Backlog[Requirement Name],MATCH($A64,Backlog[Requirement ID],0))),"",INDEX(Backlog[Requirement Name],MATCH($A64,Backlog[Requirement ID],0))),"")</f>
        <v/>
      </c>
      <c r="C64" s="117">
        <f>IFERROR(IF(ISBLANK(INDEX(Backlog[Stream],MATCH($A64,Backlog[Requirement ID],0))),"",INDEX(Backlog[Stream],MATCH($A64,Backlog[Requirement ID],0))),"")</f>
        <v/>
      </c>
      <c r="D64" s="117">
        <f>IFERROR(IF(ISBLANK(INDEX(Backlog[Stream Owner],MATCH($A64,Backlog[Requirement ID],0))),"",INDEX(Backlog[Stream Owner],MATCH($A64,Backlog[Requirement ID],0))),"")</f>
        <v/>
      </c>
      <c r="E64" s="117">
        <f>IFERROR(IF(ISBLANK(INDEX(Backlog[Jira Link],MATCH($A64,Backlog[Requirement ID],0))),"",INDEX(Backlog[Jira Link],MATCH($A64,Backlog[Requirement ID],0))),"")</f>
        <v/>
      </c>
      <c r="F64" s="115" t="inlineStr">
        <is>
          <t>No</t>
        </is>
      </c>
      <c r="G64" s="115" t="inlineStr">
        <is>
          <t>No</t>
        </is>
      </c>
      <c r="H64" s="128">
        <f>IFERROR(IF(ISBLANK(INDEX(SprintPlanning[Sprint],MATCH($A64,SprintPlanning[Requirement ID],0))),"",INDEX(SprintPlanning[Sprint],MATCH($A64,SprintPlanning[Requirement ID],0))),"")</f>
        <v/>
      </c>
      <c r="I64" s="117">
        <f>IFERROR(IF(ISBLANK(INDEX(Backlog[Status],MATCH($A64,Backlog[Requirement ID],0))),"",INDEX(Backlog[Status],MATCH($A64,Backlog[Requirement ID],0))),"")</f>
        <v/>
      </c>
      <c r="J64" s="117">
        <f>IFERROR(IF(ISBLANK(INDEX(Backlog[Priority],MATCH($A64,Backlog[Requirement ID],0))),"",INDEX(Backlog[Priority],MATCH($A64,Backlog[Requirement ID],0))),"")</f>
        <v/>
      </c>
      <c r="K64" s="115" t="n"/>
      <c r="L64" s="148" t="n"/>
      <c r="M64" s="148" t="n"/>
      <c r="N64" s="115" t="n"/>
      <c r="O64" s="149" t="n"/>
      <c r="P64" s="121" t="n"/>
      <c r="Q64" s="121" t="n"/>
    </row>
    <row r="65" ht="15" customHeight="1" s="93">
      <c r="A65" s="115">
        <f>Backlog!A65</f>
        <v/>
      </c>
      <c r="B65" s="117">
        <f>IFERROR(IF(ISBLANK(INDEX(Backlog[Requirement Name],MATCH($A65,Backlog[Requirement ID],0))),"",INDEX(Backlog[Requirement Name],MATCH($A65,Backlog[Requirement ID],0))),"")</f>
        <v/>
      </c>
      <c r="C65" s="117">
        <f>IFERROR(IF(ISBLANK(INDEX(Backlog[Stream],MATCH($A65,Backlog[Requirement ID],0))),"",INDEX(Backlog[Stream],MATCH($A65,Backlog[Requirement ID],0))),"")</f>
        <v/>
      </c>
      <c r="D65" s="117">
        <f>IFERROR(IF(ISBLANK(INDEX(Backlog[Stream Owner],MATCH($A65,Backlog[Requirement ID],0))),"",INDEX(Backlog[Stream Owner],MATCH($A65,Backlog[Requirement ID],0))),"")</f>
        <v/>
      </c>
      <c r="E65" s="117">
        <f>IFERROR(IF(ISBLANK(INDEX(Backlog[Jira Link],MATCH($A65,Backlog[Requirement ID],0))),"",INDEX(Backlog[Jira Link],MATCH($A65,Backlog[Requirement ID],0))),"")</f>
        <v/>
      </c>
      <c r="F65" s="115" t="inlineStr">
        <is>
          <t>No</t>
        </is>
      </c>
      <c r="G65" s="115" t="inlineStr">
        <is>
          <t>No</t>
        </is>
      </c>
      <c r="H65" s="128">
        <f>IFERROR(IF(ISBLANK(INDEX(SprintPlanning[Sprint],MATCH($A65,SprintPlanning[Requirement ID],0))),"",INDEX(SprintPlanning[Sprint],MATCH($A65,SprintPlanning[Requirement ID],0))),"")</f>
        <v/>
      </c>
      <c r="I65" s="117">
        <f>IFERROR(IF(ISBLANK(INDEX(Backlog[Status],MATCH($A65,Backlog[Requirement ID],0))),"",INDEX(Backlog[Status],MATCH($A65,Backlog[Requirement ID],0))),"")</f>
        <v/>
      </c>
      <c r="J65" s="117">
        <f>IFERROR(IF(ISBLANK(INDEX(Backlog[Priority],MATCH($A65,Backlog[Requirement ID],0))),"",INDEX(Backlog[Priority],MATCH($A65,Backlog[Requirement ID],0))),"")</f>
        <v/>
      </c>
      <c r="K65" s="115" t="n"/>
      <c r="L65" s="148" t="n"/>
      <c r="M65" s="148" t="n"/>
      <c r="N65" s="115" t="n"/>
      <c r="O65" s="149" t="n"/>
      <c r="P65" s="121" t="n"/>
      <c r="Q65" s="121" t="n"/>
    </row>
    <row r="66" ht="15" customHeight="1" s="93">
      <c r="A66" s="115">
        <f>Backlog!A66</f>
        <v/>
      </c>
      <c r="B66" s="117">
        <f>IFERROR(IF(ISBLANK(INDEX(Backlog[Requirement Name],MATCH($A66,Backlog[Requirement ID],0))),"",INDEX(Backlog[Requirement Name],MATCH($A66,Backlog[Requirement ID],0))),"")</f>
        <v/>
      </c>
      <c r="C66" s="117">
        <f>IFERROR(IF(ISBLANK(INDEX(Backlog[Stream],MATCH($A66,Backlog[Requirement ID],0))),"",INDEX(Backlog[Stream],MATCH($A66,Backlog[Requirement ID],0))),"")</f>
        <v/>
      </c>
      <c r="D66" s="117">
        <f>IFERROR(IF(ISBLANK(INDEX(Backlog[Stream Owner],MATCH($A66,Backlog[Requirement ID],0))),"",INDEX(Backlog[Stream Owner],MATCH($A66,Backlog[Requirement ID],0))),"")</f>
        <v/>
      </c>
      <c r="E66" s="117">
        <f>IFERROR(IF(ISBLANK(INDEX(Backlog[Jira Link],MATCH($A66,Backlog[Requirement ID],0))),"",INDEX(Backlog[Jira Link],MATCH($A66,Backlog[Requirement ID],0))),"")</f>
        <v/>
      </c>
      <c r="F66" s="115" t="inlineStr">
        <is>
          <t>Yes</t>
        </is>
      </c>
      <c r="G66" s="115" t="inlineStr">
        <is>
          <t>Yes</t>
        </is>
      </c>
      <c r="H66" s="128">
        <f>IFERROR(IF(ISBLANK(INDEX(SprintPlanning[Sprint],MATCH($A66,SprintPlanning[Requirement ID],0))),"",INDEX(SprintPlanning[Sprint],MATCH($A66,SprintPlanning[Requirement ID],0))),"")</f>
        <v/>
      </c>
      <c r="I66" s="117">
        <f>IFERROR(IF(ISBLANK(INDEX(Backlog[Status],MATCH($A66,Backlog[Requirement ID],0))),"",INDEX(Backlog[Status],MATCH($A66,Backlog[Requirement ID],0))),"")</f>
        <v/>
      </c>
      <c r="J66" s="117">
        <f>IFERROR(IF(ISBLANK(INDEX(Backlog[Priority],MATCH($A66,Backlog[Requirement ID],0))),"",INDEX(Backlog[Priority],MATCH($A66,Backlog[Requirement ID],0))),"")</f>
        <v/>
      </c>
      <c r="K66" s="115" t="n"/>
      <c r="L66" s="148" t="n"/>
      <c r="M66" s="148" t="n"/>
      <c r="N66" s="115" t="n"/>
      <c r="O66" s="149" t="n"/>
      <c r="P66" s="121" t="n"/>
      <c r="Q66" s="121" t="n"/>
    </row>
    <row r="67" ht="15" customHeight="1" s="93">
      <c r="A67" s="115">
        <f>Backlog!A67</f>
        <v/>
      </c>
      <c r="B67" s="117">
        <f>IFERROR(IF(ISBLANK(INDEX(Backlog[Requirement Name],MATCH($A67,Backlog[Requirement ID],0))),"",INDEX(Backlog[Requirement Name],MATCH($A67,Backlog[Requirement ID],0))),"")</f>
        <v/>
      </c>
      <c r="C67" s="117">
        <f>IFERROR(IF(ISBLANK(INDEX(Backlog[Stream],MATCH($A67,Backlog[Requirement ID],0))),"",INDEX(Backlog[Stream],MATCH($A67,Backlog[Requirement ID],0))),"")</f>
        <v/>
      </c>
      <c r="D67" s="117">
        <f>IFERROR(IF(ISBLANK(INDEX(Backlog[Stream Owner],MATCH($A67,Backlog[Requirement ID],0))),"",INDEX(Backlog[Stream Owner],MATCH($A67,Backlog[Requirement ID],0))),"")</f>
        <v/>
      </c>
      <c r="E67" s="117">
        <f>IFERROR(IF(ISBLANK(INDEX(Backlog[Jira Link],MATCH($A67,Backlog[Requirement ID],0))),"",INDEX(Backlog[Jira Link],MATCH($A67,Backlog[Requirement ID],0))),"")</f>
        <v/>
      </c>
      <c r="F67" s="115" t="inlineStr">
        <is>
          <t>No</t>
        </is>
      </c>
      <c r="G67" s="115" t="inlineStr">
        <is>
          <t>No</t>
        </is>
      </c>
      <c r="H67" s="128">
        <f>IFERROR(IF(ISBLANK(INDEX(SprintPlanning[Sprint],MATCH($A67,SprintPlanning[Requirement ID],0))),"",INDEX(SprintPlanning[Sprint],MATCH($A67,SprintPlanning[Requirement ID],0))),"")</f>
        <v/>
      </c>
      <c r="I67" s="117">
        <f>IFERROR(IF(ISBLANK(INDEX(Backlog[Status],MATCH($A67,Backlog[Requirement ID],0))),"",INDEX(Backlog[Status],MATCH($A67,Backlog[Requirement ID],0))),"")</f>
        <v/>
      </c>
      <c r="J67" s="117">
        <f>IFERROR(IF(ISBLANK(INDEX(Backlog[Priority],MATCH($A67,Backlog[Requirement ID],0))),"",INDEX(Backlog[Priority],MATCH($A67,Backlog[Requirement ID],0))),"")</f>
        <v/>
      </c>
      <c r="K67" s="115" t="n"/>
      <c r="L67" s="148" t="n"/>
      <c r="M67" s="148" t="n"/>
      <c r="N67" s="115" t="n"/>
      <c r="O67" s="149" t="n"/>
      <c r="P67" s="121" t="n"/>
      <c r="Q67" s="121" t="n"/>
    </row>
    <row r="68" ht="15" customHeight="1" s="93">
      <c r="A68" s="115">
        <f>Backlog!A68</f>
        <v/>
      </c>
      <c r="B68" s="117">
        <f>IFERROR(IF(ISBLANK(INDEX(Backlog[Requirement Name],MATCH($A68,Backlog[Requirement ID],0))),"",INDEX(Backlog[Requirement Name],MATCH($A68,Backlog[Requirement ID],0))),"")</f>
        <v/>
      </c>
      <c r="C68" s="117">
        <f>IFERROR(IF(ISBLANK(INDEX(Backlog[Stream],MATCH($A68,Backlog[Requirement ID],0))),"",INDEX(Backlog[Stream],MATCH($A68,Backlog[Requirement ID],0))),"")</f>
        <v/>
      </c>
      <c r="D68" s="117">
        <f>IFERROR(IF(ISBLANK(INDEX(Backlog[Stream Owner],MATCH($A68,Backlog[Requirement ID],0))),"",INDEX(Backlog[Stream Owner],MATCH($A68,Backlog[Requirement ID],0))),"")</f>
        <v/>
      </c>
      <c r="E68" s="117">
        <f>IFERROR(IF(ISBLANK(INDEX(Backlog[Jira Link],MATCH($A68,Backlog[Requirement ID],0))),"",INDEX(Backlog[Jira Link],MATCH($A68,Backlog[Requirement ID],0))),"")</f>
        <v/>
      </c>
      <c r="F68" s="115" t="inlineStr">
        <is>
          <t>No</t>
        </is>
      </c>
      <c r="G68" s="115" t="inlineStr">
        <is>
          <t>No</t>
        </is>
      </c>
      <c r="H68" s="128">
        <f>IFERROR(IF(ISBLANK(INDEX(SprintPlanning[Sprint],MATCH($A68,SprintPlanning[Requirement ID],0))),"",INDEX(SprintPlanning[Sprint],MATCH($A68,SprintPlanning[Requirement ID],0))),"")</f>
        <v/>
      </c>
      <c r="I68" s="117">
        <f>IFERROR(IF(ISBLANK(INDEX(Backlog[Status],MATCH($A68,Backlog[Requirement ID],0))),"",INDEX(Backlog[Status],MATCH($A68,Backlog[Requirement ID],0))),"")</f>
        <v/>
      </c>
      <c r="J68" s="117">
        <f>IFERROR(IF(ISBLANK(INDEX(Backlog[Priority],MATCH($A68,Backlog[Requirement ID],0))),"",INDEX(Backlog[Priority],MATCH($A68,Backlog[Requirement ID],0))),"")</f>
        <v/>
      </c>
      <c r="K68" s="115" t="n"/>
      <c r="L68" s="148" t="n"/>
      <c r="M68" s="148" t="n"/>
      <c r="N68" s="115" t="n"/>
      <c r="O68" s="149" t="n"/>
      <c r="P68" s="121" t="n"/>
      <c r="Q68" s="121" t="n"/>
    </row>
    <row r="69" ht="15" customHeight="1" s="93">
      <c r="A69" s="115">
        <f>Backlog!A69</f>
        <v/>
      </c>
      <c r="B69" s="117">
        <f>IFERROR(IF(ISBLANK(INDEX(Backlog[Requirement Name],MATCH($A69,Backlog[Requirement ID],0))),"",INDEX(Backlog[Requirement Name],MATCH($A69,Backlog[Requirement ID],0))),"")</f>
        <v/>
      </c>
      <c r="C69" s="117">
        <f>IFERROR(IF(ISBLANK(INDEX(Backlog[Stream],MATCH($A69,Backlog[Requirement ID],0))),"",INDEX(Backlog[Stream],MATCH($A69,Backlog[Requirement ID],0))),"")</f>
        <v/>
      </c>
      <c r="D69" s="117">
        <f>IFERROR(IF(ISBLANK(INDEX(Backlog[Stream Owner],MATCH($A69,Backlog[Requirement ID],0))),"",INDEX(Backlog[Stream Owner],MATCH($A69,Backlog[Requirement ID],0))),"")</f>
        <v/>
      </c>
      <c r="E69" s="117">
        <f>IFERROR(IF(ISBLANK(INDEX(Backlog[Jira Link],MATCH($A69,Backlog[Requirement ID],0))),"",INDEX(Backlog[Jira Link],MATCH($A69,Backlog[Requirement ID],0))),"")</f>
        <v/>
      </c>
      <c r="F69" s="115" t="inlineStr">
        <is>
          <t>No</t>
        </is>
      </c>
      <c r="G69" s="115" t="inlineStr">
        <is>
          <t>No</t>
        </is>
      </c>
      <c r="H69" s="128">
        <f>IFERROR(IF(ISBLANK(INDEX(SprintPlanning[Sprint],MATCH($A69,SprintPlanning[Requirement ID],0))),"",INDEX(SprintPlanning[Sprint],MATCH($A69,SprintPlanning[Requirement ID],0))),"")</f>
        <v/>
      </c>
      <c r="I69" s="117">
        <f>IFERROR(IF(ISBLANK(INDEX(Backlog[Status],MATCH($A69,Backlog[Requirement ID],0))),"",INDEX(Backlog[Status],MATCH($A69,Backlog[Requirement ID],0))),"")</f>
        <v/>
      </c>
      <c r="J69" s="117">
        <f>IFERROR(IF(ISBLANK(INDEX(Backlog[Priority],MATCH($A69,Backlog[Requirement ID],0))),"",INDEX(Backlog[Priority],MATCH($A69,Backlog[Requirement ID],0))),"")</f>
        <v/>
      </c>
      <c r="K69" s="115" t="n"/>
      <c r="L69" s="148" t="n"/>
      <c r="M69" s="148" t="n"/>
      <c r="N69" s="115" t="n"/>
      <c r="O69" s="149" t="n"/>
      <c r="P69" s="121" t="n"/>
      <c r="Q69" s="121" t="n"/>
    </row>
    <row r="70" ht="15" customHeight="1" s="93">
      <c r="A70" s="115">
        <f>Backlog!A70</f>
        <v/>
      </c>
      <c r="B70" s="117">
        <f>IFERROR(IF(ISBLANK(INDEX(Backlog[Requirement Name],MATCH($A70,Backlog[Requirement ID],0))),"",INDEX(Backlog[Requirement Name],MATCH($A70,Backlog[Requirement ID],0))),"")</f>
        <v/>
      </c>
      <c r="C70" s="117">
        <f>IFERROR(IF(ISBLANK(INDEX(Backlog[Stream],MATCH($A70,Backlog[Requirement ID],0))),"",INDEX(Backlog[Stream],MATCH($A70,Backlog[Requirement ID],0))),"")</f>
        <v/>
      </c>
      <c r="D70" s="117">
        <f>IFERROR(IF(ISBLANK(INDEX(Backlog[Stream Owner],MATCH($A70,Backlog[Requirement ID],0))),"",INDEX(Backlog[Stream Owner],MATCH($A70,Backlog[Requirement ID],0))),"")</f>
        <v/>
      </c>
      <c r="E70" s="117">
        <f>IFERROR(IF(ISBLANK(INDEX(Backlog[Jira Link],MATCH($A70,Backlog[Requirement ID],0))),"",INDEX(Backlog[Jira Link],MATCH($A70,Backlog[Requirement ID],0))),"")</f>
        <v/>
      </c>
      <c r="F70" s="115" t="inlineStr">
        <is>
          <t>No</t>
        </is>
      </c>
      <c r="G70" s="115" t="inlineStr">
        <is>
          <t>No</t>
        </is>
      </c>
      <c r="H70" s="128">
        <f>IFERROR(IF(ISBLANK(INDEX(SprintPlanning[Sprint],MATCH($A70,SprintPlanning[Requirement ID],0))),"",INDEX(SprintPlanning[Sprint],MATCH($A70,SprintPlanning[Requirement ID],0))),"")</f>
        <v/>
      </c>
      <c r="I70" s="117">
        <f>IFERROR(IF(ISBLANK(INDEX(Backlog[Status],MATCH($A70,Backlog[Requirement ID],0))),"",INDEX(Backlog[Status],MATCH($A70,Backlog[Requirement ID],0))),"")</f>
        <v/>
      </c>
      <c r="J70" s="117">
        <f>IFERROR(IF(ISBLANK(INDEX(Backlog[Priority],MATCH($A70,Backlog[Requirement ID],0))),"",INDEX(Backlog[Priority],MATCH($A70,Backlog[Requirement ID],0))),"")</f>
        <v/>
      </c>
      <c r="K70" s="115" t="n"/>
      <c r="L70" s="148" t="n"/>
      <c r="M70" s="148" t="n"/>
      <c r="N70" s="115" t="n"/>
      <c r="O70" s="149" t="n"/>
      <c r="P70" s="121" t="n"/>
      <c r="Q70" s="121" t="n"/>
    </row>
    <row r="71" ht="15" customHeight="1" s="93">
      <c r="A71" s="115">
        <f>Backlog!A71</f>
        <v/>
      </c>
      <c r="B71" s="117">
        <f>IFERROR(IF(ISBLANK(INDEX(Backlog[Requirement Name],MATCH($A71,Backlog[Requirement ID],0))),"",INDEX(Backlog[Requirement Name],MATCH($A71,Backlog[Requirement ID],0))),"")</f>
        <v/>
      </c>
      <c r="C71" s="117">
        <f>IFERROR(IF(ISBLANK(INDEX(Backlog[Stream],MATCH($A71,Backlog[Requirement ID],0))),"",INDEX(Backlog[Stream],MATCH($A71,Backlog[Requirement ID],0))),"")</f>
        <v/>
      </c>
      <c r="D71" s="117">
        <f>IFERROR(IF(ISBLANK(INDEX(Backlog[Stream Owner],MATCH($A71,Backlog[Requirement ID],0))),"",INDEX(Backlog[Stream Owner],MATCH($A71,Backlog[Requirement ID],0))),"")</f>
        <v/>
      </c>
      <c r="E71" s="117">
        <f>IFERROR(IF(ISBLANK(INDEX(Backlog[Jira Link],MATCH($A71,Backlog[Requirement ID],0))),"",INDEX(Backlog[Jira Link],MATCH($A71,Backlog[Requirement ID],0))),"")</f>
        <v/>
      </c>
      <c r="F71" s="115" t="inlineStr">
        <is>
          <t>No</t>
        </is>
      </c>
      <c r="G71" s="115" t="inlineStr">
        <is>
          <t>No</t>
        </is>
      </c>
      <c r="H71" s="128">
        <f>IFERROR(IF(ISBLANK(INDEX(SprintPlanning[Sprint],MATCH($A71,SprintPlanning[Requirement ID],0))),"",INDEX(SprintPlanning[Sprint],MATCH($A71,SprintPlanning[Requirement ID],0))),"")</f>
        <v/>
      </c>
      <c r="I71" s="117">
        <f>IFERROR(IF(ISBLANK(INDEX(Backlog[Status],MATCH($A71,Backlog[Requirement ID],0))),"",INDEX(Backlog[Status],MATCH($A71,Backlog[Requirement ID],0))),"")</f>
        <v/>
      </c>
      <c r="J71" s="117">
        <f>IFERROR(IF(ISBLANK(INDEX(Backlog[Priority],MATCH($A71,Backlog[Requirement ID],0))),"",INDEX(Backlog[Priority],MATCH($A71,Backlog[Requirement ID],0))),"")</f>
        <v/>
      </c>
      <c r="K71" s="115" t="n"/>
      <c r="L71" s="148" t="n"/>
      <c r="M71" s="148" t="n"/>
      <c r="N71" s="115" t="n"/>
      <c r="O71" s="149" t="n"/>
      <c r="P71" s="121" t="n"/>
      <c r="Q71" s="121" t="n"/>
    </row>
    <row r="72" ht="15" customHeight="1" s="93">
      <c r="A72" s="115">
        <f>Backlog!A72</f>
        <v/>
      </c>
      <c r="B72" s="117">
        <f>IFERROR(IF(ISBLANK(INDEX(Backlog[Requirement Name],MATCH($A72,Backlog[Requirement ID],0))),"",INDEX(Backlog[Requirement Name],MATCH($A72,Backlog[Requirement ID],0))),"")</f>
        <v/>
      </c>
      <c r="C72" s="117">
        <f>IFERROR(IF(ISBLANK(INDEX(Backlog[Stream],MATCH($A72,Backlog[Requirement ID],0))),"",INDEX(Backlog[Stream],MATCH($A72,Backlog[Requirement ID],0))),"")</f>
        <v/>
      </c>
      <c r="D72" s="117">
        <f>IFERROR(IF(ISBLANK(INDEX(Backlog[Stream Owner],MATCH($A72,Backlog[Requirement ID],0))),"",INDEX(Backlog[Stream Owner],MATCH($A72,Backlog[Requirement ID],0))),"")</f>
        <v/>
      </c>
      <c r="E72" s="117">
        <f>IFERROR(IF(ISBLANK(INDEX(Backlog[Jira Link],MATCH($A72,Backlog[Requirement ID],0))),"",INDEX(Backlog[Jira Link],MATCH($A72,Backlog[Requirement ID],0))),"")</f>
        <v/>
      </c>
      <c r="F72" s="115" t="inlineStr">
        <is>
          <t>No</t>
        </is>
      </c>
      <c r="G72" s="115" t="inlineStr">
        <is>
          <t>No</t>
        </is>
      </c>
      <c r="H72" s="128">
        <f>IFERROR(IF(ISBLANK(INDEX(SprintPlanning[Sprint],MATCH($A72,SprintPlanning[Requirement ID],0))),"",INDEX(SprintPlanning[Sprint],MATCH($A72,SprintPlanning[Requirement ID],0))),"")</f>
        <v/>
      </c>
      <c r="I72" s="117">
        <f>IFERROR(IF(ISBLANK(INDEX(Backlog[Status],MATCH($A72,Backlog[Requirement ID],0))),"",INDEX(Backlog[Status],MATCH($A72,Backlog[Requirement ID],0))),"")</f>
        <v/>
      </c>
      <c r="J72" s="117">
        <f>IFERROR(IF(ISBLANK(INDEX(Backlog[Priority],MATCH($A72,Backlog[Requirement ID],0))),"",INDEX(Backlog[Priority],MATCH($A72,Backlog[Requirement ID],0))),"")</f>
        <v/>
      </c>
      <c r="K72" s="115" t="n"/>
      <c r="L72" s="148" t="n"/>
      <c r="M72" s="148" t="n"/>
      <c r="N72" s="115" t="n"/>
      <c r="O72" s="149" t="n"/>
      <c r="P72" s="121" t="n"/>
      <c r="Q72" s="121" t="n"/>
    </row>
    <row r="73" ht="15" customHeight="1" s="93">
      <c r="A73" s="115">
        <f>Backlog!A73</f>
        <v/>
      </c>
      <c r="B73" s="117">
        <f>IFERROR(IF(ISBLANK(INDEX(Backlog[Requirement Name],MATCH($A73,Backlog[Requirement ID],0))),"",INDEX(Backlog[Requirement Name],MATCH($A73,Backlog[Requirement ID],0))),"")</f>
        <v/>
      </c>
      <c r="C73" s="117">
        <f>IFERROR(IF(ISBLANK(INDEX(Backlog[Stream],MATCH($A73,Backlog[Requirement ID],0))),"",INDEX(Backlog[Stream],MATCH($A73,Backlog[Requirement ID],0))),"")</f>
        <v/>
      </c>
      <c r="D73" s="117">
        <f>IFERROR(IF(ISBLANK(INDEX(Backlog[Stream Owner],MATCH($A73,Backlog[Requirement ID],0))),"",INDEX(Backlog[Stream Owner],MATCH($A73,Backlog[Requirement ID],0))),"")</f>
        <v/>
      </c>
      <c r="E73" s="117">
        <f>IFERROR(IF(ISBLANK(INDEX(Backlog[Jira Link],MATCH($A73,Backlog[Requirement ID],0))),"",INDEX(Backlog[Jira Link],MATCH($A73,Backlog[Requirement ID],0))),"")</f>
        <v/>
      </c>
      <c r="F73" s="115" t="inlineStr">
        <is>
          <t>Yes</t>
        </is>
      </c>
      <c r="G73" s="115" t="inlineStr">
        <is>
          <t>Yes</t>
        </is>
      </c>
      <c r="H73" s="128">
        <f>IFERROR(IF(ISBLANK(INDEX(SprintPlanning[Sprint],MATCH($A73,SprintPlanning[Requirement ID],0))),"",INDEX(SprintPlanning[Sprint],MATCH($A73,SprintPlanning[Requirement ID],0))),"")</f>
        <v/>
      </c>
      <c r="I73" s="117">
        <f>IFERROR(IF(ISBLANK(INDEX(Backlog[Status],MATCH($A73,Backlog[Requirement ID],0))),"",INDEX(Backlog[Status],MATCH($A73,Backlog[Requirement ID],0))),"")</f>
        <v/>
      </c>
      <c r="J73" s="117">
        <f>IFERROR(IF(ISBLANK(INDEX(Backlog[Priority],MATCH($A73,Backlog[Requirement ID],0))),"",INDEX(Backlog[Priority],MATCH($A73,Backlog[Requirement ID],0))),"")</f>
        <v/>
      </c>
      <c r="K73" s="115" t="n"/>
      <c r="L73" s="148" t="n"/>
      <c r="M73" s="148" t="n"/>
      <c r="N73" s="115" t="n"/>
      <c r="O73" s="149" t="n"/>
      <c r="P73" s="121" t="n"/>
      <c r="Q73" s="121" t="n"/>
    </row>
    <row r="74" ht="15" customHeight="1" s="93">
      <c r="A74" s="115">
        <f>Backlog!A74</f>
        <v/>
      </c>
      <c r="B74" s="117">
        <f>IFERROR(IF(ISBLANK(INDEX(Backlog[Requirement Name],MATCH($A74,Backlog[Requirement ID],0))),"",INDEX(Backlog[Requirement Name],MATCH($A74,Backlog[Requirement ID],0))),"")</f>
        <v/>
      </c>
      <c r="C74" s="117">
        <f>IFERROR(IF(ISBLANK(INDEX(Backlog[Stream],MATCH($A74,Backlog[Requirement ID],0))),"",INDEX(Backlog[Stream],MATCH($A74,Backlog[Requirement ID],0))),"")</f>
        <v/>
      </c>
      <c r="D74" s="117">
        <f>IFERROR(IF(ISBLANK(INDEX(Backlog[Stream Owner],MATCH($A74,Backlog[Requirement ID],0))),"",INDEX(Backlog[Stream Owner],MATCH($A74,Backlog[Requirement ID],0))),"")</f>
        <v/>
      </c>
      <c r="E74" s="117">
        <f>IFERROR(IF(ISBLANK(INDEX(Backlog[Jira Link],MATCH($A74,Backlog[Requirement ID],0))),"",INDEX(Backlog[Jira Link],MATCH($A74,Backlog[Requirement ID],0))),"")</f>
        <v/>
      </c>
      <c r="F74" s="115" t="inlineStr">
        <is>
          <t>NA</t>
        </is>
      </c>
      <c r="G74" s="115" t="inlineStr">
        <is>
          <t>NA</t>
        </is>
      </c>
      <c r="H74" s="128">
        <f>IFERROR(IF(ISBLANK(INDEX(SprintPlanning[Sprint],MATCH($A74,SprintPlanning[Requirement ID],0))),"",INDEX(SprintPlanning[Sprint],MATCH($A74,SprintPlanning[Requirement ID],0))),"")</f>
        <v/>
      </c>
      <c r="I74" s="117">
        <f>IFERROR(IF(ISBLANK(INDEX(Backlog[Status],MATCH($A74,Backlog[Requirement ID],0))),"",INDEX(Backlog[Status],MATCH($A74,Backlog[Requirement ID],0))),"")</f>
        <v/>
      </c>
      <c r="J74" s="117">
        <f>IFERROR(IF(ISBLANK(INDEX(Backlog[Priority],MATCH($A74,Backlog[Requirement ID],0))),"",INDEX(Backlog[Priority],MATCH($A74,Backlog[Requirement ID],0))),"")</f>
        <v/>
      </c>
      <c r="K74" s="115" t="n"/>
      <c r="L74" s="148" t="n"/>
      <c r="M74" s="148" t="n"/>
      <c r="N74" s="115" t="n"/>
      <c r="O74" s="149" t="n"/>
      <c r="P74" s="121" t="n"/>
      <c r="Q74" s="121" t="n"/>
    </row>
    <row r="75" ht="15" customHeight="1" s="93">
      <c r="A75" s="115">
        <f>Backlog!A75</f>
        <v/>
      </c>
      <c r="B75" s="117">
        <f>IFERROR(IF(ISBLANK(INDEX(Backlog[Requirement Name],MATCH($A75,Backlog[Requirement ID],0))),"",INDEX(Backlog[Requirement Name],MATCH($A75,Backlog[Requirement ID],0))),"")</f>
        <v/>
      </c>
      <c r="C75" s="117">
        <f>IFERROR(IF(ISBLANK(INDEX(Backlog[Stream],MATCH($A75,Backlog[Requirement ID],0))),"",INDEX(Backlog[Stream],MATCH($A75,Backlog[Requirement ID],0))),"")</f>
        <v/>
      </c>
      <c r="D75" s="117">
        <f>IFERROR(IF(ISBLANK(INDEX(Backlog[Stream Owner],MATCH($A75,Backlog[Requirement ID],0))),"",INDEX(Backlog[Stream Owner],MATCH($A75,Backlog[Requirement ID],0))),"")</f>
        <v/>
      </c>
      <c r="E75" s="117">
        <f>IFERROR(IF(ISBLANK(INDEX(Backlog[Jira Link],MATCH($A75,Backlog[Requirement ID],0))),"",INDEX(Backlog[Jira Link],MATCH($A75,Backlog[Requirement ID],0))),"")</f>
        <v/>
      </c>
      <c r="F75" s="115" t="inlineStr">
        <is>
          <t>No</t>
        </is>
      </c>
      <c r="G75" s="115" t="inlineStr">
        <is>
          <t>No</t>
        </is>
      </c>
      <c r="H75" s="128">
        <f>IFERROR(IF(ISBLANK(INDEX(SprintPlanning[Sprint],MATCH($A75,SprintPlanning[Requirement ID],0))),"",INDEX(SprintPlanning[Sprint],MATCH($A75,SprintPlanning[Requirement ID],0))),"")</f>
        <v/>
      </c>
      <c r="I75" s="117">
        <f>IFERROR(IF(ISBLANK(INDEX(Backlog[Status],MATCH($A75,Backlog[Requirement ID],0))),"",INDEX(Backlog[Status],MATCH($A75,Backlog[Requirement ID],0))),"")</f>
        <v/>
      </c>
      <c r="J75" s="117">
        <f>IFERROR(IF(ISBLANK(INDEX(Backlog[Priority],MATCH($A75,Backlog[Requirement ID],0))),"",INDEX(Backlog[Priority],MATCH($A75,Backlog[Requirement ID],0))),"")</f>
        <v/>
      </c>
      <c r="K75" s="115" t="n"/>
      <c r="L75" s="148" t="n"/>
      <c r="M75" s="148" t="n"/>
      <c r="N75" s="115" t="n"/>
      <c r="O75" s="149" t="n"/>
      <c r="P75" s="121" t="n"/>
      <c r="Q75" s="121" t="n"/>
    </row>
    <row r="76" ht="15" customHeight="1" s="93">
      <c r="A76" s="115">
        <f>Backlog!A76</f>
        <v/>
      </c>
      <c r="B76" s="117">
        <f>IFERROR(IF(ISBLANK(INDEX(Backlog[Requirement Name],MATCH($A76,Backlog[Requirement ID],0))),"",INDEX(Backlog[Requirement Name],MATCH($A76,Backlog[Requirement ID],0))),"")</f>
        <v/>
      </c>
      <c r="C76" s="117">
        <f>IFERROR(IF(ISBLANK(INDEX(Backlog[Stream],MATCH($A76,Backlog[Requirement ID],0))),"",INDEX(Backlog[Stream],MATCH($A76,Backlog[Requirement ID],0))),"")</f>
        <v/>
      </c>
      <c r="D76" s="117">
        <f>IFERROR(IF(ISBLANK(INDEX(Backlog[Stream Owner],MATCH($A76,Backlog[Requirement ID],0))),"",INDEX(Backlog[Stream Owner],MATCH($A76,Backlog[Requirement ID],0))),"")</f>
        <v/>
      </c>
      <c r="E76" s="117">
        <f>IFERROR(IF(ISBLANK(INDEX(Backlog[Jira Link],MATCH($A76,Backlog[Requirement ID],0))),"",INDEX(Backlog[Jira Link],MATCH($A76,Backlog[Requirement ID],0))),"")</f>
        <v/>
      </c>
      <c r="F76" s="115" t="inlineStr">
        <is>
          <t>No</t>
        </is>
      </c>
      <c r="G76" s="115" t="inlineStr">
        <is>
          <t>No</t>
        </is>
      </c>
      <c r="H76" s="128">
        <f>IFERROR(IF(ISBLANK(INDEX(SprintPlanning[Sprint],MATCH($A76,SprintPlanning[Requirement ID],0))),"",INDEX(SprintPlanning[Sprint],MATCH($A76,SprintPlanning[Requirement ID],0))),"")</f>
        <v/>
      </c>
      <c r="I76" s="117">
        <f>IFERROR(IF(ISBLANK(INDEX(Backlog[Status],MATCH($A76,Backlog[Requirement ID],0))),"",INDEX(Backlog[Status],MATCH($A76,Backlog[Requirement ID],0))),"")</f>
        <v/>
      </c>
      <c r="J76" s="117">
        <f>IFERROR(IF(ISBLANK(INDEX(Backlog[Priority],MATCH($A76,Backlog[Requirement ID],0))),"",INDEX(Backlog[Priority],MATCH($A76,Backlog[Requirement ID],0))),"")</f>
        <v/>
      </c>
      <c r="K76" s="115" t="n"/>
      <c r="L76" s="148" t="n"/>
      <c r="M76" s="148" t="n"/>
      <c r="N76" s="115" t="n"/>
      <c r="O76" s="149" t="n"/>
      <c r="P76" s="121" t="n"/>
      <c r="Q76" s="121" t="n"/>
    </row>
    <row r="77" ht="15" customHeight="1" s="93">
      <c r="A77" s="115">
        <f>Backlog!A77</f>
        <v/>
      </c>
      <c r="B77" s="117">
        <f>IFERROR(IF(ISBLANK(INDEX(Backlog[Requirement Name],MATCH($A77,Backlog[Requirement ID],0))),"",INDEX(Backlog[Requirement Name],MATCH($A77,Backlog[Requirement ID],0))),"")</f>
        <v/>
      </c>
      <c r="C77" s="117">
        <f>IFERROR(IF(ISBLANK(INDEX(Backlog[Stream],MATCH($A77,Backlog[Requirement ID],0))),"",INDEX(Backlog[Stream],MATCH($A77,Backlog[Requirement ID],0))),"")</f>
        <v/>
      </c>
      <c r="D77" s="117">
        <f>IFERROR(IF(ISBLANK(INDEX(Backlog[Stream Owner],MATCH($A77,Backlog[Requirement ID],0))),"",INDEX(Backlog[Stream Owner],MATCH($A77,Backlog[Requirement ID],0))),"")</f>
        <v/>
      </c>
      <c r="E77" s="117">
        <f>IFERROR(IF(ISBLANK(INDEX(Backlog[Jira Link],MATCH($A77,Backlog[Requirement ID],0))),"",INDEX(Backlog[Jira Link],MATCH($A77,Backlog[Requirement ID],0))),"")</f>
        <v/>
      </c>
      <c r="F77" s="115" t="inlineStr">
        <is>
          <t>No</t>
        </is>
      </c>
      <c r="G77" s="115" t="inlineStr">
        <is>
          <t>No</t>
        </is>
      </c>
      <c r="H77" s="128">
        <f>IFERROR(IF(ISBLANK(INDEX(SprintPlanning[Sprint],MATCH($A77,SprintPlanning[Requirement ID],0))),"",INDEX(SprintPlanning[Sprint],MATCH($A77,SprintPlanning[Requirement ID],0))),"")</f>
        <v/>
      </c>
      <c r="I77" s="117">
        <f>IFERROR(IF(ISBLANK(INDEX(Backlog[Status],MATCH($A77,Backlog[Requirement ID],0))),"",INDEX(Backlog[Status],MATCH($A77,Backlog[Requirement ID],0))),"")</f>
        <v/>
      </c>
      <c r="J77" s="117">
        <f>IFERROR(IF(ISBLANK(INDEX(Backlog[Priority],MATCH($A77,Backlog[Requirement ID],0))),"",INDEX(Backlog[Priority],MATCH($A77,Backlog[Requirement ID],0))),"")</f>
        <v/>
      </c>
      <c r="K77" s="115" t="n"/>
      <c r="L77" s="148" t="n"/>
      <c r="M77" s="148" t="n"/>
      <c r="N77" s="115" t="n"/>
      <c r="O77" s="149" t="n"/>
      <c r="P77" s="121" t="n"/>
      <c r="Q77" s="121" t="n"/>
    </row>
    <row r="78" ht="15" customHeight="1" s="93">
      <c r="A78" s="115">
        <f>Backlog!A78</f>
        <v/>
      </c>
      <c r="B78" s="117">
        <f>IFERROR(IF(ISBLANK(INDEX(Backlog[Requirement Name],MATCH($A78,Backlog[Requirement ID],0))),"",INDEX(Backlog[Requirement Name],MATCH($A78,Backlog[Requirement ID],0))),"")</f>
        <v/>
      </c>
      <c r="C78" s="117">
        <f>IFERROR(IF(ISBLANK(INDEX(Backlog[Stream],MATCH($A78,Backlog[Requirement ID],0))),"",INDEX(Backlog[Stream],MATCH($A78,Backlog[Requirement ID],0))),"")</f>
        <v/>
      </c>
      <c r="D78" s="117">
        <f>IFERROR(IF(ISBLANK(INDEX(Backlog[Stream Owner],MATCH($A78,Backlog[Requirement ID],0))),"",INDEX(Backlog[Stream Owner],MATCH($A78,Backlog[Requirement ID],0))),"")</f>
        <v/>
      </c>
      <c r="E78" s="117">
        <f>IFERROR(IF(ISBLANK(INDEX(Backlog[Jira Link],MATCH($A78,Backlog[Requirement ID],0))),"",INDEX(Backlog[Jira Link],MATCH($A78,Backlog[Requirement ID],0))),"")</f>
        <v/>
      </c>
      <c r="F78" s="115" t="inlineStr">
        <is>
          <t>No</t>
        </is>
      </c>
      <c r="G78" s="115" t="inlineStr">
        <is>
          <t>No</t>
        </is>
      </c>
      <c r="H78" s="128">
        <f>IFERROR(IF(ISBLANK(INDEX(SprintPlanning[Sprint],MATCH($A78,SprintPlanning[Requirement ID],0))),"",INDEX(SprintPlanning[Sprint],MATCH($A78,SprintPlanning[Requirement ID],0))),"")</f>
        <v/>
      </c>
      <c r="I78" s="117">
        <f>IFERROR(IF(ISBLANK(INDEX(Backlog[Status],MATCH($A78,Backlog[Requirement ID],0))),"",INDEX(Backlog[Status],MATCH($A78,Backlog[Requirement ID],0))),"")</f>
        <v/>
      </c>
      <c r="J78" s="117">
        <f>IFERROR(IF(ISBLANK(INDEX(Backlog[Priority],MATCH($A78,Backlog[Requirement ID],0))),"",INDEX(Backlog[Priority],MATCH($A78,Backlog[Requirement ID],0))),"")</f>
        <v/>
      </c>
      <c r="K78" s="115" t="n"/>
      <c r="L78" s="148" t="n"/>
      <c r="M78" s="148" t="n"/>
      <c r="N78" s="115" t="n"/>
      <c r="O78" s="149" t="n"/>
      <c r="P78" s="121" t="n"/>
      <c r="Q78" s="121" t="n"/>
    </row>
    <row r="79" ht="15" customHeight="1" s="93">
      <c r="A79" s="115">
        <f>Backlog!A79</f>
        <v/>
      </c>
      <c r="B79" s="117">
        <f>IFERROR(IF(ISBLANK(INDEX(Backlog[Requirement Name],MATCH($A79,Backlog[Requirement ID],0))),"",INDEX(Backlog[Requirement Name],MATCH($A79,Backlog[Requirement ID],0))),"")</f>
        <v/>
      </c>
      <c r="C79" s="117">
        <f>IFERROR(IF(ISBLANK(INDEX(Backlog[Stream],MATCH($A79,Backlog[Requirement ID],0))),"",INDEX(Backlog[Stream],MATCH($A79,Backlog[Requirement ID],0))),"")</f>
        <v/>
      </c>
      <c r="D79" s="117">
        <f>IFERROR(IF(ISBLANK(INDEX(Backlog[Stream Owner],MATCH($A79,Backlog[Requirement ID],0))),"",INDEX(Backlog[Stream Owner],MATCH($A79,Backlog[Requirement ID],0))),"")</f>
        <v/>
      </c>
      <c r="E79" s="117">
        <f>IFERROR(IF(ISBLANK(INDEX(Backlog[Jira Link],MATCH($A79,Backlog[Requirement ID],0))),"",INDEX(Backlog[Jira Link],MATCH($A79,Backlog[Requirement ID],0))),"")</f>
        <v/>
      </c>
      <c r="F79" s="115" t="inlineStr">
        <is>
          <t>No</t>
        </is>
      </c>
      <c r="G79" s="115" t="inlineStr">
        <is>
          <t>No</t>
        </is>
      </c>
      <c r="H79" s="128">
        <f>IFERROR(IF(ISBLANK(INDEX(SprintPlanning[Sprint],MATCH($A79,SprintPlanning[Requirement ID],0))),"",INDEX(SprintPlanning[Sprint],MATCH($A79,SprintPlanning[Requirement ID],0))),"")</f>
        <v/>
      </c>
      <c r="I79" s="117">
        <f>IFERROR(IF(ISBLANK(INDEX(Backlog[Status],MATCH($A79,Backlog[Requirement ID],0))),"",INDEX(Backlog[Status],MATCH($A79,Backlog[Requirement ID],0))),"")</f>
        <v/>
      </c>
      <c r="J79" s="117">
        <f>IFERROR(IF(ISBLANK(INDEX(Backlog[Priority],MATCH($A79,Backlog[Requirement ID],0))),"",INDEX(Backlog[Priority],MATCH($A79,Backlog[Requirement ID],0))),"")</f>
        <v/>
      </c>
      <c r="K79" s="115" t="n"/>
      <c r="L79" s="148" t="n"/>
      <c r="M79" s="148" t="n"/>
      <c r="N79" s="115" t="n"/>
      <c r="O79" s="149" t="n"/>
      <c r="P79" s="121" t="n"/>
      <c r="Q79" s="121" t="n"/>
    </row>
    <row r="80" ht="15" customHeight="1" s="93">
      <c r="A80" s="115">
        <f>Backlog!A80</f>
        <v/>
      </c>
      <c r="B80" s="117">
        <f>IFERROR(IF(ISBLANK(INDEX(Backlog[Requirement Name],MATCH($A80,Backlog[Requirement ID],0))),"",INDEX(Backlog[Requirement Name],MATCH($A80,Backlog[Requirement ID],0))),"")</f>
        <v/>
      </c>
      <c r="C80" s="117">
        <f>IFERROR(IF(ISBLANK(INDEX(Backlog[Stream],MATCH($A80,Backlog[Requirement ID],0))),"",INDEX(Backlog[Stream],MATCH($A80,Backlog[Requirement ID],0))),"")</f>
        <v/>
      </c>
      <c r="D80" s="117">
        <f>IFERROR(IF(ISBLANK(INDEX(Backlog[Stream Owner],MATCH($A80,Backlog[Requirement ID],0))),"",INDEX(Backlog[Stream Owner],MATCH($A80,Backlog[Requirement ID],0))),"")</f>
        <v/>
      </c>
      <c r="E80" s="117">
        <f>IFERROR(IF(ISBLANK(INDEX(Backlog[Jira Link],MATCH($A80,Backlog[Requirement ID],0))),"",INDEX(Backlog[Jira Link],MATCH($A80,Backlog[Requirement ID],0))),"")</f>
        <v/>
      </c>
      <c r="F80" s="115" t="inlineStr">
        <is>
          <t>No</t>
        </is>
      </c>
      <c r="G80" s="115" t="inlineStr">
        <is>
          <t>No</t>
        </is>
      </c>
      <c r="H80" s="128">
        <f>IFERROR(IF(ISBLANK(INDEX(SprintPlanning[Sprint],MATCH($A80,SprintPlanning[Requirement ID],0))),"",INDEX(SprintPlanning[Sprint],MATCH($A80,SprintPlanning[Requirement ID],0))),"")</f>
        <v/>
      </c>
      <c r="I80" s="117">
        <f>IFERROR(IF(ISBLANK(INDEX(Backlog[Status],MATCH($A80,Backlog[Requirement ID],0))),"",INDEX(Backlog[Status],MATCH($A80,Backlog[Requirement ID],0))),"")</f>
        <v/>
      </c>
      <c r="J80" s="117">
        <f>IFERROR(IF(ISBLANK(INDEX(Backlog[Priority],MATCH($A80,Backlog[Requirement ID],0))),"",INDEX(Backlog[Priority],MATCH($A80,Backlog[Requirement ID],0))),"")</f>
        <v/>
      </c>
      <c r="K80" s="115" t="n"/>
      <c r="L80" s="148" t="n"/>
      <c r="M80" s="148" t="n"/>
      <c r="N80" s="115" t="n"/>
      <c r="O80" s="149" t="n"/>
      <c r="P80" s="121" t="n"/>
      <c r="Q80" s="121" t="n"/>
    </row>
    <row r="81" ht="15" customHeight="1" s="93">
      <c r="A81" s="115">
        <f>Backlog!A81</f>
        <v/>
      </c>
      <c r="B81" s="117">
        <f>IFERROR(IF(ISBLANK(INDEX(Backlog[Requirement Name],MATCH($A81,Backlog[Requirement ID],0))),"",INDEX(Backlog[Requirement Name],MATCH($A81,Backlog[Requirement ID],0))),"")</f>
        <v/>
      </c>
      <c r="C81" s="117">
        <f>IFERROR(IF(ISBLANK(INDEX(Backlog[Stream],MATCH($A81,Backlog[Requirement ID],0))),"",INDEX(Backlog[Stream],MATCH($A81,Backlog[Requirement ID],0))),"")</f>
        <v/>
      </c>
      <c r="D81" s="117">
        <f>IFERROR(IF(ISBLANK(INDEX(Backlog[Stream Owner],MATCH($A81,Backlog[Requirement ID],0))),"",INDEX(Backlog[Stream Owner],MATCH($A81,Backlog[Requirement ID],0))),"")</f>
        <v/>
      </c>
      <c r="E81" s="117">
        <f>IFERROR(IF(ISBLANK(INDEX(Backlog[Jira Link],MATCH($A81,Backlog[Requirement ID],0))),"",INDEX(Backlog[Jira Link],MATCH($A81,Backlog[Requirement ID],0))),"")</f>
        <v/>
      </c>
      <c r="F81" s="115" t="inlineStr">
        <is>
          <t>No</t>
        </is>
      </c>
      <c r="G81" s="115" t="inlineStr">
        <is>
          <t>No</t>
        </is>
      </c>
      <c r="H81" s="128">
        <f>IFERROR(IF(ISBLANK(INDEX(SprintPlanning[Sprint],MATCH($A81,SprintPlanning[Requirement ID],0))),"",INDEX(SprintPlanning[Sprint],MATCH($A81,SprintPlanning[Requirement ID],0))),"")</f>
        <v/>
      </c>
      <c r="I81" s="117">
        <f>IFERROR(IF(ISBLANK(INDEX(Backlog[Status],MATCH($A81,Backlog[Requirement ID],0))),"",INDEX(Backlog[Status],MATCH($A81,Backlog[Requirement ID],0))),"")</f>
        <v/>
      </c>
      <c r="J81" s="117">
        <f>IFERROR(IF(ISBLANK(INDEX(Backlog[Priority],MATCH($A81,Backlog[Requirement ID],0))),"",INDEX(Backlog[Priority],MATCH($A81,Backlog[Requirement ID],0))),"")</f>
        <v/>
      </c>
      <c r="K81" s="115" t="n"/>
      <c r="L81" s="148" t="n"/>
      <c r="M81" s="148" t="n"/>
      <c r="N81" s="115" t="n"/>
      <c r="O81" s="149" t="n"/>
      <c r="P81" s="121" t="n"/>
      <c r="Q81" s="121" t="n"/>
    </row>
    <row r="82" ht="15" customHeight="1" s="93">
      <c r="A82" s="115">
        <f>Backlog!A82</f>
        <v/>
      </c>
      <c r="B82" s="117">
        <f>IFERROR(IF(ISBLANK(INDEX(Backlog[Requirement Name],MATCH($A82,Backlog[Requirement ID],0))),"",INDEX(Backlog[Requirement Name],MATCH($A82,Backlog[Requirement ID],0))),"")</f>
        <v/>
      </c>
      <c r="C82" s="117">
        <f>IFERROR(IF(ISBLANK(INDEX(Backlog[Stream],MATCH($A82,Backlog[Requirement ID],0))),"",INDEX(Backlog[Stream],MATCH($A82,Backlog[Requirement ID],0))),"")</f>
        <v/>
      </c>
      <c r="D82" s="117">
        <f>IFERROR(IF(ISBLANK(INDEX(Backlog[Stream Owner],MATCH($A82,Backlog[Requirement ID],0))),"",INDEX(Backlog[Stream Owner],MATCH($A82,Backlog[Requirement ID],0))),"")</f>
        <v/>
      </c>
      <c r="E82" s="117">
        <f>IFERROR(IF(ISBLANK(INDEX(Backlog[Jira Link],MATCH($A82,Backlog[Requirement ID],0))),"",INDEX(Backlog[Jira Link],MATCH($A82,Backlog[Requirement ID],0))),"")</f>
        <v/>
      </c>
      <c r="F82" s="115" t="inlineStr">
        <is>
          <t>No</t>
        </is>
      </c>
      <c r="G82" s="115" t="inlineStr">
        <is>
          <t>No</t>
        </is>
      </c>
      <c r="H82" s="128">
        <f>IFERROR(IF(ISBLANK(INDEX(SprintPlanning[Sprint],MATCH($A82,SprintPlanning[Requirement ID],0))),"",INDEX(SprintPlanning[Sprint],MATCH($A82,SprintPlanning[Requirement ID],0))),"")</f>
        <v/>
      </c>
      <c r="I82" s="117">
        <f>IFERROR(IF(ISBLANK(INDEX(Backlog[Status],MATCH($A82,Backlog[Requirement ID],0))),"",INDEX(Backlog[Status],MATCH($A82,Backlog[Requirement ID],0))),"")</f>
        <v/>
      </c>
      <c r="J82" s="117">
        <f>IFERROR(IF(ISBLANK(INDEX(Backlog[Priority],MATCH($A82,Backlog[Requirement ID],0))),"",INDEX(Backlog[Priority],MATCH($A82,Backlog[Requirement ID],0))),"")</f>
        <v/>
      </c>
      <c r="K82" s="115" t="n"/>
      <c r="L82" s="148" t="n"/>
      <c r="M82" s="148" t="n"/>
      <c r="N82" s="115" t="n"/>
      <c r="O82" s="149" t="n"/>
      <c r="P82" s="121" t="n"/>
      <c r="Q82" s="121" t="n"/>
    </row>
    <row r="83" ht="15" customHeight="1" s="93">
      <c r="A83" s="115">
        <f>Backlog!A83</f>
        <v/>
      </c>
      <c r="B83" s="117">
        <f>IFERROR(IF(ISBLANK(INDEX(Backlog[Requirement Name],MATCH($A83,Backlog[Requirement ID],0))),"",INDEX(Backlog[Requirement Name],MATCH($A83,Backlog[Requirement ID],0))),"")</f>
        <v/>
      </c>
      <c r="C83" s="117">
        <f>IFERROR(IF(ISBLANK(INDEX(Backlog[Stream],MATCH($A83,Backlog[Requirement ID],0))),"",INDEX(Backlog[Stream],MATCH($A83,Backlog[Requirement ID],0))),"")</f>
        <v/>
      </c>
      <c r="D83" s="117">
        <f>IFERROR(IF(ISBLANK(INDEX(Backlog[Stream Owner],MATCH($A83,Backlog[Requirement ID],0))),"",INDEX(Backlog[Stream Owner],MATCH($A83,Backlog[Requirement ID],0))),"")</f>
        <v/>
      </c>
      <c r="E83" s="117">
        <f>IFERROR(IF(ISBLANK(INDEX(Backlog[Jira Link],MATCH($A83,Backlog[Requirement ID],0))),"",INDEX(Backlog[Jira Link],MATCH($A83,Backlog[Requirement ID],0))),"")</f>
        <v/>
      </c>
      <c r="F83" s="115" t="inlineStr">
        <is>
          <t>No</t>
        </is>
      </c>
      <c r="G83" s="115" t="inlineStr">
        <is>
          <t>No</t>
        </is>
      </c>
      <c r="H83" s="128">
        <f>IFERROR(IF(ISBLANK(INDEX(SprintPlanning[Sprint],MATCH($A83,SprintPlanning[Requirement ID],0))),"",INDEX(SprintPlanning[Sprint],MATCH($A83,SprintPlanning[Requirement ID],0))),"")</f>
        <v/>
      </c>
      <c r="I83" s="117">
        <f>IFERROR(IF(ISBLANK(INDEX(Backlog[Status],MATCH($A83,Backlog[Requirement ID],0))),"",INDEX(Backlog[Status],MATCH($A83,Backlog[Requirement ID],0))),"")</f>
        <v/>
      </c>
      <c r="J83" s="117">
        <f>IFERROR(IF(ISBLANK(INDEX(Backlog[Priority],MATCH($A83,Backlog[Requirement ID],0))),"",INDEX(Backlog[Priority],MATCH($A83,Backlog[Requirement ID],0))),"")</f>
        <v/>
      </c>
      <c r="K83" s="115" t="n"/>
      <c r="L83" s="148" t="n"/>
      <c r="M83" s="148" t="n"/>
      <c r="N83" s="115" t="n"/>
      <c r="O83" s="149" t="n"/>
      <c r="P83" s="121" t="n"/>
      <c r="Q83" s="121" t="n"/>
    </row>
    <row r="84" ht="15" customHeight="1" s="93">
      <c r="A84" s="115">
        <f>Backlog!A84</f>
        <v/>
      </c>
      <c r="B84" s="117">
        <f>IFERROR(IF(ISBLANK(INDEX(Backlog[Requirement Name],MATCH($A84,Backlog[Requirement ID],0))),"",INDEX(Backlog[Requirement Name],MATCH($A84,Backlog[Requirement ID],0))),"")</f>
        <v/>
      </c>
      <c r="C84" s="117">
        <f>IFERROR(IF(ISBLANK(INDEX(Backlog[Stream],MATCH($A84,Backlog[Requirement ID],0))),"",INDEX(Backlog[Stream],MATCH($A84,Backlog[Requirement ID],0))),"")</f>
        <v/>
      </c>
      <c r="D84" s="117">
        <f>IFERROR(IF(ISBLANK(INDEX(Backlog[Stream Owner],MATCH($A84,Backlog[Requirement ID],0))),"",INDEX(Backlog[Stream Owner],MATCH($A84,Backlog[Requirement ID],0))),"")</f>
        <v/>
      </c>
      <c r="E84" s="117">
        <f>IFERROR(IF(ISBLANK(INDEX(Backlog[Jira Link],MATCH($A84,Backlog[Requirement ID],0))),"",INDEX(Backlog[Jira Link],MATCH($A84,Backlog[Requirement ID],0))),"")</f>
        <v/>
      </c>
      <c r="F84" s="115" t="inlineStr">
        <is>
          <t>No</t>
        </is>
      </c>
      <c r="G84" s="115" t="inlineStr">
        <is>
          <t>No</t>
        </is>
      </c>
      <c r="H84" s="128">
        <f>IFERROR(IF(ISBLANK(INDEX(SprintPlanning[Sprint],MATCH($A84,SprintPlanning[Requirement ID],0))),"",INDEX(SprintPlanning[Sprint],MATCH($A84,SprintPlanning[Requirement ID],0))),"")</f>
        <v/>
      </c>
      <c r="I84" s="117">
        <f>IFERROR(IF(ISBLANK(INDEX(Backlog[Status],MATCH($A84,Backlog[Requirement ID],0))),"",INDEX(Backlog[Status],MATCH($A84,Backlog[Requirement ID],0))),"")</f>
        <v/>
      </c>
      <c r="J84" s="117">
        <f>IFERROR(IF(ISBLANK(INDEX(Backlog[Priority],MATCH($A84,Backlog[Requirement ID],0))),"",INDEX(Backlog[Priority],MATCH($A84,Backlog[Requirement ID],0))),"")</f>
        <v/>
      </c>
      <c r="K84" s="115" t="n"/>
      <c r="L84" s="148" t="n"/>
      <c r="M84" s="148" t="n"/>
      <c r="N84" s="115" t="n"/>
      <c r="O84" s="149" t="n"/>
      <c r="P84" s="121" t="n"/>
      <c r="Q84" s="121" t="n"/>
    </row>
    <row r="85" ht="15" customHeight="1" s="93">
      <c r="A85" s="92">
        <f>Backlog!A85</f>
        <v/>
      </c>
      <c r="B85" s="92">
        <f>IFERROR(IF(ISBLANK(INDEX(Backlog[Requirement Name],MATCH($A85,Backlog[Requirement ID],0))),"",INDEX(Backlog[Requirement Name],MATCH($A85,Backlog[Requirement ID],0))),"")</f>
        <v/>
      </c>
      <c r="C85" s="92">
        <f>IFERROR(IF(ISBLANK(INDEX(Backlog[Stream],MATCH($A85,Backlog[Requirement ID],0))),"",INDEX(Backlog[Stream],MATCH($A85,Backlog[Requirement ID],0))),"")</f>
        <v/>
      </c>
      <c r="D85" s="92">
        <f>IFERROR(IF(ISBLANK(INDEX(Backlog[Stream Owner],MATCH($A85,Backlog[Requirement ID],0))),"",INDEX(Backlog[Stream Owner],MATCH($A85,Backlog[Requirement ID],0))),"")</f>
        <v/>
      </c>
      <c r="E85" s="92">
        <f>IFERROR(IF(ISBLANK(INDEX(Backlog[Jira Link],MATCH($A85,Backlog[Requirement ID],0))),"",INDEX(Backlog[Jira Link],MATCH($A85,Backlog[Requirement ID],0))),"")</f>
        <v/>
      </c>
      <c r="F85" s="115" t="inlineStr">
        <is>
          <t>No</t>
        </is>
      </c>
      <c r="G85" s="115" t="inlineStr">
        <is>
          <t>No</t>
        </is>
      </c>
      <c r="H85" s="92">
        <f>IFERROR(IF(ISBLANK(INDEX(SprintPlanning[Sprint],MATCH($A85,SprintPlanning[Requirement ID],0))),"",INDEX(SprintPlanning[Sprint],MATCH($A85,SprintPlanning[Requirement ID],0))),"")</f>
        <v/>
      </c>
      <c r="I85" s="92">
        <f>IFERROR(IF(ISBLANK(INDEX(Backlog[Status],MATCH($A85,Backlog[Requirement ID],0))),"",INDEX(Backlog[Status],MATCH($A85,Backlog[Requirement ID],0))),"")</f>
        <v/>
      </c>
      <c r="J85" s="92">
        <f>IFERROR(IF(ISBLANK(INDEX(Backlog[Priority],MATCH($A85,Backlog[Requirement ID],0))),"",INDEX(Backlog[Priority],MATCH($A85,Backlog[Requirement ID],0))),"")</f>
        <v/>
      </c>
      <c r="K85" s="121" t="n"/>
      <c r="L85" s="149" t="n"/>
      <c r="M85" s="149" t="n"/>
      <c r="N85" s="121" t="n"/>
      <c r="O85" s="149" t="n"/>
      <c r="P85" s="121" t="n"/>
      <c r="Q85" s="121" t="n"/>
    </row>
    <row r="86" ht="15" customHeight="1" s="93">
      <c r="A86" s="92">
        <f>Backlog!A86</f>
        <v/>
      </c>
      <c r="B86" s="92">
        <f>IFERROR(IF(ISBLANK(INDEX(Backlog[Requirement Name],MATCH($A86,Backlog[Requirement ID],0))),"",INDEX(Backlog[Requirement Name],MATCH($A86,Backlog[Requirement ID],0))),"")</f>
        <v/>
      </c>
      <c r="C86" s="92">
        <f>IFERROR(IF(ISBLANK(INDEX(Backlog[Stream],MATCH($A86,Backlog[Requirement ID],0))),"",INDEX(Backlog[Stream],MATCH($A86,Backlog[Requirement ID],0))),"")</f>
        <v/>
      </c>
      <c r="D86" s="92">
        <f>IFERROR(IF(ISBLANK(INDEX(Backlog[Stream Owner],MATCH($A86,Backlog[Requirement ID],0))),"",INDEX(Backlog[Stream Owner],MATCH($A86,Backlog[Requirement ID],0))),"")</f>
        <v/>
      </c>
      <c r="E86" s="92">
        <f>IFERROR(IF(ISBLANK(INDEX(Backlog[Jira Link],MATCH($A86,Backlog[Requirement ID],0))),"",INDEX(Backlog[Jira Link],MATCH($A86,Backlog[Requirement ID],0))),"")</f>
        <v/>
      </c>
      <c r="F86" s="121" t="inlineStr">
        <is>
          <t>Yes</t>
        </is>
      </c>
      <c r="G86" s="121" t="inlineStr">
        <is>
          <t>No</t>
        </is>
      </c>
      <c r="H86" s="92">
        <f>IFERROR(IF(ISBLANK(INDEX(SprintPlanning[Sprint],MATCH($A86,SprintPlanning[Requirement ID],0))),"",INDEX(SprintPlanning[Sprint],MATCH($A86,SprintPlanning[Requirement ID],0))),"")</f>
        <v/>
      </c>
      <c r="I86" s="92">
        <f>IFERROR(IF(ISBLANK(INDEX(Backlog[Status],MATCH($A86,Backlog[Requirement ID],0))),"",INDEX(Backlog[Status],MATCH($A86,Backlog[Requirement ID],0))),"")</f>
        <v/>
      </c>
      <c r="J86" s="92">
        <f>IFERROR(IF(ISBLANK(INDEX(Backlog[Priority],MATCH($A86,Backlog[Requirement ID],0))),"",INDEX(Backlog[Priority],MATCH($A86,Backlog[Requirement ID],0))),"")</f>
        <v/>
      </c>
      <c r="K86" s="121" t="n"/>
      <c r="L86" s="149" t="n"/>
      <c r="M86" s="149" t="n"/>
      <c r="N86" s="121" t="n"/>
      <c r="O86" s="149" t="n"/>
      <c r="P86" s="121" t="n"/>
      <c r="Q86" s="121" t="n"/>
    </row>
    <row r="87" ht="15" customHeight="1" s="93">
      <c r="A87" s="92">
        <f>Backlog!A87</f>
        <v/>
      </c>
      <c r="B87" s="92">
        <f>IFERROR(IF(ISBLANK(INDEX(Backlog[Requirement Name],MATCH($A87,Backlog[Requirement ID],0))),"",INDEX(Backlog[Requirement Name],MATCH($A87,Backlog[Requirement ID],0))),"")</f>
        <v/>
      </c>
      <c r="C87" s="92">
        <f>IFERROR(IF(ISBLANK(INDEX(Backlog[Stream],MATCH($A87,Backlog[Requirement ID],0))),"",INDEX(Backlog[Stream],MATCH($A87,Backlog[Requirement ID],0))),"")</f>
        <v/>
      </c>
      <c r="D87" s="92">
        <f>IFERROR(IF(ISBLANK(INDEX(Backlog[Stream Owner],MATCH($A87,Backlog[Requirement ID],0))),"",INDEX(Backlog[Stream Owner],MATCH($A87,Backlog[Requirement ID],0))),"")</f>
        <v/>
      </c>
      <c r="E87" s="92">
        <f>IFERROR(IF(ISBLANK(INDEX(Backlog[Jira Link],MATCH($A87,Backlog[Requirement ID],0))),"",INDEX(Backlog[Jira Link],MATCH($A87,Backlog[Requirement ID],0))),"")</f>
        <v/>
      </c>
      <c r="F87" s="121" t="inlineStr">
        <is>
          <t>Yes</t>
        </is>
      </c>
      <c r="G87" s="121" t="inlineStr">
        <is>
          <t>No</t>
        </is>
      </c>
      <c r="H87" s="92">
        <f>IFERROR(IF(ISBLANK(INDEX(SprintPlanning[Sprint],MATCH($A87,SprintPlanning[Requirement ID],0))),"",INDEX(SprintPlanning[Sprint],MATCH($A87,SprintPlanning[Requirement ID],0))),"")</f>
        <v/>
      </c>
      <c r="I87" s="92">
        <f>IFERROR(IF(ISBLANK(INDEX(Backlog[Status],MATCH($A87,Backlog[Requirement ID],0))),"",INDEX(Backlog[Status],MATCH($A87,Backlog[Requirement ID],0))),"")</f>
        <v/>
      </c>
      <c r="J87" s="92">
        <f>IFERROR(IF(ISBLANK(INDEX(Backlog[Priority],MATCH($A87,Backlog[Requirement ID],0))),"",INDEX(Backlog[Priority],MATCH($A87,Backlog[Requirement ID],0))),"")</f>
        <v/>
      </c>
      <c r="K87" s="121" t="n"/>
      <c r="L87" s="149" t="n"/>
      <c r="M87" s="149" t="n"/>
      <c r="N87" s="121" t="n"/>
      <c r="O87" s="149" t="n"/>
      <c r="P87" s="121" t="n"/>
      <c r="Q87" s="121" t="n"/>
    </row>
    <row r="88" ht="15" customHeight="1" s="93">
      <c r="A88" s="92">
        <f>Backlog!A88</f>
        <v/>
      </c>
      <c r="B88" s="92">
        <f>IFERROR(IF(ISBLANK(INDEX(Backlog[Requirement Name],MATCH($A88,Backlog[Requirement ID],0))),"",INDEX(Backlog[Requirement Name],MATCH($A88,Backlog[Requirement ID],0))),"")</f>
        <v/>
      </c>
      <c r="C88" s="92">
        <f>IFERROR(IF(ISBLANK(INDEX(Backlog[Stream],MATCH($A88,Backlog[Requirement ID],0))),"",INDEX(Backlog[Stream],MATCH($A88,Backlog[Requirement ID],0))),"")</f>
        <v/>
      </c>
      <c r="D88" s="92">
        <f>IFERROR(IF(ISBLANK(INDEX(Backlog[Stream Owner],MATCH($A88,Backlog[Requirement ID],0))),"",INDEX(Backlog[Stream Owner],MATCH($A88,Backlog[Requirement ID],0))),"")</f>
        <v/>
      </c>
      <c r="E88" s="92">
        <f>IFERROR(IF(ISBLANK(INDEX(Backlog[Jira Link],MATCH($A88,Backlog[Requirement ID],0))),"",INDEX(Backlog[Jira Link],MATCH($A88,Backlog[Requirement ID],0))),"")</f>
        <v/>
      </c>
      <c r="F88" s="121" t="inlineStr">
        <is>
          <t>Yes</t>
        </is>
      </c>
      <c r="G88" s="121" t="inlineStr">
        <is>
          <t>No</t>
        </is>
      </c>
      <c r="H88" s="92">
        <f>IFERROR(IF(ISBLANK(INDEX(SprintPlanning[Sprint],MATCH($A88,SprintPlanning[Requirement ID],0))),"",INDEX(SprintPlanning[Sprint],MATCH($A88,SprintPlanning[Requirement ID],0))),"")</f>
        <v/>
      </c>
      <c r="I88" s="92">
        <f>IFERROR(IF(ISBLANK(INDEX(Backlog[Status],MATCH($A88,Backlog[Requirement ID],0))),"",INDEX(Backlog[Status],MATCH($A88,Backlog[Requirement ID],0))),"")</f>
        <v/>
      </c>
      <c r="J88" s="92">
        <f>IFERROR(IF(ISBLANK(INDEX(Backlog[Priority],MATCH($A88,Backlog[Requirement ID],0))),"",INDEX(Backlog[Priority],MATCH($A88,Backlog[Requirement ID],0))),"")</f>
        <v/>
      </c>
      <c r="K88" s="121" t="n"/>
      <c r="L88" s="149" t="n"/>
      <c r="M88" s="149" t="n"/>
      <c r="N88" s="121" t="n"/>
      <c r="O88" s="149" t="n"/>
      <c r="P88" s="121" t="n"/>
      <c r="Q88" s="121" t="n"/>
    </row>
    <row r="89" ht="15" customHeight="1" s="93">
      <c r="A89" s="92">
        <f>Backlog!A89</f>
        <v/>
      </c>
      <c r="B89" s="92">
        <f>IFERROR(IF(ISBLANK(INDEX(Backlog[Requirement Name],MATCH($A89,Backlog[Requirement ID],0))),"",INDEX(Backlog[Requirement Name],MATCH($A89,Backlog[Requirement ID],0))),"")</f>
        <v/>
      </c>
      <c r="C89" s="92">
        <f>IFERROR(IF(ISBLANK(INDEX(Backlog[Stream],MATCH($A89,Backlog[Requirement ID],0))),"",INDEX(Backlog[Stream],MATCH($A89,Backlog[Requirement ID],0))),"")</f>
        <v/>
      </c>
      <c r="D89" s="92">
        <f>IFERROR(IF(ISBLANK(INDEX(Backlog[Stream Owner],MATCH($A89,Backlog[Requirement ID],0))),"",INDEX(Backlog[Stream Owner],MATCH($A89,Backlog[Requirement ID],0))),"")</f>
        <v/>
      </c>
      <c r="E89" s="92">
        <f>IFERROR(IF(ISBLANK(INDEX(Backlog[Jira Link],MATCH($A89,Backlog[Requirement ID],0))),"",INDEX(Backlog[Jira Link],MATCH($A89,Backlog[Requirement ID],0))),"")</f>
        <v/>
      </c>
      <c r="F89" s="121" t="inlineStr">
        <is>
          <t>NA</t>
        </is>
      </c>
      <c r="G89" s="121" t="inlineStr">
        <is>
          <t>NA</t>
        </is>
      </c>
      <c r="H89" s="92">
        <f>IFERROR(IF(ISBLANK(INDEX(SprintPlanning[Sprint],MATCH($A89,SprintPlanning[Requirement ID],0))),"",INDEX(SprintPlanning[Sprint],MATCH($A89,SprintPlanning[Requirement ID],0))),"")</f>
        <v/>
      </c>
      <c r="I89" s="92">
        <f>IFERROR(IF(ISBLANK(INDEX(Backlog[Status],MATCH($A89,Backlog[Requirement ID],0))),"",INDEX(Backlog[Status],MATCH($A89,Backlog[Requirement ID],0))),"")</f>
        <v/>
      </c>
      <c r="J89" s="92">
        <f>IFERROR(IF(ISBLANK(INDEX(Backlog[Priority],MATCH($A89,Backlog[Requirement ID],0))),"",INDEX(Backlog[Priority],MATCH($A89,Backlog[Requirement ID],0))),"")</f>
        <v/>
      </c>
      <c r="K89" s="121" t="n"/>
      <c r="L89" s="149" t="n"/>
      <c r="M89" s="149" t="n"/>
      <c r="N89" s="121" t="n"/>
      <c r="O89" s="149" t="n"/>
      <c r="P89" s="121" t="n"/>
      <c r="Q89" s="121" t="n"/>
    </row>
    <row r="90" ht="15" customHeight="1" s="93">
      <c r="A90" s="92">
        <f>Backlog!A90</f>
        <v/>
      </c>
      <c r="B90" s="92">
        <f>IFERROR(IF(ISBLANK(INDEX(Backlog[Requirement Name],MATCH($A90,Backlog[Requirement ID],0))),"",INDEX(Backlog[Requirement Name],MATCH($A90,Backlog[Requirement ID],0))),"")</f>
        <v/>
      </c>
      <c r="C90" s="92">
        <f>IFERROR(IF(ISBLANK(INDEX(Backlog[Stream],MATCH($A90,Backlog[Requirement ID],0))),"",INDEX(Backlog[Stream],MATCH($A90,Backlog[Requirement ID],0))),"")</f>
        <v/>
      </c>
      <c r="D90" s="92">
        <f>IFERROR(IF(ISBLANK(INDEX(Backlog[Stream Owner],MATCH($A90,Backlog[Requirement ID],0))),"",INDEX(Backlog[Stream Owner],MATCH($A90,Backlog[Requirement ID],0))),"")</f>
        <v/>
      </c>
      <c r="E90" s="92">
        <f>IFERROR(IF(ISBLANK(INDEX(Backlog[Jira Link],MATCH($A90,Backlog[Requirement ID],0))),"",INDEX(Backlog[Jira Link],MATCH($A90,Backlog[Requirement ID],0))),"")</f>
        <v/>
      </c>
      <c r="F90" s="121" t="inlineStr">
        <is>
          <t>NA</t>
        </is>
      </c>
      <c r="G90" s="121" t="inlineStr">
        <is>
          <t>NA</t>
        </is>
      </c>
      <c r="H90" s="92">
        <f>IFERROR(IF(ISBLANK(INDEX(SprintPlanning[Sprint],MATCH($A90,SprintPlanning[Requirement ID],0))),"",INDEX(SprintPlanning[Sprint],MATCH($A90,SprintPlanning[Requirement ID],0))),"")</f>
        <v/>
      </c>
      <c r="I90" s="92">
        <f>IFERROR(IF(ISBLANK(INDEX(Backlog[Status],MATCH($A90,Backlog[Requirement ID],0))),"",INDEX(Backlog[Status],MATCH($A90,Backlog[Requirement ID],0))),"")</f>
        <v/>
      </c>
      <c r="J90" s="92">
        <f>IFERROR(IF(ISBLANK(INDEX(Backlog[Priority],MATCH($A90,Backlog[Requirement ID],0))),"",INDEX(Backlog[Priority],MATCH($A90,Backlog[Requirement ID],0))),"")</f>
        <v/>
      </c>
      <c r="K90" s="121" t="n"/>
      <c r="L90" s="149" t="n"/>
      <c r="M90" s="149" t="n"/>
      <c r="N90" s="121" t="n"/>
      <c r="O90" s="149" t="n"/>
      <c r="P90" s="121" t="n"/>
      <c r="Q90" s="121" t="n"/>
    </row>
    <row r="91" ht="15" customHeight="1" s="93">
      <c r="A91" s="92">
        <f>Backlog!A91</f>
        <v/>
      </c>
      <c r="B91" s="92">
        <f>IFERROR(IF(ISBLANK(INDEX(Backlog[Requirement Name],MATCH($A91,Backlog[Requirement ID],0))),"",INDEX(Backlog[Requirement Name],MATCH($A91,Backlog[Requirement ID],0))),"")</f>
        <v/>
      </c>
      <c r="C91" s="92">
        <f>IFERROR(IF(ISBLANK(INDEX(Backlog[Stream],MATCH($A91,Backlog[Requirement ID],0))),"",INDEX(Backlog[Stream],MATCH($A91,Backlog[Requirement ID],0))),"")</f>
        <v/>
      </c>
      <c r="D91" s="92">
        <f>IFERROR(IF(ISBLANK(INDEX(Backlog[Stream Owner],MATCH($A91,Backlog[Requirement ID],0))),"",INDEX(Backlog[Stream Owner],MATCH($A91,Backlog[Requirement ID],0))),"")</f>
        <v/>
      </c>
      <c r="E91" s="92">
        <f>IFERROR(IF(ISBLANK(INDEX(Backlog[Jira Link],MATCH($A91,Backlog[Requirement ID],0))),"",INDEX(Backlog[Jira Link],MATCH($A91,Backlog[Requirement ID],0))),"")</f>
        <v/>
      </c>
      <c r="F91" s="115" t="inlineStr">
        <is>
          <t>No</t>
        </is>
      </c>
      <c r="G91" s="115" t="inlineStr">
        <is>
          <t>No</t>
        </is>
      </c>
      <c r="H91" s="92">
        <f>IFERROR(IF(ISBLANK(INDEX(SprintPlanning[Sprint],MATCH($A91,SprintPlanning[Requirement ID],0))),"",INDEX(SprintPlanning[Sprint],MATCH($A91,SprintPlanning[Requirement ID],0))),"")</f>
        <v/>
      </c>
      <c r="I91" s="92">
        <f>IFERROR(IF(ISBLANK(INDEX(Backlog[Status],MATCH($A91,Backlog[Requirement ID],0))),"",INDEX(Backlog[Status],MATCH($A91,Backlog[Requirement ID],0))),"")</f>
        <v/>
      </c>
      <c r="J91" s="92">
        <f>IFERROR(IF(ISBLANK(INDEX(Backlog[Priority],MATCH($A91,Backlog[Requirement ID],0))),"",INDEX(Backlog[Priority],MATCH($A91,Backlog[Requirement ID],0))),"")</f>
        <v/>
      </c>
      <c r="K91" s="121" t="n"/>
      <c r="L91" s="149" t="n"/>
      <c r="M91" s="149" t="n"/>
      <c r="N91" s="121" t="n"/>
      <c r="O91" s="149" t="n"/>
      <c r="P91" s="121" t="n"/>
      <c r="Q91" s="121" t="n"/>
    </row>
    <row r="92" ht="15" customHeight="1" s="93">
      <c r="A92" s="92">
        <f>Backlog!A92</f>
        <v/>
      </c>
      <c r="B92" s="92">
        <f>IFERROR(IF(ISBLANK(INDEX(Backlog[Requirement Name],MATCH($A92,Backlog[Requirement ID],0))),"",INDEX(Backlog[Requirement Name],MATCH($A92,Backlog[Requirement ID],0))),"")</f>
        <v/>
      </c>
      <c r="C92" s="92">
        <f>IFERROR(IF(ISBLANK(INDEX(Backlog[Stream],MATCH($A92,Backlog[Requirement ID],0))),"",INDEX(Backlog[Stream],MATCH($A92,Backlog[Requirement ID],0))),"")</f>
        <v/>
      </c>
      <c r="D92" s="92">
        <f>IFERROR(IF(ISBLANK(INDEX(Backlog[Stream Owner],MATCH($A92,Backlog[Requirement ID],0))),"",INDEX(Backlog[Stream Owner],MATCH($A92,Backlog[Requirement ID],0))),"")</f>
        <v/>
      </c>
      <c r="E92" s="92">
        <f>IFERROR(IF(ISBLANK(INDEX(Backlog[Jira Link],MATCH($A92,Backlog[Requirement ID],0))),"",INDEX(Backlog[Jira Link],MATCH($A92,Backlog[Requirement ID],0))),"")</f>
        <v/>
      </c>
      <c r="F92" s="115" t="inlineStr">
        <is>
          <t>No</t>
        </is>
      </c>
      <c r="G92" s="115" t="inlineStr">
        <is>
          <t>No</t>
        </is>
      </c>
      <c r="H92" s="92">
        <f>IFERROR(IF(ISBLANK(INDEX(SprintPlanning[Sprint],MATCH($A92,SprintPlanning[Requirement ID],0))),"",INDEX(SprintPlanning[Sprint],MATCH($A92,SprintPlanning[Requirement ID],0))),"")</f>
        <v/>
      </c>
      <c r="I92" s="92">
        <f>IFERROR(IF(ISBLANK(INDEX(Backlog[Status],MATCH($A92,Backlog[Requirement ID],0))),"",INDEX(Backlog[Status],MATCH($A92,Backlog[Requirement ID],0))),"")</f>
        <v/>
      </c>
      <c r="J92" s="92">
        <f>IFERROR(IF(ISBLANK(INDEX(Backlog[Priority],MATCH($A92,Backlog[Requirement ID],0))),"",INDEX(Backlog[Priority],MATCH($A92,Backlog[Requirement ID],0))),"")</f>
        <v/>
      </c>
      <c r="K92" s="121" t="n"/>
      <c r="L92" s="149" t="n"/>
      <c r="M92" s="149" t="n"/>
      <c r="N92" s="121" t="n"/>
      <c r="O92" s="149" t="n"/>
      <c r="P92" s="121" t="n"/>
      <c r="Q92" s="121" t="n"/>
    </row>
    <row r="93" ht="15" customHeight="1" s="93">
      <c r="A93" s="92">
        <f>Backlog!A93</f>
        <v/>
      </c>
      <c r="B93" s="92">
        <f>IFERROR(IF(ISBLANK(INDEX(Backlog[Requirement Name],MATCH($A93,Backlog[Requirement ID],0))),"",INDEX(Backlog[Requirement Name],MATCH($A93,Backlog[Requirement ID],0))),"")</f>
        <v/>
      </c>
      <c r="C93" s="92">
        <f>IFERROR(IF(ISBLANK(INDEX(Backlog[Stream],MATCH($A93,Backlog[Requirement ID],0))),"",INDEX(Backlog[Stream],MATCH($A93,Backlog[Requirement ID],0))),"")</f>
        <v/>
      </c>
      <c r="D93" s="92">
        <f>IFERROR(IF(ISBLANK(INDEX(Backlog[Stream Owner],MATCH($A93,Backlog[Requirement ID],0))),"",INDEX(Backlog[Stream Owner],MATCH($A93,Backlog[Requirement ID],0))),"")</f>
        <v/>
      </c>
      <c r="E93" s="92">
        <f>IFERROR(IF(ISBLANK(INDEX(Backlog[Jira Link],MATCH($A93,Backlog[Requirement ID],0))),"",INDEX(Backlog[Jira Link],MATCH($A93,Backlog[Requirement ID],0))),"")</f>
        <v/>
      </c>
      <c r="F93" s="115" t="inlineStr">
        <is>
          <t>No</t>
        </is>
      </c>
      <c r="G93" s="115" t="inlineStr">
        <is>
          <t>No</t>
        </is>
      </c>
      <c r="H93" s="92">
        <f>IFERROR(IF(ISBLANK(INDEX(SprintPlanning[Sprint],MATCH($A93,SprintPlanning[Requirement ID],0))),"",INDEX(SprintPlanning[Sprint],MATCH($A93,SprintPlanning[Requirement ID],0))),"")</f>
        <v/>
      </c>
      <c r="I93" s="92">
        <f>IFERROR(IF(ISBLANK(INDEX(Backlog[Status],MATCH($A93,Backlog[Requirement ID],0))),"",INDEX(Backlog[Status],MATCH($A93,Backlog[Requirement ID],0))),"")</f>
        <v/>
      </c>
      <c r="J93" s="92">
        <f>IFERROR(IF(ISBLANK(INDEX(Backlog[Priority],MATCH($A93,Backlog[Requirement ID],0))),"",INDEX(Backlog[Priority],MATCH($A93,Backlog[Requirement ID],0))),"")</f>
        <v/>
      </c>
      <c r="K93" s="121" t="n"/>
      <c r="L93" s="149" t="n"/>
      <c r="M93" s="149" t="n"/>
      <c r="N93" s="121" t="n"/>
      <c r="O93" s="149" t="n"/>
      <c r="P93" s="121" t="n"/>
      <c r="Q93" s="121" t="n"/>
    </row>
    <row r="94" ht="15" customHeight="1" s="93">
      <c r="A94" s="92">
        <f>Backlog!A94</f>
        <v/>
      </c>
      <c r="B94" s="92">
        <f>IFERROR(IF(ISBLANK(INDEX(Backlog[Requirement Name],MATCH($A94,Backlog[Requirement ID],0))),"",INDEX(Backlog[Requirement Name],MATCH($A94,Backlog[Requirement ID],0))),"")</f>
        <v/>
      </c>
      <c r="C94" s="92">
        <f>IFERROR(IF(ISBLANK(INDEX(Backlog[Stream],MATCH($A94,Backlog[Requirement ID],0))),"",INDEX(Backlog[Stream],MATCH($A94,Backlog[Requirement ID],0))),"")</f>
        <v/>
      </c>
      <c r="D94" s="92">
        <f>IFERROR(IF(ISBLANK(INDEX(Backlog[Stream Owner],MATCH($A94,Backlog[Requirement ID],0))),"",INDEX(Backlog[Stream Owner],MATCH($A94,Backlog[Requirement ID],0))),"")</f>
        <v/>
      </c>
      <c r="E94" s="92">
        <f>IFERROR(IF(ISBLANK(INDEX(Backlog[Jira Link],MATCH($A94,Backlog[Requirement ID],0))),"",INDEX(Backlog[Jira Link],MATCH($A94,Backlog[Requirement ID],0))),"")</f>
        <v/>
      </c>
      <c r="H94" s="92">
        <f>IFERROR(IF(ISBLANK(INDEX(SprintPlanning[Sprint],MATCH($A94,SprintPlanning[Requirement ID],0))),"",INDEX(SprintPlanning[Sprint],MATCH($A94,SprintPlanning[Requirement ID],0))),"")</f>
        <v/>
      </c>
      <c r="I94" s="92">
        <f>IFERROR(IF(ISBLANK(INDEX(Backlog[Status],MATCH($A94,Backlog[Requirement ID],0))),"",INDEX(Backlog[Status],MATCH($A94,Backlog[Requirement ID],0))),"")</f>
        <v/>
      </c>
      <c r="J94" s="92">
        <f>IFERROR(IF(ISBLANK(INDEX(Backlog[Priority],MATCH($A94,Backlog[Requirement ID],0))),"",INDEX(Backlog[Priority],MATCH($A94,Backlog[Requirement ID],0))),"")</f>
        <v/>
      </c>
      <c r="L94" s="97" t="n"/>
      <c r="M94" s="97" t="n"/>
      <c r="O94" s="97" t="n"/>
    </row>
    <row r="95" ht="15" customHeight="1" s="93">
      <c r="A95" s="92">
        <f>Backlog!A95</f>
        <v/>
      </c>
      <c r="B95" s="92">
        <f>IFERROR(IF(ISBLANK(INDEX(Backlog[Requirement Name],MATCH($A95,Backlog[Requirement ID],0))),"",INDEX(Backlog[Requirement Name],MATCH($A95,Backlog[Requirement ID],0))),"")</f>
        <v/>
      </c>
      <c r="C95" s="92">
        <f>IFERROR(IF(ISBLANK(INDEX(Backlog[Stream],MATCH($A95,Backlog[Requirement ID],0))),"",INDEX(Backlog[Stream],MATCH($A95,Backlog[Requirement ID],0))),"")</f>
        <v/>
      </c>
      <c r="D95" s="92">
        <f>IFERROR(IF(ISBLANK(INDEX(Backlog[Stream Owner],MATCH($A95,Backlog[Requirement ID],0))),"",INDEX(Backlog[Stream Owner],MATCH($A95,Backlog[Requirement ID],0))),"")</f>
        <v/>
      </c>
      <c r="E95" s="92">
        <f>IFERROR(IF(ISBLANK(INDEX(Backlog[Jira Link],MATCH($A95,Backlog[Requirement ID],0))),"",INDEX(Backlog[Jira Link],MATCH($A95,Backlog[Requirement ID],0))),"")</f>
        <v/>
      </c>
      <c r="H95" s="92">
        <f>IFERROR(IF(ISBLANK(INDEX(SprintPlanning[Sprint],MATCH($A95,SprintPlanning[Requirement ID],0))),"",INDEX(SprintPlanning[Sprint],MATCH($A95,SprintPlanning[Requirement ID],0))),"")</f>
        <v/>
      </c>
      <c r="I95" s="92">
        <f>IFERROR(IF(ISBLANK(INDEX(Backlog[Status],MATCH($A95,Backlog[Requirement ID],0))),"",INDEX(Backlog[Status],MATCH($A95,Backlog[Requirement ID],0))),"")</f>
        <v/>
      </c>
      <c r="J95" s="92">
        <f>IFERROR(IF(ISBLANK(INDEX(Backlog[Priority],MATCH($A95,Backlog[Requirement ID],0))),"",INDEX(Backlog[Priority],MATCH($A95,Backlog[Requirement ID],0))),"")</f>
        <v/>
      </c>
      <c r="L95" s="97" t="n"/>
      <c r="M95" s="97" t="n"/>
      <c r="O95" s="97" t="n"/>
    </row>
    <row r="96" ht="15" customHeight="1" s="93">
      <c r="A96" s="92">
        <f>Backlog!A96</f>
        <v/>
      </c>
      <c r="B96" s="92">
        <f>IFERROR(IF(ISBLANK(INDEX(Backlog[Requirement Name],MATCH($A96,Backlog[Requirement ID],0))),"",INDEX(Backlog[Requirement Name],MATCH($A96,Backlog[Requirement ID],0))),"")</f>
        <v/>
      </c>
      <c r="C96" s="92">
        <f>IFERROR(IF(ISBLANK(INDEX(Backlog[Stream],MATCH($A96,Backlog[Requirement ID],0))),"",INDEX(Backlog[Stream],MATCH($A96,Backlog[Requirement ID],0))),"")</f>
        <v/>
      </c>
      <c r="D96" s="92">
        <f>IFERROR(IF(ISBLANK(INDEX(Backlog[Stream Owner],MATCH($A96,Backlog[Requirement ID],0))),"",INDEX(Backlog[Stream Owner],MATCH($A96,Backlog[Requirement ID],0))),"")</f>
        <v/>
      </c>
      <c r="E96" s="92">
        <f>IFERROR(IF(ISBLANK(INDEX(Backlog[Jira Link],MATCH($A96,Backlog[Requirement ID],0))),"",INDEX(Backlog[Jira Link],MATCH($A96,Backlog[Requirement ID],0))),"")</f>
        <v/>
      </c>
      <c r="H96" s="92">
        <f>IFERROR(IF(ISBLANK(INDEX(SprintPlanning[Sprint],MATCH($A96,SprintPlanning[Requirement ID],0))),"",INDEX(SprintPlanning[Sprint],MATCH($A96,SprintPlanning[Requirement ID],0))),"")</f>
        <v/>
      </c>
      <c r="I96" s="92">
        <f>IFERROR(IF(ISBLANK(INDEX(Backlog[Status],MATCH($A96,Backlog[Requirement ID],0))),"",INDEX(Backlog[Status],MATCH($A96,Backlog[Requirement ID],0))),"")</f>
        <v/>
      </c>
      <c r="J96" s="92">
        <f>IFERROR(IF(ISBLANK(INDEX(Backlog[Priority],MATCH($A96,Backlog[Requirement ID],0))),"",INDEX(Backlog[Priority],MATCH($A96,Backlog[Requirement ID],0))),"")</f>
        <v/>
      </c>
      <c r="L96" s="97" t="n"/>
      <c r="M96" s="97" t="n"/>
      <c r="O96" s="97" t="n"/>
    </row>
    <row r="97" ht="15" customHeight="1" s="93">
      <c r="A97" s="92">
        <f>Backlog!A97</f>
        <v/>
      </c>
      <c r="B97" s="92">
        <f>IFERROR(IF(ISBLANK(INDEX(Backlog[Requirement Name],MATCH($A97,Backlog[Requirement ID],0))),"",INDEX(Backlog[Requirement Name],MATCH($A97,Backlog[Requirement ID],0))),"")</f>
        <v/>
      </c>
      <c r="C97" s="92">
        <f>IFERROR(IF(ISBLANK(INDEX(Backlog[Stream],MATCH($A97,Backlog[Requirement ID],0))),"",INDEX(Backlog[Stream],MATCH($A97,Backlog[Requirement ID],0))),"")</f>
        <v/>
      </c>
      <c r="D97" s="92">
        <f>IFERROR(IF(ISBLANK(INDEX(Backlog[Stream Owner],MATCH($A97,Backlog[Requirement ID],0))),"",INDEX(Backlog[Stream Owner],MATCH($A97,Backlog[Requirement ID],0))),"")</f>
        <v/>
      </c>
      <c r="E97" s="92">
        <f>IFERROR(IF(ISBLANK(INDEX(Backlog[Jira Link],MATCH($A97,Backlog[Requirement ID],0))),"",INDEX(Backlog[Jira Link],MATCH($A97,Backlog[Requirement ID],0))),"")</f>
        <v/>
      </c>
      <c r="H97" s="92">
        <f>IFERROR(IF(ISBLANK(INDEX(SprintPlanning[Sprint],MATCH($A97,SprintPlanning[Requirement ID],0))),"",INDEX(SprintPlanning[Sprint],MATCH($A97,SprintPlanning[Requirement ID],0))),"")</f>
        <v/>
      </c>
      <c r="I97" s="92">
        <f>IFERROR(IF(ISBLANK(INDEX(Backlog[Status],MATCH($A97,Backlog[Requirement ID],0))),"",INDEX(Backlog[Status],MATCH($A97,Backlog[Requirement ID],0))),"")</f>
        <v/>
      </c>
      <c r="J97" s="92">
        <f>IFERROR(IF(ISBLANK(INDEX(Backlog[Priority],MATCH($A97,Backlog[Requirement ID],0))),"",INDEX(Backlog[Priority],MATCH($A97,Backlog[Requirement ID],0))),"")</f>
        <v/>
      </c>
      <c r="L97" s="97" t="n"/>
      <c r="M97" s="97" t="n"/>
      <c r="O97" s="97" t="n"/>
    </row>
    <row r="98" ht="15" customHeight="1" s="93">
      <c r="A98" s="92">
        <f>Backlog!A98</f>
        <v/>
      </c>
      <c r="B98" s="92">
        <f>IFERROR(IF(ISBLANK(INDEX(Backlog[Requirement Name],MATCH($A98,Backlog[Requirement ID],0))),"",INDEX(Backlog[Requirement Name],MATCH($A98,Backlog[Requirement ID],0))),"")</f>
        <v/>
      </c>
      <c r="C98" s="92">
        <f>IFERROR(IF(ISBLANK(INDEX(Backlog[Stream],MATCH($A98,Backlog[Requirement ID],0))),"",INDEX(Backlog[Stream],MATCH($A98,Backlog[Requirement ID],0))),"")</f>
        <v/>
      </c>
      <c r="D98" s="92">
        <f>IFERROR(IF(ISBLANK(INDEX(Backlog[Stream Owner],MATCH($A98,Backlog[Requirement ID],0))),"",INDEX(Backlog[Stream Owner],MATCH($A98,Backlog[Requirement ID],0))),"")</f>
        <v/>
      </c>
      <c r="E98" s="92">
        <f>IFERROR(IF(ISBLANK(INDEX(Backlog[Jira Link],MATCH($A98,Backlog[Requirement ID],0))),"",INDEX(Backlog[Jira Link],MATCH($A98,Backlog[Requirement ID],0))),"")</f>
        <v/>
      </c>
      <c r="H98" s="92">
        <f>IFERROR(IF(ISBLANK(INDEX(SprintPlanning[Sprint],MATCH($A98,SprintPlanning[Requirement ID],0))),"",INDEX(SprintPlanning[Sprint],MATCH($A98,SprintPlanning[Requirement ID],0))),"")</f>
        <v/>
      </c>
      <c r="I98" s="92">
        <f>IFERROR(IF(ISBLANK(INDEX(Backlog[Status],MATCH($A98,Backlog[Requirement ID],0))),"",INDEX(Backlog[Status],MATCH($A98,Backlog[Requirement ID],0))),"")</f>
        <v/>
      </c>
      <c r="J98" s="92">
        <f>IFERROR(IF(ISBLANK(INDEX(Backlog[Priority],MATCH($A98,Backlog[Requirement ID],0))),"",INDEX(Backlog[Priority],MATCH($A98,Backlog[Requirement ID],0))),"")</f>
        <v/>
      </c>
      <c r="L98" s="97" t="n"/>
      <c r="M98" s="97" t="n"/>
      <c r="O98" s="97" t="n"/>
    </row>
    <row r="99" ht="15" customHeight="1" s="93">
      <c r="A99" s="92">
        <f>Backlog!A99</f>
        <v/>
      </c>
      <c r="B99" s="92">
        <f>IFERROR(IF(ISBLANK(INDEX(Backlog[Requirement Name],MATCH($A99,Backlog[Requirement ID],0))),"",INDEX(Backlog[Requirement Name],MATCH($A99,Backlog[Requirement ID],0))),"")</f>
        <v/>
      </c>
      <c r="C99" s="92">
        <f>IFERROR(IF(ISBLANK(INDEX(Backlog[Stream],MATCH($A99,Backlog[Requirement ID],0))),"",INDEX(Backlog[Stream],MATCH($A99,Backlog[Requirement ID],0))),"")</f>
        <v/>
      </c>
      <c r="D99" s="92">
        <f>IFERROR(IF(ISBLANK(INDEX(Backlog[Stream Owner],MATCH($A99,Backlog[Requirement ID],0))),"",INDEX(Backlog[Stream Owner],MATCH($A99,Backlog[Requirement ID],0))),"")</f>
        <v/>
      </c>
      <c r="E99" s="92">
        <f>IFERROR(IF(ISBLANK(INDEX(Backlog[Jira Link],MATCH($A99,Backlog[Requirement ID],0))),"",INDEX(Backlog[Jira Link],MATCH($A99,Backlog[Requirement ID],0))),"")</f>
        <v/>
      </c>
      <c r="H99" s="92">
        <f>IFERROR(IF(ISBLANK(INDEX(SprintPlanning[Sprint],MATCH($A99,SprintPlanning[Requirement ID],0))),"",INDEX(SprintPlanning[Sprint],MATCH($A99,SprintPlanning[Requirement ID],0))),"")</f>
        <v/>
      </c>
      <c r="I99" s="92">
        <f>IFERROR(IF(ISBLANK(INDEX(Backlog[Status],MATCH($A99,Backlog[Requirement ID],0))),"",INDEX(Backlog[Status],MATCH($A99,Backlog[Requirement ID],0))),"")</f>
        <v/>
      </c>
      <c r="J99" s="92">
        <f>IFERROR(IF(ISBLANK(INDEX(Backlog[Priority],MATCH($A99,Backlog[Requirement ID],0))),"",INDEX(Backlog[Priority],MATCH($A99,Backlog[Requirement ID],0))),"")</f>
        <v/>
      </c>
      <c r="L99" s="97" t="n"/>
      <c r="M99" s="97" t="n"/>
      <c r="O99" s="97" t="n"/>
    </row>
    <row r="100" ht="15" customHeight="1" s="93">
      <c r="A100" s="92">
        <f>Backlog!A100</f>
        <v/>
      </c>
      <c r="B100" s="92">
        <f>IFERROR(IF(ISBLANK(INDEX(Backlog[Requirement Name],MATCH($A100,Backlog[Requirement ID],0))),"",INDEX(Backlog[Requirement Name],MATCH($A100,Backlog[Requirement ID],0))),"")</f>
        <v/>
      </c>
      <c r="C100" s="92">
        <f>IFERROR(IF(ISBLANK(INDEX(Backlog[Stream],MATCH($A100,Backlog[Requirement ID],0))),"",INDEX(Backlog[Stream],MATCH($A100,Backlog[Requirement ID],0))),"")</f>
        <v/>
      </c>
      <c r="D100" s="92">
        <f>IFERROR(IF(ISBLANK(INDEX(Backlog[Stream Owner],MATCH($A100,Backlog[Requirement ID],0))),"",INDEX(Backlog[Stream Owner],MATCH($A100,Backlog[Requirement ID],0))),"")</f>
        <v/>
      </c>
      <c r="E100" s="92">
        <f>IFERROR(IF(ISBLANK(INDEX(Backlog[Jira Link],MATCH($A100,Backlog[Requirement ID],0))),"",INDEX(Backlog[Jira Link],MATCH($A100,Backlog[Requirement ID],0))),"")</f>
        <v/>
      </c>
      <c r="H100" s="92">
        <f>IFERROR(IF(ISBLANK(INDEX(SprintPlanning[Sprint],MATCH($A100,SprintPlanning[Requirement ID],0))),"",INDEX(SprintPlanning[Sprint],MATCH($A100,SprintPlanning[Requirement ID],0))),"")</f>
        <v/>
      </c>
      <c r="I100" s="92">
        <f>IFERROR(IF(ISBLANK(INDEX(Backlog[Status],MATCH($A100,Backlog[Requirement ID],0))),"",INDEX(Backlog[Status],MATCH($A100,Backlog[Requirement ID],0))),"")</f>
        <v/>
      </c>
      <c r="J100" s="92">
        <f>IFERROR(IF(ISBLANK(INDEX(Backlog[Priority],MATCH($A100,Backlog[Requirement ID],0))),"",INDEX(Backlog[Priority],MATCH($A100,Backlog[Requirement ID],0))),"")</f>
        <v/>
      </c>
      <c r="L100" s="97" t="n"/>
      <c r="M100" s="97" t="n"/>
      <c r="O100" s="97" t="n"/>
    </row>
    <row r="101" ht="15" customHeight="1" s="93">
      <c r="A101" s="92">
        <f>Backlog!A101</f>
        <v/>
      </c>
      <c r="B101" s="92">
        <f>IFERROR(IF(ISBLANK(INDEX(Backlog[Requirement Name],MATCH($A101,Backlog[Requirement ID],0))),"",INDEX(Backlog[Requirement Name],MATCH($A101,Backlog[Requirement ID],0))),"")</f>
        <v/>
      </c>
      <c r="C101" s="92">
        <f>IFERROR(IF(ISBLANK(INDEX(Backlog[Stream],MATCH($A101,Backlog[Requirement ID],0))),"",INDEX(Backlog[Stream],MATCH($A101,Backlog[Requirement ID],0))),"")</f>
        <v/>
      </c>
      <c r="D101" s="92">
        <f>IFERROR(IF(ISBLANK(INDEX(Backlog[Stream Owner],MATCH($A101,Backlog[Requirement ID],0))),"",INDEX(Backlog[Stream Owner],MATCH($A101,Backlog[Requirement ID],0))),"")</f>
        <v/>
      </c>
      <c r="E101" s="92">
        <f>IFERROR(IF(ISBLANK(INDEX(Backlog[Jira Link],MATCH($A101,Backlog[Requirement ID],0))),"",INDEX(Backlog[Jira Link],MATCH($A101,Backlog[Requirement ID],0))),"")</f>
        <v/>
      </c>
      <c r="H101" s="92">
        <f>IFERROR(IF(ISBLANK(INDEX(SprintPlanning[Sprint],MATCH($A101,SprintPlanning[Requirement ID],0))),"",INDEX(SprintPlanning[Sprint],MATCH($A101,SprintPlanning[Requirement ID],0))),"")</f>
        <v/>
      </c>
      <c r="I101" s="92">
        <f>IFERROR(IF(ISBLANK(INDEX(Backlog[Status],MATCH($A101,Backlog[Requirement ID],0))),"",INDEX(Backlog[Status],MATCH($A101,Backlog[Requirement ID],0))),"")</f>
        <v/>
      </c>
      <c r="J101" s="92">
        <f>IFERROR(IF(ISBLANK(INDEX(Backlog[Priority],MATCH($A101,Backlog[Requirement ID],0))),"",INDEX(Backlog[Priority],MATCH($A101,Backlog[Requirement ID],0))),"")</f>
        <v/>
      </c>
      <c r="L101" s="97" t="n"/>
      <c r="M101" s="97" t="n"/>
      <c r="O101" s="97" t="n"/>
    </row>
    <row r="102" ht="15" customHeight="1" s="93">
      <c r="A102" s="92">
        <f>Backlog!A102</f>
        <v/>
      </c>
      <c r="B102" s="92">
        <f>IFERROR(IF(ISBLANK(INDEX(Backlog[Requirement Name],MATCH($A102,Backlog[Requirement ID],0))),"",INDEX(Backlog[Requirement Name],MATCH($A102,Backlog[Requirement ID],0))),"")</f>
        <v/>
      </c>
      <c r="C102" s="92">
        <f>IFERROR(IF(ISBLANK(INDEX(Backlog[Stream],MATCH($A102,Backlog[Requirement ID],0))),"",INDEX(Backlog[Stream],MATCH($A102,Backlog[Requirement ID],0))),"")</f>
        <v/>
      </c>
      <c r="D102" s="92">
        <f>IFERROR(IF(ISBLANK(INDEX(Backlog[Stream Owner],MATCH($A102,Backlog[Requirement ID],0))),"",INDEX(Backlog[Stream Owner],MATCH($A102,Backlog[Requirement ID],0))),"")</f>
        <v/>
      </c>
      <c r="E102" s="92">
        <f>IFERROR(IF(ISBLANK(INDEX(Backlog[Jira Link],MATCH($A102,Backlog[Requirement ID],0))),"",INDEX(Backlog[Jira Link],MATCH($A102,Backlog[Requirement ID],0))),"")</f>
        <v/>
      </c>
      <c r="H102" s="92">
        <f>IFERROR(IF(ISBLANK(INDEX(SprintPlanning[Sprint],MATCH($A102,SprintPlanning[Requirement ID],0))),"",INDEX(SprintPlanning[Sprint],MATCH($A102,SprintPlanning[Requirement ID],0))),"")</f>
        <v/>
      </c>
      <c r="I102" s="92">
        <f>IFERROR(IF(ISBLANK(INDEX(Backlog[Status],MATCH($A102,Backlog[Requirement ID],0))),"",INDEX(Backlog[Status],MATCH($A102,Backlog[Requirement ID],0))),"")</f>
        <v/>
      </c>
      <c r="J102" s="92">
        <f>IFERROR(IF(ISBLANK(INDEX(Backlog[Priority],MATCH($A102,Backlog[Requirement ID],0))),"",INDEX(Backlog[Priority],MATCH($A102,Backlog[Requirement ID],0))),"")</f>
        <v/>
      </c>
      <c r="L102" s="97" t="n"/>
      <c r="M102" s="97" t="n"/>
      <c r="O102" s="97" t="n"/>
    </row>
    <row r="103" ht="15" customHeight="1" s="93">
      <c r="A103" s="92">
        <f>Backlog!A103</f>
        <v/>
      </c>
      <c r="B103" s="92">
        <f>IFERROR(IF(ISBLANK(INDEX(Backlog[Requirement Name],MATCH($A103,Backlog[Requirement ID],0))),"",INDEX(Backlog[Requirement Name],MATCH($A103,Backlog[Requirement ID],0))),"")</f>
        <v/>
      </c>
      <c r="C103" s="92">
        <f>IFERROR(IF(ISBLANK(INDEX(Backlog[Stream],MATCH($A103,Backlog[Requirement ID],0))),"",INDEX(Backlog[Stream],MATCH($A103,Backlog[Requirement ID],0))),"")</f>
        <v/>
      </c>
      <c r="D103" s="92">
        <f>IFERROR(IF(ISBLANK(INDEX(Backlog[Stream Owner],MATCH($A103,Backlog[Requirement ID],0))),"",INDEX(Backlog[Stream Owner],MATCH($A103,Backlog[Requirement ID],0))),"")</f>
        <v/>
      </c>
      <c r="E103" s="92">
        <f>IFERROR(IF(ISBLANK(INDEX(Backlog[Jira Link],MATCH($A103,Backlog[Requirement ID],0))),"",INDEX(Backlog[Jira Link],MATCH($A103,Backlog[Requirement ID],0))),"")</f>
        <v/>
      </c>
      <c r="H103" s="92">
        <f>IFERROR(IF(ISBLANK(INDEX(SprintPlanning[Sprint],MATCH($A103,SprintPlanning[Requirement ID],0))),"",INDEX(SprintPlanning[Sprint],MATCH($A103,SprintPlanning[Requirement ID],0))),"")</f>
        <v/>
      </c>
      <c r="I103" s="92">
        <f>IFERROR(IF(ISBLANK(INDEX(Backlog[Status],MATCH($A103,Backlog[Requirement ID],0))),"",INDEX(Backlog[Status],MATCH($A103,Backlog[Requirement ID],0))),"")</f>
        <v/>
      </c>
      <c r="J103" s="92">
        <f>IFERROR(IF(ISBLANK(INDEX(Backlog[Priority],MATCH($A103,Backlog[Requirement ID],0))),"",INDEX(Backlog[Priority],MATCH($A103,Backlog[Requirement ID],0))),"")</f>
        <v/>
      </c>
      <c r="L103" s="97" t="n"/>
      <c r="M103" s="97" t="n"/>
      <c r="O103" s="97" t="n"/>
    </row>
    <row r="104" ht="15" customHeight="1" s="93">
      <c r="A104" s="92">
        <f>Backlog!A104</f>
        <v/>
      </c>
      <c r="B104" s="92">
        <f>IFERROR(IF(ISBLANK(INDEX(Backlog[Requirement Name],MATCH($A104,Backlog[Requirement ID],0))),"",INDEX(Backlog[Requirement Name],MATCH($A104,Backlog[Requirement ID],0))),"")</f>
        <v/>
      </c>
      <c r="C104" s="92">
        <f>IFERROR(IF(ISBLANK(INDEX(Backlog[Stream],MATCH($A104,Backlog[Requirement ID],0))),"",INDEX(Backlog[Stream],MATCH($A104,Backlog[Requirement ID],0))),"")</f>
        <v/>
      </c>
      <c r="D104" s="92">
        <f>IFERROR(IF(ISBLANK(INDEX(Backlog[Stream Owner],MATCH($A104,Backlog[Requirement ID],0))),"",INDEX(Backlog[Stream Owner],MATCH($A104,Backlog[Requirement ID],0))),"")</f>
        <v/>
      </c>
      <c r="E104" s="92">
        <f>IFERROR(IF(ISBLANK(INDEX(Backlog[Jira Link],MATCH($A104,Backlog[Requirement ID],0))),"",INDEX(Backlog[Jira Link],MATCH($A104,Backlog[Requirement ID],0))),"")</f>
        <v/>
      </c>
      <c r="H104" s="92">
        <f>IFERROR(IF(ISBLANK(INDEX(SprintPlanning[Sprint],MATCH($A104,SprintPlanning[Requirement ID],0))),"",INDEX(SprintPlanning[Sprint],MATCH($A104,SprintPlanning[Requirement ID],0))),"")</f>
        <v/>
      </c>
      <c r="I104" s="92">
        <f>IFERROR(IF(ISBLANK(INDEX(Backlog[Status],MATCH($A104,Backlog[Requirement ID],0))),"",INDEX(Backlog[Status],MATCH($A104,Backlog[Requirement ID],0))),"")</f>
        <v/>
      </c>
      <c r="J104" s="92">
        <f>IFERROR(IF(ISBLANK(INDEX(Backlog[Priority],MATCH($A104,Backlog[Requirement ID],0))),"",INDEX(Backlog[Priority],MATCH($A104,Backlog[Requirement ID],0))),"")</f>
        <v/>
      </c>
      <c r="L104" s="97" t="n"/>
      <c r="M104" s="97" t="n"/>
      <c r="O104" s="97" t="n"/>
    </row>
    <row r="105" ht="15" customHeight="1" s="93">
      <c r="A105" s="92">
        <f>Backlog!A105</f>
        <v/>
      </c>
      <c r="B105" s="92">
        <f>IFERROR(IF(ISBLANK(INDEX(Backlog[Requirement Name],MATCH($A105,Backlog[Requirement ID],0))),"",INDEX(Backlog[Requirement Name],MATCH($A105,Backlog[Requirement ID],0))),"")</f>
        <v/>
      </c>
      <c r="C105" s="92">
        <f>IFERROR(IF(ISBLANK(INDEX(Backlog[Stream],MATCH($A105,Backlog[Requirement ID],0))),"",INDEX(Backlog[Stream],MATCH($A105,Backlog[Requirement ID],0))),"")</f>
        <v/>
      </c>
      <c r="D105" s="92">
        <f>IFERROR(IF(ISBLANK(INDEX(Backlog[Stream Owner],MATCH($A105,Backlog[Requirement ID],0))),"",INDEX(Backlog[Stream Owner],MATCH($A105,Backlog[Requirement ID],0))),"")</f>
        <v/>
      </c>
      <c r="E105" s="92">
        <f>IFERROR(IF(ISBLANK(INDEX(Backlog[Jira Link],MATCH($A105,Backlog[Requirement ID],0))),"",INDEX(Backlog[Jira Link],MATCH($A105,Backlog[Requirement ID],0))),"")</f>
        <v/>
      </c>
      <c r="H105" s="92">
        <f>IFERROR(IF(ISBLANK(INDEX(SprintPlanning[Sprint],MATCH($A105,SprintPlanning[Requirement ID],0))),"",INDEX(SprintPlanning[Sprint],MATCH($A105,SprintPlanning[Requirement ID],0))),"")</f>
        <v/>
      </c>
      <c r="I105" s="92">
        <f>IFERROR(IF(ISBLANK(INDEX(Backlog[Status],MATCH($A105,Backlog[Requirement ID],0))),"",INDEX(Backlog[Status],MATCH($A105,Backlog[Requirement ID],0))),"")</f>
        <v/>
      </c>
      <c r="J105" s="92">
        <f>IFERROR(IF(ISBLANK(INDEX(Backlog[Priority],MATCH($A105,Backlog[Requirement ID],0))),"",INDEX(Backlog[Priority],MATCH($A105,Backlog[Requirement ID],0))),"")</f>
        <v/>
      </c>
      <c r="L105" s="97" t="n"/>
      <c r="M105" s="97" t="n"/>
      <c r="O105" s="97" t="n"/>
    </row>
    <row r="106" ht="15" customHeight="1" s="93">
      <c r="A106" s="92">
        <f>Backlog!A106</f>
        <v/>
      </c>
      <c r="B106" s="92">
        <f>IFERROR(IF(ISBLANK(INDEX(Backlog[Requirement Name],MATCH($A106,Backlog[Requirement ID],0))),"",INDEX(Backlog[Requirement Name],MATCH($A106,Backlog[Requirement ID],0))),"")</f>
        <v/>
      </c>
      <c r="C106" s="92">
        <f>IFERROR(IF(ISBLANK(INDEX(Backlog[Stream],MATCH($A106,Backlog[Requirement ID],0))),"",INDEX(Backlog[Stream],MATCH($A106,Backlog[Requirement ID],0))),"")</f>
        <v/>
      </c>
      <c r="D106" s="92">
        <f>IFERROR(IF(ISBLANK(INDEX(Backlog[Stream Owner],MATCH($A106,Backlog[Requirement ID],0))),"",INDEX(Backlog[Stream Owner],MATCH($A106,Backlog[Requirement ID],0))),"")</f>
        <v/>
      </c>
      <c r="E106" s="92">
        <f>IFERROR(IF(ISBLANK(INDEX(Backlog[Jira Link],MATCH($A106,Backlog[Requirement ID],0))),"",INDEX(Backlog[Jira Link],MATCH($A106,Backlog[Requirement ID],0))),"")</f>
        <v/>
      </c>
      <c r="H106" s="92">
        <f>IFERROR(IF(ISBLANK(INDEX(SprintPlanning[Sprint],MATCH($A106,SprintPlanning[Requirement ID],0))),"",INDEX(SprintPlanning[Sprint],MATCH($A106,SprintPlanning[Requirement ID],0))),"")</f>
        <v/>
      </c>
      <c r="I106" s="92">
        <f>IFERROR(IF(ISBLANK(INDEX(Backlog[Status],MATCH($A106,Backlog[Requirement ID],0))),"",INDEX(Backlog[Status],MATCH($A106,Backlog[Requirement ID],0))),"")</f>
        <v/>
      </c>
      <c r="J106" s="92">
        <f>IFERROR(IF(ISBLANK(INDEX(Backlog[Priority],MATCH($A106,Backlog[Requirement ID],0))),"",INDEX(Backlog[Priority],MATCH($A106,Backlog[Requirement ID],0))),"")</f>
        <v/>
      </c>
      <c r="L106" s="97" t="n"/>
      <c r="M106" s="97" t="n"/>
      <c r="O106" s="97" t="n"/>
    </row>
    <row r="107" ht="15" customHeight="1" s="93">
      <c r="A107" s="92">
        <f>Backlog!A107</f>
        <v/>
      </c>
      <c r="B107" s="92">
        <f>IFERROR(IF(ISBLANK(INDEX(Backlog[Requirement Name],MATCH($A107,Backlog[Requirement ID],0))),"",INDEX(Backlog[Requirement Name],MATCH($A107,Backlog[Requirement ID],0))),"")</f>
        <v/>
      </c>
      <c r="C107" s="92">
        <f>IFERROR(IF(ISBLANK(INDEX(Backlog[Stream],MATCH($A107,Backlog[Requirement ID],0))),"",INDEX(Backlog[Stream],MATCH($A107,Backlog[Requirement ID],0))),"")</f>
        <v/>
      </c>
      <c r="D107" s="92">
        <f>IFERROR(IF(ISBLANK(INDEX(Backlog[Stream Owner],MATCH($A107,Backlog[Requirement ID],0))),"",INDEX(Backlog[Stream Owner],MATCH($A107,Backlog[Requirement ID],0))),"")</f>
        <v/>
      </c>
      <c r="E107" s="92">
        <f>IFERROR(IF(ISBLANK(INDEX(Backlog[Jira Link],MATCH($A107,Backlog[Requirement ID],0))),"",INDEX(Backlog[Jira Link],MATCH($A107,Backlog[Requirement ID],0))),"")</f>
        <v/>
      </c>
      <c r="H107" s="92">
        <f>IFERROR(IF(ISBLANK(INDEX(SprintPlanning[Sprint],MATCH($A107,SprintPlanning[Requirement ID],0))),"",INDEX(SprintPlanning[Sprint],MATCH($A107,SprintPlanning[Requirement ID],0))),"")</f>
        <v/>
      </c>
      <c r="I107" s="92">
        <f>IFERROR(IF(ISBLANK(INDEX(Backlog[Status],MATCH($A107,Backlog[Requirement ID],0))),"",INDEX(Backlog[Status],MATCH($A107,Backlog[Requirement ID],0))),"")</f>
        <v/>
      </c>
      <c r="J107" s="92">
        <f>IFERROR(IF(ISBLANK(INDEX(Backlog[Priority],MATCH($A107,Backlog[Requirement ID],0))),"",INDEX(Backlog[Priority],MATCH($A107,Backlog[Requirement ID],0))),"")</f>
        <v/>
      </c>
      <c r="L107" s="97" t="n"/>
      <c r="M107" s="97" t="n"/>
      <c r="O107" s="97" t="n"/>
    </row>
    <row r="108" ht="15" customHeight="1" s="93">
      <c r="A108" s="92">
        <f>Backlog!A109</f>
        <v/>
      </c>
      <c r="B108" s="92">
        <f>IFERROR(IF(ISBLANK(INDEX(Backlog[Requirement Name],MATCH($A109,Backlog[Requirement ID],0))),"",INDEX(Backlog[Requirement Name],MATCH($A109,Backlog[Requirement ID],0))),"")</f>
        <v/>
      </c>
      <c r="C108" s="92">
        <f>IFERROR(IF(ISBLANK(INDEX(Backlog[Stream],MATCH($A109,Backlog[Requirement ID],0))),"",INDEX(Backlog[Stream],MATCH($A109,Backlog[Requirement ID],0))),"")</f>
        <v/>
      </c>
      <c r="D108" s="92">
        <f>IFERROR(IF(ISBLANK(INDEX(Backlog[Stream Owner],MATCH($A109,Backlog[Requirement ID],0))),"",INDEX(Backlog[Stream Owner],MATCH($A109,Backlog[Requirement ID],0))),"")</f>
        <v/>
      </c>
      <c r="E108" s="92">
        <f>IFERROR(IF(ISBLANK(INDEX(Backlog[Jira Link],MATCH($A109,Backlog[Requirement ID],0))),"",INDEX(Backlog[Jira Link],MATCH($A109,Backlog[Requirement ID],0))),"")</f>
        <v/>
      </c>
      <c r="H108" s="92">
        <f>IFERROR(IF(ISBLANK(INDEX(SprintPlanning[Sprint],MATCH($A109,SprintPlanning[Requirement ID],0))),"",INDEX(SprintPlanning[Sprint],MATCH($A109,SprintPlanning[Requirement ID],0))),"")</f>
        <v/>
      </c>
      <c r="I108" s="92">
        <f>IFERROR(IF(ISBLANK(INDEX(Backlog[Status],MATCH($A109,Backlog[Requirement ID],0))),"",INDEX(Backlog[Status],MATCH($A109,Backlog[Requirement ID],0))),"")</f>
        <v/>
      </c>
      <c r="J108" s="92">
        <f>IFERROR(IF(ISBLANK(INDEX(Backlog[Priority],MATCH($A109,Backlog[Requirement ID],0))),"",INDEX(Backlog[Priority],MATCH($A109,Backlog[Requirement ID],0))),"")</f>
        <v/>
      </c>
      <c r="L108" s="97" t="n"/>
      <c r="M108" s="97" t="n"/>
      <c r="O108" s="97" t="n"/>
    </row>
    <row r="109" ht="15" customHeight="1" s="93">
      <c r="A109" s="92">
        <f>Backlog!A110</f>
        <v/>
      </c>
      <c r="B109" s="92">
        <f>IFERROR(IF(ISBLANK(INDEX(Backlog[Requirement Name],MATCH($A110,Backlog[Requirement ID],0))),"",INDEX(Backlog[Requirement Name],MATCH($A110,Backlog[Requirement ID],0))),"")</f>
        <v/>
      </c>
      <c r="C109" s="92">
        <f>IFERROR(IF(ISBLANK(INDEX(Backlog[Stream],MATCH($A110,Backlog[Requirement ID],0))),"",INDEX(Backlog[Stream],MATCH($A110,Backlog[Requirement ID],0))),"")</f>
        <v/>
      </c>
      <c r="D109" s="92">
        <f>IFERROR(IF(ISBLANK(INDEX(Backlog[Stream Owner],MATCH($A110,Backlog[Requirement ID],0))),"",INDEX(Backlog[Stream Owner],MATCH($A110,Backlog[Requirement ID],0))),"")</f>
        <v/>
      </c>
      <c r="E109" s="92">
        <f>IFERROR(IF(ISBLANK(INDEX(Backlog[Jira Link],MATCH($A110,Backlog[Requirement ID],0))),"",INDEX(Backlog[Jira Link],MATCH($A110,Backlog[Requirement ID],0))),"")</f>
        <v/>
      </c>
      <c r="H109" s="92">
        <f>IFERROR(IF(ISBLANK(INDEX(SprintPlanning[Sprint],MATCH($A110,SprintPlanning[Requirement ID],0))),"",INDEX(SprintPlanning[Sprint],MATCH($A110,SprintPlanning[Requirement ID],0))),"")</f>
        <v/>
      </c>
      <c r="I109" s="92">
        <f>IFERROR(IF(ISBLANK(INDEX(Backlog[Status],MATCH($A110,Backlog[Requirement ID],0))),"",INDEX(Backlog[Status],MATCH($A110,Backlog[Requirement ID],0))),"")</f>
        <v/>
      </c>
      <c r="J109" s="92">
        <f>IFERROR(IF(ISBLANK(INDEX(Backlog[Priority],MATCH($A110,Backlog[Requirement ID],0))),"",INDEX(Backlog[Priority],MATCH($A110,Backlog[Requirement ID],0))),"")</f>
        <v/>
      </c>
      <c r="L109" s="97" t="n"/>
      <c r="M109" s="97" t="n"/>
      <c r="O109" s="97" t="n"/>
    </row>
    <row r="110" ht="15" customHeight="1" s="93">
      <c r="A110" s="92">
        <f>Backlog!A111</f>
        <v/>
      </c>
      <c r="B110" s="92">
        <f>IFERROR(IF(ISBLANK(INDEX(Backlog[Requirement Name],MATCH($A111,Backlog[Requirement ID],0))),"",INDEX(Backlog[Requirement Name],MATCH($A111,Backlog[Requirement ID],0))),"")</f>
        <v/>
      </c>
      <c r="C110" s="92">
        <f>IFERROR(IF(ISBLANK(INDEX(Backlog[Stream],MATCH($A111,Backlog[Requirement ID],0))),"",INDEX(Backlog[Stream],MATCH($A111,Backlog[Requirement ID],0))),"")</f>
        <v/>
      </c>
      <c r="D110" s="92">
        <f>IFERROR(IF(ISBLANK(INDEX(Backlog[Stream Owner],MATCH($A111,Backlog[Requirement ID],0))),"",INDEX(Backlog[Stream Owner],MATCH($A111,Backlog[Requirement ID],0))),"")</f>
        <v/>
      </c>
      <c r="E110" s="92">
        <f>IFERROR(IF(ISBLANK(INDEX(Backlog[Jira Link],MATCH($A111,Backlog[Requirement ID],0))),"",INDEX(Backlog[Jira Link],MATCH($A111,Backlog[Requirement ID],0))),"")</f>
        <v/>
      </c>
      <c r="H110" s="92">
        <f>IFERROR(IF(ISBLANK(INDEX(SprintPlanning[Sprint],MATCH($A111,SprintPlanning[Requirement ID],0))),"",INDEX(SprintPlanning[Sprint],MATCH($A111,SprintPlanning[Requirement ID],0))),"")</f>
        <v/>
      </c>
      <c r="I110" s="92">
        <f>IFERROR(IF(ISBLANK(INDEX(Backlog[Status],MATCH($A111,Backlog[Requirement ID],0))),"",INDEX(Backlog[Status],MATCH($A111,Backlog[Requirement ID],0))),"")</f>
        <v/>
      </c>
      <c r="J110" s="92">
        <f>IFERROR(IF(ISBLANK(INDEX(Backlog[Priority],MATCH($A111,Backlog[Requirement ID],0))),"",INDEX(Backlog[Priority],MATCH($A111,Backlog[Requirement ID],0))),"")</f>
        <v/>
      </c>
      <c r="L110" s="97" t="n"/>
      <c r="M110" s="97" t="n"/>
      <c r="O110" s="97" t="n"/>
    </row>
    <row r="111" ht="15" customHeight="1" s="93">
      <c r="A111" s="92">
        <f>Backlog!A112</f>
        <v/>
      </c>
      <c r="B111" s="92">
        <f>IFERROR(IF(ISBLANK(INDEX(Backlog[Requirement Name],MATCH($A112,Backlog[Requirement ID],0))),"",INDEX(Backlog[Requirement Name],MATCH($A112,Backlog[Requirement ID],0))),"")</f>
        <v/>
      </c>
      <c r="C111" s="92">
        <f>IFERROR(IF(ISBLANK(INDEX(Backlog[Stream],MATCH($A112,Backlog[Requirement ID],0))),"",INDEX(Backlog[Stream],MATCH($A112,Backlog[Requirement ID],0))),"")</f>
        <v/>
      </c>
      <c r="D111" s="92">
        <f>IFERROR(IF(ISBLANK(INDEX(Backlog[Stream Owner],MATCH($A112,Backlog[Requirement ID],0))),"",INDEX(Backlog[Stream Owner],MATCH($A112,Backlog[Requirement ID],0))),"")</f>
        <v/>
      </c>
      <c r="E111" s="92">
        <f>IFERROR(IF(ISBLANK(INDEX(Backlog[Jira Link],MATCH($A112,Backlog[Requirement ID],0))),"",INDEX(Backlog[Jira Link],MATCH($A112,Backlog[Requirement ID],0))),"")</f>
        <v/>
      </c>
      <c r="H111" s="92">
        <f>IFERROR(IF(ISBLANK(INDEX(SprintPlanning[Sprint],MATCH($A112,SprintPlanning[Requirement ID],0))),"",INDEX(SprintPlanning[Sprint],MATCH($A112,SprintPlanning[Requirement ID],0))),"")</f>
        <v/>
      </c>
      <c r="I111" s="92">
        <f>IFERROR(IF(ISBLANK(INDEX(Backlog[Status],MATCH($A112,Backlog[Requirement ID],0))),"",INDEX(Backlog[Status],MATCH($A112,Backlog[Requirement ID],0))),"")</f>
        <v/>
      </c>
      <c r="J111" s="92">
        <f>IFERROR(IF(ISBLANK(INDEX(Backlog[Priority],MATCH($A112,Backlog[Requirement ID],0))),"",INDEX(Backlog[Priority],MATCH($A112,Backlog[Requirement ID],0))),"")</f>
        <v/>
      </c>
      <c r="L111" s="97" t="n"/>
      <c r="M111" s="97" t="n"/>
      <c r="O111" s="97" t="n"/>
    </row>
    <row r="112" ht="15" customHeight="1" s="93">
      <c r="A112" s="92">
        <f>Backlog!A113</f>
        <v/>
      </c>
      <c r="B112" s="92">
        <f>IFERROR(IF(ISBLANK(INDEX(Backlog[Requirement Name],MATCH($A113,Backlog[Requirement ID],0))),"",INDEX(Backlog[Requirement Name],MATCH($A113,Backlog[Requirement ID],0))),"")</f>
        <v/>
      </c>
      <c r="C112" s="92">
        <f>IFERROR(IF(ISBLANK(INDEX(Backlog[Stream],MATCH($A113,Backlog[Requirement ID],0))),"",INDEX(Backlog[Stream],MATCH($A113,Backlog[Requirement ID],0))),"")</f>
        <v/>
      </c>
      <c r="D112" s="92">
        <f>IFERROR(IF(ISBLANK(INDEX(Backlog[Stream Owner],MATCH($A113,Backlog[Requirement ID],0))),"",INDEX(Backlog[Stream Owner],MATCH($A113,Backlog[Requirement ID],0))),"")</f>
        <v/>
      </c>
      <c r="E112" s="92">
        <f>IFERROR(IF(ISBLANK(INDEX(Backlog[Jira Link],MATCH($A113,Backlog[Requirement ID],0))),"",INDEX(Backlog[Jira Link],MATCH($A113,Backlog[Requirement ID],0))),"")</f>
        <v/>
      </c>
      <c r="H112" s="92">
        <f>IFERROR(IF(ISBLANK(INDEX(SprintPlanning[Sprint],MATCH($A113,SprintPlanning[Requirement ID],0))),"",INDEX(SprintPlanning[Sprint],MATCH($A113,SprintPlanning[Requirement ID],0))),"")</f>
        <v/>
      </c>
      <c r="I112" s="92">
        <f>IFERROR(IF(ISBLANK(INDEX(Backlog[Status],MATCH($A113,Backlog[Requirement ID],0))),"",INDEX(Backlog[Status],MATCH($A113,Backlog[Requirement ID],0))),"")</f>
        <v/>
      </c>
      <c r="J112" s="92">
        <f>IFERROR(IF(ISBLANK(INDEX(Backlog[Priority],MATCH($A113,Backlog[Requirement ID],0))),"",INDEX(Backlog[Priority],MATCH($A113,Backlog[Requirement ID],0))),"")</f>
        <v/>
      </c>
      <c r="L112" s="97" t="n"/>
      <c r="M112" s="97" t="n"/>
      <c r="O112" s="97" t="n"/>
    </row>
    <row r="113" ht="15" customHeight="1" s="93">
      <c r="A113" s="92">
        <f>Backlog!A114</f>
        <v/>
      </c>
      <c r="B113" s="92">
        <f>IFERROR(IF(ISBLANK(INDEX(Backlog[Requirement Name],MATCH($A114,Backlog[Requirement ID],0))),"",INDEX(Backlog[Requirement Name],MATCH($A114,Backlog[Requirement ID],0))),"")</f>
        <v/>
      </c>
      <c r="C113" s="92">
        <f>IFERROR(IF(ISBLANK(INDEX(Backlog[Stream],MATCH($A114,Backlog[Requirement ID],0))),"",INDEX(Backlog[Stream],MATCH($A114,Backlog[Requirement ID],0))),"")</f>
        <v/>
      </c>
      <c r="D113" s="92">
        <f>IFERROR(IF(ISBLANK(INDEX(Backlog[Stream Owner],MATCH($A114,Backlog[Requirement ID],0))),"",INDEX(Backlog[Stream Owner],MATCH($A114,Backlog[Requirement ID],0))),"")</f>
        <v/>
      </c>
      <c r="E113" s="92">
        <f>IFERROR(IF(ISBLANK(INDEX(Backlog[Jira Link],MATCH($A114,Backlog[Requirement ID],0))),"",INDEX(Backlog[Jira Link],MATCH($A114,Backlog[Requirement ID],0))),"")</f>
        <v/>
      </c>
      <c r="H113" s="92">
        <f>IFERROR(IF(ISBLANK(INDEX(SprintPlanning[Sprint],MATCH($A114,SprintPlanning[Requirement ID],0))),"",INDEX(SprintPlanning[Sprint],MATCH($A114,SprintPlanning[Requirement ID],0))),"")</f>
        <v/>
      </c>
      <c r="I113" s="92">
        <f>IFERROR(IF(ISBLANK(INDEX(Backlog[Status],MATCH($A114,Backlog[Requirement ID],0))),"",INDEX(Backlog[Status],MATCH($A114,Backlog[Requirement ID],0))),"")</f>
        <v/>
      </c>
      <c r="J113" s="92">
        <f>IFERROR(IF(ISBLANK(INDEX(Backlog[Priority],MATCH($A114,Backlog[Requirement ID],0))),"",INDEX(Backlog[Priority],MATCH($A114,Backlog[Requirement ID],0))),"")</f>
        <v/>
      </c>
      <c r="L113" s="97" t="n"/>
      <c r="M113" s="97" t="n"/>
      <c r="O113" s="97" t="n"/>
    </row>
    <row r="114" ht="15" customHeight="1" s="93">
      <c r="A114" s="92">
        <f>Backlog!A115</f>
        <v/>
      </c>
      <c r="B114" s="92">
        <f>IFERROR(IF(ISBLANK(INDEX(Backlog[Requirement Name],MATCH($A115,Backlog[Requirement ID],0))),"",INDEX(Backlog[Requirement Name],MATCH($A115,Backlog[Requirement ID],0))),"")</f>
        <v/>
      </c>
      <c r="C114" s="92">
        <f>IFERROR(IF(ISBLANK(INDEX(Backlog[Stream],MATCH($A115,Backlog[Requirement ID],0))),"",INDEX(Backlog[Stream],MATCH($A115,Backlog[Requirement ID],0))),"")</f>
        <v/>
      </c>
      <c r="D114" s="92">
        <f>IFERROR(IF(ISBLANK(INDEX(Backlog[Stream Owner],MATCH($A115,Backlog[Requirement ID],0))),"",INDEX(Backlog[Stream Owner],MATCH($A115,Backlog[Requirement ID],0))),"")</f>
        <v/>
      </c>
      <c r="E114" s="92">
        <f>IFERROR(IF(ISBLANK(INDEX(Backlog[Jira Link],MATCH($A115,Backlog[Requirement ID],0))),"",INDEX(Backlog[Jira Link],MATCH($A115,Backlog[Requirement ID],0))),"")</f>
        <v/>
      </c>
      <c r="H114" s="92">
        <f>IFERROR(IF(ISBLANK(INDEX(SprintPlanning[Sprint],MATCH($A115,SprintPlanning[Requirement ID],0))),"",INDEX(SprintPlanning[Sprint],MATCH($A115,SprintPlanning[Requirement ID],0))),"")</f>
        <v/>
      </c>
      <c r="I114" s="92">
        <f>IFERROR(IF(ISBLANK(INDEX(Backlog[Status],MATCH($A115,Backlog[Requirement ID],0))),"",INDEX(Backlog[Status],MATCH($A115,Backlog[Requirement ID],0))),"")</f>
        <v/>
      </c>
      <c r="J114" s="92">
        <f>IFERROR(IF(ISBLANK(INDEX(Backlog[Priority],MATCH($A115,Backlog[Requirement ID],0))),"",INDEX(Backlog[Priority],MATCH($A115,Backlog[Requirement ID],0))),"")</f>
        <v/>
      </c>
      <c r="L114" s="97" t="n"/>
      <c r="M114" s="97" t="n"/>
      <c r="O114" s="97" t="n"/>
    </row>
    <row r="115" ht="15" customHeight="1" s="93">
      <c r="A115" s="92">
        <f>Backlog!A116</f>
        <v/>
      </c>
      <c r="B115" s="92">
        <f>IFERROR(IF(ISBLANK(INDEX(Backlog[Requirement Name],MATCH($A116,Backlog[Requirement ID],0))),"",INDEX(Backlog[Requirement Name],MATCH($A116,Backlog[Requirement ID],0))),"")</f>
        <v/>
      </c>
      <c r="C115" s="92">
        <f>IFERROR(IF(ISBLANK(INDEX(Backlog[Stream],MATCH($A116,Backlog[Requirement ID],0))),"",INDEX(Backlog[Stream],MATCH($A116,Backlog[Requirement ID],0))),"")</f>
        <v/>
      </c>
      <c r="D115" s="92">
        <f>IFERROR(IF(ISBLANK(INDEX(Backlog[Stream Owner],MATCH($A116,Backlog[Requirement ID],0))),"",INDEX(Backlog[Stream Owner],MATCH($A116,Backlog[Requirement ID],0))),"")</f>
        <v/>
      </c>
      <c r="E115" s="92">
        <f>IFERROR(IF(ISBLANK(INDEX(Backlog[Jira Link],MATCH($A116,Backlog[Requirement ID],0))),"",INDEX(Backlog[Jira Link],MATCH($A116,Backlog[Requirement ID],0))),"")</f>
        <v/>
      </c>
      <c r="H115" s="92">
        <f>IFERROR(IF(ISBLANK(INDEX(SprintPlanning[Sprint],MATCH($A116,SprintPlanning[Requirement ID],0))),"",INDEX(SprintPlanning[Sprint],MATCH($A116,SprintPlanning[Requirement ID],0))),"")</f>
        <v/>
      </c>
      <c r="I115" s="92">
        <f>IFERROR(IF(ISBLANK(INDEX(Backlog[Status],MATCH($A116,Backlog[Requirement ID],0))),"",INDEX(Backlog[Status],MATCH($A116,Backlog[Requirement ID],0))),"")</f>
        <v/>
      </c>
      <c r="J115" s="92">
        <f>IFERROR(IF(ISBLANK(INDEX(Backlog[Priority],MATCH($A116,Backlog[Requirement ID],0))),"",INDEX(Backlog[Priority],MATCH($A116,Backlog[Requirement ID],0))),"")</f>
        <v/>
      </c>
      <c r="L115" s="97" t="n"/>
      <c r="M115" s="97" t="n"/>
      <c r="O115" s="97" t="n"/>
    </row>
    <row r="116" ht="15" customHeight="1" s="93">
      <c r="A116" s="92">
        <f>Backlog!A117</f>
        <v/>
      </c>
      <c r="B116" s="92">
        <f>IFERROR(IF(ISBLANK(INDEX(Backlog[Requirement Name],MATCH($A117,Backlog[Requirement ID],0))),"",INDEX(Backlog[Requirement Name],MATCH($A117,Backlog[Requirement ID],0))),"")</f>
        <v/>
      </c>
      <c r="C116" s="92">
        <f>IFERROR(IF(ISBLANK(INDEX(Backlog[Stream],MATCH($A117,Backlog[Requirement ID],0))),"",INDEX(Backlog[Stream],MATCH($A117,Backlog[Requirement ID],0))),"")</f>
        <v/>
      </c>
      <c r="D116" s="92">
        <f>IFERROR(IF(ISBLANK(INDEX(Backlog[Stream Owner],MATCH($A117,Backlog[Requirement ID],0))),"",INDEX(Backlog[Stream Owner],MATCH($A117,Backlog[Requirement ID],0))),"")</f>
        <v/>
      </c>
      <c r="E116" s="92">
        <f>IFERROR(IF(ISBLANK(INDEX(Backlog[Jira Link],MATCH($A117,Backlog[Requirement ID],0))),"",INDEX(Backlog[Jira Link],MATCH($A117,Backlog[Requirement ID],0))),"")</f>
        <v/>
      </c>
      <c r="H116" s="92">
        <f>IFERROR(IF(ISBLANK(INDEX(SprintPlanning[Sprint],MATCH($A117,SprintPlanning[Requirement ID],0))),"",INDEX(SprintPlanning[Sprint],MATCH($A117,SprintPlanning[Requirement ID],0))),"")</f>
        <v/>
      </c>
      <c r="I116" s="92">
        <f>IFERROR(IF(ISBLANK(INDEX(Backlog[Status],MATCH($A117,Backlog[Requirement ID],0))),"",INDEX(Backlog[Status],MATCH($A117,Backlog[Requirement ID],0))),"")</f>
        <v/>
      </c>
      <c r="J116" s="92">
        <f>IFERROR(IF(ISBLANK(INDEX(Backlog[Priority],MATCH($A117,Backlog[Requirement ID],0))),"",INDEX(Backlog[Priority],MATCH($A117,Backlog[Requirement ID],0))),"")</f>
        <v/>
      </c>
      <c r="L116" s="97" t="n"/>
      <c r="M116" s="97" t="n"/>
      <c r="O116" s="97" t="n"/>
    </row>
    <row r="117" ht="15" customHeight="1" s="93">
      <c r="A117" s="92">
        <f>Backlog!A118</f>
        <v/>
      </c>
      <c r="B117" s="92">
        <f>IFERROR(IF(ISBLANK(INDEX(Backlog[Requirement Name],MATCH($A118,Backlog[Requirement ID],0))),"",INDEX(Backlog[Requirement Name],MATCH($A118,Backlog[Requirement ID],0))),"")</f>
        <v/>
      </c>
      <c r="C117" s="92">
        <f>IFERROR(IF(ISBLANK(INDEX(Backlog[Stream],MATCH($A118,Backlog[Requirement ID],0))),"",INDEX(Backlog[Stream],MATCH($A118,Backlog[Requirement ID],0))),"")</f>
        <v/>
      </c>
      <c r="D117" s="92">
        <f>IFERROR(IF(ISBLANK(INDEX(Backlog[Stream Owner],MATCH($A118,Backlog[Requirement ID],0))),"",INDEX(Backlog[Stream Owner],MATCH($A118,Backlog[Requirement ID],0))),"")</f>
        <v/>
      </c>
      <c r="E117" s="92">
        <f>IFERROR(IF(ISBLANK(INDEX(Backlog[Jira Link],MATCH($A118,Backlog[Requirement ID],0))),"",INDEX(Backlog[Jira Link],MATCH($A118,Backlog[Requirement ID],0))),"")</f>
        <v/>
      </c>
      <c r="H117" s="92">
        <f>IFERROR(IF(ISBLANK(INDEX(SprintPlanning[Sprint],MATCH($A118,SprintPlanning[Requirement ID],0))),"",INDEX(SprintPlanning[Sprint],MATCH($A118,SprintPlanning[Requirement ID],0))),"")</f>
        <v/>
      </c>
      <c r="I117" s="92">
        <f>IFERROR(IF(ISBLANK(INDEX(Backlog[Status],MATCH($A118,Backlog[Requirement ID],0))),"",INDEX(Backlog[Status],MATCH($A118,Backlog[Requirement ID],0))),"")</f>
        <v/>
      </c>
      <c r="J117" s="92">
        <f>IFERROR(IF(ISBLANK(INDEX(Backlog[Priority],MATCH($A118,Backlog[Requirement ID],0))),"",INDEX(Backlog[Priority],MATCH($A118,Backlog[Requirement ID],0))),"")</f>
        <v/>
      </c>
      <c r="L117" s="97" t="n"/>
      <c r="M117" s="97" t="n"/>
      <c r="O117" s="97" t="n"/>
    </row>
    <row r="118" ht="15" customHeight="1" s="93">
      <c r="A118" s="92">
        <f>Backlog!A119</f>
        <v/>
      </c>
      <c r="B118" s="92">
        <f>IFERROR(IF(ISBLANK(INDEX(Backlog[Requirement Name],MATCH($A119,Backlog[Requirement ID],0))),"",INDEX(Backlog[Requirement Name],MATCH($A119,Backlog[Requirement ID],0))),"")</f>
        <v/>
      </c>
      <c r="C118" s="92">
        <f>IFERROR(IF(ISBLANK(INDEX(Backlog[Stream],MATCH($A119,Backlog[Requirement ID],0))),"",INDEX(Backlog[Stream],MATCH($A119,Backlog[Requirement ID],0))),"")</f>
        <v/>
      </c>
      <c r="D118" s="92">
        <f>IFERROR(IF(ISBLANK(INDEX(Backlog[Stream Owner],MATCH($A119,Backlog[Requirement ID],0))),"",INDEX(Backlog[Stream Owner],MATCH($A119,Backlog[Requirement ID],0))),"")</f>
        <v/>
      </c>
      <c r="E118" s="92">
        <f>IFERROR(IF(ISBLANK(INDEX(Backlog[Jira Link],MATCH($A119,Backlog[Requirement ID],0))),"",INDEX(Backlog[Jira Link],MATCH($A119,Backlog[Requirement ID],0))),"")</f>
        <v/>
      </c>
      <c r="H118" s="92">
        <f>IFERROR(IF(ISBLANK(INDEX(SprintPlanning[Sprint],MATCH($A119,SprintPlanning[Requirement ID],0))),"",INDEX(SprintPlanning[Sprint],MATCH($A119,SprintPlanning[Requirement ID],0))),"")</f>
        <v/>
      </c>
      <c r="I118" s="92">
        <f>IFERROR(IF(ISBLANK(INDEX(Backlog[Status],MATCH($A119,Backlog[Requirement ID],0))),"",INDEX(Backlog[Status],MATCH($A119,Backlog[Requirement ID],0))),"")</f>
        <v/>
      </c>
      <c r="J118" s="92">
        <f>IFERROR(IF(ISBLANK(INDEX(Backlog[Priority],MATCH($A119,Backlog[Requirement ID],0))),"",INDEX(Backlog[Priority],MATCH($A119,Backlog[Requirement ID],0))),"")</f>
        <v/>
      </c>
      <c r="L118" s="97" t="n"/>
      <c r="M118" s="97" t="n"/>
      <c r="O118" s="97" t="n"/>
    </row>
    <row r="119" ht="15" customHeight="1" s="93">
      <c r="A119" s="92">
        <f>Backlog!A120</f>
        <v/>
      </c>
      <c r="B119" s="92">
        <f>IFERROR(IF(ISBLANK(INDEX(Backlog[Requirement Name],MATCH($A120,Backlog[Requirement ID],0))),"",INDEX(Backlog[Requirement Name],MATCH($A120,Backlog[Requirement ID],0))),"")</f>
        <v/>
      </c>
      <c r="C119" s="92">
        <f>IFERROR(IF(ISBLANK(INDEX(Backlog[Stream],MATCH($A120,Backlog[Requirement ID],0))),"",INDEX(Backlog[Stream],MATCH($A120,Backlog[Requirement ID],0))),"")</f>
        <v/>
      </c>
      <c r="D119" s="92">
        <f>IFERROR(IF(ISBLANK(INDEX(Backlog[Stream Owner],MATCH($A120,Backlog[Requirement ID],0))),"",INDEX(Backlog[Stream Owner],MATCH($A120,Backlog[Requirement ID],0))),"")</f>
        <v/>
      </c>
      <c r="E119" s="92">
        <f>IFERROR(IF(ISBLANK(INDEX(Backlog[Jira Link],MATCH($A120,Backlog[Requirement ID],0))),"",INDEX(Backlog[Jira Link],MATCH($A120,Backlog[Requirement ID],0))),"")</f>
        <v/>
      </c>
      <c r="H119" s="92">
        <f>IFERROR(IF(ISBLANK(INDEX(SprintPlanning[Sprint],MATCH($A120,SprintPlanning[Requirement ID],0))),"",INDEX(SprintPlanning[Sprint],MATCH($A120,SprintPlanning[Requirement ID],0))),"")</f>
        <v/>
      </c>
      <c r="I119" s="92">
        <f>IFERROR(IF(ISBLANK(INDEX(Backlog[Status],MATCH($A120,Backlog[Requirement ID],0))),"",INDEX(Backlog[Status],MATCH($A120,Backlog[Requirement ID],0))),"")</f>
        <v/>
      </c>
      <c r="J119" s="92">
        <f>IFERROR(IF(ISBLANK(INDEX(Backlog[Priority],MATCH($A120,Backlog[Requirement ID],0))),"",INDEX(Backlog[Priority],MATCH($A120,Backlog[Requirement ID],0))),"")</f>
        <v/>
      </c>
      <c r="L119" s="97" t="n"/>
      <c r="M119" s="97" t="n"/>
      <c r="O119" s="97" t="n"/>
    </row>
    <row r="120" ht="15" customHeight="1" s="93">
      <c r="A120" s="92">
        <f>Backlog!A121</f>
        <v/>
      </c>
      <c r="B120" s="92">
        <f>IFERROR(IF(ISBLANK(INDEX(Backlog[Requirement Name],MATCH($A121,Backlog[Requirement ID],0))),"",INDEX(Backlog[Requirement Name],MATCH($A121,Backlog[Requirement ID],0))),"")</f>
        <v/>
      </c>
      <c r="C120" s="92">
        <f>IFERROR(IF(ISBLANK(INDEX(Backlog[Stream],MATCH($A121,Backlog[Requirement ID],0))),"",INDEX(Backlog[Stream],MATCH($A121,Backlog[Requirement ID],0))),"")</f>
        <v/>
      </c>
      <c r="D120" s="92">
        <f>IFERROR(IF(ISBLANK(INDEX(Backlog[Stream Owner],MATCH($A121,Backlog[Requirement ID],0))),"",INDEX(Backlog[Stream Owner],MATCH($A121,Backlog[Requirement ID],0))),"")</f>
        <v/>
      </c>
      <c r="E120" s="92">
        <f>IFERROR(IF(ISBLANK(INDEX(Backlog[Jira Link],MATCH($A121,Backlog[Requirement ID],0))),"",INDEX(Backlog[Jira Link],MATCH($A121,Backlog[Requirement ID],0))),"")</f>
        <v/>
      </c>
      <c r="H120" s="92">
        <f>IFERROR(IF(ISBLANK(INDEX(SprintPlanning[Sprint],MATCH($A121,SprintPlanning[Requirement ID],0))),"",INDEX(SprintPlanning[Sprint],MATCH($A121,SprintPlanning[Requirement ID],0))),"")</f>
        <v/>
      </c>
      <c r="I120" s="92">
        <f>IFERROR(IF(ISBLANK(INDEX(Backlog[Status],MATCH($A121,Backlog[Requirement ID],0))),"",INDEX(Backlog[Status],MATCH($A121,Backlog[Requirement ID],0))),"")</f>
        <v/>
      </c>
      <c r="J120" s="92">
        <f>IFERROR(IF(ISBLANK(INDEX(Backlog[Priority],MATCH($A121,Backlog[Requirement ID],0))),"",INDEX(Backlog[Priority],MATCH($A121,Backlog[Requirement ID],0))),"")</f>
        <v/>
      </c>
      <c r="L120" s="97" t="n"/>
      <c r="M120" s="97" t="n"/>
      <c r="O120" s="97" t="n"/>
    </row>
    <row r="121" ht="15" customHeight="1" s="93">
      <c r="A121" s="92">
        <f>Backlog!A122</f>
        <v/>
      </c>
      <c r="B121" s="92">
        <f>IFERROR(IF(ISBLANK(INDEX(Backlog[Requirement Name],MATCH($A122,Backlog[Requirement ID],0))),"",INDEX(Backlog[Requirement Name],MATCH($A122,Backlog[Requirement ID],0))),"")</f>
        <v/>
      </c>
      <c r="C121" s="92">
        <f>IFERROR(IF(ISBLANK(INDEX(Backlog[Stream],MATCH($A122,Backlog[Requirement ID],0))),"",INDEX(Backlog[Stream],MATCH($A122,Backlog[Requirement ID],0))),"")</f>
        <v/>
      </c>
      <c r="D121" s="92">
        <f>IFERROR(IF(ISBLANK(INDEX(Backlog[Stream Owner],MATCH($A122,Backlog[Requirement ID],0))),"",INDEX(Backlog[Stream Owner],MATCH($A122,Backlog[Requirement ID],0))),"")</f>
        <v/>
      </c>
      <c r="E121" s="92">
        <f>IFERROR(IF(ISBLANK(INDEX(Backlog[Jira Link],MATCH($A122,Backlog[Requirement ID],0))),"",INDEX(Backlog[Jira Link],MATCH($A122,Backlog[Requirement ID],0))),"")</f>
        <v/>
      </c>
      <c r="H121" s="92">
        <f>IFERROR(IF(ISBLANK(INDEX(SprintPlanning[Sprint],MATCH($A122,SprintPlanning[Requirement ID],0))),"",INDEX(SprintPlanning[Sprint],MATCH($A122,SprintPlanning[Requirement ID],0))),"")</f>
        <v/>
      </c>
      <c r="I121" s="92">
        <f>IFERROR(IF(ISBLANK(INDEX(Backlog[Status],MATCH($A122,Backlog[Requirement ID],0))),"",INDEX(Backlog[Status],MATCH($A122,Backlog[Requirement ID],0))),"")</f>
        <v/>
      </c>
      <c r="J121" s="92">
        <f>IFERROR(IF(ISBLANK(INDEX(Backlog[Priority],MATCH($A122,Backlog[Requirement ID],0))),"",INDEX(Backlog[Priority],MATCH($A122,Backlog[Requirement ID],0))),"")</f>
        <v/>
      </c>
      <c r="L121" s="97" t="n"/>
      <c r="M121" s="97" t="n"/>
      <c r="O121" s="97" t="n"/>
    </row>
    <row r="122" ht="15" customHeight="1" s="93">
      <c r="A122" s="92">
        <f>Backlog!A123</f>
        <v/>
      </c>
      <c r="B122" s="92">
        <f>IFERROR(IF(ISBLANK(INDEX(Backlog[Requirement Name],MATCH($A123,Backlog[Requirement ID],0))),"",INDEX(Backlog[Requirement Name],MATCH($A123,Backlog[Requirement ID],0))),"")</f>
        <v/>
      </c>
      <c r="C122" s="92">
        <f>IFERROR(IF(ISBLANK(INDEX(Backlog[Stream],MATCH($A123,Backlog[Requirement ID],0))),"",INDEX(Backlog[Stream],MATCH($A123,Backlog[Requirement ID],0))),"")</f>
        <v/>
      </c>
      <c r="D122" s="92">
        <f>IFERROR(IF(ISBLANK(INDEX(Backlog[Stream Owner],MATCH($A123,Backlog[Requirement ID],0))),"",INDEX(Backlog[Stream Owner],MATCH($A123,Backlog[Requirement ID],0))),"")</f>
        <v/>
      </c>
      <c r="E122" s="92">
        <f>IFERROR(IF(ISBLANK(INDEX(Backlog[Jira Link],MATCH($A123,Backlog[Requirement ID],0))),"",INDEX(Backlog[Jira Link],MATCH($A123,Backlog[Requirement ID],0))),"")</f>
        <v/>
      </c>
      <c r="H122" s="92">
        <f>IFERROR(IF(ISBLANK(INDEX(SprintPlanning[Sprint],MATCH($A123,SprintPlanning[Requirement ID],0))),"",INDEX(SprintPlanning[Sprint],MATCH($A123,SprintPlanning[Requirement ID],0))),"")</f>
        <v/>
      </c>
      <c r="I122" s="92">
        <f>IFERROR(IF(ISBLANK(INDEX(Backlog[Status],MATCH($A123,Backlog[Requirement ID],0))),"",INDEX(Backlog[Status],MATCH($A123,Backlog[Requirement ID],0))),"")</f>
        <v/>
      </c>
      <c r="J122" s="92">
        <f>IFERROR(IF(ISBLANK(INDEX(Backlog[Priority],MATCH($A123,Backlog[Requirement ID],0))),"",INDEX(Backlog[Priority],MATCH($A123,Backlog[Requirement ID],0))),"")</f>
        <v/>
      </c>
      <c r="L122" s="97" t="n"/>
      <c r="M122" s="97" t="n"/>
      <c r="O122" s="97" t="n"/>
    </row>
    <row r="123" ht="15" customHeight="1" s="93">
      <c r="A123" s="92">
        <f>Backlog!A124</f>
        <v/>
      </c>
      <c r="B123" s="92">
        <f>IFERROR(IF(ISBLANK(INDEX(Backlog[Requirement Name],MATCH($A124,Backlog[Requirement ID],0))),"",INDEX(Backlog[Requirement Name],MATCH($A124,Backlog[Requirement ID],0))),"")</f>
        <v/>
      </c>
      <c r="C123" s="92">
        <f>IFERROR(IF(ISBLANK(INDEX(Backlog[Stream],MATCH($A124,Backlog[Requirement ID],0))),"",INDEX(Backlog[Stream],MATCH($A124,Backlog[Requirement ID],0))),"")</f>
        <v/>
      </c>
      <c r="D123" s="92">
        <f>IFERROR(IF(ISBLANK(INDEX(Backlog[Stream Owner],MATCH($A124,Backlog[Requirement ID],0))),"",INDEX(Backlog[Stream Owner],MATCH($A124,Backlog[Requirement ID],0))),"")</f>
        <v/>
      </c>
      <c r="E123" s="92">
        <f>IFERROR(IF(ISBLANK(INDEX(Backlog[Jira Link],MATCH($A124,Backlog[Requirement ID],0))),"",INDEX(Backlog[Jira Link],MATCH($A124,Backlog[Requirement ID],0))),"")</f>
        <v/>
      </c>
      <c r="H123" s="92">
        <f>IFERROR(IF(ISBLANK(INDEX(SprintPlanning[Sprint],MATCH($A124,SprintPlanning[Requirement ID],0))),"",INDEX(SprintPlanning[Sprint],MATCH($A124,SprintPlanning[Requirement ID],0))),"")</f>
        <v/>
      </c>
      <c r="I123" s="92">
        <f>IFERROR(IF(ISBLANK(INDEX(Backlog[Status],MATCH($A124,Backlog[Requirement ID],0))),"",INDEX(Backlog[Status],MATCH($A124,Backlog[Requirement ID],0))),"")</f>
        <v/>
      </c>
      <c r="J123" s="92">
        <f>IFERROR(IF(ISBLANK(INDEX(Backlog[Priority],MATCH($A124,Backlog[Requirement ID],0))),"",INDEX(Backlog[Priority],MATCH($A124,Backlog[Requirement ID],0))),"")</f>
        <v/>
      </c>
      <c r="L123" s="97" t="n"/>
      <c r="M123" s="97" t="n"/>
      <c r="O123" s="97" t="n"/>
    </row>
    <row r="124" ht="15" customHeight="1" s="93">
      <c r="A124" s="92">
        <f>Backlog!A125</f>
        <v/>
      </c>
      <c r="B124" s="92">
        <f>IFERROR(IF(ISBLANK(INDEX(Backlog[Requirement Name],MATCH($A125,Backlog[Requirement ID],0))),"",INDEX(Backlog[Requirement Name],MATCH($A125,Backlog[Requirement ID],0))),"")</f>
        <v/>
      </c>
      <c r="C124" s="92">
        <f>IFERROR(IF(ISBLANK(INDEX(Backlog[Stream],MATCH($A125,Backlog[Requirement ID],0))),"",INDEX(Backlog[Stream],MATCH($A125,Backlog[Requirement ID],0))),"")</f>
        <v/>
      </c>
      <c r="D124" s="92">
        <f>IFERROR(IF(ISBLANK(INDEX(Backlog[Stream Owner],MATCH($A125,Backlog[Requirement ID],0))),"",INDEX(Backlog[Stream Owner],MATCH($A125,Backlog[Requirement ID],0))),"")</f>
        <v/>
      </c>
      <c r="E124" s="92">
        <f>IFERROR(IF(ISBLANK(INDEX(Backlog[Jira Link],MATCH($A125,Backlog[Requirement ID],0))),"",INDEX(Backlog[Jira Link],MATCH($A125,Backlog[Requirement ID],0))),"")</f>
        <v/>
      </c>
      <c r="H124" s="92">
        <f>IFERROR(IF(ISBLANK(INDEX(SprintPlanning[Sprint],MATCH($A125,SprintPlanning[Requirement ID],0))),"",INDEX(SprintPlanning[Sprint],MATCH($A125,SprintPlanning[Requirement ID],0))),"")</f>
        <v/>
      </c>
      <c r="I124" s="92">
        <f>IFERROR(IF(ISBLANK(INDEX(Backlog[Status],MATCH($A125,Backlog[Requirement ID],0))),"",INDEX(Backlog[Status],MATCH($A125,Backlog[Requirement ID],0))),"")</f>
        <v/>
      </c>
      <c r="J124" s="92">
        <f>IFERROR(IF(ISBLANK(INDEX(Backlog[Priority],MATCH($A125,Backlog[Requirement ID],0))),"",INDEX(Backlog[Priority],MATCH($A125,Backlog[Requirement ID],0))),"")</f>
        <v/>
      </c>
      <c r="L124" s="97" t="n"/>
      <c r="M124" s="97" t="n"/>
      <c r="O124" s="97" t="n"/>
    </row>
    <row r="125" ht="15" customHeight="1" s="93">
      <c r="A125" s="92">
        <f>Backlog!A126</f>
        <v/>
      </c>
      <c r="B125" s="92">
        <f>IFERROR(IF(ISBLANK(INDEX(Backlog[Requirement Name],MATCH($A126,Backlog[Requirement ID],0))),"",INDEX(Backlog[Requirement Name],MATCH($A126,Backlog[Requirement ID],0))),"")</f>
        <v/>
      </c>
      <c r="C125" s="92">
        <f>IFERROR(IF(ISBLANK(INDEX(Backlog[Stream],MATCH($A126,Backlog[Requirement ID],0))),"",INDEX(Backlog[Stream],MATCH($A126,Backlog[Requirement ID],0))),"")</f>
        <v/>
      </c>
      <c r="D125" s="92">
        <f>IFERROR(IF(ISBLANK(INDEX(Backlog[Stream Owner],MATCH($A126,Backlog[Requirement ID],0))),"",INDEX(Backlog[Stream Owner],MATCH($A126,Backlog[Requirement ID],0))),"")</f>
        <v/>
      </c>
      <c r="E125" s="92">
        <f>IFERROR(IF(ISBLANK(INDEX(Backlog[Jira Link],MATCH($A126,Backlog[Requirement ID],0))),"",INDEX(Backlog[Jira Link],MATCH($A126,Backlog[Requirement ID],0))),"")</f>
        <v/>
      </c>
      <c r="H125" s="92">
        <f>IFERROR(IF(ISBLANK(INDEX(SprintPlanning[Sprint],MATCH($A126,SprintPlanning[Requirement ID],0))),"",INDEX(SprintPlanning[Sprint],MATCH($A126,SprintPlanning[Requirement ID],0))),"")</f>
        <v/>
      </c>
      <c r="I125" s="92">
        <f>IFERROR(IF(ISBLANK(INDEX(Backlog[Status],MATCH($A126,Backlog[Requirement ID],0))),"",INDEX(Backlog[Status],MATCH($A126,Backlog[Requirement ID],0))),"")</f>
        <v/>
      </c>
      <c r="J125" s="92">
        <f>IFERROR(IF(ISBLANK(INDEX(Backlog[Priority],MATCH($A126,Backlog[Requirement ID],0))),"",INDEX(Backlog[Priority],MATCH($A126,Backlog[Requirement ID],0))),"")</f>
        <v/>
      </c>
      <c r="L125" s="97" t="n"/>
      <c r="M125" s="97" t="n"/>
      <c r="O125" s="97" t="n"/>
    </row>
    <row r="126" ht="15" customHeight="1" s="93">
      <c r="A126" s="92">
        <f>Backlog!A127</f>
        <v/>
      </c>
      <c r="B126" s="92">
        <f>IFERROR(IF(ISBLANK(INDEX(Backlog[Requirement Name],MATCH($A127,Backlog[Requirement ID],0))),"",INDEX(Backlog[Requirement Name],MATCH($A127,Backlog[Requirement ID],0))),"")</f>
        <v/>
      </c>
      <c r="C126" s="92">
        <f>IFERROR(IF(ISBLANK(INDEX(Backlog[Stream],MATCH($A127,Backlog[Requirement ID],0))),"",INDEX(Backlog[Stream],MATCH($A127,Backlog[Requirement ID],0))),"")</f>
        <v/>
      </c>
      <c r="D126" s="92">
        <f>IFERROR(IF(ISBLANK(INDEX(Backlog[Stream Owner],MATCH($A127,Backlog[Requirement ID],0))),"",INDEX(Backlog[Stream Owner],MATCH($A127,Backlog[Requirement ID],0))),"")</f>
        <v/>
      </c>
      <c r="E126" s="92">
        <f>IFERROR(IF(ISBLANK(INDEX(Backlog[Jira Link],MATCH($A127,Backlog[Requirement ID],0))),"",INDEX(Backlog[Jira Link],MATCH($A127,Backlog[Requirement ID],0))),"")</f>
        <v/>
      </c>
      <c r="H126" s="92">
        <f>IFERROR(IF(ISBLANK(INDEX(SprintPlanning[Sprint],MATCH($A127,SprintPlanning[Requirement ID],0))),"",INDEX(SprintPlanning[Sprint],MATCH($A127,SprintPlanning[Requirement ID],0))),"")</f>
        <v/>
      </c>
      <c r="I126" s="92">
        <f>IFERROR(IF(ISBLANK(INDEX(Backlog[Status],MATCH($A127,Backlog[Requirement ID],0))),"",INDEX(Backlog[Status],MATCH($A127,Backlog[Requirement ID],0))),"")</f>
        <v/>
      </c>
      <c r="J126" s="92">
        <f>IFERROR(IF(ISBLANK(INDEX(Backlog[Priority],MATCH($A127,Backlog[Requirement ID],0))),"",INDEX(Backlog[Priority],MATCH($A127,Backlog[Requirement ID],0))),"")</f>
        <v/>
      </c>
      <c r="L126" s="97" t="n"/>
      <c r="M126" s="97" t="n"/>
      <c r="O126" s="97" t="n"/>
    </row>
    <row r="127" ht="15" customHeight="1" s="93">
      <c r="A127" s="92">
        <f>Backlog!A128</f>
        <v/>
      </c>
      <c r="B127" s="92">
        <f>IFERROR(IF(ISBLANK(INDEX(Backlog[Requirement Name],MATCH($A128,Backlog[Requirement ID],0))),"",INDEX(Backlog[Requirement Name],MATCH($A128,Backlog[Requirement ID],0))),"")</f>
        <v/>
      </c>
      <c r="C127" s="92">
        <f>IFERROR(IF(ISBLANK(INDEX(Backlog[Stream],MATCH($A128,Backlog[Requirement ID],0))),"",INDEX(Backlog[Stream],MATCH($A128,Backlog[Requirement ID],0))),"")</f>
        <v/>
      </c>
      <c r="D127" s="92">
        <f>IFERROR(IF(ISBLANK(INDEX(Backlog[Stream Owner],MATCH($A128,Backlog[Requirement ID],0))),"",INDEX(Backlog[Stream Owner],MATCH($A128,Backlog[Requirement ID],0))),"")</f>
        <v/>
      </c>
      <c r="E127" s="92">
        <f>IFERROR(IF(ISBLANK(INDEX(Backlog[Jira Link],MATCH($A128,Backlog[Requirement ID],0))),"",INDEX(Backlog[Jira Link],MATCH($A128,Backlog[Requirement ID],0))),"")</f>
        <v/>
      </c>
      <c r="H127" s="92">
        <f>IFERROR(IF(ISBLANK(INDEX(SprintPlanning[Sprint],MATCH($A128,SprintPlanning[Requirement ID],0))),"",INDEX(SprintPlanning[Sprint],MATCH($A128,SprintPlanning[Requirement ID],0))),"")</f>
        <v/>
      </c>
      <c r="I127" s="92">
        <f>IFERROR(IF(ISBLANK(INDEX(Backlog[Status],MATCH($A128,Backlog[Requirement ID],0))),"",INDEX(Backlog[Status],MATCH($A128,Backlog[Requirement ID],0))),"")</f>
        <v/>
      </c>
      <c r="J127" s="92">
        <f>IFERROR(IF(ISBLANK(INDEX(Backlog[Priority],MATCH($A128,Backlog[Requirement ID],0))),"",INDEX(Backlog[Priority],MATCH($A128,Backlog[Requirement ID],0))),"")</f>
        <v/>
      </c>
      <c r="L127" s="97" t="n"/>
      <c r="M127" s="97" t="n"/>
      <c r="O127" s="97" t="n"/>
    </row>
    <row r="128" ht="15" customHeight="1" s="93">
      <c r="A128" s="92">
        <f>Backlog!A129</f>
        <v/>
      </c>
      <c r="B128" s="92">
        <f>IFERROR(IF(ISBLANK(INDEX(Backlog[Requirement Name],MATCH($A129,Backlog[Requirement ID],0))),"",INDEX(Backlog[Requirement Name],MATCH($A129,Backlog[Requirement ID],0))),"")</f>
        <v/>
      </c>
      <c r="C128" s="92">
        <f>IFERROR(IF(ISBLANK(INDEX(Backlog[Stream],MATCH($A129,Backlog[Requirement ID],0))),"",INDEX(Backlog[Stream],MATCH($A129,Backlog[Requirement ID],0))),"")</f>
        <v/>
      </c>
      <c r="D128" s="92">
        <f>IFERROR(IF(ISBLANK(INDEX(Backlog[Stream Owner],MATCH($A129,Backlog[Requirement ID],0))),"",INDEX(Backlog[Stream Owner],MATCH($A129,Backlog[Requirement ID],0))),"")</f>
        <v/>
      </c>
      <c r="E128" s="92">
        <f>IFERROR(IF(ISBLANK(INDEX(Backlog[Jira Link],MATCH($A129,Backlog[Requirement ID],0))),"",INDEX(Backlog[Jira Link],MATCH($A129,Backlog[Requirement ID],0))),"")</f>
        <v/>
      </c>
      <c r="H128" s="92">
        <f>IFERROR(IF(ISBLANK(INDEX(SprintPlanning[Sprint],MATCH($A129,SprintPlanning[Requirement ID],0))),"",INDEX(SprintPlanning[Sprint],MATCH($A129,SprintPlanning[Requirement ID],0))),"")</f>
        <v/>
      </c>
      <c r="I128" s="92">
        <f>IFERROR(IF(ISBLANK(INDEX(Backlog[Status],MATCH($A129,Backlog[Requirement ID],0))),"",INDEX(Backlog[Status],MATCH($A129,Backlog[Requirement ID],0))),"")</f>
        <v/>
      </c>
      <c r="J128" s="92">
        <f>IFERROR(IF(ISBLANK(INDEX(Backlog[Priority],MATCH($A129,Backlog[Requirement ID],0))),"",INDEX(Backlog[Priority],MATCH($A129,Backlog[Requirement ID],0))),"")</f>
        <v/>
      </c>
      <c r="L128" s="97" t="n"/>
      <c r="M128" s="97" t="n"/>
      <c r="O128" s="97" t="n"/>
    </row>
    <row r="129" ht="15" customHeight="1" s="93">
      <c r="A129" s="92">
        <f>Backlog!A130</f>
        <v/>
      </c>
      <c r="B129" s="92">
        <f>IFERROR(IF(ISBLANK(INDEX(Backlog[Requirement Name],MATCH($A130,Backlog[Requirement ID],0))),"",INDEX(Backlog[Requirement Name],MATCH($A130,Backlog[Requirement ID],0))),"")</f>
        <v/>
      </c>
      <c r="C129" s="92">
        <f>IFERROR(IF(ISBLANK(INDEX(Backlog[Stream],MATCH($A130,Backlog[Requirement ID],0))),"",INDEX(Backlog[Stream],MATCH($A130,Backlog[Requirement ID],0))),"")</f>
        <v/>
      </c>
      <c r="D129" s="92">
        <f>IFERROR(IF(ISBLANK(INDEX(Backlog[Stream Owner],MATCH($A130,Backlog[Requirement ID],0))),"",INDEX(Backlog[Stream Owner],MATCH($A130,Backlog[Requirement ID],0))),"")</f>
        <v/>
      </c>
      <c r="E129" s="92">
        <f>IFERROR(IF(ISBLANK(INDEX(Backlog[Jira Link],MATCH($A130,Backlog[Requirement ID],0))),"",INDEX(Backlog[Jira Link],MATCH($A130,Backlog[Requirement ID],0))),"")</f>
        <v/>
      </c>
      <c r="H129" s="92">
        <f>IFERROR(IF(ISBLANK(INDEX(SprintPlanning[Sprint],MATCH($A130,SprintPlanning[Requirement ID],0))),"",INDEX(SprintPlanning[Sprint],MATCH($A130,SprintPlanning[Requirement ID],0))),"")</f>
        <v/>
      </c>
      <c r="I129" s="92">
        <f>IFERROR(IF(ISBLANK(INDEX(Backlog[Status],MATCH($A130,Backlog[Requirement ID],0))),"",INDEX(Backlog[Status],MATCH($A130,Backlog[Requirement ID],0))),"")</f>
        <v/>
      </c>
      <c r="J129" s="92">
        <f>IFERROR(IF(ISBLANK(INDEX(Backlog[Priority],MATCH($A130,Backlog[Requirement ID],0))),"",INDEX(Backlog[Priority],MATCH($A130,Backlog[Requirement ID],0))),"")</f>
        <v/>
      </c>
      <c r="L129" s="97" t="n"/>
      <c r="M129" s="97" t="n"/>
      <c r="O129" s="97" t="n"/>
    </row>
    <row r="130" ht="15" customHeight="1" s="93">
      <c r="A130" s="92">
        <f>Backlog!A131</f>
        <v/>
      </c>
      <c r="B130" s="92">
        <f>IFERROR(IF(ISBLANK(INDEX(Backlog[Requirement Name],MATCH($A131,Backlog[Requirement ID],0))),"",INDEX(Backlog[Requirement Name],MATCH($A131,Backlog[Requirement ID],0))),"")</f>
        <v/>
      </c>
      <c r="C130" s="92">
        <f>IFERROR(IF(ISBLANK(INDEX(Backlog[Stream],MATCH($A131,Backlog[Requirement ID],0))),"",INDEX(Backlog[Stream],MATCH($A131,Backlog[Requirement ID],0))),"")</f>
        <v/>
      </c>
      <c r="D130" s="92">
        <f>IFERROR(IF(ISBLANK(INDEX(Backlog[Stream Owner],MATCH($A131,Backlog[Requirement ID],0))),"",INDEX(Backlog[Stream Owner],MATCH($A131,Backlog[Requirement ID],0))),"")</f>
        <v/>
      </c>
      <c r="E130" s="92">
        <f>IFERROR(IF(ISBLANK(INDEX(Backlog[Jira Link],MATCH($A131,Backlog[Requirement ID],0))),"",INDEX(Backlog[Jira Link],MATCH($A131,Backlog[Requirement ID],0))),"")</f>
        <v/>
      </c>
      <c r="H130" s="92">
        <f>IFERROR(IF(ISBLANK(INDEX(SprintPlanning[Sprint],MATCH($A131,SprintPlanning[Requirement ID],0))),"",INDEX(SprintPlanning[Sprint],MATCH($A131,SprintPlanning[Requirement ID],0))),"")</f>
        <v/>
      </c>
      <c r="I130" s="92">
        <f>IFERROR(IF(ISBLANK(INDEX(Backlog[Status],MATCH($A131,Backlog[Requirement ID],0))),"",INDEX(Backlog[Status],MATCH($A131,Backlog[Requirement ID],0))),"")</f>
        <v/>
      </c>
      <c r="J130" s="92">
        <f>IFERROR(IF(ISBLANK(INDEX(Backlog[Priority],MATCH($A131,Backlog[Requirement ID],0))),"",INDEX(Backlog[Priority],MATCH($A131,Backlog[Requirement ID],0))),"")</f>
        <v/>
      </c>
      <c r="L130" s="97" t="n"/>
      <c r="M130" s="97" t="n"/>
      <c r="O130" s="97" t="n"/>
    </row>
    <row r="131" ht="15" customHeight="1" s="93">
      <c r="A131" s="92">
        <f>Backlog!A132</f>
        <v/>
      </c>
      <c r="B131" s="92">
        <f>IFERROR(IF(ISBLANK(INDEX(Backlog[Requirement Name],MATCH($A132,Backlog[Requirement ID],0))),"",INDEX(Backlog[Requirement Name],MATCH($A132,Backlog[Requirement ID],0))),"")</f>
        <v/>
      </c>
      <c r="C131" s="92">
        <f>IFERROR(IF(ISBLANK(INDEX(Backlog[Stream],MATCH($A132,Backlog[Requirement ID],0))),"",INDEX(Backlog[Stream],MATCH($A132,Backlog[Requirement ID],0))),"")</f>
        <v/>
      </c>
      <c r="D131" s="92">
        <f>IFERROR(IF(ISBLANK(INDEX(Backlog[Stream Owner],MATCH($A132,Backlog[Requirement ID],0))),"",INDEX(Backlog[Stream Owner],MATCH($A132,Backlog[Requirement ID],0))),"")</f>
        <v/>
      </c>
      <c r="E131" s="92">
        <f>IFERROR(IF(ISBLANK(INDEX(Backlog[Jira Link],MATCH($A132,Backlog[Requirement ID],0))),"",INDEX(Backlog[Jira Link],MATCH($A132,Backlog[Requirement ID],0))),"")</f>
        <v/>
      </c>
      <c r="H131" s="92">
        <f>IFERROR(IF(ISBLANK(INDEX(SprintPlanning[Sprint],MATCH($A132,SprintPlanning[Requirement ID],0))),"",INDEX(SprintPlanning[Sprint],MATCH($A132,SprintPlanning[Requirement ID],0))),"")</f>
        <v/>
      </c>
      <c r="I131" s="92">
        <f>IFERROR(IF(ISBLANK(INDEX(Backlog[Status],MATCH($A132,Backlog[Requirement ID],0))),"",INDEX(Backlog[Status],MATCH($A132,Backlog[Requirement ID],0))),"")</f>
        <v/>
      </c>
      <c r="J131" s="92">
        <f>IFERROR(IF(ISBLANK(INDEX(Backlog[Priority],MATCH($A132,Backlog[Requirement ID],0))),"",INDEX(Backlog[Priority],MATCH($A132,Backlog[Requirement ID],0))),"")</f>
        <v/>
      </c>
      <c r="L131" s="97" t="n"/>
      <c r="M131" s="97" t="n"/>
      <c r="O131" s="97" t="n"/>
    </row>
    <row r="132" ht="15" customHeight="1" s="93">
      <c r="A132" s="92">
        <f>Backlog!A133</f>
        <v/>
      </c>
      <c r="B132" s="92">
        <f>IFERROR(IF(ISBLANK(INDEX(Backlog[Requirement Name],MATCH($A133,Backlog[Requirement ID],0))),"",INDEX(Backlog[Requirement Name],MATCH($A133,Backlog[Requirement ID],0))),"")</f>
        <v/>
      </c>
      <c r="C132" s="92">
        <f>IFERROR(IF(ISBLANK(INDEX(Backlog[Stream],MATCH($A133,Backlog[Requirement ID],0))),"",INDEX(Backlog[Stream],MATCH($A133,Backlog[Requirement ID],0))),"")</f>
        <v/>
      </c>
      <c r="D132" s="92">
        <f>IFERROR(IF(ISBLANK(INDEX(Backlog[Stream Owner],MATCH($A133,Backlog[Requirement ID],0))),"",INDEX(Backlog[Stream Owner],MATCH($A133,Backlog[Requirement ID],0))),"")</f>
        <v/>
      </c>
      <c r="E132" s="92">
        <f>IFERROR(IF(ISBLANK(INDEX(Backlog[Jira Link],MATCH($A133,Backlog[Requirement ID],0))),"",INDEX(Backlog[Jira Link],MATCH($A133,Backlog[Requirement ID],0))),"")</f>
        <v/>
      </c>
      <c r="H132" s="92">
        <f>IFERROR(IF(ISBLANK(INDEX(SprintPlanning[Sprint],MATCH($A133,SprintPlanning[Requirement ID],0))),"",INDEX(SprintPlanning[Sprint],MATCH($A133,SprintPlanning[Requirement ID],0))),"")</f>
        <v/>
      </c>
      <c r="I132" s="92">
        <f>IFERROR(IF(ISBLANK(INDEX(Backlog[Status],MATCH($A133,Backlog[Requirement ID],0))),"",INDEX(Backlog[Status],MATCH($A133,Backlog[Requirement ID],0))),"")</f>
        <v/>
      </c>
      <c r="J132" s="92">
        <f>IFERROR(IF(ISBLANK(INDEX(Backlog[Priority],MATCH($A133,Backlog[Requirement ID],0))),"",INDEX(Backlog[Priority],MATCH($A133,Backlog[Requirement ID],0))),"")</f>
        <v/>
      </c>
      <c r="L132" s="97" t="n"/>
      <c r="M132" s="97" t="n"/>
      <c r="O132" s="97" t="n"/>
    </row>
    <row r="133" ht="15" customHeight="1" s="93">
      <c r="A133" s="92">
        <f>Backlog!A134</f>
        <v/>
      </c>
      <c r="B133" s="92">
        <f>IFERROR(IF(ISBLANK(INDEX(Backlog[Requirement Name],MATCH($A134,Backlog[Requirement ID],0))),"",INDEX(Backlog[Requirement Name],MATCH($A134,Backlog[Requirement ID],0))),"")</f>
        <v/>
      </c>
      <c r="C133" s="92">
        <f>IFERROR(IF(ISBLANK(INDEX(Backlog[Stream],MATCH($A134,Backlog[Requirement ID],0))),"",INDEX(Backlog[Stream],MATCH($A134,Backlog[Requirement ID],0))),"")</f>
        <v/>
      </c>
      <c r="D133" s="92">
        <f>IFERROR(IF(ISBLANK(INDEX(Backlog[Stream Owner],MATCH($A134,Backlog[Requirement ID],0))),"",INDEX(Backlog[Stream Owner],MATCH($A134,Backlog[Requirement ID],0))),"")</f>
        <v/>
      </c>
      <c r="E133" s="92">
        <f>IFERROR(IF(ISBLANK(INDEX(Backlog[Jira Link],MATCH($A134,Backlog[Requirement ID],0))),"",INDEX(Backlog[Jira Link],MATCH($A134,Backlog[Requirement ID],0))),"")</f>
        <v/>
      </c>
      <c r="H133" s="92">
        <f>IFERROR(IF(ISBLANK(INDEX(SprintPlanning[Sprint],MATCH($A134,SprintPlanning[Requirement ID],0))),"",INDEX(SprintPlanning[Sprint],MATCH($A134,SprintPlanning[Requirement ID],0))),"")</f>
        <v/>
      </c>
      <c r="I133" s="92">
        <f>IFERROR(IF(ISBLANK(INDEX(Backlog[Status],MATCH($A134,Backlog[Requirement ID],0))),"",INDEX(Backlog[Status],MATCH($A134,Backlog[Requirement ID],0))),"")</f>
        <v/>
      </c>
      <c r="J133" s="92">
        <f>IFERROR(IF(ISBLANK(INDEX(Backlog[Priority],MATCH($A134,Backlog[Requirement ID],0))),"",INDEX(Backlog[Priority],MATCH($A134,Backlog[Requirement ID],0))),"")</f>
        <v/>
      </c>
      <c r="L133" s="97" t="n"/>
      <c r="M133" s="97" t="n"/>
      <c r="O133" s="97" t="n"/>
    </row>
    <row r="134" ht="15" customHeight="1" s="93">
      <c r="A134" s="92">
        <f>Backlog!A135</f>
        <v/>
      </c>
      <c r="B134" s="92">
        <f>IFERROR(IF(ISBLANK(INDEX(Backlog[Requirement Name],MATCH($A135,Backlog[Requirement ID],0))),"",INDEX(Backlog[Requirement Name],MATCH($A135,Backlog[Requirement ID],0))),"")</f>
        <v/>
      </c>
      <c r="C134" s="92">
        <f>IFERROR(IF(ISBLANK(INDEX(Backlog[Stream],MATCH($A135,Backlog[Requirement ID],0))),"",INDEX(Backlog[Stream],MATCH($A135,Backlog[Requirement ID],0))),"")</f>
        <v/>
      </c>
      <c r="D134" s="92">
        <f>IFERROR(IF(ISBLANK(INDEX(Backlog[Stream Owner],MATCH($A135,Backlog[Requirement ID],0))),"",INDEX(Backlog[Stream Owner],MATCH($A135,Backlog[Requirement ID],0))),"")</f>
        <v/>
      </c>
      <c r="E134" s="92">
        <f>IFERROR(IF(ISBLANK(INDEX(Backlog[Jira Link],MATCH($A135,Backlog[Requirement ID],0))),"",INDEX(Backlog[Jira Link],MATCH($A135,Backlog[Requirement ID],0))),"")</f>
        <v/>
      </c>
      <c r="H134" s="92">
        <f>IFERROR(IF(ISBLANK(INDEX(SprintPlanning[Sprint],MATCH($A135,SprintPlanning[Requirement ID],0))),"",INDEX(SprintPlanning[Sprint],MATCH($A135,SprintPlanning[Requirement ID],0))),"")</f>
        <v/>
      </c>
      <c r="I134" s="92">
        <f>IFERROR(IF(ISBLANK(INDEX(Backlog[Status],MATCH($A135,Backlog[Requirement ID],0))),"",INDEX(Backlog[Status],MATCH($A135,Backlog[Requirement ID],0))),"")</f>
        <v/>
      </c>
      <c r="J134" s="92">
        <f>IFERROR(IF(ISBLANK(INDEX(Backlog[Priority],MATCH($A135,Backlog[Requirement ID],0))),"",INDEX(Backlog[Priority],MATCH($A135,Backlog[Requirement ID],0))),"")</f>
        <v/>
      </c>
      <c r="L134" s="97" t="n"/>
      <c r="M134" s="97" t="n"/>
      <c r="O134" s="97" t="n"/>
    </row>
    <row r="135" ht="23.25" customHeight="1" s="93">
      <c r="A135" s="92">
        <f>Backlog!A136</f>
        <v/>
      </c>
      <c r="B135" s="92">
        <f>IFERROR(IF(ISBLANK(INDEX(Backlog[Requirement Name],MATCH($A136,Backlog[Requirement ID],0))),"",INDEX(Backlog[Requirement Name],MATCH($A136,Backlog[Requirement ID],0))),"")</f>
        <v/>
      </c>
      <c r="C135" s="92">
        <f>IFERROR(IF(ISBLANK(INDEX(Backlog[Stream],MATCH($A136,Backlog[Requirement ID],0))),"",INDEX(Backlog[Stream],MATCH($A136,Backlog[Requirement ID],0))),"")</f>
        <v/>
      </c>
      <c r="D135" s="92">
        <f>IFERROR(IF(ISBLANK(INDEX(Backlog[Stream Owner],MATCH($A136,Backlog[Requirement ID],0))),"",INDEX(Backlog[Stream Owner],MATCH($A136,Backlog[Requirement ID],0))),"")</f>
        <v/>
      </c>
      <c r="E135" s="92">
        <f>IFERROR(IF(ISBLANK(INDEX(Backlog[Jira Link],MATCH($A136,Backlog[Requirement ID],0))),"",INDEX(Backlog[Jira Link],MATCH($A136,Backlog[Requirement ID],0))),"")</f>
        <v/>
      </c>
      <c r="H135" s="92">
        <f>IFERROR(IF(ISBLANK(INDEX(SprintPlanning[Sprint],MATCH($A136,SprintPlanning[Requirement ID],0))),"",INDEX(SprintPlanning[Sprint],MATCH($A136,SprintPlanning[Requirement ID],0))),"")</f>
        <v/>
      </c>
      <c r="I135" s="92">
        <f>IFERROR(IF(ISBLANK(INDEX(Backlog[Status],MATCH($A136,Backlog[Requirement ID],0))),"",INDEX(Backlog[Status],MATCH($A136,Backlog[Requirement ID],0))),"")</f>
        <v/>
      </c>
      <c r="J135" s="92">
        <f>IFERROR(IF(ISBLANK(INDEX(Backlog[Priority],MATCH($A136,Backlog[Requirement ID],0))),"",INDEX(Backlog[Priority],MATCH($A136,Backlog[Requirement ID],0))),"")</f>
        <v/>
      </c>
      <c r="L135" s="97" t="n"/>
      <c r="M135" s="97" t="n"/>
      <c r="O135" s="97" t="n"/>
    </row>
    <row r="136" ht="15" customHeight="1" s="93">
      <c r="A136" s="92">
        <f>Backlog!A137</f>
        <v/>
      </c>
      <c r="B136" s="92">
        <f>IFERROR(IF(ISBLANK(INDEX(Backlog[Requirement Name],MATCH($A137,Backlog[Requirement ID],0))),"",INDEX(Backlog[Requirement Name],MATCH($A137,Backlog[Requirement ID],0))),"")</f>
        <v/>
      </c>
      <c r="C136" s="92">
        <f>IFERROR(IF(ISBLANK(INDEX(Backlog[Stream],MATCH($A137,Backlog[Requirement ID],0))),"",INDEX(Backlog[Stream],MATCH($A137,Backlog[Requirement ID],0))),"")</f>
        <v/>
      </c>
      <c r="D136" s="92">
        <f>IFERROR(IF(ISBLANK(INDEX(Backlog[Stream Owner],MATCH($A137,Backlog[Requirement ID],0))),"",INDEX(Backlog[Stream Owner],MATCH($A137,Backlog[Requirement ID],0))),"")</f>
        <v/>
      </c>
      <c r="E136" s="92">
        <f>IFERROR(IF(ISBLANK(INDEX(Backlog[Jira Link],MATCH($A137,Backlog[Requirement ID],0))),"",INDEX(Backlog[Jira Link],MATCH($A137,Backlog[Requirement ID],0))),"")</f>
        <v/>
      </c>
      <c r="H136" s="92">
        <f>IFERROR(IF(ISBLANK(INDEX(SprintPlanning[Sprint],MATCH($A137,SprintPlanning[Requirement ID],0))),"",INDEX(SprintPlanning[Sprint],MATCH($A137,SprintPlanning[Requirement ID],0))),"")</f>
        <v/>
      </c>
      <c r="I136" s="92">
        <f>IFERROR(IF(ISBLANK(INDEX(Backlog[Status],MATCH($A137,Backlog[Requirement ID],0))),"",INDEX(Backlog[Status],MATCH($A137,Backlog[Requirement ID],0))),"")</f>
        <v/>
      </c>
      <c r="J136" s="92">
        <f>IFERROR(IF(ISBLANK(INDEX(Backlog[Priority],MATCH($A137,Backlog[Requirement ID],0))),"",INDEX(Backlog[Priority],MATCH($A137,Backlog[Requirement ID],0))),"")</f>
        <v/>
      </c>
      <c r="L136" s="97" t="n"/>
      <c r="M136" s="97" t="n"/>
      <c r="O136" s="97" t="n"/>
    </row>
    <row r="137" ht="15" customHeight="1" s="93">
      <c r="A137" s="92">
        <f>Backlog!A138</f>
        <v/>
      </c>
      <c r="B137" s="92">
        <f>IFERROR(IF(ISBLANK(INDEX(Backlog[Requirement Name],MATCH($A138,Backlog[Requirement ID],0))),"",INDEX(Backlog[Requirement Name],MATCH($A138,Backlog[Requirement ID],0))),"")</f>
        <v/>
      </c>
      <c r="C137" s="92">
        <f>IFERROR(IF(ISBLANK(INDEX(Backlog[Stream],MATCH($A138,Backlog[Requirement ID],0))),"",INDEX(Backlog[Stream],MATCH($A138,Backlog[Requirement ID],0))),"")</f>
        <v/>
      </c>
      <c r="D137" s="92">
        <f>IFERROR(IF(ISBLANK(INDEX(Backlog[Stream Owner],MATCH($A138,Backlog[Requirement ID],0))),"",INDEX(Backlog[Stream Owner],MATCH($A138,Backlog[Requirement ID],0))),"")</f>
        <v/>
      </c>
      <c r="E137" s="92">
        <f>IFERROR(IF(ISBLANK(INDEX(Backlog[Jira Link],MATCH($A138,Backlog[Requirement ID],0))),"",INDEX(Backlog[Jira Link],MATCH($A138,Backlog[Requirement ID],0))),"")</f>
        <v/>
      </c>
      <c r="H137" s="92">
        <f>IFERROR(IF(ISBLANK(INDEX(SprintPlanning[Sprint],MATCH($A138,SprintPlanning[Requirement ID],0))),"",INDEX(SprintPlanning[Sprint],MATCH($A138,SprintPlanning[Requirement ID],0))),"")</f>
        <v/>
      </c>
      <c r="I137" s="92">
        <f>IFERROR(IF(ISBLANK(INDEX(Backlog[Status],MATCH($A138,Backlog[Requirement ID],0))),"",INDEX(Backlog[Status],MATCH($A138,Backlog[Requirement ID],0))),"")</f>
        <v/>
      </c>
      <c r="J137" s="92">
        <f>IFERROR(IF(ISBLANK(INDEX(Backlog[Priority],MATCH($A138,Backlog[Requirement ID],0))),"",INDEX(Backlog[Priority],MATCH($A138,Backlog[Requirement ID],0))),"")</f>
        <v/>
      </c>
      <c r="L137" s="97" t="n"/>
      <c r="M137" s="97" t="n"/>
      <c r="O137" s="97" t="n"/>
    </row>
    <row r="138" ht="15" customHeight="1" s="93">
      <c r="A138" s="92">
        <f>Backlog!A139</f>
        <v/>
      </c>
      <c r="B138" s="92">
        <f>IFERROR(IF(ISBLANK(INDEX(Backlog[Requirement Name],MATCH($A139,Backlog[Requirement ID],0))),"",INDEX(Backlog[Requirement Name],MATCH($A139,Backlog[Requirement ID],0))),"")</f>
        <v/>
      </c>
      <c r="C138" s="92">
        <f>IFERROR(IF(ISBLANK(INDEX(Backlog[Stream],MATCH($A139,Backlog[Requirement ID],0))),"",INDEX(Backlog[Stream],MATCH($A139,Backlog[Requirement ID],0))),"")</f>
        <v/>
      </c>
      <c r="D138" s="92">
        <f>IFERROR(IF(ISBLANK(INDEX(Backlog[Stream Owner],MATCH($A139,Backlog[Requirement ID],0))),"",INDEX(Backlog[Stream Owner],MATCH($A139,Backlog[Requirement ID],0))),"")</f>
        <v/>
      </c>
      <c r="E138" s="92">
        <f>IFERROR(IF(ISBLANK(INDEX(Backlog[Jira Link],MATCH($A139,Backlog[Requirement ID],0))),"",INDEX(Backlog[Jira Link],MATCH($A139,Backlog[Requirement ID],0))),"")</f>
        <v/>
      </c>
      <c r="H138" s="92">
        <f>IFERROR(IF(ISBLANK(INDEX(SprintPlanning[Sprint],MATCH($A139,SprintPlanning[Requirement ID],0))),"",INDEX(SprintPlanning[Sprint],MATCH($A139,SprintPlanning[Requirement ID],0))),"")</f>
        <v/>
      </c>
      <c r="I138" s="92">
        <f>IFERROR(IF(ISBLANK(INDEX(Backlog[Status],MATCH($A139,Backlog[Requirement ID],0))),"",INDEX(Backlog[Status],MATCH($A139,Backlog[Requirement ID],0))),"")</f>
        <v/>
      </c>
      <c r="J138" s="92">
        <f>IFERROR(IF(ISBLANK(INDEX(Backlog[Priority],MATCH($A139,Backlog[Requirement ID],0))),"",INDEX(Backlog[Priority],MATCH($A139,Backlog[Requirement ID],0))),"")</f>
        <v/>
      </c>
      <c r="L138" s="97" t="n"/>
      <c r="M138" s="97" t="n"/>
      <c r="O138" s="97" t="n"/>
    </row>
    <row r="139" ht="15" customHeight="1" s="93">
      <c r="A139" s="92">
        <f>Backlog!A140</f>
        <v/>
      </c>
      <c r="B139" s="92">
        <f>IFERROR(IF(ISBLANK(INDEX(Backlog[Requirement Name],MATCH($A140,Backlog[Requirement ID],0))),"",INDEX(Backlog[Requirement Name],MATCH($A140,Backlog[Requirement ID],0))),"")</f>
        <v/>
      </c>
      <c r="C139" s="92">
        <f>IFERROR(IF(ISBLANK(INDEX(Backlog[Stream],MATCH($A140,Backlog[Requirement ID],0))),"",INDEX(Backlog[Stream],MATCH($A140,Backlog[Requirement ID],0))),"")</f>
        <v/>
      </c>
      <c r="D139" s="92">
        <f>IFERROR(IF(ISBLANK(INDEX(Backlog[Stream Owner],MATCH($A140,Backlog[Requirement ID],0))),"",INDEX(Backlog[Stream Owner],MATCH($A140,Backlog[Requirement ID],0))),"")</f>
        <v/>
      </c>
      <c r="E139" s="92">
        <f>IFERROR(IF(ISBLANK(INDEX(Backlog[Jira Link],MATCH($A140,Backlog[Requirement ID],0))),"",INDEX(Backlog[Jira Link],MATCH($A140,Backlog[Requirement ID],0))),"")</f>
        <v/>
      </c>
      <c r="H139" s="92">
        <f>IFERROR(IF(ISBLANK(INDEX(SprintPlanning[Sprint],MATCH($A140,SprintPlanning[Requirement ID],0))),"",INDEX(SprintPlanning[Sprint],MATCH($A140,SprintPlanning[Requirement ID],0))),"")</f>
        <v/>
      </c>
      <c r="I139" s="92">
        <f>IFERROR(IF(ISBLANK(INDEX(Backlog[Status],MATCH($A140,Backlog[Requirement ID],0))),"",INDEX(Backlog[Status],MATCH($A140,Backlog[Requirement ID],0))),"")</f>
        <v/>
      </c>
      <c r="J139" s="92">
        <f>IFERROR(IF(ISBLANK(INDEX(Backlog[Priority],MATCH($A140,Backlog[Requirement ID],0))),"",INDEX(Backlog[Priority],MATCH($A140,Backlog[Requirement ID],0))),"")</f>
        <v/>
      </c>
      <c r="L139" s="97" t="n"/>
      <c r="M139" s="97" t="n"/>
      <c r="O139" s="97" t="n"/>
    </row>
    <row r="140" ht="15" customHeight="1" s="93">
      <c r="A140" s="92">
        <f>Backlog!A141</f>
        <v/>
      </c>
      <c r="B140" s="92">
        <f>IFERROR(IF(ISBLANK(INDEX(Backlog[Requirement Name],MATCH($A141,Backlog[Requirement ID],0))),"",INDEX(Backlog[Requirement Name],MATCH($A141,Backlog[Requirement ID],0))),"")</f>
        <v/>
      </c>
      <c r="C140" s="92">
        <f>IFERROR(IF(ISBLANK(INDEX(Backlog[Stream],MATCH($A141,Backlog[Requirement ID],0))),"",INDEX(Backlog[Stream],MATCH($A141,Backlog[Requirement ID],0))),"")</f>
        <v/>
      </c>
      <c r="D140" s="92">
        <f>IFERROR(IF(ISBLANK(INDEX(Backlog[Stream Owner],MATCH($A141,Backlog[Requirement ID],0))),"",INDEX(Backlog[Stream Owner],MATCH($A141,Backlog[Requirement ID],0))),"")</f>
        <v/>
      </c>
      <c r="E140" s="92">
        <f>IFERROR(IF(ISBLANK(INDEX(Backlog[Jira Link],MATCH($A141,Backlog[Requirement ID],0))),"",INDEX(Backlog[Jira Link],MATCH($A141,Backlog[Requirement ID],0))),"")</f>
        <v/>
      </c>
      <c r="H140" s="92">
        <f>IFERROR(IF(ISBLANK(INDEX(SprintPlanning[Sprint],MATCH($A141,SprintPlanning[Requirement ID],0))),"",INDEX(SprintPlanning[Sprint],MATCH($A141,SprintPlanning[Requirement ID],0))),"")</f>
        <v/>
      </c>
      <c r="I140" s="92">
        <f>IFERROR(IF(ISBLANK(INDEX(Backlog[Status],MATCH($A141,Backlog[Requirement ID],0))),"",INDEX(Backlog[Status],MATCH($A141,Backlog[Requirement ID],0))),"")</f>
        <v/>
      </c>
      <c r="J140" s="92">
        <f>IFERROR(IF(ISBLANK(INDEX(Backlog[Priority],MATCH($A141,Backlog[Requirement ID],0))),"",INDEX(Backlog[Priority],MATCH($A141,Backlog[Requirement ID],0))),"")</f>
        <v/>
      </c>
      <c r="L140" s="97" t="n"/>
      <c r="M140" s="97" t="n"/>
      <c r="O140" s="97" t="n"/>
    </row>
    <row r="141" ht="15" customHeight="1" s="93">
      <c r="A141" s="92">
        <f>Backlog!A142</f>
        <v/>
      </c>
      <c r="B141" s="92">
        <f>IFERROR(IF(ISBLANK(INDEX(Backlog[Requirement Name],MATCH($A142,Backlog[Requirement ID],0))),"",INDEX(Backlog[Requirement Name],MATCH($A142,Backlog[Requirement ID],0))),"")</f>
        <v/>
      </c>
      <c r="C141" s="92">
        <f>IFERROR(IF(ISBLANK(INDEX(Backlog[Stream],MATCH($A142,Backlog[Requirement ID],0))),"",INDEX(Backlog[Stream],MATCH($A142,Backlog[Requirement ID],0))),"")</f>
        <v/>
      </c>
      <c r="D141" s="92">
        <f>IFERROR(IF(ISBLANK(INDEX(Backlog[Stream Owner],MATCH($A142,Backlog[Requirement ID],0))),"",INDEX(Backlog[Stream Owner],MATCH($A142,Backlog[Requirement ID],0))),"")</f>
        <v/>
      </c>
      <c r="E141" s="92">
        <f>IFERROR(IF(ISBLANK(INDEX(Backlog[Jira Link],MATCH($A142,Backlog[Requirement ID],0))),"",INDEX(Backlog[Jira Link],MATCH($A142,Backlog[Requirement ID],0))),"")</f>
        <v/>
      </c>
      <c r="H141" s="92">
        <f>IFERROR(IF(ISBLANK(INDEX(SprintPlanning[Sprint],MATCH($A142,SprintPlanning[Requirement ID],0))),"",INDEX(SprintPlanning[Sprint],MATCH($A142,SprintPlanning[Requirement ID],0))),"")</f>
        <v/>
      </c>
      <c r="I141" s="92">
        <f>IFERROR(IF(ISBLANK(INDEX(Backlog[Status],MATCH($A142,Backlog[Requirement ID],0))),"",INDEX(Backlog[Status],MATCH($A142,Backlog[Requirement ID],0))),"")</f>
        <v/>
      </c>
      <c r="J141" s="92">
        <f>IFERROR(IF(ISBLANK(INDEX(Backlog[Priority],MATCH($A142,Backlog[Requirement ID],0))),"",INDEX(Backlog[Priority],MATCH($A142,Backlog[Requirement ID],0))),"")</f>
        <v/>
      </c>
      <c r="L141" s="97" t="n"/>
      <c r="M141" s="97" t="n"/>
      <c r="O141" s="97" t="n"/>
    </row>
    <row r="142" ht="15" customHeight="1" s="93">
      <c r="A142" s="92">
        <f>Backlog!A143</f>
        <v/>
      </c>
      <c r="B142" s="92">
        <f>IFERROR(IF(ISBLANK(INDEX(Backlog[Requirement Name],MATCH($A143,Backlog[Requirement ID],0))),"",INDEX(Backlog[Requirement Name],MATCH($A143,Backlog[Requirement ID],0))),"")</f>
        <v/>
      </c>
      <c r="C142" s="92">
        <f>IFERROR(IF(ISBLANK(INDEX(Backlog[Stream],MATCH($A143,Backlog[Requirement ID],0))),"",INDEX(Backlog[Stream],MATCH($A143,Backlog[Requirement ID],0))),"")</f>
        <v/>
      </c>
      <c r="D142" s="92">
        <f>IFERROR(IF(ISBLANK(INDEX(Backlog[Stream Owner],MATCH($A143,Backlog[Requirement ID],0))),"",INDEX(Backlog[Stream Owner],MATCH($A143,Backlog[Requirement ID],0))),"")</f>
        <v/>
      </c>
      <c r="E142" s="92">
        <f>IFERROR(IF(ISBLANK(INDEX(Backlog[Jira Link],MATCH($A143,Backlog[Requirement ID],0))),"",INDEX(Backlog[Jira Link],MATCH($A143,Backlog[Requirement ID],0))),"")</f>
        <v/>
      </c>
      <c r="H142" s="92">
        <f>IFERROR(IF(ISBLANK(INDEX(SprintPlanning[Sprint],MATCH($A143,SprintPlanning[Requirement ID],0))),"",INDEX(SprintPlanning[Sprint],MATCH($A143,SprintPlanning[Requirement ID],0))),"")</f>
        <v/>
      </c>
      <c r="I142" s="92">
        <f>IFERROR(IF(ISBLANK(INDEX(Backlog[Status],MATCH($A143,Backlog[Requirement ID],0))),"",INDEX(Backlog[Status],MATCH($A143,Backlog[Requirement ID],0))),"")</f>
        <v/>
      </c>
      <c r="J142" s="92">
        <f>IFERROR(IF(ISBLANK(INDEX(Backlog[Priority],MATCH($A143,Backlog[Requirement ID],0))),"",INDEX(Backlog[Priority],MATCH($A143,Backlog[Requirement ID],0))),"")</f>
        <v/>
      </c>
      <c r="L142" s="97" t="n"/>
      <c r="M142" s="97" t="n"/>
      <c r="O142" s="97" t="n"/>
    </row>
    <row r="143" ht="15" customHeight="1" s="93">
      <c r="A143" s="92">
        <f>Backlog!A144</f>
        <v/>
      </c>
      <c r="B143" s="92">
        <f>IFERROR(IF(ISBLANK(INDEX(Backlog[Requirement Name],MATCH($A144,Backlog[Requirement ID],0))),"",INDEX(Backlog[Requirement Name],MATCH($A144,Backlog[Requirement ID],0))),"")</f>
        <v/>
      </c>
      <c r="C143" s="92">
        <f>IFERROR(IF(ISBLANK(INDEX(Backlog[Stream],MATCH($A144,Backlog[Requirement ID],0))),"",INDEX(Backlog[Stream],MATCH($A144,Backlog[Requirement ID],0))),"")</f>
        <v/>
      </c>
      <c r="D143" s="92">
        <f>IFERROR(IF(ISBLANK(INDEX(Backlog[Stream Owner],MATCH($A144,Backlog[Requirement ID],0))),"",INDEX(Backlog[Stream Owner],MATCH($A144,Backlog[Requirement ID],0))),"")</f>
        <v/>
      </c>
      <c r="E143" s="92">
        <f>IFERROR(IF(ISBLANK(INDEX(Backlog[Jira Link],MATCH($A144,Backlog[Requirement ID],0))),"",INDEX(Backlog[Jira Link],MATCH($A144,Backlog[Requirement ID],0))),"")</f>
        <v/>
      </c>
      <c r="H143" s="92">
        <f>IFERROR(IF(ISBLANK(INDEX(SprintPlanning[Sprint],MATCH($A144,SprintPlanning[Requirement ID],0))),"",INDEX(SprintPlanning[Sprint],MATCH($A144,SprintPlanning[Requirement ID],0))),"")</f>
        <v/>
      </c>
      <c r="I143" s="92">
        <f>IFERROR(IF(ISBLANK(INDEX(Backlog[Status],MATCH($A144,Backlog[Requirement ID],0))),"",INDEX(Backlog[Status],MATCH($A144,Backlog[Requirement ID],0))),"")</f>
        <v/>
      </c>
      <c r="J143" s="92">
        <f>IFERROR(IF(ISBLANK(INDEX(Backlog[Priority],MATCH($A144,Backlog[Requirement ID],0))),"",INDEX(Backlog[Priority],MATCH($A144,Backlog[Requirement ID],0))),"")</f>
        <v/>
      </c>
      <c r="L143" s="97" t="n"/>
      <c r="M143" s="97" t="n"/>
      <c r="O143" s="97" t="n"/>
    </row>
    <row r="144" ht="15" customHeight="1" s="93">
      <c r="A144" s="92">
        <f>Backlog!A145</f>
        <v/>
      </c>
      <c r="B144" s="92">
        <f>IFERROR(IF(ISBLANK(INDEX(Backlog[Requirement Name],MATCH($A145,Backlog[Requirement ID],0))),"",INDEX(Backlog[Requirement Name],MATCH($A145,Backlog[Requirement ID],0))),"")</f>
        <v/>
      </c>
      <c r="C144" s="92">
        <f>IFERROR(IF(ISBLANK(INDEX(Backlog[Stream],MATCH($A145,Backlog[Requirement ID],0))),"",INDEX(Backlog[Stream],MATCH($A145,Backlog[Requirement ID],0))),"")</f>
        <v/>
      </c>
      <c r="D144" s="92">
        <f>IFERROR(IF(ISBLANK(INDEX(Backlog[Stream Owner],MATCH($A145,Backlog[Requirement ID],0))),"",INDEX(Backlog[Stream Owner],MATCH($A145,Backlog[Requirement ID],0))),"")</f>
        <v/>
      </c>
      <c r="E144" s="92">
        <f>IFERROR(IF(ISBLANK(INDEX(Backlog[Jira Link],MATCH($A145,Backlog[Requirement ID],0))),"",INDEX(Backlog[Jira Link],MATCH($A145,Backlog[Requirement ID],0))),"")</f>
        <v/>
      </c>
      <c r="H144" s="92">
        <f>IFERROR(IF(ISBLANK(INDEX(SprintPlanning[Sprint],MATCH($A145,SprintPlanning[Requirement ID],0))),"",INDEX(SprintPlanning[Sprint],MATCH($A145,SprintPlanning[Requirement ID],0))),"")</f>
        <v/>
      </c>
      <c r="I144" s="92">
        <f>IFERROR(IF(ISBLANK(INDEX(Backlog[Status],MATCH($A145,Backlog[Requirement ID],0))),"",INDEX(Backlog[Status],MATCH($A145,Backlog[Requirement ID],0))),"")</f>
        <v/>
      </c>
      <c r="J144" s="92">
        <f>IFERROR(IF(ISBLANK(INDEX(Backlog[Priority],MATCH($A145,Backlog[Requirement ID],0))),"",INDEX(Backlog[Priority],MATCH($A145,Backlog[Requirement ID],0))),"")</f>
        <v/>
      </c>
      <c r="L144" s="97" t="n"/>
      <c r="M144" s="97" t="n"/>
      <c r="O144" s="97" t="n"/>
    </row>
    <row r="145" ht="15" customHeight="1" s="93">
      <c r="A145" s="92">
        <f>Backlog!A146</f>
        <v/>
      </c>
      <c r="B145" s="92">
        <f>IFERROR(IF(ISBLANK(INDEX(Backlog[Requirement Name],MATCH($A146,Backlog[Requirement ID],0))),"",INDEX(Backlog[Requirement Name],MATCH($A146,Backlog[Requirement ID],0))),"")</f>
        <v/>
      </c>
      <c r="C145" s="92">
        <f>IFERROR(IF(ISBLANK(INDEX(Backlog[Stream],MATCH($A146,Backlog[Requirement ID],0))),"",INDEX(Backlog[Stream],MATCH($A146,Backlog[Requirement ID],0))),"")</f>
        <v/>
      </c>
      <c r="D145" s="92">
        <f>IFERROR(IF(ISBLANK(INDEX(Backlog[Stream Owner],MATCH($A146,Backlog[Requirement ID],0))),"",INDEX(Backlog[Stream Owner],MATCH($A146,Backlog[Requirement ID],0))),"")</f>
        <v/>
      </c>
      <c r="E145" s="92">
        <f>IFERROR(IF(ISBLANK(INDEX(Backlog[Jira Link],MATCH($A146,Backlog[Requirement ID],0))),"",INDEX(Backlog[Jira Link],MATCH($A146,Backlog[Requirement ID],0))),"")</f>
        <v/>
      </c>
      <c r="H145" s="92">
        <f>IFERROR(IF(ISBLANK(INDEX(SprintPlanning[Sprint],MATCH($A146,SprintPlanning[Requirement ID],0))),"",INDEX(SprintPlanning[Sprint],MATCH($A146,SprintPlanning[Requirement ID],0))),"")</f>
        <v/>
      </c>
      <c r="I145" s="92">
        <f>IFERROR(IF(ISBLANK(INDEX(Backlog[Status],MATCH($A146,Backlog[Requirement ID],0))),"",INDEX(Backlog[Status],MATCH($A146,Backlog[Requirement ID],0))),"")</f>
        <v/>
      </c>
      <c r="J145" s="92">
        <f>IFERROR(IF(ISBLANK(INDEX(Backlog[Priority],MATCH($A146,Backlog[Requirement ID],0))),"",INDEX(Backlog[Priority],MATCH($A146,Backlog[Requirement ID],0))),"")</f>
        <v/>
      </c>
      <c r="L145" s="97" t="n"/>
      <c r="M145" s="97" t="n"/>
      <c r="O145" s="97" t="n"/>
    </row>
    <row r="146" ht="15" customHeight="1" s="93">
      <c r="A146" s="92">
        <f>Backlog!A147</f>
        <v/>
      </c>
      <c r="B146" s="92">
        <f>IFERROR(IF(ISBLANK(INDEX(Backlog[Requirement Name],MATCH($A147,Backlog[Requirement ID],0))),"",INDEX(Backlog[Requirement Name],MATCH($A147,Backlog[Requirement ID],0))),"")</f>
        <v/>
      </c>
      <c r="C146" s="92">
        <f>IFERROR(IF(ISBLANK(INDEX(Backlog[Stream],MATCH($A147,Backlog[Requirement ID],0))),"",INDEX(Backlog[Stream],MATCH($A147,Backlog[Requirement ID],0))),"")</f>
        <v/>
      </c>
      <c r="D146" s="92">
        <f>IFERROR(IF(ISBLANK(INDEX(Backlog[Stream Owner],MATCH($A147,Backlog[Requirement ID],0))),"",INDEX(Backlog[Stream Owner],MATCH($A147,Backlog[Requirement ID],0))),"")</f>
        <v/>
      </c>
      <c r="E146" s="92">
        <f>IFERROR(IF(ISBLANK(INDEX(Backlog[Jira Link],MATCH($A147,Backlog[Requirement ID],0))),"",INDEX(Backlog[Jira Link],MATCH($A147,Backlog[Requirement ID],0))),"")</f>
        <v/>
      </c>
      <c r="H146" s="92">
        <f>IFERROR(IF(ISBLANK(INDEX(SprintPlanning[Sprint],MATCH($A147,SprintPlanning[Requirement ID],0))),"",INDEX(SprintPlanning[Sprint],MATCH($A147,SprintPlanning[Requirement ID],0))),"")</f>
        <v/>
      </c>
      <c r="I146" s="92">
        <f>IFERROR(IF(ISBLANK(INDEX(Backlog[Status],MATCH($A147,Backlog[Requirement ID],0))),"",INDEX(Backlog[Status],MATCH($A147,Backlog[Requirement ID],0))),"")</f>
        <v/>
      </c>
      <c r="J146" s="92">
        <f>IFERROR(IF(ISBLANK(INDEX(Backlog[Priority],MATCH($A147,Backlog[Requirement ID],0))),"",INDEX(Backlog[Priority],MATCH($A147,Backlog[Requirement ID],0))),"")</f>
        <v/>
      </c>
      <c r="L146" s="97" t="n"/>
      <c r="M146" s="97" t="n"/>
      <c r="O146" s="97" t="n"/>
    </row>
    <row r="147" ht="15" customHeight="1" s="93">
      <c r="A147" s="92">
        <f>Backlog!A148</f>
        <v/>
      </c>
      <c r="B147" s="92">
        <f>IFERROR(IF(ISBLANK(INDEX(Backlog[Requirement Name],MATCH($A148,Backlog[Requirement ID],0))),"",INDEX(Backlog[Requirement Name],MATCH($A148,Backlog[Requirement ID],0))),"")</f>
        <v/>
      </c>
      <c r="C147" s="92">
        <f>IFERROR(IF(ISBLANK(INDEX(Backlog[Stream],MATCH($A148,Backlog[Requirement ID],0))),"",INDEX(Backlog[Stream],MATCH($A148,Backlog[Requirement ID],0))),"")</f>
        <v/>
      </c>
      <c r="D147" s="92">
        <f>IFERROR(IF(ISBLANK(INDEX(Backlog[Stream Owner],MATCH($A148,Backlog[Requirement ID],0))),"",INDEX(Backlog[Stream Owner],MATCH($A148,Backlog[Requirement ID],0))),"")</f>
        <v/>
      </c>
      <c r="E147" s="92">
        <f>IFERROR(IF(ISBLANK(INDEX(Backlog[Jira Link],MATCH($A148,Backlog[Requirement ID],0))),"",INDEX(Backlog[Jira Link],MATCH($A148,Backlog[Requirement ID],0))),"")</f>
        <v/>
      </c>
      <c r="H147" s="92">
        <f>IFERROR(IF(ISBLANK(INDEX(SprintPlanning[Sprint],MATCH($A148,SprintPlanning[Requirement ID],0))),"",INDEX(SprintPlanning[Sprint],MATCH($A148,SprintPlanning[Requirement ID],0))),"")</f>
        <v/>
      </c>
      <c r="I147" s="92">
        <f>IFERROR(IF(ISBLANK(INDEX(Backlog[Status],MATCH($A148,Backlog[Requirement ID],0))),"",INDEX(Backlog[Status],MATCH($A148,Backlog[Requirement ID],0))),"")</f>
        <v/>
      </c>
      <c r="J147" s="92">
        <f>IFERROR(IF(ISBLANK(INDEX(Backlog[Priority],MATCH($A148,Backlog[Requirement ID],0))),"",INDEX(Backlog[Priority],MATCH($A148,Backlog[Requirement ID],0))),"")</f>
        <v/>
      </c>
      <c r="L147" s="97" t="n"/>
      <c r="M147" s="97" t="n"/>
      <c r="O147" s="97" t="n"/>
    </row>
    <row r="148" ht="15" customHeight="1" s="93">
      <c r="A148" s="92">
        <f>Backlog!A149</f>
        <v/>
      </c>
      <c r="B148" s="92">
        <f>IFERROR(IF(ISBLANK(INDEX(Backlog[Requirement Name],MATCH($A149,Backlog[Requirement ID],0))),"",INDEX(Backlog[Requirement Name],MATCH($A149,Backlog[Requirement ID],0))),"")</f>
        <v/>
      </c>
      <c r="C148" s="92">
        <f>IFERROR(IF(ISBLANK(INDEX(Backlog[Stream],MATCH($A149,Backlog[Requirement ID],0))),"",INDEX(Backlog[Stream],MATCH($A149,Backlog[Requirement ID],0))),"")</f>
        <v/>
      </c>
      <c r="D148" s="92">
        <f>IFERROR(IF(ISBLANK(INDEX(Backlog[Stream Owner],MATCH($A149,Backlog[Requirement ID],0))),"",INDEX(Backlog[Stream Owner],MATCH($A149,Backlog[Requirement ID],0))),"")</f>
        <v/>
      </c>
      <c r="E148" s="92">
        <f>IFERROR(IF(ISBLANK(INDEX(Backlog[Jira Link],MATCH($A149,Backlog[Requirement ID],0))),"",INDEX(Backlog[Jira Link],MATCH($A149,Backlog[Requirement ID],0))),"")</f>
        <v/>
      </c>
      <c r="H148" s="92">
        <f>IFERROR(IF(ISBLANK(INDEX(SprintPlanning[Sprint],MATCH($A149,SprintPlanning[Requirement ID],0))),"",INDEX(SprintPlanning[Sprint],MATCH($A149,SprintPlanning[Requirement ID],0))),"")</f>
        <v/>
      </c>
      <c r="I148" s="92">
        <f>IFERROR(IF(ISBLANK(INDEX(Backlog[Status],MATCH($A149,Backlog[Requirement ID],0))),"",INDEX(Backlog[Status],MATCH($A149,Backlog[Requirement ID],0))),"")</f>
        <v/>
      </c>
      <c r="J148" s="92">
        <f>IFERROR(IF(ISBLANK(INDEX(Backlog[Priority],MATCH($A149,Backlog[Requirement ID],0))),"",INDEX(Backlog[Priority],MATCH($A149,Backlog[Requirement ID],0))),"")</f>
        <v/>
      </c>
      <c r="L148" s="97" t="n"/>
      <c r="M148" s="97" t="n"/>
      <c r="O148" s="97" t="n"/>
    </row>
    <row r="149" ht="15" customHeight="1" s="93">
      <c r="A149" s="92">
        <f>Backlog!A150</f>
        <v/>
      </c>
      <c r="B149" s="92">
        <f>IFERROR(IF(ISBLANK(INDEX(Backlog[Requirement Name],MATCH($A150,Backlog[Requirement ID],0))),"",INDEX(Backlog[Requirement Name],MATCH($A150,Backlog[Requirement ID],0))),"")</f>
        <v/>
      </c>
      <c r="C149" s="92">
        <f>IFERROR(IF(ISBLANK(INDEX(Backlog[Stream],MATCH($A150,Backlog[Requirement ID],0))),"",INDEX(Backlog[Stream],MATCH($A150,Backlog[Requirement ID],0))),"")</f>
        <v/>
      </c>
      <c r="D149" s="92">
        <f>IFERROR(IF(ISBLANK(INDEX(Backlog[Stream Owner],MATCH($A150,Backlog[Requirement ID],0))),"",INDEX(Backlog[Stream Owner],MATCH($A150,Backlog[Requirement ID],0))),"")</f>
        <v/>
      </c>
      <c r="E149" s="92">
        <f>IFERROR(IF(ISBLANK(INDEX(Backlog[Jira Link],MATCH($A150,Backlog[Requirement ID],0))),"",INDEX(Backlog[Jira Link],MATCH($A150,Backlog[Requirement ID],0))),"")</f>
        <v/>
      </c>
      <c r="H149" s="92">
        <f>IFERROR(IF(ISBLANK(INDEX(SprintPlanning[Sprint],MATCH($A150,SprintPlanning[Requirement ID],0))),"",INDEX(SprintPlanning[Sprint],MATCH($A150,SprintPlanning[Requirement ID],0))),"")</f>
        <v/>
      </c>
      <c r="I149" s="92">
        <f>IFERROR(IF(ISBLANK(INDEX(Backlog[Status],MATCH($A150,Backlog[Requirement ID],0))),"",INDEX(Backlog[Status],MATCH($A150,Backlog[Requirement ID],0))),"")</f>
        <v/>
      </c>
      <c r="J149" s="92">
        <f>IFERROR(IF(ISBLANK(INDEX(Backlog[Priority],MATCH($A150,Backlog[Requirement ID],0))),"",INDEX(Backlog[Priority],MATCH($A150,Backlog[Requirement ID],0))),"")</f>
        <v/>
      </c>
      <c r="L149" s="97" t="n"/>
      <c r="M149" s="97" t="n"/>
      <c r="O149" s="97" t="n"/>
    </row>
    <row r="150" ht="15" customHeight="1" s="93">
      <c r="A150" s="92">
        <f>Backlog!A151</f>
        <v/>
      </c>
      <c r="B150" s="92">
        <f>IFERROR(IF(ISBLANK(INDEX(Backlog[Requirement Name],MATCH($A151,Backlog[Requirement ID],0))),"",INDEX(Backlog[Requirement Name],MATCH($A151,Backlog[Requirement ID],0))),"")</f>
        <v/>
      </c>
      <c r="C150" s="92">
        <f>IFERROR(IF(ISBLANK(INDEX(Backlog[Stream],MATCH($A151,Backlog[Requirement ID],0))),"",INDEX(Backlog[Stream],MATCH($A151,Backlog[Requirement ID],0))),"")</f>
        <v/>
      </c>
      <c r="D150" s="92">
        <f>IFERROR(IF(ISBLANK(INDEX(Backlog[Stream Owner],MATCH($A151,Backlog[Requirement ID],0))),"",INDEX(Backlog[Stream Owner],MATCH($A151,Backlog[Requirement ID],0))),"")</f>
        <v/>
      </c>
      <c r="E150" s="92">
        <f>IFERROR(IF(ISBLANK(INDEX(Backlog[Jira Link],MATCH($A151,Backlog[Requirement ID],0))),"",INDEX(Backlog[Jira Link],MATCH($A151,Backlog[Requirement ID],0))),"")</f>
        <v/>
      </c>
      <c r="H150" s="92">
        <f>IFERROR(IF(ISBLANK(INDEX(SprintPlanning[Sprint],MATCH($A151,SprintPlanning[Requirement ID],0))),"",INDEX(SprintPlanning[Sprint],MATCH($A151,SprintPlanning[Requirement ID],0))),"")</f>
        <v/>
      </c>
      <c r="I150" s="92">
        <f>IFERROR(IF(ISBLANK(INDEX(Backlog[Status],MATCH($A151,Backlog[Requirement ID],0))),"",INDEX(Backlog[Status],MATCH($A151,Backlog[Requirement ID],0))),"")</f>
        <v/>
      </c>
      <c r="J150" s="92">
        <f>IFERROR(IF(ISBLANK(INDEX(Backlog[Priority],MATCH($A151,Backlog[Requirement ID],0))),"",INDEX(Backlog[Priority],MATCH($A151,Backlog[Requirement ID],0))),"")</f>
        <v/>
      </c>
      <c r="L150" s="97" t="n"/>
      <c r="M150" s="97" t="n"/>
      <c r="O150" s="97" t="n"/>
    </row>
    <row r="151" ht="15" customHeight="1" s="93">
      <c r="A151" s="92">
        <f>Backlog!A152</f>
        <v/>
      </c>
      <c r="B151" s="92">
        <f>IFERROR(IF(ISBLANK(INDEX(Backlog[Requirement Name],MATCH($A152,Backlog[Requirement ID],0))),"",INDEX(Backlog[Requirement Name],MATCH($A152,Backlog[Requirement ID],0))),"")</f>
        <v/>
      </c>
      <c r="C151" s="92">
        <f>IFERROR(IF(ISBLANK(INDEX(Backlog[Stream],MATCH($A152,Backlog[Requirement ID],0))),"",INDEX(Backlog[Stream],MATCH($A152,Backlog[Requirement ID],0))),"")</f>
        <v/>
      </c>
      <c r="D151" s="92">
        <f>IFERROR(IF(ISBLANK(INDEX(Backlog[Stream Owner],MATCH($A152,Backlog[Requirement ID],0))),"",INDEX(Backlog[Stream Owner],MATCH($A152,Backlog[Requirement ID],0))),"")</f>
        <v/>
      </c>
      <c r="E151" s="92">
        <f>IFERROR(IF(ISBLANK(INDEX(Backlog[Jira Link],MATCH($A152,Backlog[Requirement ID],0))),"",INDEX(Backlog[Jira Link],MATCH($A152,Backlog[Requirement ID],0))),"")</f>
        <v/>
      </c>
      <c r="H151" s="92">
        <f>IFERROR(IF(ISBLANK(INDEX(SprintPlanning[Sprint],MATCH($A152,SprintPlanning[Requirement ID],0))),"",INDEX(SprintPlanning[Sprint],MATCH($A152,SprintPlanning[Requirement ID],0))),"")</f>
        <v/>
      </c>
      <c r="I151" s="92">
        <f>IFERROR(IF(ISBLANK(INDEX(Backlog[Status],MATCH($A152,Backlog[Requirement ID],0))),"",INDEX(Backlog[Status],MATCH($A152,Backlog[Requirement ID],0))),"")</f>
        <v/>
      </c>
      <c r="J151" s="92">
        <f>IFERROR(IF(ISBLANK(INDEX(Backlog[Priority],MATCH($A152,Backlog[Requirement ID],0))),"",INDEX(Backlog[Priority],MATCH($A152,Backlog[Requirement ID],0))),"")</f>
        <v/>
      </c>
      <c r="L151" s="97" t="n"/>
      <c r="M151" s="97" t="n"/>
      <c r="O151" s="97" t="n"/>
    </row>
    <row r="152" ht="15" customHeight="1" s="93">
      <c r="A152" s="92">
        <f>Backlog!A153</f>
        <v/>
      </c>
      <c r="B152" s="92">
        <f>IFERROR(IF(ISBLANK(INDEX(Backlog[Requirement Name],MATCH($A153,Backlog[Requirement ID],0))),"",INDEX(Backlog[Requirement Name],MATCH($A153,Backlog[Requirement ID],0))),"")</f>
        <v/>
      </c>
      <c r="C152" s="92">
        <f>IFERROR(IF(ISBLANK(INDEX(Backlog[Stream],MATCH($A153,Backlog[Requirement ID],0))),"",INDEX(Backlog[Stream],MATCH($A153,Backlog[Requirement ID],0))),"")</f>
        <v/>
      </c>
      <c r="D152" s="92">
        <f>IFERROR(IF(ISBLANK(INDEX(Backlog[Stream Owner],MATCH($A153,Backlog[Requirement ID],0))),"",INDEX(Backlog[Stream Owner],MATCH($A153,Backlog[Requirement ID],0))),"")</f>
        <v/>
      </c>
      <c r="E152" s="92">
        <f>IFERROR(IF(ISBLANK(INDEX(Backlog[Jira Link],MATCH($A153,Backlog[Requirement ID],0))),"",INDEX(Backlog[Jira Link],MATCH($A153,Backlog[Requirement ID],0))),"")</f>
        <v/>
      </c>
      <c r="H152" s="92">
        <f>IFERROR(IF(ISBLANK(INDEX(SprintPlanning[Sprint],MATCH($A153,SprintPlanning[Requirement ID],0))),"",INDEX(SprintPlanning[Sprint],MATCH($A153,SprintPlanning[Requirement ID],0))),"")</f>
        <v/>
      </c>
      <c r="I152" s="92">
        <f>IFERROR(IF(ISBLANK(INDEX(Backlog[Status],MATCH($A153,Backlog[Requirement ID],0))),"",INDEX(Backlog[Status],MATCH($A153,Backlog[Requirement ID],0))),"")</f>
        <v/>
      </c>
      <c r="J152" s="92">
        <f>IFERROR(IF(ISBLANK(INDEX(Backlog[Priority],MATCH($A153,Backlog[Requirement ID],0))),"",INDEX(Backlog[Priority],MATCH($A153,Backlog[Requirement ID],0))),"")</f>
        <v/>
      </c>
      <c r="L152" s="97" t="n"/>
      <c r="M152" s="97" t="n"/>
      <c r="O152" s="97" t="n"/>
    </row>
    <row r="153" ht="15" customHeight="1" s="93">
      <c r="A153" s="92">
        <f>Backlog!A154</f>
        <v/>
      </c>
      <c r="B153" s="92">
        <f>IFERROR(IF(ISBLANK(INDEX(Backlog[Requirement Name],MATCH($A154,Backlog[Requirement ID],0))),"",INDEX(Backlog[Requirement Name],MATCH($A154,Backlog[Requirement ID],0))),"")</f>
        <v/>
      </c>
      <c r="C153" s="92">
        <f>IFERROR(IF(ISBLANK(INDEX(Backlog[Stream],MATCH($A154,Backlog[Requirement ID],0))),"",INDEX(Backlog[Stream],MATCH($A154,Backlog[Requirement ID],0))),"")</f>
        <v/>
      </c>
      <c r="D153" s="92">
        <f>IFERROR(IF(ISBLANK(INDEX(Backlog[Stream Owner],MATCH($A154,Backlog[Requirement ID],0))),"",INDEX(Backlog[Stream Owner],MATCH($A154,Backlog[Requirement ID],0))),"")</f>
        <v/>
      </c>
      <c r="E153" s="92">
        <f>IFERROR(IF(ISBLANK(INDEX(Backlog[Jira Link],MATCH($A154,Backlog[Requirement ID],0))),"",INDEX(Backlog[Jira Link],MATCH($A154,Backlog[Requirement ID],0))),"")</f>
        <v/>
      </c>
      <c r="H153" s="92">
        <f>IFERROR(IF(ISBLANK(INDEX(SprintPlanning[Sprint],MATCH($A154,SprintPlanning[Requirement ID],0))),"",INDEX(SprintPlanning[Sprint],MATCH($A154,SprintPlanning[Requirement ID],0))),"")</f>
        <v/>
      </c>
      <c r="I153" s="92">
        <f>IFERROR(IF(ISBLANK(INDEX(Backlog[Status],MATCH($A154,Backlog[Requirement ID],0))),"",INDEX(Backlog[Status],MATCH($A154,Backlog[Requirement ID],0))),"")</f>
        <v/>
      </c>
      <c r="J153" s="92">
        <f>IFERROR(IF(ISBLANK(INDEX(Backlog[Priority],MATCH($A154,Backlog[Requirement ID],0))),"",INDEX(Backlog[Priority],MATCH($A154,Backlog[Requirement ID],0))),"")</f>
        <v/>
      </c>
      <c r="L153" s="97" t="n"/>
      <c r="M153" s="97" t="n"/>
      <c r="O153" s="97" t="n"/>
    </row>
    <row r="154" ht="15" customHeight="1" s="93">
      <c r="A154" s="92">
        <f>Backlog!A155</f>
        <v/>
      </c>
      <c r="B154" s="92">
        <f>IFERROR(IF(ISBLANK(INDEX(Backlog[Requirement Name],MATCH($A155,Backlog[Requirement ID],0))),"",INDEX(Backlog[Requirement Name],MATCH($A155,Backlog[Requirement ID],0))),"")</f>
        <v/>
      </c>
      <c r="C154" s="92">
        <f>IFERROR(IF(ISBLANK(INDEX(Backlog[Stream],MATCH($A155,Backlog[Requirement ID],0))),"",INDEX(Backlog[Stream],MATCH($A155,Backlog[Requirement ID],0))),"")</f>
        <v/>
      </c>
      <c r="D154" s="92">
        <f>IFERROR(IF(ISBLANK(INDEX(Backlog[Stream Owner],MATCH($A155,Backlog[Requirement ID],0))),"",INDEX(Backlog[Stream Owner],MATCH($A155,Backlog[Requirement ID],0))),"")</f>
        <v/>
      </c>
      <c r="E154" s="92">
        <f>IFERROR(IF(ISBLANK(INDEX(Backlog[Jira Link],MATCH($A155,Backlog[Requirement ID],0))),"",INDEX(Backlog[Jira Link],MATCH($A155,Backlog[Requirement ID],0))),"")</f>
        <v/>
      </c>
      <c r="H154" s="92">
        <f>IFERROR(IF(ISBLANK(INDEX(SprintPlanning[Sprint],MATCH($A155,SprintPlanning[Requirement ID],0))),"",INDEX(SprintPlanning[Sprint],MATCH($A155,SprintPlanning[Requirement ID],0))),"")</f>
        <v/>
      </c>
      <c r="I154" s="92">
        <f>IFERROR(IF(ISBLANK(INDEX(Backlog[Status],MATCH($A155,Backlog[Requirement ID],0))),"",INDEX(Backlog[Status],MATCH($A155,Backlog[Requirement ID],0))),"")</f>
        <v/>
      </c>
      <c r="J154" s="92">
        <f>IFERROR(IF(ISBLANK(INDEX(Backlog[Priority],MATCH($A155,Backlog[Requirement ID],0))),"",INDEX(Backlog[Priority],MATCH($A155,Backlog[Requirement ID],0))),"")</f>
        <v/>
      </c>
      <c r="L154" s="97" t="n"/>
      <c r="M154" s="97" t="n"/>
      <c r="O154" s="97" t="n"/>
    </row>
    <row r="155" ht="15" customHeight="1" s="93">
      <c r="A155" s="92">
        <f>Backlog!A156</f>
        <v/>
      </c>
      <c r="B155" s="92">
        <f>IFERROR(IF(ISBLANK(INDEX(Backlog[Requirement Name],MATCH($A156,Backlog[Requirement ID],0))),"",INDEX(Backlog[Requirement Name],MATCH($A156,Backlog[Requirement ID],0))),"")</f>
        <v/>
      </c>
      <c r="C155" s="92">
        <f>IFERROR(IF(ISBLANK(INDEX(Backlog[Stream],MATCH($A156,Backlog[Requirement ID],0))),"",INDEX(Backlog[Stream],MATCH($A156,Backlog[Requirement ID],0))),"")</f>
        <v/>
      </c>
      <c r="D155" s="92">
        <f>IFERROR(IF(ISBLANK(INDEX(Backlog[Stream Owner],MATCH($A156,Backlog[Requirement ID],0))),"",INDEX(Backlog[Stream Owner],MATCH($A156,Backlog[Requirement ID],0))),"")</f>
        <v/>
      </c>
      <c r="E155" s="92">
        <f>IFERROR(IF(ISBLANK(INDEX(Backlog[Jira Link],MATCH($A156,Backlog[Requirement ID],0))),"",INDEX(Backlog[Jira Link],MATCH($A156,Backlog[Requirement ID],0))),"")</f>
        <v/>
      </c>
      <c r="H155" s="92">
        <f>IFERROR(IF(ISBLANK(INDEX(SprintPlanning[Sprint],MATCH($A156,SprintPlanning[Requirement ID],0))),"",INDEX(SprintPlanning[Sprint],MATCH($A156,SprintPlanning[Requirement ID],0))),"")</f>
        <v/>
      </c>
      <c r="I155" s="92">
        <f>IFERROR(IF(ISBLANK(INDEX(Backlog[Status],MATCH($A156,Backlog[Requirement ID],0))),"",INDEX(Backlog[Status],MATCH($A156,Backlog[Requirement ID],0))),"")</f>
        <v/>
      </c>
      <c r="J155" s="92">
        <f>IFERROR(IF(ISBLANK(INDEX(Backlog[Priority],MATCH($A156,Backlog[Requirement ID],0))),"",INDEX(Backlog[Priority],MATCH($A156,Backlog[Requirement ID],0))),"")</f>
        <v/>
      </c>
      <c r="L155" s="97" t="n"/>
      <c r="M155" s="97" t="n"/>
      <c r="O155" s="97" t="n"/>
    </row>
    <row r="156" ht="15" customHeight="1" s="93">
      <c r="A156" s="92">
        <f>Backlog!A157</f>
        <v/>
      </c>
      <c r="B156" s="92">
        <f>IFERROR(IF(ISBLANK(INDEX(Backlog[Requirement Name],MATCH($A157,Backlog[Requirement ID],0))),"",INDEX(Backlog[Requirement Name],MATCH($A157,Backlog[Requirement ID],0))),"")</f>
        <v/>
      </c>
      <c r="C156" s="92">
        <f>IFERROR(IF(ISBLANK(INDEX(Backlog[Stream],MATCH($A157,Backlog[Requirement ID],0))),"",INDEX(Backlog[Stream],MATCH($A157,Backlog[Requirement ID],0))),"")</f>
        <v/>
      </c>
      <c r="D156" s="92">
        <f>IFERROR(IF(ISBLANK(INDEX(Backlog[Stream Owner],MATCH($A157,Backlog[Requirement ID],0))),"",INDEX(Backlog[Stream Owner],MATCH($A157,Backlog[Requirement ID],0))),"")</f>
        <v/>
      </c>
      <c r="E156" s="92">
        <f>IFERROR(IF(ISBLANK(INDEX(Backlog[Jira Link],MATCH($A157,Backlog[Requirement ID],0))),"",INDEX(Backlog[Jira Link],MATCH($A157,Backlog[Requirement ID],0))),"")</f>
        <v/>
      </c>
      <c r="H156" s="92">
        <f>IFERROR(IF(ISBLANK(INDEX(SprintPlanning[Sprint],MATCH($A157,SprintPlanning[Requirement ID],0))),"",INDEX(SprintPlanning[Sprint],MATCH($A157,SprintPlanning[Requirement ID],0))),"")</f>
        <v/>
      </c>
      <c r="I156" s="92">
        <f>IFERROR(IF(ISBLANK(INDEX(Backlog[Status],MATCH($A157,Backlog[Requirement ID],0))),"",INDEX(Backlog[Status],MATCH($A157,Backlog[Requirement ID],0))),"")</f>
        <v/>
      </c>
      <c r="J156" s="92">
        <f>IFERROR(IF(ISBLANK(INDEX(Backlog[Priority],MATCH($A157,Backlog[Requirement ID],0))),"",INDEX(Backlog[Priority],MATCH($A157,Backlog[Requirement ID],0))),"")</f>
        <v/>
      </c>
      <c r="L156" s="97" t="n"/>
      <c r="M156" s="97" t="n"/>
      <c r="O156" s="97" t="n"/>
    </row>
    <row r="157" ht="15" customHeight="1" s="93">
      <c r="A157" s="92">
        <f>Backlog!A158</f>
        <v/>
      </c>
      <c r="B157" s="92">
        <f>IFERROR(IF(ISBLANK(INDEX(Backlog[Requirement Name],MATCH($A158,Backlog[Requirement ID],0))),"",INDEX(Backlog[Requirement Name],MATCH($A158,Backlog[Requirement ID],0))),"")</f>
        <v/>
      </c>
      <c r="C157" s="92">
        <f>IFERROR(IF(ISBLANK(INDEX(Backlog[Stream],MATCH($A158,Backlog[Requirement ID],0))),"",INDEX(Backlog[Stream],MATCH($A158,Backlog[Requirement ID],0))),"")</f>
        <v/>
      </c>
      <c r="D157" s="92">
        <f>IFERROR(IF(ISBLANK(INDEX(Backlog[Stream Owner],MATCH($A158,Backlog[Requirement ID],0))),"",INDEX(Backlog[Stream Owner],MATCH($A158,Backlog[Requirement ID],0))),"")</f>
        <v/>
      </c>
      <c r="E157" s="92">
        <f>IFERROR(IF(ISBLANK(INDEX(Backlog[Jira Link],MATCH($A158,Backlog[Requirement ID],0))),"",INDEX(Backlog[Jira Link],MATCH($A158,Backlog[Requirement ID],0))),"")</f>
        <v/>
      </c>
      <c r="H157" s="92">
        <f>IFERROR(IF(ISBLANK(INDEX(SprintPlanning[Sprint],MATCH($A158,SprintPlanning[Requirement ID],0))),"",INDEX(SprintPlanning[Sprint],MATCH($A158,SprintPlanning[Requirement ID],0))),"")</f>
        <v/>
      </c>
      <c r="I157" s="92">
        <f>IFERROR(IF(ISBLANK(INDEX(Backlog[Status],MATCH($A158,Backlog[Requirement ID],0))),"",INDEX(Backlog[Status],MATCH($A158,Backlog[Requirement ID],0))),"")</f>
        <v/>
      </c>
      <c r="J157" s="92">
        <f>IFERROR(IF(ISBLANK(INDEX(Backlog[Priority],MATCH($A158,Backlog[Requirement ID],0))),"",INDEX(Backlog[Priority],MATCH($A158,Backlog[Requirement ID],0))),"")</f>
        <v/>
      </c>
      <c r="L157" s="97" t="n"/>
      <c r="M157" s="97" t="n"/>
      <c r="O157" s="97" t="n"/>
    </row>
    <row r="158" ht="15" customHeight="1" s="93">
      <c r="A158" s="92">
        <f>Backlog!A159</f>
        <v/>
      </c>
      <c r="B158" s="92">
        <f>IFERROR(IF(ISBLANK(INDEX(Backlog[Requirement Name],MATCH($A159,Backlog[Requirement ID],0))),"",INDEX(Backlog[Requirement Name],MATCH($A159,Backlog[Requirement ID],0))),"")</f>
        <v/>
      </c>
      <c r="C158" s="92">
        <f>IFERROR(IF(ISBLANK(INDEX(Backlog[Stream],MATCH($A159,Backlog[Requirement ID],0))),"",INDEX(Backlog[Stream],MATCH($A159,Backlog[Requirement ID],0))),"")</f>
        <v/>
      </c>
      <c r="D158" s="92">
        <f>IFERROR(IF(ISBLANK(INDEX(Backlog[Stream Owner],MATCH($A159,Backlog[Requirement ID],0))),"",INDEX(Backlog[Stream Owner],MATCH($A159,Backlog[Requirement ID],0))),"")</f>
        <v/>
      </c>
      <c r="E158" s="92">
        <f>IFERROR(IF(ISBLANK(INDEX(Backlog[Jira Link],MATCH($A159,Backlog[Requirement ID],0))),"",INDEX(Backlog[Jira Link],MATCH($A159,Backlog[Requirement ID],0))),"")</f>
        <v/>
      </c>
      <c r="H158" s="92">
        <f>IFERROR(IF(ISBLANK(INDEX(SprintPlanning[Sprint],MATCH($A159,SprintPlanning[Requirement ID],0))),"",INDEX(SprintPlanning[Sprint],MATCH($A159,SprintPlanning[Requirement ID],0))),"")</f>
        <v/>
      </c>
      <c r="I158" s="92">
        <f>IFERROR(IF(ISBLANK(INDEX(Backlog[Status],MATCH($A159,Backlog[Requirement ID],0))),"",INDEX(Backlog[Status],MATCH($A159,Backlog[Requirement ID],0))),"")</f>
        <v/>
      </c>
      <c r="J158" s="92">
        <f>IFERROR(IF(ISBLANK(INDEX(Backlog[Priority],MATCH($A159,Backlog[Requirement ID],0))),"",INDEX(Backlog[Priority],MATCH($A159,Backlog[Requirement ID],0))),"")</f>
        <v/>
      </c>
      <c r="L158" s="97" t="n"/>
      <c r="M158" s="97" t="n"/>
      <c r="O158" s="97" t="n"/>
    </row>
    <row r="159" ht="15" customHeight="1" s="93">
      <c r="A159" s="92">
        <f>Backlog!A160</f>
        <v/>
      </c>
      <c r="B159" s="92">
        <f>IFERROR(IF(ISBLANK(INDEX(Backlog[Requirement Name],MATCH($A160,Backlog[Requirement ID],0))),"",INDEX(Backlog[Requirement Name],MATCH($A160,Backlog[Requirement ID],0))),"")</f>
        <v/>
      </c>
      <c r="C159" s="92">
        <f>IFERROR(IF(ISBLANK(INDEX(Backlog[Stream],MATCH($A160,Backlog[Requirement ID],0))),"",INDEX(Backlog[Stream],MATCH($A160,Backlog[Requirement ID],0))),"")</f>
        <v/>
      </c>
      <c r="D159" s="92">
        <f>IFERROR(IF(ISBLANK(INDEX(Backlog[Stream Owner],MATCH($A160,Backlog[Requirement ID],0))),"",INDEX(Backlog[Stream Owner],MATCH($A160,Backlog[Requirement ID],0))),"")</f>
        <v/>
      </c>
      <c r="E159" s="92">
        <f>IFERROR(IF(ISBLANK(INDEX(Backlog[Jira Link],MATCH($A160,Backlog[Requirement ID],0))),"",INDEX(Backlog[Jira Link],MATCH($A160,Backlog[Requirement ID],0))),"")</f>
        <v/>
      </c>
      <c r="H159" s="92">
        <f>IFERROR(IF(ISBLANK(INDEX(SprintPlanning[Sprint],MATCH($A160,SprintPlanning[Requirement ID],0))),"",INDEX(SprintPlanning[Sprint],MATCH($A160,SprintPlanning[Requirement ID],0))),"")</f>
        <v/>
      </c>
      <c r="I159" s="92">
        <f>IFERROR(IF(ISBLANK(INDEX(Backlog[Status],MATCH($A160,Backlog[Requirement ID],0))),"",INDEX(Backlog[Status],MATCH($A160,Backlog[Requirement ID],0))),"")</f>
        <v/>
      </c>
      <c r="J159" s="92">
        <f>IFERROR(IF(ISBLANK(INDEX(Backlog[Priority],MATCH($A160,Backlog[Requirement ID],0))),"",INDEX(Backlog[Priority],MATCH($A160,Backlog[Requirement ID],0))),"")</f>
        <v/>
      </c>
      <c r="L159" s="97" t="n"/>
      <c r="M159" s="97" t="n"/>
      <c r="O159" s="97" t="n"/>
    </row>
    <row r="160" ht="15" customHeight="1" s="93">
      <c r="A160" s="92">
        <f>Backlog!A161</f>
        <v/>
      </c>
      <c r="B160" s="92">
        <f>IFERROR(IF(ISBLANK(INDEX(Backlog[Requirement Name],MATCH($A161,Backlog[Requirement ID],0))),"",INDEX(Backlog[Requirement Name],MATCH($A161,Backlog[Requirement ID],0))),"")</f>
        <v/>
      </c>
      <c r="C160" s="92">
        <f>IFERROR(IF(ISBLANK(INDEX(Backlog[Stream],MATCH($A161,Backlog[Requirement ID],0))),"",INDEX(Backlog[Stream],MATCH($A161,Backlog[Requirement ID],0))),"")</f>
        <v/>
      </c>
      <c r="D160" s="92">
        <f>IFERROR(IF(ISBLANK(INDEX(Backlog[Stream Owner],MATCH($A161,Backlog[Requirement ID],0))),"",INDEX(Backlog[Stream Owner],MATCH($A161,Backlog[Requirement ID],0))),"")</f>
        <v/>
      </c>
      <c r="E160" s="92">
        <f>IFERROR(IF(ISBLANK(INDEX(Backlog[Jira Link],MATCH($A161,Backlog[Requirement ID],0))),"",INDEX(Backlog[Jira Link],MATCH($A161,Backlog[Requirement ID],0))),"")</f>
        <v/>
      </c>
      <c r="H160" s="92">
        <f>IFERROR(IF(ISBLANK(INDEX(SprintPlanning[Sprint],MATCH($A161,SprintPlanning[Requirement ID],0))),"",INDEX(SprintPlanning[Sprint],MATCH($A161,SprintPlanning[Requirement ID],0))),"")</f>
        <v/>
      </c>
      <c r="I160" s="92">
        <f>IFERROR(IF(ISBLANK(INDEX(Backlog[Status],MATCH($A161,Backlog[Requirement ID],0))),"",INDEX(Backlog[Status],MATCH($A161,Backlog[Requirement ID],0))),"")</f>
        <v/>
      </c>
      <c r="J160" s="92">
        <f>IFERROR(IF(ISBLANK(INDEX(Backlog[Priority],MATCH($A161,Backlog[Requirement ID],0))),"",INDEX(Backlog[Priority],MATCH($A161,Backlog[Requirement ID],0))),"")</f>
        <v/>
      </c>
      <c r="L160" s="97" t="n"/>
      <c r="M160" s="97" t="n"/>
      <c r="O160" s="97" t="n"/>
    </row>
    <row r="161" ht="15" customHeight="1" s="93">
      <c r="A161" s="92">
        <f>Backlog!A162</f>
        <v/>
      </c>
      <c r="B161" s="92">
        <f>IFERROR(IF(ISBLANK(INDEX(Backlog[Requirement Name],MATCH($A162,Backlog[Requirement ID],0))),"",INDEX(Backlog[Requirement Name],MATCH($A162,Backlog[Requirement ID],0))),"")</f>
        <v/>
      </c>
      <c r="C161" s="92">
        <f>IFERROR(IF(ISBLANK(INDEX(Backlog[Stream],MATCH($A162,Backlog[Requirement ID],0))),"",INDEX(Backlog[Stream],MATCH($A162,Backlog[Requirement ID],0))),"")</f>
        <v/>
      </c>
      <c r="D161" s="92">
        <f>IFERROR(IF(ISBLANK(INDEX(Backlog[Stream Owner],MATCH($A162,Backlog[Requirement ID],0))),"",INDEX(Backlog[Stream Owner],MATCH($A162,Backlog[Requirement ID],0))),"")</f>
        <v/>
      </c>
      <c r="E161" s="92">
        <f>IFERROR(IF(ISBLANK(INDEX(Backlog[Jira Link],MATCH($A162,Backlog[Requirement ID],0))),"",INDEX(Backlog[Jira Link],MATCH($A162,Backlog[Requirement ID],0))),"")</f>
        <v/>
      </c>
      <c r="H161" s="92">
        <f>IFERROR(IF(ISBLANK(INDEX(SprintPlanning[Sprint],MATCH($A162,SprintPlanning[Requirement ID],0))),"",INDEX(SprintPlanning[Sprint],MATCH($A162,SprintPlanning[Requirement ID],0))),"")</f>
        <v/>
      </c>
      <c r="I161" s="92">
        <f>IFERROR(IF(ISBLANK(INDEX(Backlog[Status],MATCH($A162,Backlog[Requirement ID],0))),"",INDEX(Backlog[Status],MATCH($A162,Backlog[Requirement ID],0))),"")</f>
        <v/>
      </c>
      <c r="J161" s="92">
        <f>IFERROR(IF(ISBLANK(INDEX(Backlog[Priority],MATCH($A162,Backlog[Requirement ID],0))),"",INDEX(Backlog[Priority],MATCH($A162,Backlog[Requirement ID],0))),"")</f>
        <v/>
      </c>
      <c r="L161" s="97" t="n"/>
      <c r="M161" s="97" t="n"/>
      <c r="O161" s="97" t="n"/>
    </row>
    <row r="162" ht="15" customHeight="1" s="93">
      <c r="A162" s="92">
        <f>Backlog!A163</f>
        <v/>
      </c>
      <c r="B162" s="92">
        <f>IFERROR(IF(ISBLANK(INDEX(Backlog[Requirement Name],MATCH($A163,Backlog[Requirement ID],0))),"",INDEX(Backlog[Requirement Name],MATCH($A163,Backlog[Requirement ID],0))),"")</f>
        <v/>
      </c>
      <c r="C162" s="92">
        <f>IFERROR(IF(ISBLANK(INDEX(Backlog[Stream],MATCH($A163,Backlog[Requirement ID],0))),"",INDEX(Backlog[Stream],MATCH($A163,Backlog[Requirement ID],0))),"")</f>
        <v/>
      </c>
      <c r="D162" s="92">
        <f>IFERROR(IF(ISBLANK(INDEX(Backlog[Stream Owner],MATCH($A163,Backlog[Requirement ID],0))),"",INDEX(Backlog[Stream Owner],MATCH($A163,Backlog[Requirement ID],0))),"")</f>
        <v/>
      </c>
      <c r="E162" s="92">
        <f>IFERROR(IF(ISBLANK(INDEX(Backlog[Jira Link],MATCH($A163,Backlog[Requirement ID],0))),"",INDEX(Backlog[Jira Link],MATCH($A163,Backlog[Requirement ID],0))),"")</f>
        <v/>
      </c>
      <c r="H162" s="92">
        <f>IFERROR(IF(ISBLANK(INDEX(SprintPlanning[Sprint],MATCH($A163,SprintPlanning[Requirement ID],0))),"",INDEX(SprintPlanning[Sprint],MATCH($A163,SprintPlanning[Requirement ID],0))),"")</f>
        <v/>
      </c>
      <c r="I162" s="92">
        <f>IFERROR(IF(ISBLANK(INDEX(Backlog[Status],MATCH($A163,Backlog[Requirement ID],0))),"",INDEX(Backlog[Status],MATCH($A163,Backlog[Requirement ID],0))),"")</f>
        <v/>
      </c>
      <c r="J162" s="92">
        <f>IFERROR(IF(ISBLANK(INDEX(Backlog[Priority],MATCH($A163,Backlog[Requirement ID],0))),"",INDEX(Backlog[Priority],MATCH($A163,Backlog[Requirement ID],0))),"")</f>
        <v/>
      </c>
      <c r="L162" s="97" t="n"/>
      <c r="M162" s="97" t="n"/>
      <c r="O162" s="97" t="n"/>
    </row>
    <row r="163" ht="15" customHeight="1" s="93">
      <c r="A163" s="92">
        <f>Backlog!A164</f>
        <v/>
      </c>
      <c r="B163" s="92">
        <f>IFERROR(IF(ISBLANK(INDEX(Backlog[Requirement Name],MATCH($A164,Backlog[Requirement ID],0))),"",INDEX(Backlog[Requirement Name],MATCH($A164,Backlog[Requirement ID],0))),"")</f>
        <v/>
      </c>
      <c r="C163" s="92">
        <f>IFERROR(IF(ISBLANK(INDEX(Backlog[Stream],MATCH($A164,Backlog[Requirement ID],0))),"",INDEX(Backlog[Stream],MATCH($A164,Backlog[Requirement ID],0))),"")</f>
        <v/>
      </c>
      <c r="D163" s="92">
        <f>IFERROR(IF(ISBLANK(INDEX(Backlog[Stream Owner],MATCH($A164,Backlog[Requirement ID],0))),"",INDEX(Backlog[Stream Owner],MATCH($A164,Backlog[Requirement ID],0))),"")</f>
        <v/>
      </c>
      <c r="E163" s="92">
        <f>IFERROR(IF(ISBLANK(INDEX(Backlog[Jira Link],MATCH($A164,Backlog[Requirement ID],0))),"",INDEX(Backlog[Jira Link],MATCH($A164,Backlog[Requirement ID],0))),"")</f>
        <v/>
      </c>
      <c r="H163" s="92">
        <f>IFERROR(IF(ISBLANK(INDEX(SprintPlanning[Sprint],MATCH($A164,SprintPlanning[Requirement ID],0))),"",INDEX(SprintPlanning[Sprint],MATCH($A164,SprintPlanning[Requirement ID],0))),"")</f>
        <v/>
      </c>
      <c r="I163" s="92">
        <f>IFERROR(IF(ISBLANK(INDEX(Backlog[Status],MATCH($A164,Backlog[Requirement ID],0))),"",INDEX(Backlog[Status],MATCH($A164,Backlog[Requirement ID],0))),"")</f>
        <v/>
      </c>
      <c r="J163" s="92">
        <f>IFERROR(IF(ISBLANK(INDEX(Backlog[Priority],MATCH($A164,Backlog[Requirement ID],0))),"",INDEX(Backlog[Priority],MATCH($A164,Backlog[Requirement ID],0))),"")</f>
        <v/>
      </c>
      <c r="L163" s="97" t="n"/>
      <c r="M163" s="97" t="n"/>
      <c r="O163" s="97" t="n"/>
    </row>
    <row r="164" ht="15" customHeight="1" s="93">
      <c r="A164" s="92">
        <f>Backlog!A165</f>
        <v/>
      </c>
      <c r="B164" s="92">
        <f>IFERROR(IF(ISBLANK(INDEX(Backlog[Requirement Name],MATCH($A165,Backlog[Requirement ID],0))),"",INDEX(Backlog[Requirement Name],MATCH($A165,Backlog[Requirement ID],0))),"")</f>
        <v/>
      </c>
      <c r="C164" s="92">
        <f>IFERROR(IF(ISBLANK(INDEX(Backlog[Stream],MATCH($A165,Backlog[Requirement ID],0))),"",INDEX(Backlog[Stream],MATCH($A165,Backlog[Requirement ID],0))),"")</f>
        <v/>
      </c>
      <c r="D164" s="92">
        <f>IFERROR(IF(ISBLANK(INDEX(Backlog[Stream Owner],MATCH($A165,Backlog[Requirement ID],0))),"",INDEX(Backlog[Stream Owner],MATCH($A165,Backlog[Requirement ID],0))),"")</f>
        <v/>
      </c>
      <c r="E164" s="92">
        <f>IFERROR(IF(ISBLANK(INDEX(Backlog[Jira Link],MATCH($A165,Backlog[Requirement ID],0))),"",INDEX(Backlog[Jira Link],MATCH($A165,Backlog[Requirement ID],0))),"")</f>
        <v/>
      </c>
      <c r="H164" s="92">
        <f>IFERROR(IF(ISBLANK(INDEX(SprintPlanning[Sprint],MATCH($A165,SprintPlanning[Requirement ID],0))),"",INDEX(SprintPlanning[Sprint],MATCH($A165,SprintPlanning[Requirement ID],0))),"")</f>
        <v/>
      </c>
      <c r="I164" s="92">
        <f>IFERROR(IF(ISBLANK(INDEX(Backlog[Status],MATCH($A165,Backlog[Requirement ID],0))),"",INDEX(Backlog[Status],MATCH($A165,Backlog[Requirement ID],0))),"")</f>
        <v/>
      </c>
      <c r="J164" s="92">
        <f>IFERROR(IF(ISBLANK(INDEX(Backlog[Priority],MATCH($A165,Backlog[Requirement ID],0))),"",INDEX(Backlog[Priority],MATCH($A165,Backlog[Requirement ID],0))),"")</f>
        <v/>
      </c>
      <c r="L164" s="97" t="n"/>
      <c r="M164" s="97" t="n"/>
      <c r="O164" s="97" t="n"/>
    </row>
    <row r="165" ht="15" customHeight="1" s="93">
      <c r="A165" s="92">
        <f>Backlog!A166</f>
        <v/>
      </c>
      <c r="B165" s="92">
        <f>IFERROR(IF(ISBLANK(INDEX(Backlog[Requirement Name],MATCH($A166,Backlog[Requirement ID],0))),"",INDEX(Backlog[Requirement Name],MATCH($A166,Backlog[Requirement ID],0))),"")</f>
        <v/>
      </c>
      <c r="C165" s="92">
        <f>IFERROR(IF(ISBLANK(INDEX(Backlog[Stream],MATCH($A166,Backlog[Requirement ID],0))),"",INDEX(Backlog[Stream],MATCH($A166,Backlog[Requirement ID],0))),"")</f>
        <v/>
      </c>
      <c r="D165" s="92">
        <f>IFERROR(IF(ISBLANK(INDEX(Backlog[Stream Owner],MATCH($A166,Backlog[Requirement ID],0))),"",INDEX(Backlog[Stream Owner],MATCH($A166,Backlog[Requirement ID],0))),"")</f>
        <v/>
      </c>
      <c r="E165" s="92">
        <f>IFERROR(IF(ISBLANK(INDEX(Backlog[Jira Link],MATCH($A166,Backlog[Requirement ID],0))),"",INDEX(Backlog[Jira Link],MATCH($A166,Backlog[Requirement ID],0))),"")</f>
        <v/>
      </c>
      <c r="H165" s="92">
        <f>IFERROR(IF(ISBLANK(INDEX(SprintPlanning[Sprint],MATCH($A166,SprintPlanning[Requirement ID],0))),"",INDEX(SprintPlanning[Sprint],MATCH($A166,SprintPlanning[Requirement ID],0))),"")</f>
        <v/>
      </c>
      <c r="I165" s="92">
        <f>IFERROR(IF(ISBLANK(INDEX(Backlog[Status],MATCH($A166,Backlog[Requirement ID],0))),"",INDEX(Backlog[Status],MATCH($A166,Backlog[Requirement ID],0))),"")</f>
        <v/>
      </c>
      <c r="J165" s="92">
        <f>IFERROR(IF(ISBLANK(INDEX(Backlog[Priority],MATCH($A166,Backlog[Requirement ID],0))),"",INDEX(Backlog[Priority],MATCH($A166,Backlog[Requirement ID],0))),"")</f>
        <v/>
      </c>
      <c r="L165" s="97" t="n"/>
      <c r="M165" s="97" t="n"/>
      <c r="O165" s="97" t="n"/>
    </row>
    <row r="166" ht="15" customHeight="1" s="93">
      <c r="A166" s="92">
        <f>Backlog!A167</f>
        <v/>
      </c>
      <c r="B166" s="92">
        <f>IFERROR(IF(ISBLANK(INDEX(Backlog[Requirement Name],MATCH($A167,Backlog[Requirement ID],0))),"",INDEX(Backlog[Requirement Name],MATCH($A167,Backlog[Requirement ID],0))),"")</f>
        <v/>
      </c>
      <c r="C166" s="92">
        <f>IFERROR(IF(ISBLANK(INDEX(Backlog[Stream],MATCH($A167,Backlog[Requirement ID],0))),"",INDEX(Backlog[Stream],MATCH($A167,Backlog[Requirement ID],0))),"")</f>
        <v/>
      </c>
      <c r="D166" s="92">
        <f>IFERROR(IF(ISBLANK(INDEX(Backlog[Stream Owner],MATCH($A167,Backlog[Requirement ID],0))),"",INDEX(Backlog[Stream Owner],MATCH($A167,Backlog[Requirement ID],0))),"")</f>
        <v/>
      </c>
      <c r="E166" s="92">
        <f>IFERROR(IF(ISBLANK(INDEX(Backlog[Jira Link],MATCH($A167,Backlog[Requirement ID],0))),"",INDEX(Backlog[Jira Link],MATCH($A167,Backlog[Requirement ID],0))),"")</f>
        <v/>
      </c>
      <c r="H166" s="92">
        <f>IFERROR(IF(ISBLANK(INDEX(SprintPlanning[Sprint],MATCH($A167,SprintPlanning[Requirement ID],0))),"",INDEX(SprintPlanning[Sprint],MATCH($A167,SprintPlanning[Requirement ID],0))),"")</f>
        <v/>
      </c>
      <c r="I166" s="92">
        <f>IFERROR(IF(ISBLANK(INDEX(Backlog[Status],MATCH($A167,Backlog[Requirement ID],0))),"",INDEX(Backlog[Status],MATCH($A167,Backlog[Requirement ID],0))),"")</f>
        <v/>
      </c>
      <c r="J166" s="92">
        <f>IFERROR(IF(ISBLANK(INDEX(Backlog[Priority],MATCH($A167,Backlog[Requirement ID],0))),"",INDEX(Backlog[Priority],MATCH($A167,Backlog[Requirement ID],0))),"")</f>
        <v/>
      </c>
      <c r="L166" s="97" t="n"/>
      <c r="M166" s="97" t="n"/>
      <c r="O166" s="97" t="n"/>
    </row>
    <row r="167" ht="15" customHeight="1" s="93">
      <c r="A167" s="92">
        <f>Backlog!A168</f>
        <v/>
      </c>
      <c r="B167" s="92">
        <f>IFERROR(IF(ISBLANK(INDEX(Backlog[Requirement Name],MATCH($A168,Backlog[Requirement ID],0))),"",INDEX(Backlog[Requirement Name],MATCH($A168,Backlog[Requirement ID],0))),"")</f>
        <v/>
      </c>
      <c r="C167" s="92">
        <f>IFERROR(IF(ISBLANK(INDEX(Backlog[Stream],MATCH($A168,Backlog[Requirement ID],0))),"",INDEX(Backlog[Stream],MATCH($A168,Backlog[Requirement ID],0))),"")</f>
        <v/>
      </c>
      <c r="D167" s="92">
        <f>IFERROR(IF(ISBLANK(INDEX(Backlog[Stream Owner],MATCH($A168,Backlog[Requirement ID],0))),"",INDEX(Backlog[Stream Owner],MATCH($A168,Backlog[Requirement ID],0))),"")</f>
        <v/>
      </c>
      <c r="E167" s="92">
        <f>IFERROR(IF(ISBLANK(INDEX(Backlog[Jira Link],MATCH($A168,Backlog[Requirement ID],0))),"",INDEX(Backlog[Jira Link],MATCH($A168,Backlog[Requirement ID],0))),"")</f>
        <v/>
      </c>
      <c r="H167" s="92">
        <f>IFERROR(IF(ISBLANK(INDEX(SprintPlanning[Sprint],MATCH($A168,SprintPlanning[Requirement ID],0))),"",INDEX(SprintPlanning[Sprint],MATCH($A168,SprintPlanning[Requirement ID],0))),"")</f>
        <v/>
      </c>
      <c r="I167" s="92">
        <f>IFERROR(IF(ISBLANK(INDEX(Backlog[Status],MATCH($A168,Backlog[Requirement ID],0))),"",INDEX(Backlog[Status],MATCH($A168,Backlog[Requirement ID],0))),"")</f>
        <v/>
      </c>
      <c r="J167" s="92">
        <f>IFERROR(IF(ISBLANK(INDEX(Backlog[Priority],MATCH($A168,Backlog[Requirement ID],0))),"",INDEX(Backlog[Priority],MATCH($A168,Backlog[Requirement ID],0))),"")</f>
        <v/>
      </c>
      <c r="L167" s="97" t="n"/>
      <c r="M167" s="97" t="n"/>
      <c r="O167" s="97" t="n"/>
    </row>
    <row r="168" ht="15" customHeight="1" s="93">
      <c r="A168" s="92">
        <f>Backlog!A169</f>
        <v/>
      </c>
      <c r="B168" s="92">
        <f>IFERROR(IF(ISBLANK(INDEX(Backlog[Requirement Name],MATCH($A169,Backlog[Requirement ID],0))),"",INDEX(Backlog[Requirement Name],MATCH($A169,Backlog[Requirement ID],0))),"")</f>
        <v/>
      </c>
      <c r="C168" s="92">
        <f>IFERROR(IF(ISBLANK(INDEX(Backlog[Stream],MATCH($A169,Backlog[Requirement ID],0))),"",INDEX(Backlog[Stream],MATCH($A169,Backlog[Requirement ID],0))),"")</f>
        <v/>
      </c>
      <c r="D168" s="92">
        <f>IFERROR(IF(ISBLANK(INDEX(Backlog[Stream Owner],MATCH($A169,Backlog[Requirement ID],0))),"",INDEX(Backlog[Stream Owner],MATCH($A169,Backlog[Requirement ID],0))),"")</f>
        <v/>
      </c>
      <c r="E168" s="92">
        <f>IFERROR(IF(ISBLANK(INDEX(Backlog[Jira Link],MATCH($A169,Backlog[Requirement ID],0))),"",INDEX(Backlog[Jira Link],MATCH($A169,Backlog[Requirement ID],0))),"")</f>
        <v/>
      </c>
      <c r="H168" s="92">
        <f>IFERROR(IF(ISBLANK(INDEX(SprintPlanning[Sprint],MATCH($A169,SprintPlanning[Requirement ID],0))),"",INDEX(SprintPlanning[Sprint],MATCH($A169,SprintPlanning[Requirement ID],0))),"")</f>
        <v/>
      </c>
      <c r="I168" s="92">
        <f>IFERROR(IF(ISBLANK(INDEX(Backlog[Status],MATCH($A169,Backlog[Requirement ID],0))),"",INDEX(Backlog[Status],MATCH($A169,Backlog[Requirement ID],0))),"")</f>
        <v/>
      </c>
      <c r="J168" s="92">
        <f>IFERROR(IF(ISBLANK(INDEX(Backlog[Priority],MATCH($A169,Backlog[Requirement ID],0))),"",INDEX(Backlog[Priority],MATCH($A169,Backlog[Requirement ID],0))),"")</f>
        <v/>
      </c>
      <c r="L168" s="97" t="n"/>
      <c r="M168" s="97" t="n"/>
      <c r="O168" s="97" t="n"/>
    </row>
    <row r="169" ht="15" customHeight="1" s="93">
      <c r="A169" s="92">
        <f>Backlog!A170</f>
        <v/>
      </c>
      <c r="B169" s="92">
        <f>IFERROR(IF(ISBLANK(INDEX(Backlog[Requirement Name],MATCH($A170,Backlog[Requirement ID],0))),"",INDEX(Backlog[Requirement Name],MATCH($A170,Backlog[Requirement ID],0))),"")</f>
        <v/>
      </c>
      <c r="C169" s="92">
        <f>IFERROR(IF(ISBLANK(INDEX(Backlog[Stream],MATCH($A170,Backlog[Requirement ID],0))),"",INDEX(Backlog[Stream],MATCH($A170,Backlog[Requirement ID],0))),"")</f>
        <v/>
      </c>
      <c r="D169" s="92">
        <f>IFERROR(IF(ISBLANK(INDEX(Backlog[Stream Owner],MATCH($A170,Backlog[Requirement ID],0))),"",INDEX(Backlog[Stream Owner],MATCH($A170,Backlog[Requirement ID],0))),"")</f>
        <v/>
      </c>
      <c r="E169" s="92">
        <f>IFERROR(IF(ISBLANK(INDEX(Backlog[Jira Link],MATCH($A170,Backlog[Requirement ID],0))),"",INDEX(Backlog[Jira Link],MATCH($A170,Backlog[Requirement ID],0))),"")</f>
        <v/>
      </c>
      <c r="H169" s="92">
        <f>IFERROR(IF(ISBLANK(INDEX(SprintPlanning[Sprint],MATCH($A170,SprintPlanning[Requirement ID],0))),"",INDEX(SprintPlanning[Sprint],MATCH($A170,SprintPlanning[Requirement ID],0))),"")</f>
        <v/>
      </c>
      <c r="I169" s="92">
        <f>IFERROR(IF(ISBLANK(INDEX(Backlog[Status],MATCH($A170,Backlog[Requirement ID],0))),"",INDEX(Backlog[Status],MATCH($A170,Backlog[Requirement ID],0))),"")</f>
        <v/>
      </c>
      <c r="J169" s="92">
        <f>IFERROR(IF(ISBLANK(INDEX(Backlog[Priority],MATCH($A170,Backlog[Requirement ID],0))),"",INDEX(Backlog[Priority],MATCH($A170,Backlog[Requirement ID],0))),"")</f>
        <v/>
      </c>
      <c r="L169" s="97" t="n"/>
      <c r="M169" s="97" t="n"/>
      <c r="O169" s="97" t="n"/>
    </row>
    <row r="170" ht="15" customHeight="1" s="93">
      <c r="A170" s="92">
        <f>Backlog!A171</f>
        <v/>
      </c>
      <c r="B170" s="92">
        <f>IFERROR(IF(ISBLANK(INDEX(Backlog[Requirement Name],MATCH($A171,Backlog[Requirement ID],0))),"",INDEX(Backlog[Requirement Name],MATCH($A171,Backlog[Requirement ID],0))),"")</f>
        <v/>
      </c>
      <c r="C170" s="92">
        <f>IFERROR(IF(ISBLANK(INDEX(Backlog[Stream],MATCH($A171,Backlog[Requirement ID],0))),"",INDEX(Backlog[Stream],MATCH($A171,Backlog[Requirement ID],0))),"")</f>
        <v/>
      </c>
      <c r="D170" s="92">
        <f>IFERROR(IF(ISBLANK(INDEX(Backlog[Stream Owner],MATCH($A171,Backlog[Requirement ID],0))),"",INDEX(Backlog[Stream Owner],MATCH($A171,Backlog[Requirement ID],0))),"")</f>
        <v/>
      </c>
      <c r="E170" s="92">
        <f>IFERROR(IF(ISBLANK(INDEX(Backlog[Jira Link],MATCH($A171,Backlog[Requirement ID],0))),"",INDEX(Backlog[Jira Link],MATCH($A171,Backlog[Requirement ID],0))),"")</f>
        <v/>
      </c>
      <c r="H170" s="92">
        <f>IFERROR(IF(ISBLANK(INDEX(SprintPlanning[Sprint],MATCH($A171,SprintPlanning[Requirement ID],0))),"",INDEX(SprintPlanning[Sprint],MATCH($A171,SprintPlanning[Requirement ID],0))),"")</f>
        <v/>
      </c>
      <c r="I170" s="92">
        <f>IFERROR(IF(ISBLANK(INDEX(Backlog[Status],MATCH($A171,Backlog[Requirement ID],0))),"",INDEX(Backlog[Status],MATCH($A171,Backlog[Requirement ID],0))),"")</f>
        <v/>
      </c>
      <c r="J170" s="92">
        <f>IFERROR(IF(ISBLANK(INDEX(Backlog[Priority],MATCH($A171,Backlog[Requirement ID],0))),"",INDEX(Backlog[Priority],MATCH($A171,Backlog[Requirement ID],0))),"")</f>
        <v/>
      </c>
      <c r="L170" s="97" t="n"/>
      <c r="M170" s="97" t="n"/>
      <c r="O170" s="97" t="n"/>
    </row>
    <row r="171" ht="15" customHeight="1" s="93">
      <c r="A171" s="92">
        <f>Backlog!A172</f>
        <v/>
      </c>
      <c r="B171" s="92">
        <f>IFERROR(IF(ISBLANK(INDEX(Backlog[Requirement Name],MATCH($A172,Backlog[Requirement ID],0))),"",INDEX(Backlog[Requirement Name],MATCH($A172,Backlog[Requirement ID],0))),"")</f>
        <v/>
      </c>
      <c r="C171" s="92">
        <f>IFERROR(IF(ISBLANK(INDEX(Backlog[Stream],MATCH($A172,Backlog[Requirement ID],0))),"",INDEX(Backlog[Stream],MATCH($A172,Backlog[Requirement ID],0))),"")</f>
        <v/>
      </c>
      <c r="D171" s="92">
        <f>IFERROR(IF(ISBLANK(INDEX(Backlog[Stream Owner],MATCH($A172,Backlog[Requirement ID],0))),"",INDEX(Backlog[Stream Owner],MATCH($A172,Backlog[Requirement ID],0))),"")</f>
        <v/>
      </c>
      <c r="E171" s="92">
        <f>IFERROR(IF(ISBLANK(INDEX(Backlog[Jira Link],MATCH($A172,Backlog[Requirement ID],0))),"",INDEX(Backlog[Jira Link],MATCH($A172,Backlog[Requirement ID],0))),"")</f>
        <v/>
      </c>
      <c r="H171" s="92">
        <f>IFERROR(IF(ISBLANK(INDEX(SprintPlanning[Sprint],MATCH($A172,SprintPlanning[Requirement ID],0))),"",INDEX(SprintPlanning[Sprint],MATCH($A172,SprintPlanning[Requirement ID],0))),"")</f>
        <v/>
      </c>
      <c r="I171" s="92">
        <f>IFERROR(IF(ISBLANK(INDEX(Backlog[Status],MATCH($A172,Backlog[Requirement ID],0))),"",INDEX(Backlog[Status],MATCH($A172,Backlog[Requirement ID],0))),"")</f>
        <v/>
      </c>
      <c r="J171" s="92">
        <f>IFERROR(IF(ISBLANK(INDEX(Backlog[Priority],MATCH($A172,Backlog[Requirement ID],0))),"",INDEX(Backlog[Priority],MATCH($A172,Backlog[Requirement ID],0))),"")</f>
        <v/>
      </c>
      <c r="L171" s="97" t="n"/>
      <c r="M171" s="97" t="n"/>
      <c r="O171" s="97" t="n"/>
    </row>
    <row r="172" ht="15" customHeight="1" s="93">
      <c r="A172" s="92">
        <f>Backlog!A173</f>
        <v/>
      </c>
      <c r="B172" s="92">
        <f>IFERROR(IF(ISBLANK(INDEX(Backlog[Requirement Name],MATCH($A173,Backlog[Requirement ID],0))),"",INDEX(Backlog[Requirement Name],MATCH($A173,Backlog[Requirement ID],0))),"")</f>
        <v/>
      </c>
      <c r="C172" s="92">
        <f>IFERROR(IF(ISBLANK(INDEX(Backlog[Stream],MATCH($A173,Backlog[Requirement ID],0))),"",INDEX(Backlog[Stream],MATCH($A173,Backlog[Requirement ID],0))),"")</f>
        <v/>
      </c>
      <c r="D172" s="92">
        <f>IFERROR(IF(ISBLANK(INDEX(Backlog[Stream Owner],MATCH($A173,Backlog[Requirement ID],0))),"",INDEX(Backlog[Stream Owner],MATCH($A173,Backlog[Requirement ID],0))),"")</f>
        <v/>
      </c>
      <c r="E172" s="92">
        <f>IFERROR(IF(ISBLANK(INDEX(Backlog[Jira Link],MATCH($A173,Backlog[Requirement ID],0))),"",INDEX(Backlog[Jira Link],MATCH($A173,Backlog[Requirement ID],0))),"")</f>
        <v/>
      </c>
      <c r="H172" s="92">
        <f>IFERROR(IF(ISBLANK(INDEX(SprintPlanning[Sprint],MATCH($A173,SprintPlanning[Requirement ID],0))),"",INDEX(SprintPlanning[Sprint],MATCH($A173,SprintPlanning[Requirement ID],0))),"")</f>
        <v/>
      </c>
      <c r="I172" s="92">
        <f>IFERROR(IF(ISBLANK(INDEX(Backlog[Status],MATCH($A173,Backlog[Requirement ID],0))),"",INDEX(Backlog[Status],MATCH($A173,Backlog[Requirement ID],0))),"")</f>
        <v/>
      </c>
      <c r="J172" s="92">
        <f>IFERROR(IF(ISBLANK(INDEX(Backlog[Priority],MATCH($A173,Backlog[Requirement ID],0))),"",INDEX(Backlog[Priority],MATCH($A173,Backlog[Requirement ID],0))),"")</f>
        <v/>
      </c>
      <c r="L172" s="97" t="n"/>
      <c r="M172" s="97" t="n"/>
      <c r="O172" s="97" t="n"/>
    </row>
    <row r="173" ht="15" customHeight="1" s="93">
      <c r="A173" s="92">
        <f>Backlog!A174</f>
        <v/>
      </c>
      <c r="B173" s="92">
        <f>IFERROR(IF(ISBLANK(INDEX(Backlog[Requirement Name],MATCH($A174,Backlog[Requirement ID],0))),"",INDEX(Backlog[Requirement Name],MATCH($A174,Backlog[Requirement ID],0))),"")</f>
        <v/>
      </c>
      <c r="C173" s="92">
        <f>IFERROR(IF(ISBLANK(INDEX(Backlog[Stream],MATCH($A174,Backlog[Requirement ID],0))),"",INDEX(Backlog[Stream],MATCH($A174,Backlog[Requirement ID],0))),"")</f>
        <v/>
      </c>
      <c r="D173" s="92">
        <f>IFERROR(IF(ISBLANK(INDEX(Backlog[Stream Owner],MATCH($A174,Backlog[Requirement ID],0))),"",INDEX(Backlog[Stream Owner],MATCH($A174,Backlog[Requirement ID],0))),"")</f>
        <v/>
      </c>
      <c r="E173" s="92">
        <f>IFERROR(IF(ISBLANK(INDEX(Backlog[Jira Link],MATCH($A174,Backlog[Requirement ID],0))),"",INDEX(Backlog[Jira Link],MATCH($A174,Backlog[Requirement ID],0))),"")</f>
        <v/>
      </c>
      <c r="H173" s="92">
        <f>IFERROR(IF(ISBLANK(INDEX(SprintPlanning[Sprint],MATCH($A174,SprintPlanning[Requirement ID],0))),"",INDEX(SprintPlanning[Sprint],MATCH($A174,SprintPlanning[Requirement ID],0))),"")</f>
        <v/>
      </c>
      <c r="I173" s="92">
        <f>IFERROR(IF(ISBLANK(INDEX(Backlog[Status],MATCH($A174,Backlog[Requirement ID],0))),"",INDEX(Backlog[Status],MATCH($A174,Backlog[Requirement ID],0))),"")</f>
        <v/>
      </c>
      <c r="J173" s="92">
        <f>IFERROR(IF(ISBLANK(INDEX(Backlog[Priority],MATCH($A174,Backlog[Requirement ID],0))),"",INDEX(Backlog[Priority],MATCH($A174,Backlog[Requirement ID],0))),"")</f>
        <v/>
      </c>
      <c r="L173" s="97" t="n"/>
      <c r="M173" s="97" t="n"/>
      <c r="O173" s="97" t="n"/>
    </row>
    <row r="174" ht="15" customHeight="1" s="93">
      <c r="A174" s="92">
        <f>Backlog!A175</f>
        <v/>
      </c>
      <c r="B174" s="92">
        <f>IFERROR(IF(ISBLANK(INDEX(Backlog[Requirement Name],MATCH($A175,Backlog[Requirement ID],0))),"",INDEX(Backlog[Requirement Name],MATCH($A175,Backlog[Requirement ID],0))),"")</f>
        <v/>
      </c>
      <c r="C174" s="92">
        <f>IFERROR(IF(ISBLANK(INDEX(Backlog[Stream],MATCH($A175,Backlog[Requirement ID],0))),"",INDEX(Backlog[Stream],MATCH($A175,Backlog[Requirement ID],0))),"")</f>
        <v/>
      </c>
      <c r="D174" s="92">
        <f>IFERROR(IF(ISBLANK(INDEX(Backlog[Stream Owner],MATCH($A175,Backlog[Requirement ID],0))),"",INDEX(Backlog[Stream Owner],MATCH($A175,Backlog[Requirement ID],0))),"")</f>
        <v/>
      </c>
      <c r="E174" s="92">
        <f>IFERROR(IF(ISBLANK(INDEX(Backlog[Jira Link],MATCH($A175,Backlog[Requirement ID],0))),"",INDEX(Backlog[Jira Link],MATCH($A175,Backlog[Requirement ID],0))),"")</f>
        <v/>
      </c>
      <c r="H174" s="92">
        <f>IFERROR(IF(ISBLANK(INDEX(SprintPlanning[Sprint],MATCH($A175,SprintPlanning[Requirement ID],0))),"",INDEX(SprintPlanning[Sprint],MATCH($A175,SprintPlanning[Requirement ID],0))),"")</f>
        <v/>
      </c>
      <c r="I174" s="92">
        <f>IFERROR(IF(ISBLANK(INDEX(Backlog[Status],MATCH($A175,Backlog[Requirement ID],0))),"",INDEX(Backlog[Status],MATCH($A175,Backlog[Requirement ID],0))),"")</f>
        <v/>
      </c>
      <c r="J174" s="92">
        <f>IFERROR(IF(ISBLANK(INDEX(Backlog[Priority],MATCH($A175,Backlog[Requirement ID],0))),"",INDEX(Backlog[Priority],MATCH($A175,Backlog[Requirement ID],0))),"")</f>
        <v/>
      </c>
      <c r="L174" s="97" t="n"/>
      <c r="M174" s="97" t="n"/>
      <c r="O174" s="97" t="n"/>
    </row>
    <row r="175" ht="15" customHeight="1" s="93">
      <c r="A175" s="92">
        <f>Backlog!A176</f>
        <v/>
      </c>
      <c r="B175" s="92">
        <f>IFERROR(IF(ISBLANK(INDEX(Backlog[Requirement Name],MATCH($A176,Backlog[Requirement ID],0))),"",INDEX(Backlog[Requirement Name],MATCH($A176,Backlog[Requirement ID],0))),"")</f>
        <v/>
      </c>
      <c r="C175" s="92">
        <f>IFERROR(IF(ISBLANK(INDEX(Backlog[Stream],MATCH($A176,Backlog[Requirement ID],0))),"",INDEX(Backlog[Stream],MATCH($A176,Backlog[Requirement ID],0))),"")</f>
        <v/>
      </c>
      <c r="D175" s="92">
        <f>IFERROR(IF(ISBLANK(INDEX(Backlog[Stream Owner],MATCH($A176,Backlog[Requirement ID],0))),"",INDEX(Backlog[Stream Owner],MATCH($A176,Backlog[Requirement ID],0))),"")</f>
        <v/>
      </c>
      <c r="E175" s="92">
        <f>IFERROR(IF(ISBLANK(INDEX(Backlog[Jira Link],MATCH($A176,Backlog[Requirement ID],0))),"",INDEX(Backlog[Jira Link],MATCH($A176,Backlog[Requirement ID],0))),"")</f>
        <v/>
      </c>
      <c r="H175" s="92">
        <f>IFERROR(IF(ISBLANK(INDEX(SprintPlanning[Sprint],MATCH($A176,SprintPlanning[Requirement ID],0))),"",INDEX(SprintPlanning[Sprint],MATCH($A176,SprintPlanning[Requirement ID],0))),"")</f>
        <v/>
      </c>
      <c r="I175" s="92">
        <f>IFERROR(IF(ISBLANK(INDEX(Backlog[Status],MATCH($A176,Backlog[Requirement ID],0))),"",INDEX(Backlog[Status],MATCH($A176,Backlog[Requirement ID],0))),"")</f>
        <v/>
      </c>
      <c r="J175" s="92">
        <f>IFERROR(IF(ISBLANK(INDEX(Backlog[Priority],MATCH($A176,Backlog[Requirement ID],0))),"",INDEX(Backlog[Priority],MATCH($A176,Backlog[Requirement ID],0))),"")</f>
        <v/>
      </c>
      <c r="L175" s="97" t="n"/>
      <c r="M175" s="97" t="n"/>
      <c r="O175" s="97" t="n"/>
    </row>
    <row r="176" ht="15" customHeight="1" s="93">
      <c r="A176" s="92">
        <f>Backlog!A177</f>
        <v/>
      </c>
      <c r="B176" s="92">
        <f>IFERROR(IF(ISBLANK(INDEX(Backlog[Requirement Name],MATCH($A177,Backlog[Requirement ID],0))),"",INDEX(Backlog[Requirement Name],MATCH($A177,Backlog[Requirement ID],0))),"")</f>
        <v/>
      </c>
      <c r="C176" s="92">
        <f>IFERROR(IF(ISBLANK(INDEX(Backlog[Stream],MATCH($A177,Backlog[Requirement ID],0))),"",INDEX(Backlog[Stream],MATCH($A177,Backlog[Requirement ID],0))),"")</f>
        <v/>
      </c>
      <c r="D176" s="92">
        <f>IFERROR(IF(ISBLANK(INDEX(Backlog[Stream Owner],MATCH($A177,Backlog[Requirement ID],0))),"",INDEX(Backlog[Stream Owner],MATCH($A177,Backlog[Requirement ID],0))),"")</f>
        <v/>
      </c>
      <c r="E176" s="92">
        <f>IFERROR(IF(ISBLANK(INDEX(Backlog[Jira Link],MATCH($A177,Backlog[Requirement ID],0))),"",INDEX(Backlog[Jira Link],MATCH($A177,Backlog[Requirement ID],0))),"")</f>
        <v/>
      </c>
      <c r="H176" s="92">
        <f>IFERROR(IF(ISBLANK(INDEX(SprintPlanning[Sprint],MATCH($A177,SprintPlanning[Requirement ID],0))),"",INDEX(SprintPlanning[Sprint],MATCH($A177,SprintPlanning[Requirement ID],0))),"")</f>
        <v/>
      </c>
      <c r="I176" s="92">
        <f>IFERROR(IF(ISBLANK(INDEX(Backlog[Status],MATCH($A177,Backlog[Requirement ID],0))),"",INDEX(Backlog[Status],MATCH($A177,Backlog[Requirement ID],0))),"")</f>
        <v/>
      </c>
      <c r="J176" s="92">
        <f>IFERROR(IF(ISBLANK(INDEX(Backlog[Priority],MATCH($A177,Backlog[Requirement ID],0))),"",INDEX(Backlog[Priority],MATCH($A177,Backlog[Requirement ID],0))),"")</f>
        <v/>
      </c>
      <c r="L176" s="97" t="n"/>
      <c r="M176" s="97" t="n"/>
      <c r="O176" s="97" t="n"/>
    </row>
    <row r="177" ht="15" customHeight="1" s="93">
      <c r="A177" s="92">
        <f>Backlog!A178</f>
        <v/>
      </c>
      <c r="B177" s="92">
        <f>IFERROR(IF(ISBLANK(INDEX(Backlog[Requirement Name],MATCH($A178,Backlog[Requirement ID],0))),"",INDEX(Backlog[Requirement Name],MATCH($A178,Backlog[Requirement ID],0))),"")</f>
        <v/>
      </c>
      <c r="C177" s="92">
        <f>IFERROR(IF(ISBLANK(INDEX(Backlog[Stream],MATCH($A178,Backlog[Requirement ID],0))),"",INDEX(Backlog[Stream],MATCH($A178,Backlog[Requirement ID],0))),"")</f>
        <v/>
      </c>
      <c r="D177" s="92">
        <f>IFERROR(IF(ISBLANK(INDEX(Backlog[Stream Owner],MATCH($A178,Backlog[Requirement ID],0))),"",INDEX(Backlog[Stream Owner],MATCH($A178,Backlog[Requirement ID],0))),"")</f>
        <v/>
      </c>
      <c r="E177" s="92">
        <f>IFERROR(IF(ISBLANK(INDEX(Backlog[Jira Link],MATCH($A178,Backlog[Requirement ID],0))),"",INDEX(Backlog[Jira Link],MATCH($A178,Backlog[Requirement ID],0))),"")</f>
        <v/>
      </c>
      <c r="H177" s="92">
        <f>IFERROR(IF(ISBLANK(INDEX(SprintPlanning[Sprint],MATCH($A178,SprintPlanning[Requirement ID],0))),"",INDEX(SprintPlanning[Sprint],MATCH($A178,SprintPlanning[Requirement ID],0))),"")</f>
        <v/>
      </c>
      <c r="I177" s="92">
        <f>IFERROR(IF(ISBLANK(INDEX(Backlog[Status],MATCH($A178,Backlog[Requirement ID],0))),"",INDEX(Backlog[Status],MATCH($A178,Backlog[Requirement ID],0))),"")</f>
        <v/>
      </c>
      <c r="J177" s="92">
        <f>IFERROR(IF(ISBLANK(INDEX(Backlog[Priority],MATCH($A178,Backlog[Requirement ID],0))),"",INDEX(Backlog[Priority],MATCH($A178,Backlog[Requirement ID],0))),"")</f>
        <v/>
      </c>
      <c r="L177" s="97" t="n"/>
      <c r="M177" s="97" t="n"/>
      <c r="O177" s="97" t="n"/>
    </row>
    <row r="178" ht="15" customHeight="1" s="93">
      <c r="A178" s="92">
        <f>Backlog!A179</f>
        <v/>
      </c>
      <c r="B178" s="92">
        <f>IFERROR(IF(ISBLANK(INDEX(Backlog[Requirement Name],MATCH($A179,Backlog[Requirement ID],0))),"",INDEX(Backlog[Requirement Name],MATCH($A179,Backlog[Requirement ID],0))),"")</f>
        <v/>
      </c>
      <c r="C178" s="92">
        <f>IFERROR(IF(ISBLANK(INDEX(Backlog[Stream],MATCH($A179,Backlog[Requirement ID],0))),"",INDEX(Backlog[Stream],MATCH($A179,Backlog[Requirement ID],0))),"")</f>
        <v/>
      </c>
      <c r="D178" s="92">
        <f>IFERROR(IF(ISBLANK(INDEX(Backlog[Stream Owner],MATCH($A179,Backlog[Requirement ID],0))),"",INDEX(Backlog[Stream Owner],MATCH($A179,Backlog[Requirement ID],0))),"")</f>
        <v/>
      </c>
      <c r="E178" s="92">
        <f>IFERROR(IF(ISBLANK(INDEX(Backlog[Jira Link],MATCH($A179,Backlog[Requirement ID],0))),"",INDEX(Backlog[Jira Link],MATCH($A179,Backlog[Requirement ID],0))),"")</f>
        <v/>
      </c>
      <c r="H178" s="92">
        <f>IFERROR(IF(ISBLANK(INDEX(SprintPlanning[Sprint],MATCH($A179,SprintPlanning[Requirement ID],0))),"",INDEX(SprintPlanning[Sprint],MATCH($A179,SprintPlanning[Requirement ID],0))),"")</f>
        <v/>
      </c>
      <c r="I178" s="92">
        <f>IFERROR(IF(ISBLANK(INDEX(Backlog[Status],MATCH($A179,Backlog[Requirement ID],0))),"",INDEX(Backlog[Status],MATCH($A179,Backlog[Requirement ID],0))),"")</f>
        <v/>
      </c>
      <c r="J178" s="92">
        <f>IFERROR(IF(ISBLANK(INDEX(Backlog[Priority],MATCH($A179,Backlog[Requirement ID],0))),"",INDEX(Backlog[Priority],MATCH($A179,Backlog[Requirement ID],0))),"")</f>
        <v/>
      </c>
      <c r="L178" s="97" t="n"/>
      <c r="M178" s="97" t="n"/>
      <c r="O178" s="97" t="n"/>
    </row>
    <row r="179" ht="15" customHeight="1" s="93">
      <c r="A179" s="92">
        <f>Backlog!A180</f>
        <v/>
      </c>
      <c r="B179" s="92">
        <f>IFERROR(IF(ISBLANK(INDEX(Backlog[Requirement Name],MATCH($A180,Backlog[Requirement ID],0))),"",INDEX(Backlog[Requirement Name],MATCH($A180,Backlog[Requirement ID],0))),"")</f>
        <v/>
      </c>
      <c r="C179" s="92">
        <f>IFERROR(IF(ISBLANK(INDEX(Backlog[Stream],MATCH($A180,Backlog[Requirement ID],0))),"",INDEX(Backlog[Stream],MATCH($A180,Backlog[Requirement ID],0))),"")</f>
        <v/>
      </c>
      <c r="D179" s="92">
        <f>IFERROR(IF(ISBLANK(INDEX(Backlog[Stream Owner],MATCH($A180,Backlog[Requirement ID],0))),"",INDEX(Backlog[Stream Owner],MATCH($A180,Backlog[Requirement ID],0))),"")</f>
        <v/>
      </c>
      <c r="E179" s="92">
        <f>IFERROR(IF(ISBLANK(INDEX(Backlog[Jira Link],MATCH($A180,Backlog[Requirement ID],0))),"",INDEX(Backlog[Jira Link],MATCH($A180,Backlog[Requirement ID],0))),"")</f>
        <v/>
      </c>
      <c r="H179" s="92">
        <f>IFERROR(IF(ISBLANK(INDEX(SprintPlanning[Sprint],MATCH($A180,SprintPlanning[Requirement ID],0))),"",INDEX(SprintPlanning[Sprint],MATCH($A180,SprintPlanning[Requirement ID],0))),"")</f>
        <v/>
      </c>
      <c r="I179" s="92">
        <f>IFERROR(IF(ISBLANK(INDEX(Backlog[Status],MATCH($A180,Backlog[Requirement ID],0))),"",INDEX(Backlog[Status],MATCH($A180,Backlog[Requirement ID],0))),"")</f>
        <v/>
      </c>
      <c r="J179" s="92">
        <f>IFERROR(IF(ISBLANK(INDEX(Backlog[Priority],MATCH($A180,Backlog[Requirement ID],0))),"",INDEX(Backlog[Priority],MATCH($A180,Backlog[Requirement ID],0))),"")</f>
        <v/>
      </c>
      <c r="L179" s="97" t="n"/>
      <c r="M179" s="97" t="n"/>
      <c r="O179" s="97" t="n"/>
    </row>
    <row r="180" ht="15" customHeight="1" s="93">
      <c r="A180" s="92">
        <f>Backlog!A181</f>
        <v/>
      </c>
      <c r="B180" s="92">
        <f>IFERROR(IF(ISBLANK(INDEX(Backlog[Requirement Name],MATCH($A181,Backlog[Requirement ID],0))),"",INDEX(Backlog[Requirement Name],MATCH($A181,Backlog[Requirement ID],0))),"")</f>
        <v/>
      </c>
      <c r="C180" s="92">
        <f>IFERROR(IF(ISBLANK(INDEX(Backlog[Stream],MATCH($A181,Backlog[Requirement ID],0))),"",INDEX(Backlog[Stream],MATCH($A181,Backlog[Requirement ID],0))),"")</f>
        <v/>
      </c>
      <c r="D180" s="92">
        <f>IFERROR(IF(ISBLANK(INDEX(Backlog[Stream Owner],MATCH($A181,Backlog[Requirement ID],0))),"",INDEX(Backlog[Stream Owner],MATCH($A181,Backlog[Requirement ID],0))),"")</f>
        <v/>
      </c>
      <c r="E180" s="92">
        <f>IFERROR(IF(ISBLANK(INDEX(Backlog[Jira Link],MATCH($A181,Backlog[Requirement ID],0))),"",INDEX(Backlog[Jira Link],MATCH($A181,Backlog[Requirement ID],0))),"")</f>
        <v/>
      </c>
      <c r="H180" s="92">
        <f>IFERROR(IF(ISBLANK(INDEX(SprintPlanning[Sprint],MATCH($A181,SprintPlanning[Requirement ID],0))),"",INDEX(SprintPlanning[Sprint],MATCH($A181,SprintPlanning[Requirement ID],0))),"")</f>
        <v/>
      </c>
      <c r="I180" s="92">
        <f>IFERROR(IF(ISBLANK(INDEX(Backlog[Status],MATCH($A181,Backlog[Requirement ID],0))),"",INDEX(Backlog[Status],MATCH($A181,Backlog[Requirement ID],0))),"")</f>
        <v/>
      </c>
      <c r="J180" s="92">
        <f>IFERROR(IF(ISBLANK(INDEX(Backlog[Priority],MATCH($A181,Backlog[Requirement ID],0))),"",INDEX(Backlog[Priority],MATCH($A181,Backlog[Requirement ID],0))),"")</f>
        <v/>
      </c>
      <c r="L180" s="97" t="n"/>
      <c r="M180" s="97" t="n"/>
      <c r="O180" s="97" t="n"/>
    </row>
    <row r="181" ht="15" customHeight="1" s="93">
      <c r="A181" s="92">
        <f>Backlog!A182</f>
        <v/>
      </c>
      <c r="B181" s="92">
        <f>IFERROR(IF(ISBLANK(INDEX(Backlog[Requirement Name],MATCH($A182,Backlog[Requirement ID],0))),"",INDEX(Backlog[Requirement Name],MATCH($A182,Backlog[Requirement ID],0))),"")</f>
        <v/>
      </c>
      <c r="C181" s="92">
        <f>IFERROR(IF(ISBLANK(INDEX(Backlog[Stream],MATCH($A182,Backlog[Requirement ID],0))),"",INDEX(Backlog[Stream],MATCH($A182,Backlog[Requirement ID],0))),"")</f>
        <v/>
      </c>
      <c r="D181" s="92">
        <f>IFERROR(IF(ISBLANK(INDEX(Backlog[Stream Owner],MATCH($A182,Backlog[Requirement ID],0))),"",INDEX(Backlog[Stream Owner],MATCH($A182,Backlog[Requirement ID],0))),"")</f>
        <v/>
      </c>
      <c r="E181" s="92">
        <f>IFERROR(IF(ISBLANK(INDEX(Backlog[Jira Link],MATCH($A182,Backlog[Requirement ID],0))),"",INDEX(Backlog[Jira Link],MATCH($A182,Backlog[Requirement ID],0))),"")</f>
        <v/>
      </c>
      <c r="H181" s="92">
        <f>IFERROR(IF(ISBLANK(INDEX(SprintPlanning[Sprint],MATCH($A182,SprintPlanning[Requirement ID],0))),"",INDEX(SprintPlanning[Sprint],MATCH($A182,SprintPlanning[Requirement ID],0))),"")</f>
        <v/>
      </c>
      <c r="I181" s="92">
        <f>IFERROR(IF(ISBLANK(INDEX(Backlog[Status],MATCH($A182,Backlog[Requirement ID],0))),"",INDEX(Backlog[Status],MATCH($A182,Backlog[Requirement ID],0))),"")</f>
        <v/>
      </c>
      <c r="J181" s="92">
        <f>IFERROR(IF(ISBLANK(INDEX(Backlog[Priority],MATCH($A182,Backlog[Requirement ID],0))),"",INDEX(Backlog[Priority],MATCH($A182,Backlog[Requirement ID],0))),"")</f>
        <v/>
      </c>
      <c r="L181" s="97" t="n"/>
      <c r="M181" s="97" t="n"/>
      <c r="O181" s="97" t="n"/>
    </row>
    <row r="182" ht="15" customHeight="1" s="93">
      <c r="A182" s="92">
        <f>Backlog!A183</f>
        <v/>
      </c>
      <c r="B182" s="92">
        <f>IFERROR(IF(ISBLANK(INDEX(Backlog[Requirement Name],MATCH($A183,Backlog[Requirement ID],0))),"",INDEX(Backlog[Requirement Name],MATCH($A183,Backlog[Requirement ID],0))),"")</f>
        <v/>
      </c>
      <c r="C182" s="92">
        <f>IFERROR(IF(ISBLANK(INDEX(Backlog[Stream],MATCH($A183,Backlog[Requirement ID],0))),"",INDEX(Backlog[Stream],MATCH($A183,Backlog[Requirement ID],0))),"")</f>
        <v/>
      </c>
      <c r="D182" s="92">
        <f>IFERROR(IF(ISBLANK(INDEX(Backlog[Stream Owner],MATCH($A183,Backlog[Requirement ID],0))),"",INDEX(Backlog[Stream Owner],MATCH($A183,Backlog[Requirement ID],0))),"")</f>
        <v/>
      </c>
      <c r="E182" s="92">
        <f>IFERROR(IF(ISBLANK(INDEX(Backlog[Jira Link],MATCH($A183,Backlog[Requirement ID],0))),"",INDEX(Backlog[Jira Link],MATCH($A183,Backlog[Requirement ID],0))),"")</f>
        <v/>
      </c>
      <c r="H182" s="92">
        <f>IFERROR(IF(ISBLANK(INDEX(SprintPlanning[Sprint],MATCH($A183,SprintPlanning[Requirement ID],0))),"",INDEX(SprintPlanning[Sprint],MATCH($A183,SprintPlanning[Requirement ID],0))),"")</f>
        <v/>
      </c>
      <c r="I182" s="92">
        <f>IFERROR(IF(ISBLANK(INDEX(Backlog[Status],MATCH($A183,Backlog[Requirement ID],0))),"",INDEX(Backlog[Status],MATCH($A183,Backlog[Requirement ID],0))),"")</f>
        <v/>
      </c>
      <c r="J182" s="92">
        <f>IFERROR(IF(ISBLANK(INDEX(Backlog[Priority],MATCH($A183,Backlog[Requirement ID],0))),"",INDEX(Backlog[Priority],MATCH($A183,Backlog[Requirement ID],0))),"")</f>
        <v/>
      </c>
      <c r="L182" s="97" t="n"/>
      <c r="M182" s="97" t="n"/>
      <c r="O182" s="97" t="n"/>
    </row>
    <row r="183" ht="15" customHeight="1" s="93">
      <c r="A183" s="92">
        <f>Backlog!A184</f>
        <v/>
      </c>
      <c r="B183" s="92">
        <f>IFERROR(IF(ISBLANK(INDEX(Backlog[Requirement Name],MATCH($A184,Backlog[Requirement ID],0))),"",INDEX(Backlog[Requirement Name],MATCH($A184,Backlog[Requirement ID],0))),"")</f>
        <v/>
      </c>
      <c r="C183" s="92">
        <f>IFERROR(IF(ISBLANK(INDEX(Backlog[Stream],MATCH($A184,Backlog[Requirement ID],0))),"",INDEX(Backlog[Stream],MATCH($A184,Backlog[Requirement ID],0))),"")</f>
        <v/>
      </c>
      <c r="D183" s="92">
        <f>IFERROR(IF(ISBLANK(INDEX(Backlog[Stream Owner],MATCH($A184,Backlog[Requirement ID],0))),"",INDEX(Backlog[Stream Owner],MATCH($A184,Backlog[Requirement ID],0))),"")</f>
        <v/>
      </c>
      <c r="E183" s="92">
        <f>IFERROR(IF(ISBLANK(INDEX(Backlog[Jira Link],MATCH($A184,Backlog[Requirement ID],0))),"",INDEX(Backlog[Jira Link],MATCH($A184,Backlog[Requirement ID],0))),"")</f>
        <v/>
      </c>
      <c r="H183" s="92">
        <f>IFERROR(IF(ISBLANK(INDEX(SprintPlanning[Sprint],MATCH($A184,SprintPlanning[Requirement ID],0))),"",INDEX(SprintPlanning[Sprint],MATCH($A184,SprintPlanning[Requirement ID],0))),"")</f>
        <v/>
      </c>
      <c r="I183" s="92">
        <f>IFERROR(IF(ISBLANK(INDEX(Backlog[Status],MATCH($A184,Backlog[Requirement ID],0))),"",INDEX(Backlog[Status],MATCH($A184,Backlog[Requirement ID],0))),"")</f>
        <v/>
      </c>
      <c r="J183" s="92">
        <f>IFERROR(IF(ISBLANK(INDEX(Backlog[Priority],MATCH($A184,Backlog[Requirement ID],0))),"",INDEX(Backlog[Priority],MATCH($A184,Backlog[Requirement ID],0))),"")</f>
        <v/>
      </c>
      <c r="L183" s="97" t="n"/>
      <c r="M183" s="97" t="n"/>
      <c r="O183" s="97" t="n"/>
    </row>
    <row r="184" ht="15" customHeight="1" s="93">
      <c r="A184" s="92">
        <f>Backlog!A185</f>
        <v/>
      </c>
      <c r="B184" s="92">
        <f>IFERROR(IF(ISBLANK(INDEX(Backlog[Requirement Name],MATCH($A185,Backlog[Requirement ID],0))),"",INDEX(Backlog[Requirement Name],MATCH($A185,Backlog[Requirement ID],0))),"")</f>
        <v/>
      </c>
      <c r="C184" s="92">
        <f>IFERROR(IF(ISBLANK(INDEX(Backlog[Stream],MATCH($A185,Backlog[Requirement ID],0))),"",INDEX(Backlog[Stream],MATCH($A185,Backlog[Requirement ID],0))),"")</f>
        <v/>
      </c>
      <c r="D184" s="92">
        <f>IFERROR(IF(ISBLANK(INDEX(Backlog[Stream Owner],MATCH($A185,Backlog[Requirement ID],0))),"",INDEX(Backlog[Stream Owner],MATCH($A185,Backlog[Requirement ID],0))),"")</f>
        <v/>
      </c>
      <c r="E184" s="92">
        <f>IFERROR(IF(ISBLANK(INDEX(Backlog[Jira Link],MATCH($A185,Backlog[Requirement ID],0))),"",INDEX(Backlog[Jira Link],MATCH($A185,Backlog[Requirement ID],0))),"")</f>
        <v/>
      </c>
      <c r="H184" s="92">
        <f>IFERROR(IF(ISBLANK(INDEX(SprintPlanning[Sprint],MATCH($A185,SprintPlanning[Requirement ID],0))),"",INDEX(SprintPlanning[Sprint],MATCH($A185,SprintPlanning[Requirement ID],0))),"")</f>
        <v/>
      </c>
      <c r="I184" s="92">
        <f>IFERROR(IF(ISBLANK(INDEX(Backlog[Status],MATCH($A185,Backlog[Requirement ID],0))),"",INDEX(Backlog[Status],MATCH($A185,Backlog[Requirement ID],0))),"")</f>
        <v/>
      </c>
      <c r="J184" s="92">
        <f>IFERROR(IF(ISBLANK(INDEX(Backlog[Priority],MATCH($A185,Backlog[Requirement ID],0))),"",INDEX(Backlog[Priority],MATCH($A185,Backlog[Requirement ID],0))),"")</f>
        <v/>
      </c>
      <c r="L184" s="97" t="n"/>
      <c r="M184" s="97" t="n"/>
      <c r="O184" s="97" t="n"/>
    </row>
    <row r="185" ht="15" customHeight="1" s="93">
      <c r="A185" s="92">
        <f>Backlog!A186</f>
        <v/>
      </c>
      <c r="B185" s="92">
        <f>IFERROR(IF(ISBLANK(INDEX(Backlog[Requirement Name],MATCH($A186,Backlog[Requirement ID],0))),"",INDEX(Backlog[Requirement Name],MATCH($A186,Backlog[Requirement ID],0))),"")</f>
        <v/>
      </c>
      <c r="C185" s="92">
        <f>IFERROR(IF(ISBLANK(INDEX(Backlog[Stream],MATCH($A186,Backlog[Requirement ID],0))),"",INDEX(Backlog[Stream],MATCH($A186,Backlog[Requirement ID],0))),"")</f>
        <v/>
      </c>
      <c r="D185" s="92">
        <f>IFERROR(IF(ISBLANK(INDEX(Backlog[Stream Owner],MATCH($A186,Backlog[Requirement ID],0))),"",INDEX(Backlog[Stream Owner],MATCH($A186,Backlog[Requirement ID],0))),"")</f>
        <v/>
      </c>
      <c r="E185" s="92">
        <f>IFERROR(IF(ISBLANK(INDEX(Backlog[Jira Link],MATCH($A186,Backlog[Requirement ID],0))),"",INDEX(Backlog[Jira Link],MATCH($A186,Backlog[Requirement ID],0))),"")</f>
        <v/>
      </c>
      <c r="H185" s="92">
        <f>IFERROR(IF(ISBLANK(INDEX(SprintPlanning[Sprint],MATCH($A186,SprintPlanning[Requirement ID],0))),"",INDEX(SprintPlanning[Sprint],MATCH($A186,SprintPlanning[Requirement ID],0))),"")</f>
        <v/>
      </c>
      <c r="I185" s="92">
        <f>IFERROR(IF(ISBLANK(INDEX(Backlog[Status],MATCH($A186,Backlog[Requirement ID],0))),"",INDEX(Backlog[Status],MATCH($A186,Backlog[Requirement ID],0))),"")</f>
        <v/>
      </c>
      <c r="J185" s="92">
        <f>IFERROR(IF(ISBLANK(INDEX(Backlog[Priority],MATCH($A186,Backlog[Requirement ID],0))),"",INDEX(Backlog[Priority],MATCH($A186,Backlog[Requirement ID],0))),"")</f>
        <v/>
      </c>
      <c r="L185" s="97" t="n"/>
      <c r="M185" s="97" t="n"/>
      <c r="O185" s="97" t="n"/>
    </row>
    <row r="186" ht="15" customHeight="1" s="93">
      <c r="A186" s="92">
        <f>Backlog!A187</f>
        <v/>
      </c>
      <c r="B186" s="92">
        <f>IFERROR(IF(ISBLANK(INDEX(Backlog[Requirement Name],MATCH($A187,Backlog[Requirement ID],0))),"",INDEX(Backlog[Requirement Name],MATCH($A187,Backlog[Requirement ID],0))),"")</f>
        <v/>
      </c>
      <c r="C186" s="92">
        <f>IFERROR(IF(ISBLANK(INDEX(Backlog[Stream],MATCH($A187,Backlog[Requirement ID],0))),"",INDEX(Backlog[Stream],MATCH($A187,Backlog[Requirement ID],0))),"")</f>
        <v/>
      </c>
      <c r="D186" s="92">
        <f>IFERROR(IF(ISBLANK(INDEX(Backlog[Stream Owner],MATCH($A187,Backlog[Requirement ID],0))),"",INDEX(Backlog[Stream Owner],MATCH($A187,Backlog[Requirement ID],0))),"")</f>
        <v/>
      </c>
      <c r="E186" s="92">
        <f>IFERROR(IF(ISBLANK(INDEX(Backlog[Jira Link],MATCH($A187,Backlog[Requirement ID],0))),"",INDEX(Backlog[Jira Link],MATCH($A187,Backlog[Requirement ID],0))),"")</f>
        <v/>
      </c>
      <c r="H186" s="92">
        <f>IFERROR(IF(ISBLANK(INDEX(SprintPlanning[Sprint],MATCH($A187,SprintPlanning[Requirement ID],0))),"",INDEX(SprintPlanning[Sprint],MATCH($A187,SprintPlanning[Requirement ID],0))),"")</f>
        <v/>
      </c>
      <c r="I186" s="92">
        <f>IFERROR(IF(ISBLANK(INDEX(Backlog[Status],MATCH($A187,Backlog[Requirement ID],0))),"",INDEX(Backlog[Status],MATCH($A187,Backlog[Requirement ID],0))),"")</f>
        <v/>
      </c>
      <c r="J186" s="92">
        <f>IFERROR(IF(ISBLANK(INDEX(Backlog[Priority],MATCH($A187,Backlog[Requirement ID],0))),"",INDEX(Backlog[Priority],MATCH($A187,Backlog[Requirement ID],0))),"")</f>
        <v/>
      </c>
      <c r="L186" s="97" t="n"/>
      <c r="M186" s="97" t="n"/>
      <c r="O186" s="97" t="n"/>
    </row>
    <row r="187" ht="15" customHeight="1" s="93">
      <c r="A187" s="92">
        <f>Backlog!A188</f>
        <v/>
      </c>
      <c r="B187" s="92">
        <f>IFERROR(IF(ISBLANK(INDEX(Backlog[Requirement Name],MATCH($A188,Backlog[Requirement ID],0))),"",INDEX(Backlog[Requirement Name],MATCH($A188,Backlog[Requirement ID],0))),"")</f>
        <v/>
      </c>
      <c r="C187" s="92">
        <f>IFERROR(IF(ISBLANK(INDEX(Backlog[Stream],MATCH($A188,Backlog[Requirement ID],0))),"",INDEX(Backlog[Stream],MATCH($A188,Backlog[Requirement ID],0))),"")</f>
        <v/>
      </c>
      <c r="D187" s="92">
        <f>IFERROR(IF(ISBLANK(INDEX(Backlog[Stream Owner],MATCH($A188,Backlog[Requirement ID],0))),"",INDEX(Backlog[Stream Owner],MATCH($A188,Backlog[Requirement ID],0))),"")</f>
        <v/>
      </c>
      <c r="E187" s="92">
        <f>IFERROR(IF(ISBLANK(INDEX(Backlog[Jira Link],MATCH($A188,Backlog[Requirement ID],0))),"",INDEX(Backlog[Jira Link],MATCH($A188,Backlog[Requirement ID],0))),"")</f>
        <v/>
      </c>
      <c r="H187" s="92">
        <f>IFERROR(IF(ISBLANK(INDEX(SprintPlanning[Sprint],MATCH($A188,SprintPlanning[Requirement ID],0))),"",INDEX(SprintPlanning[Sprint],MATCH($A188,SprintPlanning[Requirement ID],0))),"")</f>
        <v/>
      </c>
      <c r="I187" s="92">
        <f>IFERROR(IF(ISBLANK(INDEX(Backlog[Status],MATCH($A188,Backlog[Requirement ID],0))),"",INDEX(Backlog[Status],MATCH($A188,Backlog[Requirement ID],0))),"")</f>
        <v/>
      </c>
      <c r="J187" s="92">
        <f>IFERROR(IF(ISBLANK(INDEX(Backlog[Priority],MATCH($A188,Backlog[Requirement ID],0))),"",INDEX(Backlog[Priority],MATCH($A188,Backlog[Requirement ID],0))),"")</f>
        <v/>
      </c>
      <c r="L187" s="97" t="n"/>
      <c r="M187" s="97" t="n"/>
      <c r="O187" s="97" t="n"/>
    </row>
    <row r="188" ht="15" customHeight="1" s="93">
      <c r="A188" s="92">
        <f>Backlog!A189</f>
        <v/>
      </c>
      <c r="B188" s="92">
        <f>IFERROR(IF(ISBLANK(INDEX(Backlog[Requirement Name],MATCH($A189,Backlog[Requirement ID],0))),"",INDEX(Backlog[Requirement Name],MATCH($A189,Backlog[Requirement ID],0))),"")</f>
        <v/>
      </c>
      <c r="C188" s="92">
        <f>IFERROR(IF(ISBLANK(INDEX(Backlog[Stream],MATCH($A189,Backlog[Requirement ID],0))),"",INDEX(Backlog[Stream],MATCH($A189,Backlog[Requirement ID],0))),"")</f>
        <v/>
      </c>
      <c r="D188" s="92">
        <f>IFERROR(IF(ISBLANK(INDEX(Backlog[Stream Owner],MATCH($A189,Backlog[Requirement ID],0))),"",INDEX(Backlog[Stream Owner],MATCH($A189,Backlog[Requirement ID],0))),"")</f>
        <v/>
      </c>
      <c r="E188" s="92">
        <f>IFERROR(IF(ISBLANK(INDEX(Backlog[Jira Link],MATCH($A189,Backlog[Requirement ID],0))),"",INDEX(Backlog[Jira Link],MATCH($A189,Backlog[Requirement ID],0))),"")</f>
        <v/>
      </c>
      <c r="H188" s="92">
        <f>IFERROR(IF(ISBLANK(INDEX(SprintPlanning[Sprint],MATCH($A189,SprintPlanning[Requirement ID],0))),"",INDEX(SprintPlanning[Sprint],MATCH($A189,SprintPlanning[Requirement ID],0))),"")</f>
        <v/>
      </c>
      <c r="I188" s="92">
        <f>IFERROR(IF(ISBLANK(INDEX(Backlog[Status],MATCH($A189,Backlog[Requirement ID],0))),"",INDEX(Backlog[Status],MATCH($A189,Backlog[Requirement ID],0))),"")</f>
        <v/>
      </c>
      <c r="J188" s="92">
        <f>IFERROR(IF(ISBLANK(INDEX(Backlog[Priority],MATCH($A189,Backlog[Requirement ID],0))),"",INDEX(Backlog[Priority],MATCH($A189,Backlog[Requirement ID],0))),"")</f>
        <v/>
      </c>
      <c r="L188" s="97" t="n"/>
      <c r="M188" s="97" t="n"/>
      <c r="O188" s="97" t="n"/>
    </row>
    <row r="189" ht="15" customHeight="1" s="93">
      <c r="A189" s="92">
        <f>Backlog!A190</f>
        <v/>
      </c>
      <c r="B189" s="92">
        <f>IFERROR(IF(ISBLANK(INDEX(Backlog[Requirement Name],MATCH($A190,Backlog[Requirement ID],0))),"",INDEX(Backlog[Requirement Name],MATCH($A190,Backlog[Requirement ID],0))),"")</f>
        <v/>
      </c>
      <c r="C189" s="92">
        <f>IFERROR(IF(ISBLANK(INDEX(Backlog[Stream],MATCH($A190,Backlog[Requirement ID],0))),"",INDEX(Backlog[Stream],MATCH($A190,Backlog[Requirement ID],0))),"")</f>
        <v/>
      </c>
      <c r="D189" s="92">
        <f>IFERROR(IF(ISBLANK(INDEX(Backlog[Stream Owner],MATCH($A190,Backlog[Requirement ID],0))),"",INDEX(Backlog[Stream Owner],MATCH($A190,Backlog[Requirement ID],0))),"")</f>
        <v/>
      </c>
      <c r="E189" s="92">
        <f>IFERROR(IF(ISBLANK(INDEX(Backlog[Jira Link],MATCH($A190,Backlog[Requirement ID],0))),"",INDEX(Backlog[Jira Link],MATCH($A190,Backlog[Requirement ID],0))),"")</f>
        <v/>
      </c>
      <c r="H189" s="92">
        <f>IFERROR(IF(ISBLANK(INDEX(SprintPlanning[Sprint],MATCH($A190,SprintPlanning[Requirement ID],0))),"",INDEX(SprintPlanning[Sprint],MATCH($A190,SprintPlanning[Requirement ID],0))),"")</f>
        <v/>
      </c>
      <c r="I189" s="92">
        <f>IFERROR(IF(ISBLANK(INDEX(Backlog[Status],MATCH($A190,Backlog[Requirement ID],0))),"",INDEX(Backlog[Status],MATCH($A190,Backlog[Requirement ID],0))),"")</f>
        <v/>
      </c>
      <c r="J189" s="92">
        <f>IFERROR(IF(ISBLANK(INDEX(Backlog[Priority],MATCH($A190,Backlog[Requirement ID],0))),"",INDEX(Backlog[Priority],MATCH($A190,Backlog[Requirement ID],0))),"")</f>
        <v/>
      </c>
      <c r="L189" s="97" t="n"/>
      <c r="M189" s="97" t="n"/>
      <c r="O189" s="97" t="n"/>
    </row>
    <row r="190" ht="15" customHeight="1" s="93">
      <c r="A190" s="92">
        <f>Backlog!A191</f>
        <v/>
      </c>
      <c r="B190" s="92">
        <f>IFERROR(IF(ISBLANK(INDEX(Backlog[Requirement Name],MATCH($A191,Backlog[Requirement ID],0))),"",INDEX(Backlog[Requirement Name],MATCH($A191,Backlog[Requirement ID],0))),"")</f>
        <v/>
      </c>
      <c r="C190" s="92">
        <f>IFERROR(IF(ISBLANK(INDEX(Backlog[Stream],MATCH($A191,Backlog[Requirement ID],0))),"",INDEX(Backlog[Stream],MATCH($A191,Backlog[Requirement ID],0))),"")</f>
        <v/>
      </c>
      <c r="D190" s="92">
        <f>IFERROR(IF(ISBLANK(INDEX(Backlog[Stream Owner],MATCH($A191,Backlog[Requirement ID],0))),"",INDEX(Backlog[Stream Owner],MATCH($A191,Backlog[Requirement ID],0))),"")</f>
        <v/>
      </c>
      <c r="E190" s="92">
        <f>IFERROR(IF(ISBLANK(INDEX(Backlog[Jira Link],MATCH($A191,Backlog[Requirement ID],0))),"",INDEX(Backlog[Jira Link],MATCH($A191,Backlog[Requirement ID],0))),"")</f>
        <v/>
      </c>
      <c r="H190" s="92">
        <f>IFERROR(IF(ISBLANK(INDEX(SprintPlanning[Sprint],MATCH($A191,SprintPlanning[Requirement ID],0))),"",INDEX(SprintPlanning[Sprint],MATCH($A191,SprintPlanning[Requirement ID],0))),"")</f>
        <v/>
      </c>
      <c r="I190" s="92">
        <f>IFERROR(IF(ISBLANK(INDEX(Backlog[Status],MATCH($A191,Backlog[Requirement ID],0))),"",INDEX(Backlog[Status],MATCH($A191,Backlog[Requirement ID],0))),"")</f>
        <v/>
      </c>
      <c r="J190" s="92">
        <f>IFERROR(IF(ISBLANK(INDEX(Backlog[Priority],MATCH($A191,Backlog[Requirement ID],0))),"",INDEX(Backlog[Priority],MATCH($A191,Backlog[Requirement ID],0))),"")</f>
        <v/>
      </c>
      <c r="L190" s="97" t="n"/>
      <c r="M190" s="97" t="n"/>
      <c r="O190" s="97" t="n"/>
    </row>
    <row r="191" ht="15" customHeight="1" s="93">
      <c r="A191" s="92">
        <f>Backlog!A192</f>
        <v/>
      </c>
      <c r="B191" s="92">
        <f>IFERROR(IF(ISBLANK(INDEX(Backlog[Requirement Name],MATCH($A192,Backlog[Requirement ID],0))),"",INDEX(Backlog[Requirement Name],MATCH($A192,Backlog[Requirement ID],0))),"")</f>
        <v/>
      </c>
      <c r="C191" s="92">
        <f>IFERROR(IF(ISBLANK(INDEX(Backlog[Stream],MATCH($A192,Backlog[Requirement ID],0))),"",INDEX(Backlog[Stream],MATCH($A192,Backlog[Requirement ID],0))),"")</f>
        <v/>
      </c>
      <c r="D191" s="92">
        <f>IFERROR(IF(ISBLANK(INDEX(Backlog[Stream Owner],MATCH($A192,Backlog[Requirement ID],0))),"",INDEX(Backlog[Stream Owner],MATCH($A192,Backlog[Requirement ID],0))),"")</f>
        <v/>
      </c>
      <c r="E191" s="92">
        <f>IFERROR(IF(ISBLANK(INDEX(Backlog[Jira Link],MATCH($A192,Backlog[Requirement ID],0))),"",INDEX(Backlog[Jira Link],MATCH($A192,Backlog[Requirement ID],0))),"")</f>
        <v/>
      </c>
      <c r="H191" s="92">
        <f>IFERROR(IF(ISBLANK(INDEX(SprintPlanning[Sprint],MATCH($A192,SprintPlanning[Requirement ID],0))),"",INDEX(SprintPlanning[Sprint],MATCH($A192,SprintPlanning[Requirement ID],0))),"")</f>
        <v/>
      </c>
      <c r="I191" s="92">
        <f>IFERROR(IF(ISBLANK(INDEX(Backlog[Status],MATCH($A192,Backlog[Requirement ID],0))),"",INDEX(Backlog[Status],MATCH($A192,Backlog[Requirement ID],0))),"")</f>
        <v/>
      </c>
      <c r="J191" s="92">
        <f>IFERROR(IF(ISBLANK(INDEX(Backlog[Priority],MATCH($A192,Backlog[Requirement ID],0))),"",INDEX(Backlog[Priority],MATCH($A192,Backlog[Requirement ID],0))),"")</f>
        <v/>
      </c>
      <c r="L191" s="97" t="n"/>
      <c r="M191" s="97" t="n"/>
      <c r="O191" s="97" t="n"/>
    </row>
    <row r="192" ht="15" customHeight="1" s="93">
      <c r="A192" s="92">
        <f>Backlog!A193</f>
        <v/>
      </c>
      <c r="B192" s="92">
        <f>IFERROR(IF(ISBLANK(INDEX(Backlog[Requirement Name],MATCH($A193,Backlog[Requirement ID],0))),"",INDEX(Backlog[Requirement Name],MATCH($A193,Backlog[Requirement ID],0))),"")</f>
        <v/>
      </c>
      <c r="C192" s="92">
        <f>IFERROR(IF(ISBLANK(INDEX(Backlog[Stream],MATCH($A193,Backlog[Requirement ID],0))),"",INDEX(Backlog[Stream],MATCH($A193,Backlog[Requirement ID],0))),"")</f>
        <v/>
      </c>
      <c r="D192" s="92">
        <f>IFERROR(IF(ISBLANK(INDEX(Backlog[Stream Owner],MATCH($A193,Backlog[Requirement ID],0))),"",INDEX(Backlog[Stream Owner],MATCH($A193,Backlog[Requirement ID],0))),"")</f>
        <v/>
      </c>
      <c r="E192" s="92">
        <f>IFERROR(IF(ISBLANK(INDEX(Backlog[Jira Link],MATCH($A193,Backlog[Requirement ID],0))),"",INDEX(Backlog[Jira Link],MATCH($A193,Backlog[Requirement ID],0))),"")</f>
        <v/>
      </c>
      <c r="H192" s="92">
        <f>IFERROR(IF(ISBLANK(INDEX(SprintPlanning[Sprint],MATCH($A193,SprintPlanning[Requirement ID],0))),"",INDEX(SprintPlanning[Sprint],MATCH($A193,SprintPlanning[Requirement ID],0))),"")</f>
        <v/>
      </c>
      <c r="I192" s="92">
        <f>IFERROR(IF(ISBLANK(INDEX(Backlog[Status],MATCH($A193,Backlog[Requirement ID],0))),"",INDEX(Backlog[Status],MATCH($A193,Backlog[Requirement ID],0))),"")</f>
        <v/>
      </c>
      <c r="J192" s="92">
        <f>IFERROR(IF(ISBLANK(INDEX(Backlog[Priority],MATCH($A193,Backlog[Requirement ID],0))),"",INDEX(Backlog[Priority],MATCH($A193,Backlog[Requirement ID],0))),"")</f>
        <v/>
      </c>
      <c r="L192" s="97" t="n"/>
      <c r="M192" s="97" t="n"/>
      <c r="O192" s="97" t="n"/>
    </row>
    <row r="193" ht="15" customHeight="1" s="93">
      <c r="A193" s="92">
        <f>Backlog!A194</f>
        <v/>
      </c>
      <c r="B193" s="92">
        <f>IFERROR(IF(ISBLANK(INDEX(Backlog[Requirement Name],MATCH($A194,Backlog[Requirement ID],0))),"",INDEX(Backlog[Requirement Name],MATCH($A194,Backlog[Requirement ID],0))),"")</f>
        <v/>
      </c>
      <c r="C193" s="92">
        <f>IFERROR(IF(ISBLANK(INDEX(Backlog[Stream],MATCH($A194,Backlog[Requirement ID],0))),"",INDEX(Backlog[Stream],MATCH($A194,Backlog[Requirement ID],0))),"")</f>
        <v/>
      </c>
      <c r="D193" s="92">
        <f>IFERROR(IF(ISBLANK(INDEX(Backlog[Stream Owner],MATCH($A194,Backlog[Requirement ID],0))),"",INDEX(Backlog[Stream Owner],MATCH($A194,Backlog[Requirement ID],0))),"")</f>
        <v/>
      </c>
      <c r="E193" s="92">
        <f>IFERROR(IF(ISBLANK(INDEX(Backlog[Jira Link],MATCH($A194,Backlog[Requirement ID],0))),"",INDEX(Backlog[Jira Link],MATCH($A194,Backlog[Requirement ID],0))),"")</f>
        <v/>
      </c>
      <c r="H193" s="92">
        <f>IFERROR(IF(ISBLANK(INDEX(SprintPlanning[Sprint],MATCH($A194,SprintPlanning[Requirement ID],0))),"",INDEX(SprintPlanning[Sprint],MATCH($A194,SprintPlanning[Requirement ID],0))),"")</f>
        <v/>
      </c>
      <c r="I193" s="92">
        <f>IFERROR(IF(ISBLANK(INDEX(Backlog[Status],MATCH($A194,Backlog[Requirement ID],0))),"",INDEX(Backlog[Status],MATCH($A194,Backlog[Requirement ID],0))),"")</f>
        <v/>
      </c>
      <c r="J193" s="92">
        <f>IFERROR(IF(ISBLANK(INDEX(Backlog[Priority],MATCH($A194,Backlog[Requirement ID],0))),"",INDEX(Backlog[Priority],MATCH($A194,Backlog[Requirement ID],0))),"")</f>
        <v/>
      </c>
      <c r="L193" s="97" t="n"/>
      <c r="M193" s="97" t="n"/>
      <c r="O193" s="97" t="n"/>
    </row>
    <row r="194" ht="15" customHeight="1" s="93">
      <c r="A194" s="92">
        <f>Backlog!A195</f>
        <v/>
      </c>
      <c r="B194" s="92">
        <f>IFERROR(IF(ISBLANK(INDEX(Backlog[Requirement Name],MATCH($A195,Backlog[Requirement ID],0))),"",INDEX(Backlog[Requirement Name],MATCH($A195,Backlog[Requirement ID],0))),"")</f>
        <v/>
      </c>
      <c r="C194" s="92">
        <f>IFERROR(IF(ISBLANK(INDEX(Backlog[Stream],MATCH($A195,Backlog[Requirement ID],0))),"",INDEX(Backlog[Stream],MATCH($A195,Backlog[Requirement ID],0))),"")</f>
        <v/>
      </c>
      <c r="D194" s="92">
        <f>IFERROR(IF(ISBLANK(INDEX(Backlog[Stream Owner],MATCH($A195,Backlog[Requirement ID],0))),"",INDEX(Backlog[Stream Owner],MATCH($A195,Backlog[Requirement ID],0))),"")</f>
        <v/>
      </c>
      <c r="E194" s="92">
        <f>IFERROR(IF(ISBLANK(INDEX(Backlog[Jira Link],MATCH($A195,Backlog[Requirement ID],0))),"",INDEX(Backlog[Jira Link],MATCH($A195,Backlog[Requirement ID],0))),"")</f>
        <v/>
      </c>
      <c r="H194" s="92">
        <f>IFERROR(IF(ISBLANK(INDEX(SprintPlanning[Sprint],MATCH($A195,SprintPlanning[Requirement ID],0))),"",INDEX(SprintPlanning[Sprint],MATCH($A195,SprintPlanning[Requirement ID],0))),"")</f>
        <v/>
      </c>
      <c r="I194" s="92">
        <f>IFERROR(IF(ISBLANK(INDEX(Backlog[Status],MATCH($A195,Backlog[Requirement ID],0))),"",INDEX(Backlog[Status],MATCH($A195,Backlog[Requirement ID],0))),"")</f>
        <v/>
      </c>
      <c r="J194" s="92">
        <f>IFERROR(IF(ISBLANK(INDEX(Backlog[Priority],MATCH($A195,Backlog[Requirement ID],0))),"",INDEX(Backlog[Priority],MATCH($A195,Backlog[Requirement ID],0))),"")</f>
        <v/>
      </c>
      <c r="L194" s="97" t="n"/>
      <c r="M194" s="97" t="n"/>
      <c r="O194" s="97" t="n"/>
    </row>
    <row r="195" ht="15" customHeight="1" s="93">
      <c r="A195" s="92">
        <f>Backlog!A196</f>
        <v/>
      </c>
      <c r="B195" s="92">
        <f>IFERROR(IF(ISBLANK(INDEX(Backlog[Requirement Name],MATCH($A196,Backlog[Requirement ID],0))),"",INDEX(Backlog[Requirement Name],MATCH($A196,Backlog[Requirement ID],0))),"")</f>
        <v/>
      </c>
      <c r="C195" s="92">
        <f>IFERROR(IF(ISBLANK(INDEX(Backlog[Stream],MATCH($A196,Backlog[Requirement ID],0))),"",INDEX(Backlog[Stream],MATCH($A196,Backlog[Requirement ID],0))),"")</f>
        <v/>
      </c>
      <c r="D195" s="92">
        <f>IFERROR(IF(ISBLANK(INDEX(Backlog[Stream Owner],MATCH($A196,Backlog[Requirement ID],0))),"",INDEX(Backlog[Stream Owner],MATCH($A196,Backlog[Requirement ID],0))),"")</f>
        <v/>
      </c>
      <c r="E195" s="92">
        <f>IFERROR(IF(ISBLANK(INDEX(Backlog[Jira Link],MATCH($A196,Backlog[Requirement ID],0))),"",INDEX(Backlog[Jira Link],MATCH($A196,Backlog[Requirement ID],0))),"")</f>
        <v/>
      </c>
      <c r="H195" s="92">
        <f>IFERROR(IF(ISBLANK(INDEX(SprintPlanning[Sprint],MATCH($A196,SprintPlanning[Requirement ID],0))),"",INDEX(SprintPlanning[Sprint],MATCH($A196,SprintPlanning[Requirement ID],0))),"")</f>
        <v/>
      </c>
      <c r="I195" s="92">
        <f>IFERROR(IF(ISBLANK(INDEX(Backlog[Status],MATCH($A196,Backlog[Requirement ID],0))),"",INDEX(Backlog[Status],MATCH($A196,Backlog[Requirement ID],0))),"")</f>
        <v/>
      </c>
      <c r="J195" s="92">
        <f>IFERROR(IF(ISBLANK(INDEX(Backlog[Priority],MATCH($A196,Backlog[Requirement ID],0))),"",INDEX(Backlog[Priority],MATCH($A196,Backlog[Requirement ID],0))),"")</f>
        <v/>
      </c>
      <c r="L195" s="97" t="n"/>
      <c r="M195" s="97" t="n"/>
      <c r="O195" s="97" t="n"/>
    </row>
    <row r="196" ht="15" customHeight="1" s="93">
      <c r="A196" s="92">
        <f>Backlog!A197</f>
        <v/>
      </c>
      <c r="B196" s="92">
        <f>IFERROR(IF(ISBLANK(INDEX(Backlog[Requirement Name],MATCH($A197,Backlog[Requirement ID],0))),"",INDEX(Backlog[Requirement Name],MATCH($A197,Backlog[Requirement ID],0))),"")</f>
        <v/>
      </c>
      <c r="C196" s="92">
        <f>IFERROR(IF(ISBLANK(INDEX(Backlog[Stream],MATCH($A197,Backlog[Requirement ID],0))),"",INDEX(Backlog[Stream],MATCH($A197,Backlog[Requirement ID],0))),"")</f>
        <v/>
      </c>
      <c r="D196" s="92">
        <f>IFERROR(IF(ISBLANK(INDEX(Backlog[Stream Owner],MATCH($A197,Backlog[Requirement ID],0))),"",INDEX(Backlog[Stream Owner],MATCH($A197,Backlog[Requirement ID],0))),"")</f>
        <v/>
      </c>
      <c r="E196" s="92">
        <f>IFERROR(IF(ISBLANK(INDEX(Backlog[Jira Link],MATCH($A197,Backlog[Requirement ID],0))),"",INDEX(Backlog[Jira Link],MATCH($A197,Backlog[Requirement ID],0))),"")</f>
        <v/>
      </c>
      <c r="H196" s="92">
        <f>IFERROR(IF(ISBLANK(INDEX(SprintPlanning[Sprint],MATCH($A197,SprintPlanning[Requirement ID],0))),"",INDEX(SprintPlanning[Sprint],MATCH($A197,SprintPlanning[Requirement ID],0))),"")</f>
        <v/>
      </c>
      <c r="I196" s="92">
        <f>IFERROR(IF(ISBLANK(INDEX(Backlog[Status],MATCH($A197,Backlog[Requirement ID],0))),"",INDEX(Backlog[Status],MATCH($A197,Backlog[Requirement ID],0))),"")</f>
        <v/>
      </c>
      <c r="J196" s="92">
        <f>IFERROR(IF(ISBLANK(INDEX(Backlog[Priority],MATCH($A197,Backlog[Requirement ID],0))),"",INDEX(Backlog[Priority],MATCH($A197,Backlog[Requirement ID],0))),"")</f>
        <v/>
      </c>
      <c r="L196" s="97" t="n"/>
      <c r="M196" s="97" t="n"/>
      <c r="O196" s="97" t="n"/>
    </row>
    <row r="197" ht="15" customHeight="1" s="93">
      <c r="A197" s="92">
        <f>Backlog!A198</f>
        <v/>
      </c>
      <c r="B197" s="92">
        <f>IFERROR(IF(ISBLANK(INDEX(Backlog[Requirement Name],MATCH($A198,Backlog[Requirement ID],0))),"",INDEX(Backlog[Requirement Name],MATCH($A198,Backlog[Requirement ID],0))),"")</f>
        <v/>
      </c>
      <c r="C197" s="92">
        <f>IFERROR(IF(ISBLANK(INDEX(Backlog[Stream],MATCH($A198,Backlog[Requirement ID],0))),"",INDEX(Backlog[Stream],MATCH($A198,Backlog[Requirement ID],0))),"")</f>
        <v/>
      </c>
      <c r="D197" s="92">
        <f>IFERROR(IF(ISBLANK(INDEX(Backlog[Stream Owner],MATCH($A198,Backlog[Requirement ID],0))),"",INDEX(Backlog[Stream Owner],MATCH($A198,Backlog[Requirement ID],0))),"")</f>
        <v/>
      </c>
      <c r="E197" s="92">
        <f>IFERROR(IF(ISBLANK(INDEX(Backlog[Jira Link],MATCH($A198,Backlog[Requirement ID],0))),"",INDEX(Backlog[Jira Link],MATCH($A198,Backlog[Requirement ID],0))),"")</f>
        <v/>
      </c>
      <c r="H197" s="92">
        <f>IFERROR(IF(ISBLANK(INDEX(SprintPlanning[Sprint],MATCH($A198,SprintPlanning[Requirement ID],0))),"",INDEX(SprintPlanning[Sprint],MATCH($A198,SprintPlanning[Requirement ID],0))),"")</f>
        <v/>
      </c>
      <c r="I197" s="92">
        <f>IFERROR(IF(ISBLANK(INDEX(Backlog[Status],MATCH($A198,Backlog[Requirement ID],0))),"",INDEX(Backlog[Status],MATCH($A198,Backlog[Requirement ID],0))),"")</f>
        <v/>
      </c>
      <c r="J197" s="92">
        <f>IFERROR(IF(ISBLANK(INDEX(Backlog[Priority],MATCH($A198,Backlog[Requirement ID],0))),"",INDEX(Backlog[Priority],MATCH($A198,Backlog[Requirement ID],0))),"")</f>
        <v/>
      </c>
      <c r="L197" s="97" t="n"/>
      <c r="M197" s="97" t="n"/>
      <c r="O197" s="97" t="n"/>
    </row>
    <row r="198" ht="15" customHeight="1" s="93">
      <c r="A198" s="92">
        <f>Backlog!A199</f>
        <v/>
      </c>
      <c r="B198" s="92">
        <f>IFERROR(IF(ISBLANK(INDEX(Backlog[Requirement Name],MATCH($A199,Backlog[Requirement ID],0))),"",INDEX(Backlog[Requirement Name],MATCH($A199,Backlog[Requirement ID],0))),"")</f>
        <v/>
      </c>
      <c r="C198" s="92">
        <f>IFERROR(IF(ISBLANK(INDEX(Backlog[Stream],MATCH($A199,Backlog[Requirement ID],0))),"",INDEX(Backlog[Stream],MATCH($A199,Backlog[Requirement ID],0))),"")</f>
        <v/>
      </c>
      <c r="D198" s="92">
        <f>IFERROR(IF(ISBLANK(INDEX(Backlog[Stream Owner],MATCH($A199,Backlog[Requirement ID],0))),"",INDEX(Backlog[Stream Owner],MATCH($A199,Backlog[Requirement ID],0))),"")</f>
        <v/>
      </c>
      <c r="E198" s="92">
        <f>IFERROR(IF(ISBLANK(INDEX(Backlog[Jira Link],MATCH($A199,Backlog[Requirement ID],0))),"",INDEX(Backlog[Jira Link],MATCH($A199,Backlog[Requirement ID],0))),"")</f>
        <v/>
      </c>
      <c r="H198" s="92">
        <f>IFERROR(IF(ISBLANK(INDEX(SprintPlanning[Sprint],MATCH($A199,SprintPlanning[Requirement ID],0))),"",INDEX(SprintPlanning[Sprint],MATCH($A199,SprintPlanning[Requirement ID],0))),"")</f>
        <v/>
      </c>
      <c r="I198" s="92">
        <f>IFERROR(IF(ISBLANK(INDEX(Backlog[Status],MATCH($A199,Backlog[Requirement ID],0))),"",INDEX(Backlog[Status],MATCH($A199,Backlog[Requirement ID],0))),"")</f>
        <v/>
      </c>
      <c r="J198" s="92">
        <f>IFERROR(IF(ISBLANK(INDEX(Backlog[Priority],MATCH($A199,Backlog[Requirement ID],0))),"",INDEX(Backlog[Priority],MATCH($A199,Backlog[Requirement ID],0))),"")</f>
        <v/>
      </c>
      <c r="L198" s="97" t="n"/>
      <c r="M198" s="97" t="n"/>
      <c r="O198" s="97" t="n"/>
    </row>
    <row r="199" ht="15" customHeight="1" s="93">
      <c r="A199" s="92">
        <f>Backlog!A200</f>
        <v/>
      </c>
      <c r="B199" s="92">
        <f>IFERROR(IF(ISBLANK(INDEX(Backlog[Requirement Name],MATCH($A200,Backlog[Requirement ID],0))),"",INDEX(Backlog[Requirement Name],MATCH($A200,Backlog[Requirement ID],0))),"")</f>
        <v/>
      </c>
      <c r="C199" s="92">
        <f>IFERROR(IF(ISBLANK(INDEX(Backlog[Stream],MATCH($A200,Backlog[Requirement ID],0))),"",INDEX(Backlog[Stream],MATCH($A200,Backlog[Requirement ID],0))),"")</f>
        <v/>
      </c>
      <c r="D199" s="92">
        <f>IFERROR(IF(ISBLANK(INDEX(Backlog[Stream Owner],MATCH($A200,Backlog[Requirement ID],0))),"",INDEX(Backlog[Stream Owner],MATCH($A200,Backlog[Requirement ID],0))),"")</f>
        <v/>
      </c>
      <c r="E199" s="92">
        <f>IFERROR(IF(ISBLANK(INDEX(Backlog[Jira Link],MATCH($A200,Backlog[Requirement ID],0))),"",INDEX(Backlog[Jira Link],MATCH($A200,Backlog[Requirement ID],0))),"")</f>
        <v/>
      </c>
      <c r="H199" s="92">
        <f>IFERROR(IF(ISBLANK(INDEX(SprintPlanning[Sprint],MATCH($A200,SprintPlanning[Requirement ID],0))),"",INDEX(SprintPlanning[Sprint],MATCH($A200,SprintPlanning[Requirement ID],0))),"")</f>
        <v/>
      </c>
      <c r="I199" s="92">
        <f>IFERROR(IF(ISBLANK(INDEX(Backlog[Status],MATCH($A200,Backlog[Requirement ID],0))),"",INDEX(Backlog[Status],MATCH($A200,Backlog[Requirement ID],0))),"")</f>
        <v/>
      </c>
      <c r="J199" s="92">
        <f>IFERROR(IF(ISBLANK(INDEX(Backlog[Priority],MATCH($A200,Backlog[Requirement ID],0))),"",INDEX(Backlog[Priority],MATCH($A200,Backlog[Requirement ID],0))),"")</f>
        <v/>
      </c>
      <c r="L199" s="97" t="n"/>
      <c r="M199" s="97" t="n"/>
      <c r="O199" s="97" t="n"/>
    </row>
    <row r="200" ht="15" customHeight="1" s="93">
      <c r="A200" s="92">
        <f>Backlog!A201</f>
        <v/>
      </c>
      <c r="B200" s="92">
        <f>IFERROR(IF(ISBLANK(INDEX(Backlog[Requirement Name],MATCH($A201,Backlog[Requirement ID],0))),"",INDEX(Backlog[Requirement Name],MATCH($A201,Backlog[Requirement ID],0))),"")</f>
        <v/>
      </c>
      <c r="C200" s="92">
        <f>IFERROR(IF(ISBLANK(INDEX(Backlog[Stream],MATCH($A201,Backlog[Requirement ID],0))),"",INDEX(Backlog[Stream],MATCH($A201,Backlog[Requirement ID],0))),"")</f>
        <v/>
      </c>
      <c r="D200" s="92">
        <f>IFERROR(IF(ISBLANK(INDEX(Backlog[Stream Owner],MATCH($A201,Backlog[Requirement ID],0))),"",INDEX(Backlog[Stream Owner],MATCH($A201,Backlog[Requirement ID],0))),"")</f>
        <v/>
      </c>
      <c r="E200" s="92">
        <f>IFERROR(IF(ISBLANK(INDEX(Backlog[Jira Link],MATCH($A201,Backlog[Requirement ID],0))),"",INDEX(Backlog[Jira Link],MATCH($A201,Backlog[Requirement ID],0))),"")</f>
        <v/>
      </c>
      <c r="H200" s="92">
        <f>IFERROR(IF(ISBLANK(INDEX(SprintPlanning[Sprint],MATCH($A201,SprintPlanning[Requirement ID],0))),"",INDEX(SprintPlanning[Sprint],MATCH($A201,SprintPlanning[Requirement ID],0))),"")</f>
        <v/>
      </c>
      <c r="I200" s="92">
        <f>IFERROR(IF(ISBLANK(INDEX(Backlog[Status],MATCH($A201,Backlog[Requirement ID],0))),"",INDEX(Backlog[Status],MATCH($A201,Backlog[Requirement ID],0))),"")</f>
        <v/>
      </c>
      <c r="J200" s="92">
        <f>IFERROR(IF(ISBLANK(INDEX(Backlog[Priority],MATCH($A201,Backlog[Requirement ID],0))),"",INDEX(Backlog[Priority],MATCH($A201,Backlog[Requirement ID],0))),"")</f>
        <v/>
      </c>
      <c r="L200" s="97" t="n"/>
      <c r="M200" s="97" t="n"/>
      <c r="O200" s="97" t="n"/>
    </row>
    <row r="201" ht="15" customHeight="1" s="93">
      <c r="A201" s="92">
        <f>Backlog!A202</f>
        <v/>
      </c>
      <c r="B201" s="92">
        <f>IFERROR(IF(ISBLANK(INDEX(Backlog[Requirement Name],MATCH($A202,Backlog[Requirement ID],0))),"",INDEX(Backlog[Requirement Name],MATCH($A202,Backlog[Requirement ID],0))),"")</f>
        <v/>
      </c>
      <c r="C201" s="92">
        <f>IFERROR(IF(ISBLANK(INDEX(Backlog[Stream],MATCH($A202,Backlog[Requirement ID],0))),"",INDEX(Backlog[Stream],MATCH($A202,Backlog[Requirement ID],0))),"")</f>
        <v/>
      </c>
      <c r="D201" s="92">
        <f>IFERROR(IF(ISBLANK(INDEX(Backlog[Stream Owner],MATCH($A202,Backlog[Requirement ID],0))),"",INDEX(Backlog[Stream Owner],MATCH($A202,Backlog[Requirement ID],0))),"")</f>
        <v/>
      </c>
      <c r="E201" s="92">
        <f>IFERROR(IF(ISBLANK(INDEX(Backlog[Jira Link],MATCH($A202,Backlog[Requirement ID],0))),"",INDEX(Backlog[Jira Link],MATCH($A202,Backlog[Requirement ID],0))),"")</f>
        <v/>
      </c>
      <c r="H201" s="92">
        <f>IFERROR(IF(ISBLANK(INDEX(SprintPlanning[Sprint],MATCH($A202,SprintPlanning[Requirement ID],0))),"",INDEX(SprintPlanning[Sprint],MATCH($A202,SprintPlanning[Requirement ID],0))),"")</f>
        <v/>
      </c>
      <c r="I201" s="92">
        <f>IFERROR(IF(ISBLANK(INDEX(Backlog[Status],MATCH($A202,Backlog[Requirement ID],0))),"",INDEX(Backlog[Status],MATCH($A202,Backlog[Requirement ID],0))),"")</f>
        <v/>
      </c>
      <c r="J201" s="92">
        <f>IFERROR(IF(ISBLANK(INDEX(Backlog[Priority],MATCH($A202,Backlog[Requirement ID],0))),"",INDEX(Backlog[Priority],MATCH($A202,Backlog[Requirement ID],0))),"")</f>
        <v/>
      </c>
      <c r="L201" s="97" t="n"/>
      <c r="M201" s="97" t="n"/>
      <c r="O201" s="97" t="n"/>
    </row>
    <row r="202" ht="15" customHeight="1" s="93">
      <c r="A202" s="92">
        <f>Backlog!A203</f>
        <v/>
      </c>
      <c r="B202" s="92">
        <f>IFERROR(IF(ISBLANK(INDEX(Backlog[Requirement Name],MATCH($A203,Backlog[Requirement ID],0))),"",INDEX(Backlog[Requirement Name],MATCH($A203,Backlog[Requirement ID],0))),"")</f>
        <v/>
      </c>
      <c r="C202" s="92">
        <f>IFERROR(IF(ISBLANK(INDEX(Backlog[Stream],MATCH($A203,Backlog[Requirement ID],0))),"",INDEX(Backlog[Stream],MATCH($A203,Backlog[Requirement ID],0))),"")</f>
        <v/>
      </c>
      <c r="D202" s="92">
        <f>IFERROR(IF(ISBLANK(INDEX(Backlog[Stream Owner],MATCH($A203,Backlog[Requirement ID],0))),"",INDEX(Backlog[Stream Owner],MATCH($A203,Backlog[Requirement ID],0))),"")</f>
        <v/>
      </c>
      <c r="E202" s="92">
        <f>IFERROR(IF(ISBLANK(INDEX(Backlog[Jira Link],MATCH($A203,Backlog[Requirement ID],0))),"",INDEX(Backlog[Jira Link],MATCH($A203,Backlog[Requirement ID],0))),"")</f>
        <v/>
      </c>
      <c r="H202" s="92">
        <f>IFERROR(IF(ISBLANK(INDEX(SprintPlanning[Sprint],MATCH($A203,SprintPlanning[Requirement ID],0))),"",INDEX(SprintPlanning[Sprint],MATCH($A203,SprintPlanning[Requirement ID],0))),"")</f>
        <v/>
      </c>
      <c r="I202" s="92">
        <f>IFERROR(IF(ISBLANK(INDEX(Backlog[Status],MATCH($A203,Backlog[Requirement ID],0))),"",INDEX(Backlog[Status],MATCH($A203,Backlog[Requirement ID],0))),"")</f>
        <v/>
      </c>
      <c r="J202" s="92">
        <f>IFERROR(IF(ISBLANK(INDEX(Backlog[Priority],MATCH($A203,Backlog[Requirement ID],0))),"",INDEX(Backlog[Priority],MATCH($A203,Backlog[Requirement ID],0))),"")</f>
        <v/>
      </c>
      <c r="L202" s="97" t="n"/>
      <c r="M202" s="97" t="n"/>
      <c r="O202" s="97" t="n"/>
    </row>
    <row r="203" ht="15" customHeight="1" s="93">
      <c r="A203" s="92">
        <f>Backlog!A204</f>
        <v/>
      </c>
      <c r="B203" s="92">
        <f>IFERROR(IF(ISBLANK(INDEX(Backlog[Requirement Name],MATCH($A204,Backlog[Requirement ID],0))),"",INDEX(Backlog[Requirement Name],MATCH($A204,Backlog[Requirement ID],0))),"")</f>
        <v/>
      </c>
      <c r="C203" s="92">
        <f>IFERROR(IF(ISBLANK(INDEX(Backlog[Stream],MATCH($A204,Backlog[Requirement ID],0))),"",INDEX(Backlog[Stream],MATCH($A204,Backlog[Requirement ID],0))),"")</f>
        <v/>
      </c>
      <c r="D203" s="92">
        <f>IFERROR(IF(ISBLANK(INDEX(Backlog[Stream Owner],MATCH($A204,Backlog[Requirement ID],0))),"",INDEX(Backlog[Stream Owner],MATCH($A204,Backlog[Requirement ID],0))),"")</f>
        <v/>
      </c>
      <c r="E203" s="92">
        <f>IFERROR(IF(ISBLANK(INDEX(Backlog[Jira Link],MATCH($A204,Backlog[Requirement ID],0))),"",INDEX(Backlog[Jira Link],MATCH($A204,Backlog[Requirement ID],0))),"")</f>
        <v/>
      </c>
      <c r="H203" s="92">
        <f>IFERROR(IF(ISBLANK(INDEX(SprintPlanning[Sprint],MATCH($A204,SprintPlanning[Requirement ID],0))),"",INDEX(SprintPlanning[Sprint],MATCH($A204,SprintPlanning[Requirement ID],0))),"")</f>
        <v/>
      </c>
      <c r="I203" s="92">
        <f>IFERROR(IF(ISBLANK(INDEX(Backlog[Status],MATCH($A204,Backlog[Requirement ID],0))),"",INDEX(Backlog[Status],MATCH($A204,Backlog[Requirement ID],0))),"")</f>
        <v/>
      </c>
      <c r="J203" s="92">
        <f>IFERROR(IF(ISBLANK(INDEX(Backlog[Priority],MATCH($A204,Backlog[Requirement ID],0))),"",INDEX(Backlog[Priority],MATCH($A204,Backlog[Requirement ID],0))),"")</f>
        <v/>
      </c>
      <c r="L203" s="97" t="n"/>
      <c r="M203" s="97" t="n"/>
      <c r="O203" s="97" t="n"/>
    </row>
    <row r="204" ht="15" customHeight="1" s="93">
      <c r="A204" s="92">
        <f>Backlog!A205</f>
        <v/>
      </c>
      <c r="B204" s="92">
        <f>IFERROR(IF(ISBLANK(INDEX(Backlog[Requirement Name],MATCH($A205,Backlog[Requirement ID],0))),"",INDEX(Backlog[Requirement Name],MATCH($A205,Backlog[Requirement ID],0))),"")</f>
        <v/>
      </c>
      <c r="C204" s="92">
        <f>IFERROR(IF(ISBLANK(INDEX(Backlog[Stream],MATCH($A205,Backlog[Requirement ID],0))),"",INDEX(Backlog[Stream],MATCH($A205,Backlog[Requirement ID],0))),"")</f>
        <v/>
      </c>
      <c r="D204" s="92">
        <f>IFERROR(IF(ISBLANK(INDEX(Backlog[Stream Owner],MATCH($A205,Backlog[Requirement ID],0))),"",INDEX(Backlog[Stream Owner],MATCH($A205,Backlog[Requirement ID],0))),"")</f>
        <v/>
      </c>
      <c r="E204" s="92">
        <f>IFERROR(IF(ISBLANK(INDEX(Backlog[Jira Link],MATCH($A205,Backlog[Requirement ID],0))),"",INDEX(Backlog[Jira Link],MATCH($A205,Backlog[Requirement ID],0))),"")</f>
        <v/>
      </c>
      <c r="H204" s="92">
        <f>IFERROR(IF(ISBLANK(INDEX(SprintPlanning[Sprint],MATCH($A205,SprintPlanning[Requirement ID],0))),"",INDEX(SprintPlanning[Sprint],MATCH($A205,SprintPlanning[Requirement ID],0))),"")</f>
        <v/>
      </c>
      <c r="I204" s="92">
        <f>IFERROR(IF(ISBLANK(INDEX(Backlog[Status],MATCH($A205,Backlog[Requirement ID],0))),"",INDEX(Backlog[Status],MATCH($A205,Backlog[Requirement ID],0))),"")</f>
        <v/>
      </c>
      <c r="J204" s="92">
        <f>IFERROR(IF(ISBLANK(INDEX(Backlog[Priority],MATCH($A205,Backlog[Requirement ID],0))),"",INDEX(Backlog[Priority],MATCH($A205,Backlog[Requirement ID],0))),"")</f>
        <v/>
      </c>
      <c r="L204" s="97" t="n"/>
      <c r="M204" s="97" t="n"/>
      <c r="O204" s="97" t="n"/>
    </row>
    <row r="205" ht="15" customHeight="1" s="93">
      <c r="A205" s="92">
        <f>Backlog!A206</f>
        <v/>
      </c>
      <c r="B205" s="92">
        <f>IFERROR(IF(ISBLANK(INDEX(Backlog[Requirement Name],MATCH($A206,Backlog[Requirement ID],0))),"",INDEX(Backlog[Requirement Name],MATCH($A206,Backlog[Requirement ID],0))),"")</f>
        <v/>
      </c>
      <c r="C205" s="92">
        <f>IFERROR(IF(ISBLANK(INDEX(Backlog[Stream],MATCH($A206,Backlog[Requirement ID],0))),"",INDEX(Backlog[Stream],MATCH($A206,Backlog[Requirement ID],0))),"")</f>
        <v/>
      </c>
      <c r="D205" s="92">
        <f>IFERROR(IF(ISBLANK(INDEX(Backlog[Stream Owner],MATCH($A206,Backlog[Requirement ID],0))),"",INDEX(Backlog[Stream Owner],MATCH($A206,Backlog[Requirement ID],0))),"")</f>
        <v/>
      </c>
      <c r="E205" s="92">
        <f>IFERROR(IF(ISBLANK(INDEX(Backlog[Jira Link],MATCH($A206,Backlog[Requirement ID],0))),"",INDEX(Backlog[Jira Link],MATCH($A206,Backlog[Requirement ID],0))),"")</f>
        <v/>
      </c>
      <c r="H205" s="92">
        <f>IFERROR(IF(ISBLANK(INDEX(SprintPlanning[Sprint],MATCH($A206,SprintPlanning[Requirement ID],0))),"",INDEX(SprintPlanning[Sprint],MATCH($A206,SprintPlanning[Requirement ID],0))),"")</f>
        <v/>
      </c>
      <c r="I205" s="92">
        <f>IFERROR(IF(ISBLANK(INDEX(Backlog[Status],MATCH($A206,Backlog[Requirement ID],0))),"",INDEX(Backlog[Status],MATCH($A206,Backlog[Requirement ID],0))),"")</f>
        <v/>
      </c>
      <c r="J205" s="92">
        <f>IFERROR(IF(ISBLANK(INDEX(Backlog[Priority],MATCH($A206,Backlog[Requirement ID],0))),"",INDEX(Backlog[Priority],MATCH($A206,Backlog[Requirement ID],0))),"")</f>
        <v/>
      </c>
      <c r="L205" s="97" t="n"/>
      <c r="M205" s="97" t="n"/>
      <c r="O205" s="97" t="n"/>
    </row>
    <row r="206" ht="23.25" customHeight="1" s="93">
      <c r="A206" s="92">
        <f>Backlog!A207</f>
        <v/>
      </c>
      <c r="B206" s="92">
        <f>IFERROR(IF(ISBLANK(INDEX(Backlog[Requirement Name],MATCH($A207,Backlog[Requirement ID],0))),"",INDEX(Backlog[Requirement Name],MATCH($A207,Backlog[Requirement ID],0))),"")</f>
        <v/>
      </c>
      <c r="C206" s="92">
        <f>IFERROR(IF(ISBLANK(INDEX(Backlog[Stream],MATCH($A207,Backlog[Requirement ID],0))),"",INDEX(Backlog[Stream],MATCH($A207,Backlog[Requirement ID],0))),"")</f>
        <v/>
      </c>
      <c r="D206" s="92">
        <f>IFERROR(IF(ISBLANK(INDEX(Backlog[Stream Owner],MATCH($A207,Backlog[Requirement ID],0))),"",INDEX(Backlog[Stream Owner],MATCH($A207,Backlog[Requirement ID],0))),"")</f>
        <v/>
      </c>
      <c r="E206" s="92">
        <f>IFERROR(IF(ISBLANK(INDEX(Backlog[Jira Link],MATCH($A207,Backlog[Requirement ID],0))),"",INDEX(Backlog[Jira Link],MATCH($A207,Backlog[Requirement ID],0))),"")</f>
        <v/>
      </c>
      <c r="H206" s="92">
        <f>IFERROR(IF(ISBLANK(INDEX(SprintPlanning[Sprint],MATCH($A207,SprintPlanning[Requirement ID],0))),"",INDEX(SprintPlanning[Sprint],MATCH($A207,SprintPlanning[Requirement ID],0))),"")</f>
        <v/>
      </c>
      <c r="I206" s="92">
        <f>IFERROR(IF(ISBLANK(INDEX(Backlog[Status],MATCH($A207,Backlog[Requirement ID],0))),"",INDEX(Backlog[Status],MATCH($A207,Backlog[Requirement ID],0))),"")</f>
        <v/>
      </c>
      <c r="J206" s="92">
        <f>IFERROR(IF(ISBLANK(INDEX(Backlog[Priority],MATCH($A207,Backlog[Requirement ID],0))),"",INDEX(Backlog[Priority],MATCH($A207,Backlog[Requirement ID],0))),"")</f>
        <v/>
      </c>
      <c r="L206" s="97" t="n"/>
      <c r="M206" s="97" t="n"/>
      <c r="O206" s="97" t="n"/>
    </row>
    <row r="207" ht="15" customHeight="1" s="93">
      <c r="A207" s="92">
        <f>Backlog!A208</f>
        <v/>
      </c>
      <c r="B207" s="92">
        <f>IFERROR(IF(ISBLANK(INDEX(Backlog[Requirement Name],MATCH($A208,Backlog[Requirement ID],0))),"",INDEX(Backlog[Requirement Name],MATCH($A208,Backlog[Requirement ID],0))),"")</f>
        <v/>
      </c>
      <c r="C207" s="92">
        <f>IFERROR(IF(ISBLANK(INDEX(Backlog[Stream],MATCH($A208,Backlog[Requirement ID],0))),"",INDEX(Backlog[Stream],MATCH($A208,Backlog[Requirement ID],0))),"")</f>
        <v/>
      </c>
      <c r="D207" s="92">
        <f>IFERROR(IF(ISBLANK(INDEX(Backlog[Stream Owner],MATCH($A208,Backlog[Requirement ID],0))),"",INDEX(Backlog[Stream Owner],MATCH($A208,Backlog[Requirement ID],0))),"")</f>
        <v/>
      </c>
      <c r="E207" s="92">
        <f>IFERROR(IF(ISBLANK(INDEX(Backlog[Jira Link],MATCH($A208,Backlog[Requirement ID],0))),"",INDEX(Backlog[Jira Link],MATCH($A208,Backlog[Requirement ID],0))),"")</f>
        <v/>
      </c>
      <c r="H207" s="92">
        <f>IFERROR(IF(ISBLANK(INDEX(SprintPlanning[Sprint],MATCH($A208,SprintPlanning[Requirement ID],0))),"",INDEX(SprintPlanning[Sprint],MATCH($A208,SprintPlanning[Requirement ID],0))),"")</f>
        <v/>
      </c>
      <c r="I207" s="92">
        <f>IFERROR(IF(ISBLANK(INDEX(Backlog[Status],MATCH($A208,Backlog[Requirement ID],0))),"",INDEX(Backlog[Status],MATCH($A208,Backlog[Requirement ID],0))),"")</f>
        <v/>
      </c>
      <c r="J207" s="92">
        <f>IFERROR(IF(ISBLANK(INDEX(Backlog[Priority],MATCH($A208,Backlog[Requirement ID],0))),"",INDEX(Backlog[Priority],MATCH($A208,Backlog[Requirement ID],0))),"")</f>
        <v/>
      </c>
      <c r="L207" s="97" t="n"/>
      <c r="M207" s="97" t="n"/>
      <c r="O207" s="97" t="n"/>
    </row>
    <row r="208" ht="15" customHeight="1" s="93">
      <c r="A208" s="92">
        <f>Backlog!A209</f>
        <v/>
      </c>
      <c r="B208" s="92">
        <f>IFERROR(IF(ISBLANK(INDEX(Backlog[Requirement Name],MATCH($A209,Backlog[Requirement ID],0))),"",INDEX(Backlog[Requirement Name],MATCH($A209,Backlog[Requirement ID],0))),"")</f>
        <v/>
      </c>
      <c r="C208" s="92">
        <f>IFERROR(IF(ISBLANK(INDEX(Backlog[Stream],MATCH($A209,Backlog[Requirement ID],0))),"",INDEX(Backlog[Stream],MATCH($A209,Backlog[Requirement ID],0))),"")</f>
        <v/>
      </c>
      <c r="D208" s="92">
        <f>IFERROR(IF(ISBLANK(INDEX(Backlog[Stream Owner],MATCH($A209,Backlog[Requirement ID],0))),"",INDEX(Backlog[Stream Owner],MATCH($A209,Backlog[Requirement ID],0))),"")</f>
        <v/>
      </c>
      <c r="E208" s="92">
        <f>IFERROR(IF(ISBLANK(INDEX(Backlog[Jira Link],MATCH($A209,Backlog[Requirement ID],0))),"",INDEX(Backlog[Jira Link],MATCH($A209,Backlog[Requirement ID],0))),"")</f>
        <v/>
      </c>
      <c r="H208" s="92">
        <f>IFERROR(IF(ISBLANK(INDEX(SprintPlanning[Sprint],MATCH($A209,SprintPlanning[Requirement ID],0))),"",INDEX(SprintPlanning[Sprint],MATCH($A209,SprintPlanning[Requirement ID],0))),"")</f>
        <v/>
      </c>
      <c r="I208" s="92">
        <f>IFERROR(IF(ISBLANK(INDEX(Backlog[Status],MATCH($A209,Backlog[Requirement ID],0))),"",INDEX(Backlog[Status],MATCH($A209,Backlog[Requirement ID],0))),"")</f>
        <v/>
      </c>
      <c r="J208" s="92">
        <f>IFERROR(IF(ISBLANK(INDEX(Backlog[Priority],MATCH($A209,Backlog[Requirement ID],0))),"",INDEX(Backlog[Priority],MATCH($A209,Backlog[Requirement ID],0))),"")</f>
        <v/>
      </c>
      <c r="L208" s="97" t="n"/>
      <c r="M208" s="97" t="n"/>
      <c r="O208" s="97" t="n"/>
    </row>
    <row r="209" ht="15" customHeight="1" s="93">
      <c r="A209" s="92">
        <f>Backlog!A210</f>
        <v/>
      </c>
      <c r="B209" s="92">
        <f>IFERROR(IF(ISBLANK(INDEX(Backlog[Requirement Name],MATCH($A210,Backlog[Requirement ID],0))),"",INDEX(Backlog[Requirement Name],MATCH($A210,Backlog[Requirement ID],0))),"")</f>
        <v/>
      </c>
      <c r="C209" s="92">
        <f>IFERROR(IF(ISBLANK(INDEX(Backlog[Stream],MATCH($A210,Backlog[Requirement ID],0))),"",INDEX(Backlog[Stream],MATCH($A210,Backlog[Requirement ID],0))),"")</f>
        <v/>
      </c>
      <c r="D209" s="92">
        <f>IFERROR(IF(ISBLANK(INDEX(Backlog[Stream Owner],MATCH($A210,Backlog[Requirement ID],0))),"",INDEX(Backlog[Stream Owner],MATCH($A210,Backlog[Requirement ID],0))),"")</f>
        <v/>
      </c>
      <c r="E209" s="92">
        <f>IFERROR(IF(ISBLANK(INDEX(Backlog[Jira Link],MATCH($A210,Backlog[Requirement ID],0))),"",INDEX(Backlog[Jira Link],MATCH($A210,Backlog[Requirement ID],0))),"")</f>
        <v/>
      </c>
      <c r="H209" s="92">
        <f>IFERROR(IF(ISBLANK(INDEX(SprintPlanning[Sprint],MATCH($A210,SprintPlanning[Requirement ID],0))),"",INDEX(SprintPlanning[Sprint],MATCH($A210,SprintPlanning[Requirement ID],0))),"")</f>
        <v/>
      </c>
      <c r="I209" s="92">
        <f>IFERROR(IF(ISBLANK(INDEX(Backlog[Status],MATCH($A210,Backlog[Requirement ID],0))),"",INDEX(Backlog[Status],MATCH($A210,Backlog[Requirement ID],0))),"")</f>
        <v/>
      </c>
      <c r="J209" s="92">
        <f>IFERROR(IF(ISBLANK(INDEX(Backlog[Priority],MATCH($A210,Backlog[Requirement ID],0))),"",INDEX(Backlog[Priority],MATCH($A210,Backlog[Requirement ID],0))),"")</f>
        <v/>
      </c>
      <c r="L209" s="97" t="n"/>
      <c r="M209" s="97" t="n"/>
      <c r="O209" s="97" t="n"/>
    </row>
    <row r="210" ht="15" customHeight="1" s="93">
      <c r="A210" s="92">
        <f>Backlog!A211</f>
        <v/>
      </c>
      <c r="B210" s="92">
        <f>IFERROR(IF(ISBLANK(INDEX(Backlog[Requirement Name],MATCH($A211,Backlog[Requirement ID],0))),"",INDEX(Backlog[Requirement Name],MATCH($A211,Backlog[Requirement ID],0))),"")</f>
        <v/>
      </c>
      <c r="C210" s="92">
        <f>IFERROR(IF(ISBLANK(INDEX(Backlog[Stream],MATCH($A211,Backlog[Requirement ID],0))),"",INDEX(Backlog[Stream],MATCH($A211,Backlog[Requirement ID],0))),"")</f>
        <v/>
      </c>
      <c r="D210" s="92">
        <f>IFERROR(IF(ISBLANK(INDEX(Backlog[Stream Owner],MATCH($A211,Backlog[Requirement ID],0))),"",INDEX(Backlog[Stream Owner],MATCH($A211,Backlog[Requirement ID],0))),"")</f>
        <v/>
      </c>
      <c r="E210" s="92">
        <f>IFERROR(IF(ISBLANK(INDEX(Backlog[Jira Link],MATCH($A211,Backlog[Requirement ID],0))),"",INDEX(Backlog[Jira Link],MATCH($A211,Backlog[Requirement ID],0))),"")</f>
        <v/>
      </c>
      <c r="H210" s="92">
        <f>IFERROR(IF(ISBLANK(INDEX(SprintPlanning[Sprint],MATCH($A211,SprintPlanning[Requirement ID],0))),"",INDEX(SprintPlanning[Sprint],MATCH($A211,SprintPlanning[Requirement ID],0))),"")</f>
        <v/>
      </c>
      <c r="I210" s="92">
        <f>IFERROR(IF(ISBLANK(INDEX(Backlog[Status],MATCH($A211,Backlog[Requirement ID],0))),"",INDEX(Backlog[Status],MATCH($A211,Backlog[Requirement ID],0))),"")</f>
        <v/>
      </c>
      <c r="J210" s="92">
        <f>IFERROR(IF(ISBLANK(INDEX(Backlog[Priority],MATCH($A211,Backlog[Requirement ID],0))),"",INDEX(Backlog[Priority],MATCH($A211,Backlog[Requirement ID],0))),"")</f>
        <v/>
      </c>
      <c r="L210" s="97" t="n"/>
      <c r="M210" s="97" t="n"/>
      <c r="O210" s="97" t="n"/>
    </row>
    <row r="211" ht="15" customHeight="1" s="93">
      <c r="A211" s="92">
        <f>Backlog!A212</f>
        <v/>
      </c>
      <c r="B211" s="92">
        <f>IFERROR(IF(ISBLANK(INDEX(Backlog[Requirement Name],MATCH($A212,Backlog[Requirement ID],0))),"",INDEX(Backlog[Requirement Name],MATCH($A212,Backlog[Requirement ID],0))),"")</f>
        <v/>
      </c>
      <c r="C211" s="92">
        <f>IFERROR(IF(ISBLANK(INDEX(Backlog[Stream],MATCH($A212,Backlog[Requirement ID],0))),"",INDEX(Backlog[Stream],MATCH($A212,Backlog[Requirement ID],0))),"")</f>
        <v/>
      </c>
      <c r="D211" s="92">
        <f>IFERROR(IF(ISBLANK(INDEX(Backlog[Stream Owner],MATCH($A212,Backlog[Requirement ID],0))),"",INDEX(Backlog[Stream Owner],MATCH($A212,Backlog[Requirement ID],0))),"")</f>
        <v/>
      </c>
      <c r="E211" s="92">
        <f>IFERROR(IF(ISBLANK(INDEX(Backlog[Jira Link],MATCH($A212,Backlog[Requirement ID],0))),"",INDEX(Backlog[Jira Link],MATCH($A212,Backlog[Requirement ID],0))),"")</f>
        <v/>
      </c>
      <c r="H211" s="92">
        <f>IFERROR(IF(ISBLANK(INDEX(SprintPlanning[Sprint],MATCH($A212,SprintPlanning[Requirement ID],0))),"",INDEX(SprintPlanning[Sprint],MATCH($A212,SprintPlanning[Requirement ID],0))),"")</f>
        <v/>
      </c>
      <c r="I211" s="92">
        <f>IFERROR(IF(ISBLANK(INDEX(Backlog[Status],MATCH($A212,Backlog[Requirement ID],0))),"",INDEX(Backlog[Status],MATCH($A212,Backlog[Requirement ID],0))),"")</f>
        <v/>
      </c>
      <c r="J211" s="92">
        <f>IFERROR(IF(ISBLANK(INDEX(Backlog[Priority],MATCH($A212,Backlog[Requirement ID],0))),"",INDEX(Backlog[Priority],MATCH($A212,Backlog[Requirement ID],0))),"")</f>
        <v/>
      </c>
      <c r="L211" s="97" t="n"/>
      <c r="M211" s="97" t="n"/>
      <c r="O211" s="97" t="n"/>
    </row>
    <row r="212" ht="15" customHeight="1" s="93">
      <c r="A212" s="92">
        <f>Backlog!A213</f>
        <v/>
      </c>
      <c r="B212" s="92">
        <f>IFERROR(IF(ISBLANK(INDEX(Backlog[Requirement Name],MATCH($A213,Backlog[Requirement ID],0))),"",INDEX(Backlog[Requirement Name],MATCH($A213,Backlog[Requirement ID],0))),"")</f>
        <v/>
      </c>
      <c r="C212" s="92">
        <f>IFERROR(IF(ISBLANK(INDEX(Backlog[Stream],MATCH($A213,Backlog[Requirement ID],0))),"",INDEX(Backlog[Stream],MATCH($A213,Backlog[Requirement ID],0))),"")</f>
        <v/>
      </c>
      <c r="D212" s="92">
        <f>IFERROR(IF(ISBLANK(INDEX(Backlog[Stream Owner],MATCH($A213,Backlog[Requirement ID],0))),"",INDEX(Backlog[Stream Owner],MATCH($A213,Backlog[Requirement ID],0))),"")</f>
        <v/>
      </c>
      <c r="E212" s="92">
        <f>IFERROR(IF(ISBLANK(INDEX(Backlog[Jira Link],MATCH($A213,Backlog[Requirement ID],0))),"",INDEX(Backlog[Jira Link],MATCH($A213,Backlog[Requirement ID],0))),"")</f>
        <v/>
      </c>
      <c r="H212" s="92">
        <f>IFERROR(IF(ISBLANK(INDEX(SprintPlanning[Sprint],MATCH($A213,SprintPlanning[Requirement ID],0))),"",INDEX(SprintPlanning[Sprint],MATCH($A213,SprintPlanning[Requirement ID],0))),"")</f>
        <v/>
      </c>
      <c r="I212" s="92">
        <f>IFERROR(IF(ISBLANK(INDEX(Backlog[Status],MATCH($A213,Backlog[Requirement ID],0))),"",INDEX(Backlog[Status],MATCH($A213,Backlog[Requirement ID],0))),"")</f>
        <v/>
      </c>
      <c r="J212" s="92">
        <f>IFERROR(IF(ISBLANK(INDEX(Backlog[Priority],MATCH($A213,Backlog[Requirement ID],0))),"",INDEX(Backlog[Priority],MATCH($A213,Backlog[Requirement ID],0))),"")</f>
        <v/>
      </c>
      <c r="L212" s="97" t="n"/>
      <c r="M212" s="97" t="n"/>
      <c r="O212" s="97" t="n"/>
    </row>
    <row r="213" ht="15" customHeight="1" s="93">
      <c r="A213" s="92">
        <f>Backlog!A214</f>
        <v/>
      </c>
      <c r="B213" s="92">
        <f>IFERROR(IF(ISBLANK(INDEX(Backlog[Requirement Name],MATCH($A214,Backlog[Requirement ID],0))),"",INDEX(Backlog[Requirement Name],MATCH($A214,Backlog[Requirement ID],0))),"")</f>
        <v/>
      </c>
      <c r="C213" s="92">
        <f>IFERROR(IF(ISBLANK(INDEX(Backlog[Stream],MATCH($A214,Backlog[Requirement ID],0))),"",INDEX(Backlog[Stream],MATCH($A214,Backlog[Requirement ID],0))),"")</f>
        <v/>
      </c>
      <c r="D213" s="92">
        <f>IFERROR(IF(ISBLANK(INDEX(Backlog[Stream Owner],MATCH($A214,Backlog[Requirement ID],0))),"",INDEX(Backlog[Stream Owner],MATCH($A214,Backlog[Requirement ID],0))),"")</f>
        <v/>
      </c>
      <c r="E213" s="92">
        <f>IFERROR(IF(ISBLANK(INDEX(Backlog[Jira Link],MATCH($A214,Backlog[Requirement ID],0))),"",INDEX(Backlog[Jira Link],MATCH($A214,Backlog[Requirement ID],0))),"")</f>
        <v/>
      </c>
      <c r="H213" s="92">
        <f>IFERROR(IF(ISBLANK(INDEX(SprintPlanning[Sprint],MATCH($A214,SprintPlanning[Requirement ID],0))),"",INDEX(SprintPlanning[Sprint],MATCH($A214,SprintPlanning[Requirement ID],0))),"")</f>
        <v/>
      </c>
      <c r="I213" s="92">
        <f>IFERROR(IF(ISBLANK(INDEX(Backlog[Status],MATCH($A214,Backlog[Requirement ID],0))),"",INDEX(Backlog[Status],MATCH($A214,Backlog[Requirement ID],0))),"")</f>
        <v/>
      </c>
      <c r="J213" s="92">
        <f>IFERROR(IF(ISBLANK(INDEX(Backlog[Priority],MATCH($A214,Backlog[Requirement ID],0))),"",INDEX(Backlog[Priority],MATCH($A214,Backlog[Requirement ID],0))),"")</f>
        <v/>
      </c>
      <c r="L213" s="97" t="n"/>
      <c r="M213" s="97" t="n"/>
      <c r="O213" s="97" t="n"/>
    </row>
    <row r="214" ht="15" customHeight="1" s="93">
      <c r="A214" s="92">
        <f>Backlog!A215</f>
        <v/>
      </c>
      <c r="B214" s="92">
        <f>IFERROR(IF(ISBLANK(INDEX(Backlog[Requirement Name],MATCH($A215,Backlog[Requirement ID],0))),"",INDEX(Backlog[Requirement Name],MATCH($A215,Backlog[Requirement ID],0))),"")</f>
        <v/>
      </c>
      <c r="C214" s="92">
        <f>IFERROR(IF(ISBLANK(INDEX(Backlog[Stream],MATCH($A215,Backlog[Requirement ID],0))),"",INDEX(Backlog[Stream],MATCH($A215,Backlog[Requirement ID],0))),"")</f>
        <v/>
      </c>
      <c r="D214" s="92">
        <f>IFERROR(IF(ISBLANK(INDEX(Backlog[Stream Owner],MATCH($A215,Backlog[Requirement ID],0))),"",INDEX(Backlog[Stream Owner],MATCH($A215,Backlog[Requirement ID],0))),"")</f>
        <v/>
      </c>
      <c r="E214" s="92">
        <f>IFERROR(IF(ISBLANK(INDEX(Backlog[Jira Link],MATCH($A215,Backlog[Requirement ID],0))),"",INDEX(Backlog[Jira Link],MATCH($A215,Backlog[Requirement ID],0))),"")</f>
        <v/>
      </c>
      <c r="H214" s="92">
        <f>IFERROR(IF(ISBLANK(INDEX(SprintPlanning[Sprint],MATCH($A215,SprintPlanning[Requirement ID],0))),"",INDEX(SprintPlanning[Sprint],MATCH($A215,SprintPlanning[Requirement ID],0))),"")</f>
        <v/>
      </c>
      <c r="I214" s="92">
        <f>IFERROR(IF(ISBLANK(INDEX(Backlog[Status],MATCH($A215,Backlog[Requirement ID],0))),"",INDEX(Backlog[Status],MATCH($A215,Backlog[Requirement ID],0))),"")</f>
        <v/>
      </c>
      <c r="J214" s="92">
        <f>IFERROR(IF(ISBLANK(INDEX(Backlog[Priority],MATCH($A215,Backlog[Requirement ID],0))),"",INDEX(Backlog[Priority],MATCH($A215,Backlog[Requirement ID],0))),"")</f>
        <v/>
      </c>
      <c r="L214" s="97" t="n"/>
      <c r="M214" s="97" t="n"/>
      <c r="O214" s="97" t="n"/>
    </row>
    <row r="215" ht="15" customHeight="1" s="93">
      <c r="A215" s="92">
        <f>Backlog!A216</f>
        <v/>
      </c>
      <c r="B215" s="92">
        <f>IFERROR(IF(ISBLANK(INDEX(Backlog[Requirement Name],MATCH($A216,Backlog[Requirement ID],0))),"",INDEX(Backlog[Requirement Name],MATCH($A216,Backlog[Requirement ID],0))),"")</f>
        <v/>
      </c>
      <c r="C215" s="92">
        <f>IFERROR(IF(ISBLANK(INDEX(Backlog[Stream],MATCH($A216,Backlog[Requirement ID],0))),"",INDEX(Backlog[Stream],MATCH($A216,Backlog[Requirement ID],0))),"")</f>
        <v/>
      </c>
      <c r="D215" s="92">
        <f>IFERROR(IF(ISBLANK(INDEX(Backlog[Stream Owner],MATCH($A216,Backlog[Requirement ID],0))),"",INDEX(Backlog[Stream Owner],MATCH($A216,Backlog[Requirement ID],0))),"")</f>
        <v/>
      </c>
      <c r="E215" s="92">
        <f>IFERROR(IF(ISBLANK(INDEX(Backlog[Jira Link],MATCH($A216,Backlog[Requirement ID],0))),"",INDEX(Backlog[Jira Link],MATCH($A216,Backlog[Requirement ID],0))),"")</f>
        <v/>
      </c>
      <c r="H215" s="92">
        <f>IFERROR(IF(ISBLANK(INDEX(SprintPlanning[Sprint],MATCH($A216,SprintPlanning[Requirement ID],0))),"",INDEX(SprintPlanning[Sprint],MATCH($A216,SprintPlanning[Requirement ID],0))),"")</f>
        <v/>
      </c>
      <c r="I215" s="92">
        <f>IFERROR(IF(ISBLANK(INDEX(Backlog[Status],MATCH($A216,Backlog[Requirement ID],0))),"",INDEX(Backlog[Status],MATCH($A216,Backlog[Requirement ID],0))),"")</f>
        <v/>
      </c>
      <c r="J215" s="92">
        <f>IFERROR(IF(ISBLANK(INDEX(Backlog[Priority],MATCH($A216,Backlog[Requirement ID],0))),"",INDEX(Backlog[Priority],MATCH($A216,Backlog[Requirement ID],0))),"")</f>
        <v/>
      </c>
      <c r="L215" s="97" t="n"/>
      <c r="M215" s="97" t="n"/>
      <c r="O215" s="97" t="n"/>
    </row>
    <row r="216" ht="15" customHeight="1" s="93">
      <c r="A216" s="92">
        <f>Backlog!A217</f>
        <v/>
      </c>
      <c r="B216" s="92">
        <f>IFERROR(IF(ISBLANK(INDEX(Backlog[Requirement Name],MATCH($A217,Backlog[Requirement ID],0))),"",INDEX(Backlog[Requirement Name],MATCH($A217,Backlog[Requirement ID],0))),"")</f>
        <v/>
      </c>
      <c r="C216" s="92">
        <f>IFERROR(IF(ISBLANK(INDEX(Backlog[Stream],MATCH($A217,Backlog[Requirement ID],0))),"",INDEX(Backlog[Stream],MATCH($A217,Backlog[Requirement ID],0))),"")</f>
        <v/>
      </c>
      <c r="D216" s="92">
        <f>IFERROR(IF(ISBLANK(INDEX(Backlog[Stream Owner],MATCH($A217,Backlog[Requirement ID],0))),"",INDEX(Backlog[Stream Owner],MATCH($A217,Backlog[Requirement ID],0))),"")</f>
        <v/>
      </c>
      <c r="E216" s="92">
        <f>IFERROR(IF(ISBLANK(INDEX(Backlog[Jira Link],MATCH($A217,Backlog[Requirement ID],0))),"",INDEX(Backlog[Jira Link],MATCH($A217,Backlog[Requirement ID],0))),"")</f>
        <v/>
      </c>
      <c r="H216" s="92">
        <f>IFERROR(IF(ISBLANK(INDEX(SprintPlanning[Sprint],MATCH($A217,SprintPlanning[Requirement ID],0))),"",INDEX(SprintPlanning[Sprint],MATCH($A217,SprintPlanning[Requirement ID],0))),"")</f>
        <v/>
      </c>
      <c r="I216" s="92">
        <f>IFERROR(IF(ISBLANK(INDEX(Backlog[Status],MATCH($A217,Backlog[Requirement ID],0))),"",INDEX(Backlog[Status],MATCH($A217,Backlog[Requirement ID],0))),"")</f>
        <v/>
      </c>
      <c r="J216" s="92">
        <f>IFERROR(IF(ISBLANK(INDEX(Backlog[Priority],MATCH($A217,Backlog[Requirement ID],0))),"",INDEX(Backlog[Priority],MATCH($A217,Backlog[Requirement ID],0))),"")</f>
        <v/>
      </c>
      <c r="L216" s="97" t="n"/>
      <c r="M216" s="97" t="n"/>
      <c r="O216" s="97" t="n"/>
    </row>
    <row r="217" ht="15" customHeight="1" s="93">
      <c r="A217" s="92">
        <f>Backlog!A218</f>
        <v/>
      </c>
      <c r="B217" s="92">
        <f>IFERROR(IF(ISBLANK(INDEX(Backlog[Requirement Name],MATCH($A218,Backlog[Requirement ID],0))),"",INDEX(Backlog[Requirement Name],MATCH($A218,Backlog[Requirement ID],0))),"")</f>
        <v/>
      </c>
      <c r="C217" s="92">
        <f>IFERROR(IF(ISBLANK(INDEX(Backlog[Stream],MATCH($A218,Backlog[Requirement ID],0))),"",INDEX(Backlog[Stream],MATCH($A218,Backlog[Requirement ID],0))),"")</f>
        <v/>
      </c>
      <c r="D217" s="92">
        <f>IFERROR(IF(ISBLANK(INDEX(Backlog[Stream Owner],MATCH($A218,Backlog[Requirement ID],0))),"",INDEX(Backlog[Stream Owner],MATCH($A218,Backlog[Requirement ID],0))),"")</f>
        <v/>
      </c>
      <c r="E217" s="92">
        <f>IFERROR(IF(ISBLANK(INDEX(Backlog[Jira Link],MATCH($A218,Backlog[Requirement ID],0))),"",INDEX(Backlog[Jira Link],MATCH($A218,Backlog[Requirement ID],0))),"")</f>
        <v/>
      </c>
      <c r="H217" s="92">
        <f>IFERROR(IF(ISBLANK(INDEX(SprintPlanning[Sprint],MATCH($A218,SprintPlanning[Requirement ID],0))),"",INDEX(SprintPlanning[Sprint],MATCH($A218,SprintPlanning[Requirement ID],0))),"")</f>
        <v/>
      </c>
      <c r="I217" s="92">
        <f>IFERROR(IF(ISBLANK(INDEX(Backlog[Status],MATCH($A218,Backlog[Requirement ID],0))),"",INDEX(Backlog[Status],MATCH($A218,Backlog[Requirement ID],0))),"")</f>
        <v/>
      </c>
      <c r="J217" s="92">
        <f>IFERROR(IF(ISBLANK(INDEX(Backlog[Priority],MATCH($A218,Backlog[Requirement ID],0))),"",INDEX(Backlog[Priority],MATCH($A218,Backlog[Requirement ID],0))),"")</f>
        <v/>
      </c>
      <c r="L217" s="97" t="n"/>
      <c r="M217" s="97" t="n"/>
      <c r="O217" s="97" t="n"/>
    </row>
    <row r="218" ht="15" customHeight="1" s="93">
      <c r="A218" s="92">
        <f>Backlog!A219</f>
        <v/>
      </c>
      <c r="B218" s="92">
        <f>IFERROR(IF(ISBLANK(INDEX(Backlog[Requirement Name],MATCH($A219,Backlog[Requirement ID],0))),"",INDEX(Backlog[Requirement Name],MATCH($A219,Backlog[Requirement ID],0))),"")</f>
        <v/>
      </c>
      <c r="C218" s="92">
        <f>IFERROR(IF(ISBLANK(INDEX(Backlog[Stream],MATCH($A219,Backlog[Requirement ID],0))),"",INDEX(Backlog[Stream],MATCH($A219,Backlog[Requirement ID],0))),"")</f>
        <v/>
      </c>
      <c r="D218" s="92">
        <f>IFERROR(IF(ISBLANK(INDEX(Backlog[Stream Owner],MATCH($A219,Backlog[Requirement ID],0))),"",INDEX(Backlog[Stream Owner],MATCH($A219,Backlog[Requirement ID],0))),"")</f>
        <v/>
      </c>
      <c r="E218" s="92">
        <f>IFERROR(IF(ISBLANK(INDEX(Backlog[Jira Link],MATCH($A219,Backlog[Requirement ID],0))),"",INDEX(Backlog[Jira Link],MATCH($A219,Backlog[Requirement ID],0))),"")</f>
        <v/>
      </c>
      <c r="H218" s="92">
        <f>IFERROR(IF(ISBLANK(INDEX(SprintPlanning[Sprint],MATCH($A219,SprintPlanning[Requirement ID],0))),"",INDEX(SprintPlanning[Sprint],MATCH($A219,SprintPlanning[Requirement ID],0))),"")</f>
        <v/>
      </c>
      <c r="I218" s="92">
        <f>IFERROR(IF(ISBLANK(INDEX(Backlog[Status],MATCH($A219,Backlog[Requirement ID],0))),"",INDEX(Backlog[Status],MATCH($A219,Backlog[Requirement ID],0))),"")</f>
        <v/>
      </c>
      <c r="J218" s="92">
        <f>IFERROR(IF(ISBLANK(INDEX(Backlog[Priority],MATCH($A219,Backlog[Requirement ID],0))),"",INDEX(Backlog[Priority],MATCH($A219,Backlog[Requirement ID],0))),"")</f>
        <v/>
      </c>
      <c r="L218" s="97" t="n"/>
      <c r="M218" s="97" t="n"/>
      <c r="O218" s="97" t="n"/>
    </row>
    <row r="219" ht="15" customHeight="1" s="93">
      <c r="A219" s="92">
        <f>Backlog!A220</f>
        <v/>
      </c>
      <c r="B219" s="92">
        <f>IFERROR(IF(ISBLANK(INDEX(Backlog[Requirement Name],MATCH($A220,Backlog[Requirement ID],0))),"",INDEX(Backlog[Requirement Name],MATCH($A220,Backlog[Requirement ID],0))),"")</f>
        <v/>
      </c>
      <c r="C219" s="92">
        <f>IFERROR(IF(ISBLANK(INDEX(Backlog[Stream],MATCH($A220,Backlog[Requirement ID],0))),"",INDEX(Backlog[Stream],MATCH($A220,Backlog[Requirement ID],0))),"")</f>
        <v/>
      </c>
      <c r="D219" s="92">
        <f>IFERROR(IF(ISBLANK(INDEX(Backlog[Stream Owner],MATCH($A220,Backlog[Requirement ID],0))),"",INDEX(Backlog[Stream Owner],MATCH($A220,Backlog[Requirement ID],0))),"")</f>
        <v/>
      </c>
      <c r="E219" s="92">
        <f>IFERROR(IF(ISBLANK(INDEX(Backlog[Jira Link],MATCH($A220,Backlog[Requirement ID],0))),"",INDEX(Backlog[Jira Link],MATCH($A220,Backlog[Requirement ID],0))),"")</f>
        <v/>
      </c>
      <c r="H219" s="92">
        <f>IFERROR(IF(ISBLANK(INDEX(SprintPlanning[Sprint],MATCH($A220,SprintPlanning[Requirement ID],0))),"",INDEX(SprintPlanning[Sprint],MATCH($A220,SprintPlanning[Requirement ID],0))),"")</f>
        <v/>
      </c>
      <c r="I219" s="92">
        <f>IFERROR(IF(ISBLANK(INDEX(Backlog[Status],MATCH($A220,Backlog[Requirement ID],0))),"",INDEX(Backlog[Status],MATCH($A220,Backlog[Requirement ID],0))),"")</f>
        <v/>
      </c>
      <c r="J219" s="92">
        <f>IFERROR(IF(ISBLANK(INDEX(Backlog[Priority],MATCH($A220,Backlog[Requirement ID],0))),"",INDEX(Backlog[Priority],MATCH($A220,Backlog[Requirement ID],0))),"")</f>
        <v/>
      </c>
      <c r="L219" s="97" t="n"/>
      <c r="M219" s="97" t="n"/>
      <c r="O219" s="97" t="n"/>
    </row>
    <row r="220" ht="15" customHeight="1" s="93">
      <c r="A220" s="92">
        <f>Backlog!A221</f>
        <v/>
      </c>
      <c r="B220" s="92">
        <f>IFERROR(IF(ISBLANK(INDEX(Backlog[Requirement Name],MATCH($A221,Backlog[Requirement ID],0))),"",INDEX(Backlog[Requirement Name],MATCH($A221,Backlog[Requirement ID],0))),"")</f>
        <v/>
      </c>
      <c r="C220" s="92">
        <f>IFERROR(IF(ISBLANK(INDEX(Backlog[Stream],MATCH($A221,Backlog[Requirement ID],0))),"",INDEX(Backlog[Stream],MATCH($A221,Backlog[Requirement ID],0))),"")</f>
        <v/>
      </c>
      <c r="D220" s="92">
        <f>IFERROR(IF(ISBLANK(INDEX(Backlog[Stream Owner],MATCH($A221,Backlog[Requirement ID],0))),"",INDEX(Backlog[Stream Owner],MATCH($A221,Backlog[Requirement ID],0))),"")</f>
        <v/>
      </c>
      <c r="E220" s="92">
        <f>IFERROR(IF(ISBLANK(INDEX(Backlog[Jira Link],MATCH($A221,Backlog[Requirement ID],0))),"",INDEX(Backlog[Jira Link],MATCH($A221,Backlog[Requirement ID],0))),"")</f>
        <v/>
      </c>
      <c r="H220" s="92">
        <f>IFERROR(IF(ISBLANK(INDEX(SprintPlanning[Sprint],MATCH($A221,SprintPlanning[Requirement ID],0))),"",INDEX(SprintPlanning[Sprint],MATCH($A221,SprintPlanning[Requirement ID],0))),"")</f>
        <v/>
      </c>
      <c r="I220" s="92">
        <f>IFERROR(IF(ISBLANK(INDEX(Backlog[Status],MATCH($A221,Backlog[Requirement ID],0))),"",INDEX(Backlog[Status],MATCH($A221,Backlog[Requirement ID],0))),"")</f>
        <v/>
      </c>
      <c r="J220" s="92">
        <f>IFERROR(IF(ISBLANK(INDEX(Backlog[Priority],MATCH($A221,Backlog[Requirement ID],0))),"",INDEX(Backlog[Priority],MATCH($A221,Backlog[Requirement ID],0))),"")</f>
        <v/>
      </c>
      <c r="L220" s="97" t="n"/>
      <c r="M220" s="97" t="n"/>
      <c r="O220" s="97" t="n"/>
    </row>
    <row r="221" ht="15" customHeight="1" s="93">
      <c r="A221" s="92">
        <f>Backlog!A222</f>
        <v/>
      </c>
      <c r="B221" s="92">
        <f>IFERROR(IF(ISBLANK(INDEX(Backlog[Requirement Name],MATCH($A222,Backlog[Requirement ID],0))),"",INDEX(Backlog[Requirement Name],MATCH($A222,Backlog[Requirement ID],0))),"")</f>
        <v/>
      </c>
      <c r="C221" s="92">
        <f>IFERROR(IF(ISBLANK(INDEX(Backlog[Stream],MATCH($A222,Backlog[Requirement ID],0))),"",INDEX(Backlog[Stream],MATCH($A222,Backlog[Requirement ID],0))),"")</f>
        <v/>
      </c>
      <c r="D221" s="92">
        <f>IFERROR(IF(ISBLANK(INDEX(Backlog[Stream Owner],MATCH($A222,Backlog[Requirement ID],0))),"",INDEX(Backlog[Stream Owner],MATCH($A222,Backlog[Requirement ID],0))),"")</f>
        <v/>
      </c>
      <c r="E221" s="92">
        <f>IFERROR(IF(ISBLANK(INDEX(Backlog[Jira Link],MATCH($A222,Backlog[Requirement ID],0))),"",INDEX(Backlog[Jira Link],MATCH($A222,Backlog[Requirement ID],0))),"")</f>
        <v/>
      </c>
      <c r="H221" s="92">
        <f>IFERROR(IF(ISBLANK(INDEX(SprintPlanning[Sprint],MATCH($A222,SprintPlanning[Requirement ID],0))),"",INDEX(SprintPlanning[Sprint],MATCH($A222,SprintPlanning[Requirement ID],0))),"")</f>
        <v/>
      </c>
      <c r="I221" s="92">
        <f>IFERROR(IF(ISBLANK(INDEX(Backlog[Status],MATCH($A222,Backlog[Requirement ID],0))),"",INDEX(Backlog[Status],MATCH($A222,Backlog[Requirement ID],0))),"")</f>
        <v/>
      </c>
      <c r="J221" s="92">
        <f>IFERROR(IF(ISBLANK(INDEX(Backlog[Priority],MATCH($A222,Backlog[Requirement ID],0))),"",INDEX(Backlog[Priority],MATCH($A222,Backlog[Requirement ID],0))),"")</f>
        <v/>
      </c>
      <c r="L221" s="97" t="n"/>
      <c r="M221" s="97" t="n"/>
      <c r="O221" s="97" t="n"/>
    </row>
    <row r="222" ht="15" customHeight="1" s="93">
      <c r="A222" s="92">
        <f>Backlog!A223</f>
        <v/>
      </c>
      <c r="B222" s="92">
        <f>IFERROR(IF(ISBLANK(INDEX(Backlog[Requirement Name],MATCH($A223,Backlog[Requirement ID],0))),"",INDEX(Backlog[Requirement Name],MATCH($A223,Backlog[Requirement ID],0))),"")</f>
        <v/>
      </c>
      <c r="C222" s="92">
        <f>IFERROR(IF(ISBLANK(INDEX(Backlog[Stream],MATCH($A223,Backlog[Requirement ID],0))),"",INDEX(Backlog[Stream],MATCH($A223,Backlog[Requirement ID],0))),"")</f>
        <v/>
      </c>
      <c r="D222" s="92">
        <f>IFERROR(IF(ISBLANK(INDEX(Backlog[Stream Owner],MATCH($A223,Backlog[Requirement ID],0))),"",INDEX(Backlog[Stream Owner],MATCH($A223,Backlog[Requirement ID],0))),"")</f>
        <v/>
      </c>
      <c r="E222" s="92">
        <f>IFERROR(IF(ISBLANK(INDEX(Backlog[Jira Link],MATCH($A223,Backlog[Requirement ID],0))),"",INDEX(Backlog[Jira Link],MATCH($A223,Backlog[Requirement ID],0))),"")</f>
        <v/>
      </c>
      <c r="H222" s="92">
        <f>IFERROR(IF(ISBLANK(INDEX(SprintPlanning[Sprint],MATCH($A223,SprintPlanning[Requirement ID],0))),"",INDEX(SprintPlanning[Sprint],MATCH($A223,SprintPlanning[Requirement ID],0))),"")</f>
        <v/>
      </c>
      <c r="I222" s="92">
        <f>IFERROR(IF(ISBLANK(INDEX(Backlog[Status],MATCH($A223,Backlog[Requirement ID],0))),"",INDEX(Backlog[Status],MATCH($A223,Backlog[Requirement ID],0))),"")</f>
        <v/>
      </c>
      <c r="J222" s="92">
        <f>IFERROR(IF(ISBLANK(INDEX(Backlog[Priority],MATCH($A223,Backlog[Requirement ID],0))),"",INDEX(Backlog[Priority],MATCH($A223,Backlog[Requirement ID],0))),"")</f>
        <v/>
      </c>
      <c r="L222" s="97" t="n"/>
      <c r="M222" s="97" t="n"/>
      <c r="O222" s="97" t="n"/>
    </row>
    <row r="223" ht="15" customHeight="1" s="93">
      <c r="A223" s="92">
        <f>Backlog!A224</f>
        <v/>
      </c>
      <c r="B223" s="92">
        <f>IFERROR(IF(ISBLANK(INDEX(Backlog[Requirement Name],MATCH($A224,Backlog[Requirement ID],0))),"",INDEX(Backlog[Requirement Name],MATCH($A224,Backlog[Requirement ID],0))),"")</f>
        <v/>
      </c>
      <c r="C223" s="92">
        <f>IFERROR(IF(ISBLANK(INDEX(Backlog[Stream],MATCH($A224,Backlog[Requirement ID],0))),"",INDEX(Backlog[Stream],MATCH($A224,Backlog[Requirement ID],0))),"")</f>
        <v/>
      </c>
      <c r="D223" s="92">
        <f>IFERROR(IF(ISBLANK(INDEX(Backlog[Stream Owner],MATCH($A224,Backlog[Requirement ID],0))),"",INDEX(Backlog[Stream Owner],MATCH($A224,Backlog[Requirement ID],0))),"")</f>
        <v/>
      </c>
      <c r="E223" s="92">
        <f>IFERROR(IF(ISBLANK(INDEX(Backlog[Jira Link],MATCH($A224,Backlog[Requirement ID],0))),"",INDEX(Backlog[Jira Link],MATCH($A224,Backlog[Requirement ID],0))),"")</f>
        <v/>
      </c>
      <c r="H223" s="92">
        <f>IFERROR(IF(ISBLANK(INDEX(SprintPlanning[Sprint],MATCH($A224,SprintPlanning[Requirement ID],0))),"",INDEX(SprintPlanning[Sprint],MATCH($A224,SprintPlanning[Requirement ID],0))),"")</f>
        <v/>
      </c>
      <c r="I223" s="92">
        <f>IFERROR(IF(ISBLANK(INDEX(Backlog[Status],MATCH($A224,Backlog[Requirement ID],0))),"",INDEX(Backlog[Status],MATCH($A224,Backlog[Requirement ID],0))),"")</f>
        <v/>
      </c>
      <c r="J223" s="92">
        <f>IFERROR(IF(ISBLANK(INDEX(Backlog[Priority],MATCH($A224,Backlog[Requirement ID],0))),"",INDEX(Backlog[Priority],MATCH($A224,Backlog[Requirement ID],0))),"")</f>
        <v/>
      </c>
      <c r="L223" s="97" t="n"/>
      <c r="M223" s="97" t="n"/>
      <c r="O223" s="97" t="n"/>
    </row>
    <row r="224" ht="15" customHeight="1" s="93">
      <c r="A224" s="92">
        <f>Backlog!A225</f>
        <v/>
      </c>
      <c r="B224" s="92">
        <f>IFERROR(IF(ISBLANK(INDEX(Backlog[Requirement Name],MATCH($A225,Backlog[Requirement ID],0))),"",INDEX(Backlog[Requirement Name],MATCH($A225,Backlog[Requirement ID],0))),"")</f>
        <v/>
      </c>
      <c r="C224" s="92">
        <f>IFERROR(IF(ISBLANK(INDEX(Backlog[Stream],MATCH($A225,Backlog[Requirement ID],0))),"",INDEX(Backlog[Stream],MATCH($A225,Backlog[Requirement ID],0))),"")</f>
        <v/>
      </c>
      <c r="D224" s="92">
        <f>IFERROR(IF(ISBLANK(INDEX(Backlog[Stream Owner],MATCH($A225,Backlog[Requirement ID],0))),"",INDEX(Backlog[Stream Owner],MATCH($A225,Backlog[Requirement ID],0))),"")</f>
        <v/>
      </c>
      <c r="E224" s="92">
        <f>IFERROR(IF(ISBLANK(INDEX(Backlog[Jira Link],MATCH($A225,Backlog[Requirement ID],0))),"",INDEX(Backlog[Jira Link],MATCH($A225,Backlog[Requirement ID],0))),"")</f>
        <v/>
      </c>
      <c r="H224" s="92">
        <f>IFERROR(IF(ISBLANK(INDEX(SprintPlanning[Sprint],MATCH($A225,SprintPlanning[Requirement ID],0))),"",INDEX(SprintPlanning[Sprint],MATCH($A225,SprintPlanning[Requirement ID],0))),"")</f>
        <v/>
      </c>
      <c r="I224" s="92">
        <f>IFERROR(IF(ISBLANK(INDEX(Backlog[Status],MATCH($A225,Backlog[Requirement ID],0))),"",INDEX(Backlog[Status],MATCH($A225,Backlog[Requirement ID],0))),"")</f>
        <v/>
      </c>
      <c r="J224" s="92">
        <f>IFERROR(IF(ISBLANK(INDEX(Backlog[Priority],MATCH($A225,Backlog[Requirement ID],0))),"",INDEX(Backlog[Priority],MATCH($A225,Backlog[Requirement ID],0))),"")</f>
        <v/>
      </c>
      <c r="L224" s="97" t="n"/>
      <c r="M224" s="97" t="n"/>
      <c r="O224" s="97" t="n"/>
    </row>
    <row r="225" ht="15" customHeight="1" s="93">
      <c r="A225" s="92">
        <f>Backlog!A226</f>
        <v/>
      </c>
      <c r="B225" s="92">
        <f>IFERROR(IF(ISBLANK(INDEX(Backlog[Requirement Name],MATCH($A226,Backlog[Requirement ID],0))),"",INDEX(Backlog[Requirement Name],MATCH($A226,Backlog[Requirement ID],0))),"")</f>
        <v/>
      </c>
      <c r="C225" s="92">
        <f>IFERROR(IF(ISBLANK(INDEX(Backlog[Stream],MATCH($A226,Backlog[Requirement ID],0))),"",INDEX(Backlog[Stream],MATCH($A226,Backlog[Requirement ID],0))),"")</f>
        <v/>
      </c>
      <c r="D225" s="92">
        <f>IFERROR(IF(ISBLANK(INDEX(Backlog[Stream Owner],MATCH($A226,Backlog[Requirement ID],0))),"",INDEX(Backlog[Stream Owner],MATCH($A226,Backlog[Requirement ID],0))),"")</f>
        <v/>
      </c>
      <c r="E225" s="92">
        <f>IFERROR(IF(ISBLANK(INDEX(Backlog[Jira Link],MATCH($A226,Backlog[Requirement ID],0))),"",INDEX(Backlog[Jira Link],MATCH($A226,Backlog[Requirement ID],0))),"")</f>
        <v/>
      </c>
      <c r="H225" s="92">
        <f>IFERROR(IF(ISBLANK(INDEX(SprintPlanning[Sprint],MATCH($A226,SprintPlanning[Requirement ID],0))),"",INDEX(SprintPlanning[Sprint],MATCH($A226,SprintPlanning[Requirement ID],0))),"")</f>
        <v/>
      </c>
      <c r="I225" s="92">
        <f>IFERROR(IF(ISBLANK(INDEX(Backlog[Status],MATCH($A226,Backlog[Requirement ID],0))),"",INDEX(Backlog[Status],MATCH($A226,Backlog[Requirement ID],0))),"")</f>
        <v/>
      </c>
      <c r="J225" s="92">
        <f>IFERROR(IF(ISBLANK(INDEX(Backlog[Priority],MATCH($A226,Backlog[Requirement ID],0))),"",INDEX(Backlog[Priority],MATCH($A226,Backlog[Requirement ID],0))),"")</f>
        <v/>
      </c>
      <c r="L225" s="97" t="n"/>
      <c r="M225" s="97" t="n"/>
      <c r="O225" s="97" t="n"/>
    </row>
    <row r="226" ht="23.25" customHeight="1" s="93">
      <c r="A226" s="92">
        <f>Backlog!A227</f>
        <v/>
      </c>
      <c r="B226" s="92">
        <f>IFERROR(IF(ISBLANK(INDEX(Backlog[Requirement Name],MATCH($A227,Backlog[Requirement ID],0))),"",INDEX(Backlog[Requirement Name],MATCH($A227,Backlog[Requirement ID],0))),"")</f>
        <v/>
      </c>
      <c r="C226" s="92">
        <f>IFERROR(IF(ISBLANK(INDEX(Backlog[Stream],MATCH($A227,Backlog[Requirement ID],0))),"",INDEX(Backlog[Stream],MATCH($A227,Backlog[Requirement ID],0))),"")</f>
        <v/>
      </c>
      <c r="D226" s="92">
        <f>IFERROR(IF(ISBLANK(INDEX(Backlog[Stream Owner],MATCH($A227,Backlog[Requirement ID],0))),"",INDEX(Backlog[Stream Owner],MATCH($A227,Backlog[Requirement ID],0))),"")</f>
        <v/>
      </c>
      <c r="E226" s="92">
        <f>IFERROR(IF(ISBLANK(INDEX(Backlog[Jira Link],MATCH($A227,Backlog[Requirement ID],0))),"",INDEX(Backlog[Jira Link],MATCH($A227,Backlog[Requirement ID],0))),"")</f>
        <v/>
      </c>
      <c r="H226" s="92">
        <f>IFERROR(IF(ISBLANK(INDEX(SprintPlanning[Sprint],MATCH($A227,SprintPlanning[Requirement ID],0))),"",INDEX(SprintPlanning[Sprint],MATCH($A227,SprintPlanning[Requirement ID],0))),"")</f>
        <v/>
      </c>
      <c r="I226" s="92">
        <f>IFERROR(IF(ISBLANK(INDEX(Backlog[Status],MATCH($A227,Backlog[Requirement ID],0))),"",INDEX(Backlog[Status],MATCH($A227,Backlog[Requirement ID],0))),"")</f>
        <v/>
      </c>
      <c r="J226" s="92">
        <f>IFERROR(IF(ISBLANK(INDEX(Backlog[Priority],MATCH($A227,Backlog[Requirement ID],0))),"",INDEX(Backlog[Priority],MATCH($A227,Backlog[Requirement ID],0))),"")</f>
        <v/>
      </c>
      <c r="L226" s="97" t="n"/>
      <c r="M226" s="97" t="n"/>
      <c r="O226" s="97" t="n"/>
    </row>
    <row r="227" ht="15" customHeight="1" s="93">
      <c r="A227" s="92">
        <f>Backlog!A228</f>
        <v/>
      </c>
      <c r="B227" s="92">
        <f>IFERROR(IF(ISBLANK(INDEX(Backlog[Requirement Name],MATCH($A228,Backlog[Requirement ID],0))),"",INDEX(Backlog[Requirement Name],MATCH($A228,Backlog[Requirement ID],0))),"")</f>
        <v/>
      </c>
      <c r="C227" s="92">
        <f>IFERROR(IF(ISBLANK(INDEX(Backlog[Stream],MATCH($A228,Backlog[Requirement ID],0))),"",INDEX(Backlog[Stream],MATCH($A228,Backlog[Requirement ID],0))),"")</f>
        <v/>
      </c>
      <c r="D227" s="92">
        <f>IFERROR(IF(ISBLANK(INDEX(Backlog[Stream Owner],MATCH($A228,Backlog[Requirement ID],0))),"",INDEX(Backlog[Stream Owner],MATCH($A228,Backlog[Requirement ID],0))),"")</f>
        <v/>
      </c>
      <c r="E227" s="92">
        <f>IFERROR(IF(ISBLANK(INDEX(Backlog[Jira Link],MATCH($A228,Backlog[Requirement ID],0))),"",INDEX(Backlog[Jira Link],MATCH($A228,Backlog[Requirement ID],0))),"")</f>
        <v/>
      </c>
      <c r="H227" s="92">
        <f>IFERROR(IF(ISBLANK(INDEX(SprintPlanning[Sprint],MATCH($A228,SprintPlanning[Requirement ID],0))),"",INDEX(SprintPlanning[Sprint],MATCH($A228,SprintPlanning[Requirement ID],0))),"")</f>
        <v/>
      </c>
      <c r="I227" s="92">
        <f>IFERROR(IF(ISBLANK(INDEX(Backlog[Status],MATCH($A228,Backlog[Requirement ID],0))),"",INDEX(Backlog[Status],MATCH($A228,Backlog[Requirement ID],0))),"")</f>
        <v/>
      </c>
      <c r="J227" s="92">
        <f>IFERROR(IF(ISBLANK(INDEX(Backlog[Priority],MATCH($A228,Backlog[Requirement ID],0))),"",INDEX(Backlog[Priority],MATCH($A228,Backlog[Requirement ID],0))),"")</f>
        <v/>
      </c>
      <c r="L227" s="97" t="n"/>
      <c r="M227" s="97" t="n"/>
      <c r="O227" s="97" t="n"/>
    </row>
    <row r="228" ht="15" customHeight="1" s="93">
      <c r="A228" s="92">
        <f>Backlog!A229</f>
        <v/>
      </c>
      <c r="B228" s="92">
        <f>IFERROR(IF(ISBLANK(INDEX(Backlog[Requirement Name],MATCH($A229,Backlog[Requirement ID],0))),"",INDEX(Backlog[Requirement Name],MATCH($A229,Backlog[Requirement ID],0))),"")</f>
        <v/>
      </c>
      <c r="C228" s="92">
        <f>IFERROR(IF(ISBLANK(INDEX(Backlog[Stream],MATCH($A229,Backlog[Requirement ID],0))),"",INDEX(Backlog[Stream],MATCH($A229,Backlog[Requirement ID],0))),"")</f>
        <v/>
      </c>
      <c r="D228" s="92">
        <f>IFERROR(IF(ISBLANK(INDEX(Backlog[Stream Owner],MATCH($A229,Backlog[Requirement ID],0))),"",INDEX(Backlog[Stream Owner],MATCH($A229,Backlog[Requirement ID],0))),"")</f>
        <v/>
      </c>
      <c r="E228" s="92">
        <f>IFERROR(IF(ISBLANK(INDEX(Backlog[Jira Link],MATCH($A229,Backlog[Requirement ID],0))),"",INDEX(Backlog[Jira Link],MATCH($A229,Backlog[Requirement ID],0))),"")</f>
        <v/>
      </c>
      <c r="H228" s="92">
        <f>IFERROR(IF(ISBLANK(INDEX(SprintPlanning[Sprint],MATCH($A229,SprintPlanning[Requirement ID],0))),"",INDEX(SprintPlanning[Sprint],MATCH($A229,SprintPlanning[Requirement ID],0))),"")</f>
        <v/>
      </c>
      <c r="I228" s="92">
        <f>IFERROR(IF(ISBLANK(INDEX(Backlog[Status],MATCH($A229,Backlog[Requirement ID],0))),"",INDEX(Backlog[Status],MATCH($A229,Backlog[Requirement ID],0))),"")</f>
        <v/>
      </c>
      <c r="J228" s="92">
        <f>IFERROR(IF(ISBLANK(INDEX(Backlog[Priority],MATCH($A229,Backlog[Requirement ID],0))),"",INDEX(Backlog[Priority],MATCH($A229,Backlog[Requirement ID],0))),"")</f>
        <v/>
      </c>
      <c r="L228" s="97" t="n"/>
      <c r="M228" s="97" t="n"/>
      <c r="O228" s="97" t="n"/>
    </row>
    <row r="229" ht="15" customHeight="1" s="93">
      <c r="A229" s="92">
        <f>Backlog!A230</f>
        <v/>
      </c>
      <c r="B229" s="92">
        <f>IFERROR(IF(ISBLANK(INDEX(Backlog[Requirement Name],MATCH($A230,Backlog[Requirement ID],0))),"",INDEX(Backlog[Requirement Name],MATCH($A230,Backlog[Requirement ID],0))),"")</f>
        <v/>
      </c>
      <c r="C229" s="92">
        <f>IFERROR(IF(ISBLANK(INDEX(Backlog[Stream],MATCH($A230,Backlog[Requirement ID],0))),"",INDEX(Backlog[Stream],MATCH($A230,Backlog[Requirement ID],0))),"")</f>
        <v/>
      </c>
      <c r="D229" s="92">
        <f>IFERROR(IF(ISBLANK(INDEX(Backlog[Stream Owner],MATCH($A230,Backlog[Requirement ID],0))),"",INDEX(Backlog[Stream Owner],MATCH($A230,Backlog[Requirement ID],0))),"")</f>
        <v/>
      </c>
      <c r="E229" s="92">
        <f>IFERROR(IF(ISBLANK(INDEX(Backlog[Jira Link],MATCH($A230,Backlog[Requirement ID],0))),"",INDEX(Backlog[Jira Link],MATCH($A230,Backlog[Requirement ID],0))),"")</f>
        <v/>
      </c>
      <c r="H229" s="92">
        <f>IFERROR(IF(ISBLANK(INDEX(SprintPlanning[Sprint],MATCH($A230,SprintPlanning[Requirement ID],0))),"",INDEX(SprintPlanning[Sprint],MATCH($A230,SprintPlanning[Requirement ID],0))),"")</f>
        <v/>
      </c>
      <c r="I229" s="92">
        <f>IFERROR(IF(ISBLANK(INDEX(Backlog[Status],MATCH($A230,Backlog[Requirement ID],0))),"",INDEX(Backlog[Status],MATCH($A230,Backlog[Requirement ID],0))),"")</f>
        <v/>
      </c>
      <c r="J229" s="92">
        <f>IFERROR(IF(ISBLANK(INDEX(Backlog[Priority],MATCH($A230,Backlog[Requirement ID],0))),"",INDEX(Backlog[Priority],MATCH($A230,Backlog[Requirement ID],0))),"")</f>
        <v/>
      </c>
      <c r="L229" s="97" t="n"/>
      <c r="M229" s="97" t="n"/>
      <c r="O229" s="97" t="n"/>
    </row>
    <row r="230" ht="15" customHeight="1" s="93">
      <c r="A230" s="92">
        <f>Backlog!A231</f>
        <v/>
      </c>
      <c r="B230" s="92">
        <f>IFERROR(IF(ISBLANK(INDEX(Backlog[Requirement Name],MATCH($A231,Backlog[Requirement ID],0))),"",INDEX(Backlog[Requirement Name],MATCH($A231,Backlog[Requirement ID],0))),"")</f>
        <v/>
      </c>
      <c r="C230" s="92">
        <f>IFERROR(IF(ISBLANK(INDEX(Backlog[Stream],MATCH($A231,Backlog[Requirement ID],0))),"",INDEX(Backlog[Stream],MATCH($A231,Backlog[Requirement ID],0))),"")</f>
        <v/>
      </c>
      <c r="D230" s="92">
        <f>IFERROR(IF(ISBLANK(INDEX(Backlog[Stream Owner],MATCH($A231,Backlog[Requirement ID],0))),"",INDEX(Backlog[Stream Owner],MATCH($A231,Backlog[Requirement ID],0))),"")</f>
        <v/>
      </c>
      <c r="E230" s="92">
        <f>IFERROR(IF(ISBLANK(INDEX(Backlog[Jira Link],MATCH($A231,Backlog[Requirement ID],0))),"",INDEX(Backlog[Jira Link],MATCH($A231,Backlog[Requirement ID],0))),"")</f>
        <v/>
      </c>
      <c r="H230" s="92">
        <f>IFERROR(IF(ISBLANK(INDEX(SprintPlanning[Sprint],MATCH($A231,SprintPlanning[Requirement ID],0))),"",INDEX(SprintPlanning[Sprint],MATCH($A231,SprintPlanning[Requirement ID],0))),"")</f>
        <v/>
      </c>
      <c r="I230" s="92">
        <f>IFERROR(IF(ISBLANK(INDEX(Backlog[Status],MATCH($A231,Backlog[Requirement ID],0))),"",INDEX(Backlog[Status],MATCH($A231,Backlog[Requirement ID],0))),"")</f>
        <v/>
      </c>
      <c r="J230" s="92">
        <f>IFERROR(IF(ISBLANK(INDEX(Backlog[Priority],MATCH($A231,Backlog[Requirement ID],0))),"",INDEX(Backlog[Priority],MATCH($A231,Backlog[Requirement ID],0))),"")</f>
        <v/>
      </c>
      <c r="L230" s="97" t="n"/>
      <c r="M230" s="97" t="n"/>
      <c r="O230" s="97" t="n"/>
    </row>
    <row r="231" ht="15" customHeight="1" s="93">
      <c r="A231" s="92">
        <f>Backlog!A232</f>
        <v/>
      </c>
      <c r="B231" s="92">
        <f>IFERROR(IF(ISBLANK(INDEX(Backlog[Requirement Name],MATCH($A232,Backlog[Requirement ID],0))),"",INDEX(Backlog[Requirement Name],MATCH($A232,Backlog[Requirement ID],0))),"")</f>
        <v/>
      </c>
      <c r="C231" s="92">
        <f>IFERROR(IF(ISBLANK(INDEX(Backlog[Stream],MATCH($A232,Backlog[Requirement ID],0))),"",INDEX(Backlog[Stream],MATCH($A232,Backlog[Requirement ID],0))),"")</f>
        <v/>
      </c>
      <c r="D231" s="92">
        <f>IFERROR(IF(ISBLANK(INDEX(Backlog[Stream Owner],MATCH($A232,Backlog[Requirement ID],0))),"",INDEX(Backlog[Stream Owner],MATCH($A232,Backlog[Requirement ID],0))),"")</f>
        <v/>
      </c>
      <c r="E231" s="92">
        <f>IFERROR(IF(ISBLANK(INDEX(Backlog[Jira Link],MATCH($A232,Backlog[Requirement ID],0))),"",INDEX(Backlog[Jira Link],MATCH($A232,Backlog[Requirement ID],0))),"")</f>
        <v/>
      </c>
      <c r="H231" s="92">
        <f>IFERROR(IF(ISBLANK(INDEX(SprintPlanning[Sprint],MATCH($A232,SprintPlanning[Requirement ID],0))),"",INDEX(SprintPlanning[Sprint],MATCH($A232,SprintPlanning[Requirement ID],0))),"")</f>
        <v/>
      </c>
      <c r="I231" s="92">
        <f>IFERROR(IF(ISBLANK(INDEX(Backlog[Status],MATCH($A232,Backlog[Requirement ID],0))),"",INDEX(Backlog[Status],MATCH($A232,Backlog[Requirement ID],0))),"")</f>
        <v/>
      </c>
      <c r="J231" s="92">
        <f>IFERROR(IF(ISBLANK(INDEX(Backlog[Priority],MATCH($A232,Backlog[Requirement ID],0))),"",INDEX(Backlog[Priority],MATCH($A232,Backlog[Requirement ID],0))),"")</f>
        <v/>
      </c>
      <c r="L231" s="97" t="n"/>
      <c r="M231" s="97" t="n"/>
      <c r="O231" s="97" t="n"/>
    </row>
    <row r="232" ht="15" customHeight="1" s="93">
      <c r="A232" s="92">
        <f>Backlog!A233</f>
        <v/>
      </c>
      <c r="B232" s="92">
        <f>IFERROR(IF(ISBLANK(INDEX(Backlog[Requirement Name],MATCH($A233,Backlog[Requirement ID],0))),"",INDEX(Backlog[Requirement Name],MATCH($A233,Backlog[Requirement ID],0))),"")</f>
        <v/>
      </c>
      <c r="C232" s="92">
        <f>IFERROR(IF(ISBLANK(INDEX(Backlog[Stream],MATCH($A233,Backlog[Requirement ID],0))),"",INDEX(Backlog[Stream],MATCH($A233,Backlog[Requirement ID],0))),"")</f>
        <v/>
      </c>
      <c r="D232" s="92">
        <f>IFERROR(IF(ISBLANK(INDEX(Backlog[Stream Owner],MATCH($A233,Backlog[Requirement ID],0))),"",INDEX(Backlog[Stream Owner],MATCH($A233,Backlog[Requirement ID],0))),"")</f>
        <v/>
      </c>
      <c r="E232" s="92">
        <f>IFERROR(IF(ISBLANK(INDEX(Backlog[Jira Link],MATCH($A233,Backlog[Requirement ID],0))),"",INDEX(Backlog[Jira Link],MATCH($A233,Backlog[Requirement ID],0))),"")</f>
        <v/>
      </c>
      <c r="H232" s="92">
        <f>IFERROR(IF(ISBLANK(INDEX(SprintPlanning[Sprint],MATCH($A233,SprintPlanning[Requirement ID],0))),"",INDEX(SprintPlanning[Sprint],MATCH($A233,SprintPlanning[Requirement ID],0))),"")</f>
        <v/>
      </c>
      <c r="I232" s="92">
        <f>IFERROR(IF(ISBLANK(INDEX(Backlog[Status],MATCH($A233,Backlog[Requirement ID],0))),"",INDEX(Backlog[Status],MATCH($A233,Backlog[Requirement ID],0))),"")</f>
        <v/>
      </c>
      <c r="J232" s="92">
        <f>IFERROR(IF(ISBLANK(INDEX(Backlog[Priority],MATCH($A233,Backlog[Requirement ID],0))),"",INDEX(Backlog[Priority],MATCH($A233,Backlog[Requirement ID],0))),"")</f>
        <v/>
      </c>
      <c r="L232" s="97" t="n"/>
      <c r="M232" s="97" t="n"/>
      <c r="O232" s="97" t="n"/>
    </row>
    <row r="233" ht="15" customHeight="1" s="93">
      <c r="A233" s="92">
        <f>Backlog!A234</f>
        <v/>
      </c>
      <c r="B233" s="92">
        <f>IFERROR(IF(ISBLANK(INDEX(Backlog[Requirement Name],MATCH($A234,Backlog[Requirement ID],0))),"",INDEX(Backlog[Requirement Name],MATCH($A234,Backlog[Requirement ID],0))),"")</f>
        <v/>
      </c>
      <c r="C233" s="92">
        <f>IFERROR(IF(ISBLANK(INDEX(Backlog[Stream],MATCH($A234,Backlog[Requirement ID],0))),"",INDEX(Backlog[Stream],MATCH($A234,Backlog[Requirement ID],0))),"")</f>
        <v/>
      </c>
      <c r="D233" s="92">
        <f>IFERROR(IF(ISBLANK(INDEX(Backlog[Stream Owner],MATCH($A234,Backlog[Requirement ID],0))),"",INDEX(Backlog[Stream Owner],MATCH($A234,Backlog[Requirement ID],0))),"")</f>
        <v/>
      </c>
      <c r="E233" s="92">
        <f>IFERROR(IF(ISBLANK(INDEX(Backlog[Jira Link],MATCH($A234,Backlog[Requirement ID],0))),"",INDEX(Backlog[Jira Link],MATCH($A234,Backlog[Requirement ID],0))),"")</f>
        <v/>
      </c>
      <c r="H233" s="92">
        <f>IFERROR(IF(ISBLANK(INDEX(SprintPlanning[Sprint],MATCH($A234,SprintPlanning[Requirement ID],0))),"",INDEX(SprintPlanning[Sprint],MATCH($A234,SprintPlanning[Requirement ID],0))),"")</f>
        <v/>
      </c>
      <c r="I233" s="92">
        <f>IFERROR(IF(ISBLANK(INDEX(Backlog[Status],MATCH($A234,Backlog[Requirement ID],0))),"",INDEX(Backlog[Status],MATCH($A234,Backlog[Requirement ID],0))),"")</f>
        <v/>
      </c>
      <c r="J233" s="92">
        <f>IFERROR(IF(ISBLANK(INDEX(Backlog[Priority],MATCH($A234,Backlog[Requirement ID],0))),"",INDEX(Backlog[Priority],MATCH($A234,Backlog[Requirement ID],0))),"")</f>
        <v/>
      </c>
      <c r="L233" s="97" t="n"/>
      <c r="M233" s="97" t="n"/>
      <c r="O233" s="97" t="n"/>
    </row>
    <row r="234" ht="15" customHeight="1" s="93">
      <c r="A234" s="92">
        <f>Backlog!A235</f>
        <v/>
      </c>
      <c r="B234" s="92">
        <f>IFERROR(IF(ISBLANK(INDEX(Backlog[Requirement Name],MATCH($A235,Backlog[Requirement ID],0))),"",INDEX(Backlog[Requirement Name],MATCH($A235,Backlog[Requirement ID],0))),"")</f>
        <v/>
      </c>
      <c r="C234" s="92">
        <f>IFERROR(IF(ISBLANK(INDEX(Backlog[Stream],MATCH($A235,Backlog[Requirement ID],0))),"",INDEX(Backlog[Stream],MATCH($A235,Backlog[Requirement ID],0))),"")</f>
        <v/>
      </c>
      <c r="D234" s="92">
        <f>IFERROR(IF(ISBLANK(INDEX(Backlog[Stream Owner],MATCH($A235,Backlog[Requirement ID],0))),"",INDEX(Backlog[Stream Owner],MATCH($A235,Backlog[Requirement ID],0))),"")</f>
        <v/>
      </c>
      <c r="E234" s="92">
        <f>IFERROR(IF(ISBLANK(INDEX(Backlog[Jira Link],MATCH($A235,Backlog[Requirement ID],0))),"",INDEX(Backlog[Jira Link],MATCH($A235,Backlog[Requirement ID],0))),"")</f>
        <v/>
      </c>
      <c r="H234" s="92">
        <f>IFERROR(IF(ISBLANK(INDEX(SprintPlanning[Sprint],MATCH($A235,SprintPlanning[Requirement ID],0))),"",INDEX(SprintPlanning[Sprint],MATCH($A235,SprintPlanning[Requirement ID],0))),"")</f>
        <v/>
      </c>
      <c r="I234" s="92">
        <f>IFERROR(IF(ISBLANK(INDEX(Backlog[Status],MATCH($A235,Backlog[Requirement ID],0))),"",INDEX(Backlog[Status],MATCH($A235,Backlog[Requirement ID],0))),"")</f>
        <v/>
      </c>
      <c r="J234" s="92">
        <f>IFERROR(IF(ISBLANK(INDEX(Backlog[Priority],MATCH($A235,Backlog[Requirement ID],0))),"",INDEX(Backlog[Priority],MATCH($A235,Backlog[Requirement ID],0))),"")</f>
        <v/>
      </c>
      <c r="L234" s="97" t="n"/>
      <c r="M234" s="97" t="n"/>
      <c r="O234" s="97" t="n"/>
    </row>
    <row r="235" ht="15" customHeight="1" s="93">
      <c r="A235" s="92">
        <f>Backlog!A236</f>
        <v/>
      </c>
      <c r="B235" s="92">
        <f>IFERROR(IF(ISBLANK(INDEX(Backlog[Requirement Name],MATCH($A236,Backlog[Requirement ID],0))),"",INDEX(Backlog[Requirement Name],MATCH($A236,Backlog[Requirement ID],0))),"")</f>
        <v/>
      </c>
      <c r="C235" s="92">
        <f>IFERROR(IF(ISBLANK(INDEX(Backlog[Stream],MATCH($A236,Backlog[Requirement ID],0))),"",INDEX(Backlog[Stream],MATCH($A236,Backlog[Requirement ID],0))),"")</f>
        <v/>
      </c>
      <c r="D235" s="92">
        <f>IFERROR(IF(ISBLANK(INDEX(Backlog[Stream Owner],MATCH($A236,Backlog[Requirement ID],0))),"",INDEX(Backlog[Stream Owner],MATCH($A236,Backlog[Requirement ID],0))),"")</f>
        <v/>
      </c>
      <c r="E235" s="92">
        <f>IFERROR(IF(ISBLANK(INDEX(Backlog[Jira Link],MATCH($A236,Backlog[Requirement ID],0))),"",INDEX(Backlog[Jira Link],MATCH($A236,Backlog[Requirement ID],0))),"")</f>
        <v/>
      </c>
      <c r="H235" s="92">
        <f>IFERROR(IF(ISBLANK(INDEX(SprintPlanning[Sprint],MATCH($A236,SprintPlanning[Requirement ID],0))),"",INDEX(SprintPlanning[Sprint],MATCH($A236,SprintPlanning[Requirement ID],0))),"")</f>
        <v/>
      </c>
      <c r="I235" s="92">
        <f>IFERROR(IF(ISBLANK(INDEX(Backlog[Status],MATCH($A236,Backlog[Requirement ID],0))),"",INDEX(Backlog[Status],MATCH($A236,Backlog[Requirement ID],0))),"")</f>
        <v/>
      </c>
      <c r="J235" s="92">
        <f>IFERROR(IF(ISBLANK(INDEX(Backlog[Priority],MATCH($A236,Backlog[Requirement ID],0))),"",INDEX(Backlog[Priority],MATCH($A236,Backlog[Requirement ID],0))),"")</f>
        <v/>
      </c>
      <c r="L235" s="97" t="n"/>
      <c r="M235" s="97" t="n"/>
      <c r="O235" s="97" t="n"/>
    </row>
    <row r="236" ht="15" customHeight="1" s="93">
      <c r="A236" s="92">
        <f>Backlog!A237</f>
        <v/>
      </c>
      <c r="B236" s="92">
        <f>IFERROR(IF(ISBLANK(INDEX(Backlog[Requirement Name],MATCH($A237,Backlog[Requirement ID],0))),"",INDEX(Backlog[Requirement Name],MATCH($A237,Backlog[Requirement ID],0))),"")</f>
        <v/>
      </c>
      <c r="C236" s="92">
        <f>IFERROR(IF(ISBLANK(INDEX(Backlog[Stream],MATCH($A237,Backlog[Requirement ID],0))),"",INDEX(Backlog[Stream],MATCH($A237,Backlog[Requirement ID],0))),"")</f>
        <v/>
      </c>
      <c r="D236" s="92">
        <f>IFERROR(IF(ISBLANK(INDEX(Backlog[Stream Owner],MATCH($A237,Backlog[Requirement ID],0))),"",INDEX(Backlog[Stream Owner],MATCH($A237,Backlog[Requirement ID],0))),"")</f>
        <v/>
      </c>
      <c r="E236" s="92">
        <f>IFERROR(IF(ISBLANK(INDEX(Backlog[Jira Link],MATCH($A237,Backlog[Requirement ID],0))),"",INDEX(Backlog[Jira Link],MATCH($A237,Backlog[Requirement ID],0))),"")</f>
        <v/>
      </c>
      <c r="H236" s="92">
        <f>IFERROR(IF(ISBLANK(INDEX(SprintPlanning[Sprint],MATCH($A237,SprintPlanning[Requirement ID],0))),"",INDEX(SprintPlanning[Sprint],MATCH($A237,SprintPlanning[Requirement ID],0))),"")</f>
        <v/>
      </c>
      <c r="I236" s="92">
        <f>IFERROR(IF(ISBLANK(INDEX(Backlog[Status],MATCH($A237,Backlog[Requirement ID],0))),"",INDEX(Backlog[Status],MATCH($A237,Backlog[Requirement ID],0))),"")</f>
        <v/>
      </c>
      <c r="J236" s="92">
        <f>IFERROR(IF(ISBLANK(INDEX(Backlog[Priority],MATCH($A237,Backlog[Requirement ID],0))),"",INDEX(Backlog[Priority],MATCH($A237,Backlog[Requirement ID],0))),"")</f>
        <v/>
      </c>
      <c r="L236" s="97" t="n"/>
      <c r="M236" s="97" t="n"/>
      <c r="O236" s="97" t="n"/>
    </row>
    <row r="237" ht="15" customHeight="1" s="93">
      <c r="A237" s="92">
        <f>Backlog!A238</f>
        <v/>
      </c>
      <c r="B237" s="92">
        <f>IFERROR(IF(ISBLANK(INDEX(Backlog[Requirement Name],MATCH($A238,Backlog[Requirement ID],0))),"",INDEX(Backlog[Requirement Name],MATCH($A238,Backlog[Requirement ID],0))),"")</f>
        <v/>
      </c>
      <c r="C237" s="92">
        <f>IFERROR(IF(ISBLANK(INDEX(Backlog[Stream],MATCH($A238,Backlog[Requirement ID],0))),"",INDEX(Backlog[Stream],MATCH($A238,Backlog[Requirement ID],0))),"")</f>
        <v/>
      </c>
      <c r="D237" s="92">
        <f>IFERROR(IF(ISBLANK(INDEX(Backlog[Stream Owner],MATCH($A238,Backlog[Requirement ID],0))),"",INDEX(Backlog[Stream Owner],MATCH($A238,Backlog[Requirement ID],0))),"")</f>
        <v/>
      </c>
      <c r="E237" s="92">
        <f>IFERROR(IF(ISBLANK(INDEX(Backlog[Jira Link],MATCH($A238,Backlog[Requirement ID],0))),"",INDEX(Backlog[Jira Link],MATCH($A238,Backlog[Requirement ID],0))),"")</f>
        <v/>
      </c>
      <c r="H237" s="92">
        <f>IFERROR(IF(ISBLANK(INDEX(SprintPlanning[Sprint],MATCH($A238,SprintPlanning[Requirement ID],0))),"",INDEX(SprintPlanning[Sprint],MATCH($A238,SprintPlanning[Requirement ID],0))),"")</f>
        <v/>
      </c>
      <c r="I237" s="92">
        <f>IFERROR(IF(ISBLANK(INDEX(Backlog[Status],MATCH($A238,Backlog[Requirement ID],0))),"",INDEX(Backlog[Status],MATCH($A238,Backlog[Requirement ID],0))),"")</f>
        <v/>
      </c>
      <c r="J237" s="92">
        <f>IFERROR(IF(ISBLANK(INDEX(Backlog[Priority],MATCH($A238,Backlog[Requirement ID],0))),"",INDEX(Backlog[Priority],MATCH($A238,Backlog[Requirement ID],0))),"")</f>
        <v/>
      </c>
      <c r="L237" s="97" t="n"/>
      <c r="M237" s="97" t="n"/>
      <c r="O237" s="97" t="n"/>
    </row>
    <row r="238" ht="15" customHeight="1" s="93">
      <c r="A238" s="92">
        <f>Backlog!A239</f>
        <v/>
      </c>
      <c r="B238" s="92">
        <f>IFERROR(IF(ISBLANK(INDEX(Backlog[Requirement Name],MATCH($A239,Backlog[Requirement ID],0))),"",INDEX(Backlog[Requirement Name],MATCH($A239,Backlog[Requirement ID],0))),"")</f>
        <v/>
      </c>
      <c r="C238" s="92">
        <f>IFERROR(IF(ISBLANK(INDEX(Backlog[Stream],MATCH($A239,Backlog[Requirement ID],0))),"",INDEX(Backlog[Stream],MATCH($A239,Backlog[Requirement ID],0))),"")</f>
        <v/>
      </c>
      <c r="D238" s="92">
        <f>IFERROR(IF(ISBLANK(INDEX(Backlog[Stream Owner],MATCH($A239,Backlog[Requirement ID],0))),"",INDEX(Backlog[Stream Owner],MATCH($A239,Backlog[Requirement ID],0))),"")</f>
        <v/>
      </c>
      <c r="E238" s="92">
        <f>IFERROR(IF(ISBLANK(INDEX(Backlog[Jira Link],MATCH($A239,Backlog[Requirement ID],0))),"",INDEX(Backlog[Jira Link],MATCH($A239,Backlog[Requirement ID],0))),"")</f>
        <v/>
      </c>
      <c r="H238" s="92">
        <f>IFERROR(IF(ISBLANK(INDEX(SprintPlanning[Sprint],MATCH($A239,SprintPlanning[Requirement ID],0))),"",INDEX(SprintPlanning[Sprint],MATCH($A239,SprintPlanning[Requirement ID],0))),"")</f>
        <v/>
      </c>
      <c r="I238" s="92">
        <f>IFERROR(IF(ISBLANK(INDEX(Backlog[Status],MATCH($A239,Backlog[Requirement ID],0))),"",INDEX(Backlog[Status],MATCH($A239,Backlog[Requirement ID],0))),"")</f>
        <v/>
      </c>
      <c r="J238" s="92">
        <f>IFERROR(IF(ISBLANK(INDEX(Backlog[Priority],MATCH($A239,Backlog[Requirement ID],0))),"",INDEX(Backlog[Priority],MATCH($A239,Backlog[Requirement ID],0))),"")</f>
        <v/>
      </c>
      <c r="L238" s="97" t="n"/>
      <c r="M238" s="97" t="n"/>
      <c r="O238" s="97" t="n"/>
    </row>
    <row r="239" ht="15" customHeight="1" s="93">
      <c r="A239" s="92">
        <f>Backlog!A240</f>
        <v/>
      </c>
      <c r="B239" s="92">
        <f>IFERROR(IF(ISBLANK(INDEX(Backlog[Requirement Name],MATCH($A240,Backlog[Requirement ID],0))),"",INDEX(Backlog[Requirement Name],MATCH($A240,Backlog[Requirement ID],0))),"")</f>
        <v/>
      </c>
      <c r="C239" s="92">
        <f>IFERROR(IF(ISBLANK(INDEX(Backlog[Stream],MATCH($A240,Backlog[Requirement ID],0))),"",INDEX(Backlog[Stream],MATCH($A240,Backlog[Requirement ID],0))),"")</f>
        <v/>
      </c>
      <c r="D239" s="92">
        <f>IFERROR(IF(ISBLANK(INDEX(Backlog[Stream Owner],MATCH($A240,Backlog[Requirement ID],0))),"",INDEX(Backlog[Stream Owner],MATCH($A240,Backlog[Requirement ID],0))),"")</f>
        <v/>
      </c>
      <c r="E239" s="92">
        <f>IFERROR(IF(ISBLANK(INDEX(Backlog[Jira Link],MATCH($A240,Backlog[Requirement ID],0))),"",INDEX(Backlog[Jira Link],MATCH($A240,Backlog[Requirement ID],0))),"")</f>
        <v/>
      </c>
      <c r="H239" s="92">
        <f>IFERROR(IF(ISBLANK(INDEX(SprintPlanning[Sprint],MATCH($A240,SprintPlanning[Requirement ID],0))),"",INDEX(SprintPlanning[Sprint],MATCH($A240,SprintPlanning[Requirement ID],0))),"")</f>
        <v/>
      </c>
      <c r="I239" s="92">
        <f>IFERROR(IF(ISBLANK(INDEX(Backlog[Status],MATCH($A240,Backlog[Requirement ID],0))),"",INDEX(Backlog[Status],MATCH($A240,Backlog[Requirement ID],0))),"")</f>
        <v/>
      </c>
      <c r="J239" s="92">
        <f>IFERROR(IF(ISBLANK(INDEX(Backlog[Priority],MATCH($A240,Backlog[Requirement ID],0))),"",INDEX(Backlog[Priority],MATCH($A240,Backlog[Requirement ID],0))),"")</f>
        <v/>
      </c>
      <c r="L239" s="97" t="n"/>
      <c r="M239" s="97" t="n"/>
      <c r="O239" s="97" t="n"/>
    </row>
    <row r="240" ht="15" customHeight="1" s="93">
      <c r="A240" s="92">
        <f>Backlog!A241</f>
        <v/>
      </c>
      <c r="B240" s="92">
        <f>IFERROR(IF(ISBLANK(INDEX(Backlog[Requirement Name],MATCH($A241,Backlog[Requirement ID],0))),"",INDEX(Backlog[Requirement Name],MATCH($A241,Backlog[Requirement ID],0))),"")</f>
        <v/>
      </c>
      <c r="C240" s="92">
        <f>IFERROR(IF(ISBLANK(INDEX(Backlog[Stream],MATCH($A241,Backlog[Requirement ID],0))),"",INDEX(Backlog[Stream],MATCH($A241,Backlog[Requirement ID],0))),"")</f>
        <v/>
      </c>
      <c r="D240" s="92">
        <f>IFERROR(IF(ISBLANK(INDEX(Backlog[Stream Owner],MATCH($A241,Backlog[Requirement ID],0))),"",INDEX(Backlog[Stream Owner],MATCH($A241,Backlog[Requirement ID],0))),"")</f>
        <v/>
      </c>
      <c r="E240" s="92">
        <f>IFERROR(IF(ISBLANK(INDEX(Backlog[Jira Link],MATCH($A241,Backlog[Requirement ID],0))),"",INDEX(Backlog[Jira Link],MATCH($A241,Backlog[Requirement ID],0))),"")</f>
        <v/>
      </c>
      <c r="H240" s="92">
        <f>IFERROR(IF(ISBLANK(INDEX(SprintPlanning[Sprint],MATCH($A241,SprintPlanning[Requirement ID],0))),"",INDEX(SprintPlanning[Sprint],MATCH($A241,SprintPlanning[Requirement ID],0))),"")</f>
        <v/>
      </c>
      <c r="I240" s="92">
        <f>IFERROR(IF(ISBLANK(INDEX(Backlog[Status],MATCH($A241,Backlog[Requirement ID],0))),"",INDEX(Backlog[Status],MATCH($A241,Backlog[Requirement ID],0))),"")</f>
        <v/>
      </c>
      <c r="J240" s="92">
        <f>IFERROR(IF(ISBLANK(INDEX(Backlog[Priority],MATCH($A241,Backlog[Requirement ID],0))),"",INDEX(Backlog[Priority],MATCH($A241,Backlog[Requirement ID],0))),"")</f>
        <v/>
      </c>
      <c r="L240" s="97" t="n"/>
      <c r="M240" s="97" t="n"/>
      <c r="O240" s="97" t="n"/>
    </row>
    <row r="241" ht="15" customHeight="1" s="93">
      <c r="A241" s="92">
        <f>Backlog!A242</f>
        <v/>
      </c>
      <c r="B241" s="92">
        <f>IFERROR(IF(ISBLANK(INDEX(Backlog[Requirement Name],MATCH($A242,Backlog[Requirement ID],0))),"",INDEX(Backlog[Requirement Name],MATCH($A242,Backlog[Requirement ID],0))),"")</f>
        <v/>
      </c>
      <c r="C241" s="92">
        <f>IFERROR(IF(ISBLANK(INDEX(Backlog[Stream],MATCH($A242,Backlog[Requirement ID],0))),"",INDEX(Backlog[Stream],MATCH($A242,Backlog[Requirement ID],0))),"")</f>
        <v/>
      </c>
      <c r="D241" s="92">
        <f>IFERROR(IF(ISBLANK(INDEX(Backlog[Stream Owner],MATCH($A242,Backlog[Requirement ID],0))),"",INDEX(Backlog[Stream Owner],MATCH($A242,Backlog[Requirement ID],0))),"")</f>
        <v/>
      </c>
      <c r="E241" s="92">
        <f>IFERROR(IF(ISBLANK(INDEX(Backlog[Jira Link],MATCH($A242,Backlog[Requirement ID],0))),"",INDEX(Backlog[Jira Link],MATCH($A242,Backlog[Requirement ID],0))),"")</f>
        <v/>
      </c>
      <c r="H241" s="92">
        <f>IFERROR(IF(ISBLANK(INDEX(SprintPlanning[Sprint],MATCH($A242,SprintPlanning[Requirement ID],0))),"",INDEX(SprintPlanning[Sprint],MATCH($A242,SprintPlanning[Requirement ID],0))),"")</f>
        <v/>
      </c>
      <c r="I241" s="92">
        <f>IFERROR(IF(ISBLANK(INDEX(Backlog[Status],MATCH($A242,Backlog[Requirement ID],0))),"",INDEX(Backlog[Status],MATCH($A242,Backlog[Requirement ID],0))),"")</f>
        <v/>
      </c>
      <c r="J241" s="92">
        <f>IFERROR(IF(ISBLANK(INDEX(Backlog[Priority],MATCH($A242,Backlog[Requirement ID],0))),"",INDEX(Backlog[Priority],MATCH($A242,Backlog[Requirement ID],0))),"")</f>
        <v/>
      </c>
      <c r="L241" s="97" t="n"/>
      <c r="M241" s="97" t="n"/>
      <c r="O241" s="97" t="n"/>
    </row>
    <row r="242" ht="15" customHeight="1" s="93">
      <c r="A242" s="92">
        <f>Backlog!A243</f>
        <v/>
      </c>
      <c r="B242" s="92">
        <f>IFERROR(IF(ISBLANK(INDEX(Backlog[Requirement Name],MATCH($A243,Backlog[Requirement ID],0))),"",INDEX(Backlog[Requirement Name],MATCH($A243,Backlog[Requirement ID],0))),"")</f>
        <v/>
      </c>
      <c r="C242" s="92">
        <f>IFERROR(IF(ISBLANK(INDEX(Backlog[Stream],MATCH($A243,Backlog[Requirement ID],0))),"",INDEX(Backlog[Stream],MATCH($A243,Backlog[Requirement ID],0))),"")</f>
        <v/>
      </c>
      <c r="D242" s="92">
        <f>IFERROR(IF(ISBLANK(INDEX(Backlog[Stream Owner],MATCH($A243,Backlog[Requirement ID],0))),"",INDEX(Backlog[Stream Owner],MATCH($A243,Backlog[Requirement ID],0))),"")</f>
        <v/>
      </c>
      <c r="E242" s="92">
        <f>IFERROR(IF(ISBLANK(INDEX(Backlog[Jira Link],MATCH($A243,Backlog[Requirement ID],0))),"",INDEX(Backlog[Jira Link],MATCH($A243,Backlog[Requirement ID],0))),"")</f>
        <v/>
      </c>
      <c r="H242" s="92">
        <f>IFERROR(IF(ISBLANK(INDEX(SprintPlanning[Sprint],MATCH($A243,SprintPlanning[Requirement ID],0))),"",INDEX(SprintPlanning[Sprint],MATCH($A243,SprintPlanning[Requirement ID],0))),"")</f>
        <v/>
      </c>
      <c r="I242" s="92">
        <f>IFERROR(IF(ISBLANK(INDEX(Backlog[Status],MATCH($A243,Backlog[Requirement ID],0))),"",INDEX(Backlog[Status],MATCH($A243,Backlog[Requirement ID],0))),"")</f>
        <v/>
      </c>
      <c r="J242" s="92">
        <f>IFERROR(IF(ISBLANK(INDEX(Backlog[Priority],MATCH($A243,Backlog[Requirement ID],0))),"",INDEX(Backlog[Priority],MATCH($A243,Backlog[Requirement ID],0))),"")</f>
        <v/>
      </c>
      <c r="L242" s="97" t="n"/>
      <c r="M242" s="97" t="n"/>
      <c r="O242" s="97" t="n"/>
    </row>
    <row r="243" ht="15" customHeight="1" s="93">
      <c r="A243" s="92">
        <f>Backlog!A244</f>
        <v/>
      </c>
      <c r="B243" s="92">
        <f>IFERROR(IF(ISBLANK(INDEX(Backlog[Requirement Name],MATCH($A244,Backlog[Requirement ID],0))),"",INDEX(Backlog[Requirement Name],MATCH($A244,Backlog[Requirement ID],0))),"")</f>
        <v/>
      </c>
      <c r="C243" s="92">
        <f>IFERROR(IF(ISBLANK(INDEX(Backlog[Stream],MATCH($A244,Backlog[Requirement ID],0))),"",INDEX(Backlog[Stream],MATCH($A244,Backlog[Requirement ID],0))),"")</f>
        <v/>
      </c>
      <c r="D243" s="92">
        <f>IFERROR(IF(ISBLANK(INDEX(Backlog[Stream Owner],MATCH($A244,Backlog[Requirement ID],0))),"",INDEX(Backlog[Stream Owner],MATCH($A244,Backlog[Requirement ID],0))),"")</f>
        <v/>
      </c>
      <c r="E243" s="92">
        <f>IFERROR(IF(ISBLANK(INDEX(Backlog[Jira Link],MATCH($A244,Backlog[Requirement ID],0))),"",INDEX(Backlog[Jira Link],MATCH($A244,Backlog[Requirement ID],0))),"")</f>
        <v/>
      </c>
      <c r="H243" s="92">
        <f>IFERROR(IF(ISBLANK(INDEX(SprintPlanning[Sprint],MATCH($A244,SprintPlanning[Requirement ID],0))),"",INDEX(SprintPlanning[Sprint],MATCH($A244,SprintPlanning[Requirement ID],0))),"")</f>
        <v/>
      </c>
      <c r="I243" s="92">
        <f>IFERROR(IF(ISBLANK(INDEX(Backlog[Status],MATCH($A244,Backlog[Requirement ID],0))),"",INDEX(Backlog[Status],MATCH($A244,Backlog[Requirement ID],0))),"")</f>
        <v/>
      </c>
      <c r="J243" s="92">
        <f>IFERROR(IF(ISBLANK(INDEX(Backlog[Priority],MATCH($A244,Backlog[Requirement ID],0))),"",INDEX(Backlog[Priority],MATCH($A244,Backlog[Requirement ID],0))),"")</f>
        <v/>
      </c>
      <c r="L243" s="97" t="n"/>
      <c r="M243" s="97" t="n"/>
      <c r="O243" s="97" t="n"/>
    </row>
    <row r="244" ht="15" customHeight="1" s="93">
      <c r="A244" s="92">
        <f>Backlog!A245</f>
        <v/>
      </c>
      <c r="B244" s="92">
        <f>IFERROR(IF(ISBLANK(INDEX(Backlog[Requirement Name],MATCH($A245,Backlog[Requirement ID],0))),"",INDEX(Backlog[Requirement Name],MATCH($A245,Backlog[Requirement ID],0))),"")</f>
        <v/>
      </c>
      <c r="C244" s="92">
        <f>IFERROR(IF(ISBLANK(INDEX(Backlog[Stream],MATCH($A245,Backlog[Requirement ID],0))),"",INDEX(Backlog[Stream],MATCH($A245,Backlog[Requirement ID],0))),"")</f>
        <v/>
      </c>
      <c r="D244" s="92">
        <f>IFERROR(IF(ISBLANK(INDEX(Backlog[Stream Owner],MATCH($A245,Backlog[Requirement ID],0))),"",INDEX(Backlog[Stream Owner],MATCH($A245,Backlog[Requirement ID],0))),"")</f>
        <v/>
      </c>
      <c r="E244" s="92">
        <f>IFERROR(IF(ISBLANK(INDEX(Backlog[Jira Link],MATCH($A245,Backlog[Requirement ID],0))),"",INDEX(Backlog[Jira Link],MATCH($A245,Backlog[Requirement ID],0))),"")</f>
        <v/>
      </c>
      <c r="H244" s="92">
        <f>IFERROR(IF(ISBLANK(INDEX(SprintPlanning[Sprint],MATCH($A245,SprintPlanning[Requirement ID],0))),"",INDEX(SprintPlanning[Sprint],MATCH($A245,SprintPlanning[Requirement ID],0))),"")</f>
        <v/>
      </c>
      <c r="I244" s="92">
        <f>IFERROR(IF(ISBLANK(INDEX(Backlog[Status],MATCH($A245,Backlog[Requirement ID],0))),"",INDEX(Backlog[Status],MATCH($A245,Backlog[Requirement ID],0))),"")</f>
        <v/>
      </c>
      <c r="J244" s="92">
        <f>IFERROR(IF(ISBLANK(INDEX(Backlog[Priority],MATCH($A245,Backlog[Requirement ID],0))),"",INDEX(Backlog[Priority],MATCH($A245,Backlog[Requirement ID],0))),"")</f>
        <v/>
      </c>
      <c r="L244" s="97" t="n"/>
      <c r="M244" s="97" t="n"/>
      <c r="O244" s="97" t="n"/>
    </row>
    <row r="245" ht="15" customHeight="1" s="93">
      <c r="A245" s="92">
        <f>Backlog!A246</f>
        <v/>
      </c>
      <c r="B245" s="92">
        <f>IFERROR(IF(ISBLANK(INDEX(Backlog[Requirement Name],MATCH($A246,Backlog[Requirement ID],0))),"",INDEX(Backlog[Requirement Name],MATCH($A246,Backlog[Requirement ID],0))),"")</f>
        <v/>
      </c>
      <c r="C245" s="92">
        <f>IFERROR(IF(ISBLANK(INDEX(Backlog[Stream],MATCH($A246,Backlog[Requirement ID],0))),"",INDEX(Backlog[Stream],MATCH($A246,Backlog[Requirement ID],0))),"")</f>
        <v/>
      </c>
      <c r="D245" s="92">
        <f>IFERROR(IF(ISBLANK(INDEX(Backlog[Stream Owner],MATCH($A246,Backlog[Requirement ID],0))),"",INDEX(Backlog[Stream Owner],MATCH($A246,Backlog[Requirement ID],0))),"")</f>
        <v/>
      </c>
      <c r="E245" s="92">
        <f>IFERROR(IF(ISBLANK(INDEX(Backlog[Jira Link],MATCH($A246,Backlog[Requirement ID],0))),"",INDEX(Backlog[Jira Link],MATCH($A246,Backlog[Requirement ID],0))),"")</f>
        <v/>
      </c>
      <c r="H245" s="92">
        <f>IFERROR(IF(ISBLANK(INDEX(SprintPlanning[Sprint],MATCH($A246,SprintPlanning[Requirement ID],0))),"",INDEX(SprintPlanning[Sprint],MATCH($A246,SprintPlanning[Requirement ID],0))),"")</f>
        <v/>
      </c>
      <c r="I245" s="92">
        <f>IFERROR(IF(ISBLANK(INDEX(Backlog[Status],MATCH($A246,Backlog[Requirement ID],0))),"",INDEX(Backlog[Status],MATCH($A246,Backlog[Requirement ID],0))),"")</f>
        <v/>
      </c>
      <c r="J245" s="92">
        <f>IFERROR(IF(ISBLANK(INDEX(Backlog[Priority],MATCH($A246,Backlog[Requirement ID],0))),"",INDEX(Backlog[Priority],MATCH($A246,Backlog[Requirement ID],0))),"")</f>
        <v/>
      </c>
      <c r="L245" s="97" t="n"/>
      <c r="M245" s="97" t="n"/>
      <c r="O245" s="97" t="n"/>
    </row>
    <row r="246" ht="15" customHeight="1" s="93">
      <c r="A246" s="92">
        <f>Backlog!A247</f>
        <v/>
      </c>
      <c r="B246" s="92">
        <f>IFERROR(IF(ISBLANK(INDEX(Backlog[Requirement Name],MATCH($A247,Backlog[Requirement ID],0))),"",INDEX(Backlog[Requirement Name],MATCH($A247,Backlog[Requirement ID],0))),"")</f>
        <v/>
      </c>
      <c r="C246" s="92">
        <f>IFERROR(IF(ISBLANK(INDEX(Backlog[Stream],MATCH($A247,Backlog[Requirement ID],0))),"",INDEX(Backlog[Stream],MATCH($A247,Backlog[Requirement ID],0))),"")</f>
        <v/>
      </c>
      <c r="D246" s="92">
        <f>IFERROR(IF(ISBLANK(INDEX(Backlog[Stream Owner],MATCH($A247,Backlog[Requirement ID],0))),"",INDEX(Backlog[Stream Owner],MATCH($A247,Backlog[Requirement ID],0))),"")</f>
        <v/>
      </c>
      <c r="E246" s="92">
        <f>IFERROR(IF(ISBLANK(INDEX(Backlog[Jira Link],MATCH($A247,Backlog[Requirement ID],0))),"",INDEX(Backlog[Jira Link],MATCH($A247,Backlog[Requirement ID],0))),"")</f>
        <v/>
      </c>
      <c r="H246" s="92">
        <f>IFERROR(IF(ISBLANK(INDEX(SprintPlanning[Sprint],MATCH($A247,SprintPlanning[Requirement ID],0))),"",INDEX(SprintPlanning[Sprint],MATCH($A247,SprintPlanning[Requirement ID],0))),"")</f>
        <v/>
      </c>
      <c r="I246" s="92">
        <f>IFERROR(IF(ISBLANK(INDEX(Backlog[Status],MATCH($A247,Backlog[Requirement ID],0))),"",INDEX(Backlog[Status],MATCH($A247,Backlog[Requirement ID],0))),"")</f>
        <v/>
      </c>
      <c r="J246" s="92">
        <f>IFERROR(IF(ISBLANK(INDEX(Backlog[Priority],MATCH($A247,Backlog[Requirement ID],0))),"",INDEX(Backlog[Priority],MATCH($A247,Backlog[Requirement ID],0))),"")</f>
        <v/>
      </c>
      <c r="L246" s="97" t="n"/>
      <c r="M246" s="97" t="n"/>
      <c r="O246" s="97" t="n"/>
    </row>
    <row r="247" ht="15" customHeight="1" s="93">
      <c r="A247" s="92">
        <f>Backlog!A248</f>
        <v/>
      </c>
      <c r="B247" s="92">
        <f>IFERROR(IF(ISBLANK(INDEX(Backlog[Requirement Name],MATCH($A248,Backlog[Requirement ID],0))),"",INDEX(Backlog[Requirement Name],MATCH($A248,Backlog[Requirement ID],0))),"")</f>
        <v/>
      </c>
      <c r="C247" s="92">
        <f>IFERROR(IF(ISBLANK(INDEX(Backlog[Stream],MATCH($A248,Backlog[Requirement ID],0))),"",INDEX(Backlog[Stream],MATCH($A248,Backlog[Requirement ID],0))),"")</f>
        <v/>
      </c>
      <c r="D247" s="92">
        <f>IFERROR(IF(ISBLANK(INDEX(Backlog[Stream Owner],MATCH($A248,Backlog[Requirement ID],0))),"",INDEX(Backlog[Stream Owner],MATCH($A248,Backlog[Requirement ID],0))),"")</f>
        <v/>
      </c>
      <c r="E247" s="92">
        <f>IFERROR(IF(ISBLANK(INDEX(Backlog[Jira Link],MATCH($A248,Backlog[Requirement ID],0))),"",INDEX(Backlog[Jira Link],MATCH($A248,Backlog[Requirement ID],0))),"")</f>
        <v/>
      </c>
      <c r="H247" s="92">
        <f>IFERROR(IF(ISBLANK(INDEX(SprintPlanning[Sprint],MATCH($A248,SprintPlanning[Requirement ID],0))),"",INDEX(SprintPlanning[Sprint],MATCH($A248,SprintPlanning[Requirement ID],0))),"")</f>
        <v/>
      </c>
      <c r="I247" s="92">
        <f>IFERROR(IF(ISBLANK(INDEX(Backlog[Status],MATCH($A248,Backlog[Requirement ID],0))),"",INDEX(Backlog[Status],MATCH($A248,Backlog[Requirement ID],0))),"")</f>
        <v/>
      </c>
      <c r="J247" s="92">
        <f>IFERROR(IF(ISBLANK(INDEX(Backlog[Priority],MATCH($A248,Backlog[Requirement ID],0))),"",INDEX(Backlog[Priority],MATCH($A248,Backlog[Requirement ID],0))),"")</f>
        <v/>
      </c>
      <c r="L247" s="97" t="n"/>
      <c r="M247" s="97" t="n"/>
      <c r="O247" s="97" t="n"/>
    </row>
    <row r="248" ht="15" customHeight="1" s="93">
      <c r="A248" s="92">
        <f>Backlog!A249</f>
        <v/>
      </c>
      <c r="B248" s="92">
        <f>IFERROR(IF(ISBLANK(INDEX(Backlog[Requirement Name],MATCH($A249,Backlog[Requirement ID],0))),"",INDEX(Backlog[Requirement Name],MATCH($A249,Backlog[Requirement ID],0))),"")</f>
        <v/>
      </c>
      <c r="C248" s="92">
        <f>IFERROR(IF(ISBLANK(INDEX(Backlog[Stream],MATCH($A249,Backlog[Requirement ID],0))),"",INDEX(Backlog[Stream],MATCH($A249,Backlog[Requirement ID],0))),"")</f>
        <v/>
      </c>
      <c r="D248" s="92">
        <f>IFERROR(IF(ISBLANK(INDEX(Backlog[Stream Owner],MATCH($A249,Backlog[Requirement ID],0))),"",INDEX(Backlog[Stream Owner],MATCH($A249,Backlog[Requirement ID],0))),"")</f>
        <v/>
      </c>
      <c r="E248" s="92">
        <f>IFERROR(IF(ISBLANK(INDEX(Backlog[Jira Link],MATCH($A249,Backlog[Requirement ID],0))),"",INDEX(Backlog[Jira Link],MATCH($A249,Backlog[Requirement ID],0))),"")</f>
        <v/>
      </c>
      <c r="H248" s="92">
        <f>IFERROR(IF(ISBLANK(INDEX(SprintPlanning[Sprint],MATCH($A249,SprintPlanning[Requirement ID],0))),"",INDEX(SprintPlanning[Sprint],MATCH($A249,SprintPlanning[Requirement ID],0))),"")</f>
        <v/>
      </c>
      <c r="I248" s="92">
        <f>IFERROR(IF(ISBLANK(INDEX(Backlog[Status],MATCH($A249,Backlog[Requirement ID],0))),"",INDEX(Backlog[Status],MATCH($A249,Backlog[Requirement ID],0))),"")</f>
        <v/>
      </c>
      <c r="J248" s="92">
        <f>IFERROR(IF(ISBLANK(INDEX(Backlog[Priority],MATCH($A249,Backlog[Requirement ID],0))),"",INDEX(Backlog[Priority],MATCH($A249,Backlog[Requirement ID],0))),"")</f>
        <v/>
      </c>
      <c r="L248" s="97" t="n"/>
      <c r="M248" s="97" t="n"/>
      <c r="O248" s="97" t="n"/>
    </row>
    <row r="249" ht="15" customHeight="1" s="93">
      <c r="A249" s="92">
        <f>Backlog!A250</f>
        <v/>
      </c>
      <c r="B249" s="92">
        <f>IFERROR(IF(ISBLANK(INDEX(Backlog[Requirement Name],MATCH($A250,Backlog[Requirement ID],0))),"",INDEX(Backlog[Requirement Name],MATCH($A250,Backlog[Requirement ID],0))),"")</f>
        <v/>
      </c>
      <c r="C249" s="92">
        <f>IFERROR(IF(ISBLANK(INDEX(Backlog[Stream],MATCH($A250,Backlog[Requirement ID],0))),"",INDEX(Backlog[Stream],MATCH($A250,Backlog[Requirement ID],0))),"")</f>
        <v/>
      </c>
      <c r="D249" s="92">
        <f>IFERROR(IF(ISBLANK(INDEX(Backlog[Stream Owner],MATCH($A250,Backlog[Requirement ID],0))),"",INDEX(Backlog[Stream Owner],MATCH($A250,Backlog[Requirement ID],0))),"")</f>
        <v/>
      </c>
      <c r="E249" s="92">
        <f>IFERROR(IF(ISBLANK(INDEX(Backlog[Jira Link],MATCH($A250,Backlog[Requirement ID],0))),"",INDEX(Backlog[Jira Link],MATCH($A250,Backlog[Requirement ID],0))),"")</f>
        <v/>
      </c>
      <c r="H249" s="92">
        <f>IFERROR(IF(ISBLANK(INDEX(SprintPlanning[Sprint],MATCH($A250,SprintPlanning[Requirement ID],0))),"",INDEX(SprintPlanning[Sprint],MATCH($A250,SprintPlanning[Requirement ID],0))),"")</f>
        <v/>
      </c>
      <c r="I249" s="92">
        <f>IFERROR(IF(ISBLANK(INDEX(Backlog[Status],MATCH($A250,Backlog[Requirement ID],0))),"",INDEX(Backlog[Status],MATCH($A250,Backlog[Requirement ID],0))),"")</f>
        <v/>
      </c>
      <c r="J249" s="92">
        <f>IFERROR(IF(ISBLANK(INDEX(Backlog[Priority],MATCH($A250,Backlog[Requirement ID],0))),"",INDEX(Backlog[Priority],MATCH($A250,Backlog[Requirement ID],0))),"")</f>
        <v/>
      </c>
      <c r="L249" s="97" t="n"/>
      <c r="M249" s="97" t="n"/>
      <c r="O249" s="97" t="n"/>
    </row>
    <row r="250" ht="15" customHeight="1" s="93">
      <c r="A250" s="92">
        <f>Backlog!A251</f>
        <v/>
      </c>
      <c r="B250" s="92">
        <f>IFERROR(IF(ISBLANK(INDEX(Backlog[Requirement Name],MATCH($A251,Backlog[Requirement ID],0))),"",INDEX(Backlog[Requirement Name],MATCH($A251,Backlog[Requirement ID],0))),"")</f>
        <v/>
      </c>
      <c r="C250" s="92">
        <f>IFERROR(IF(ISBLANK(INDEX(Backlog[Stream],MATCH($A251,Backlog[Requirement ID],0))),"",INDEX(Backlog[Stream],MATCH($A251,Backlog[Requirement ID],0))),"")</f>
        <v/>
      </c>
      <c r="D250" s="92">
        <f>IFERROR(IF(ISBLANK(INDEX(Backlog[Stream Owner],MATCH($A251,Backlog[Requirement ID],0))),"",INDEX(Backlog[Stream Owner],MATCH($A251,Backlog[Requirement ID],0))),"")</f>
        <v/>
      </c>
      <c r="E250" s="92">
        <f>IFERROR(IF(ISBLANK(INDEX(Backlog[Jira Link],MATCH($A251,Backlog[Requirement ID],0))),"",INDEX(Backlog[Jira Link],MATCH($A251,Backlog[Requirement ID],0))),"")</f>
        <v/>
      </c>
      <c r="H250" s="92">
        <f>IFERROR(IF(ISBLANK(INDEX(SprintPlanning[Sprint],MATCH($A251,SprintPlanning[Requirement ID],0))),"",INDEX(SprintPlanning[Sprint],MATCH($A251,SprintPlanning[Requirement ID],0))),"")</f>
        <v/>
      </c>
      <c r="I250" s="92">
        <f>IFERROR(IF(ISBLANK(INDEX(Backlog[Status],MATCH($A251,Backlog[Requirement ID],0))),"",INDEX(Backlog[Status],MATCH($A251,Backlog[Requirement ID],0))),"")</f>
        <v/>
      </c>
      <c r="J250" s="92">
        <f>IFERROR(IF(ISBLANK(INDEX(Backlog[Priority],MATCH($A251,Backlog[Requirement ID],0))),"",INDEX(Backlog[Priority],MATCH($A251,Backlog[Requirement ID],0))),"")</f>
        <v/>
      </c>
      <c r="L250" s="97" t="n"/>
      <c r="M250" s="97" t="n"/>
      <c r="O250" s="97" t="n"/>
    </row>
    <row r="251" ht="15" customHeight="1" s="93">
      <c r="A251" s="92">
        <f>Backlog!A252</f>
        <v/>
      </c>
      <c r="B251" s="92">
        <f>IFERROR(IF(ISBLANK(INDEX(Backlog[Requirement Name],MATCH($A252,Backlog[Requirement ID],0))),"",INDEX(Backlog[Requirement Name],MATCH($A252,Backlog[Requirement ID],0))),"")</f>
        <v/>
      </c>
      <c r="C251" s="92">
        <f>IFERROR(IF(ISBLANK(INDEX(Backlog[Stream],MATCH($A252,Backlog[Requirement ID],0))),"",INDEX(Backlog[Stream],MATCH($A252,Backlog[Requirement ID],0))),"")</f>
        <v/>
      </c>
      <c r="D251" s="92">
        <f>IFERROR(IF(ISBLANK(INDEX(Backlog[Stream Owner],MATCH($A252,Backlog[Requirement ID],0))),"",INDEX(Backlog[Stream Owner],MATCH($A252,Backlog[Requirement ID],0))),"")</f>
        <v/>
      </c>
      <c r="E251" s="92">
        <f>IFERROR(IF(ISBLANK(INDEX(Backlog[Jira Link],MATCH($A252,Backlog[Requirement ID],0))),"",INDEX(Backlog[Jira Link],MATCH($A252,Backlog[Requirement ID],0))),"")</f>
        <v/>
      </c>
      <c r="H251" s="92">
        <f>IFERROR(IF(ISBLANK(INDEX(SprintPlanning[Sprint],MATCH($A252,SprintPlanning[Requirement ID],0))),"",INDEX(SprintPlanning[Sprint],MATCH($A252,SprintPlanning[Requirement ID],0))),"")</f>
        <v/>
      </c>
      <c r="I251" s="92">
        <f>IFERROR(IF(ISBLANK(INDEX(Backlog[Status],MATCH($A252,Backlog[Requirement ID],0))),"",INDEX(Backlog[Status],MATCH($A252,Backlog[Requirement ID],0))),"")</f>
        <v/>
      </c>
      <c r="J251" s="92">
        <f>IFERROR(IF(ISBLANK(INDEX(Backlog[Priority],MATCH($A252,Backlog[Requirement ID],0))),"",INDEX(Backlog[Priority],MATCH($A252,Backlog[Requirement ID],0))),"")</f>
        <v/>
      </c>
      <c r="L251" s="97" t="n"/>
      <c r="M251" s="97" t="n"/>
      <c r="O251" s="97" t="n"/>
    </row>
    <row r="252" ht="15" customHeight="1" s="93">
      <c r="A252" s="92">
        <f>Backlog!A253</f>
        <v/>
      </c>
      <c r="B252" s="92">
        <f>IFERROR(IF(ISBLANK(INDEX(Backlog[Requirement Name],MATCH($A253,Backlog[Requirement ID],0))),"",INDEX(Backlog[Requirement Name],MATCH($A253,Backlog[Requirement ID],0))),"")</f>
        <v/>
      </c>
      <c r="C252" s="92">
        <f>IFERROR(IF(ISBLANK(INDEX(Backlog[Stream],MATCH($A253,Backlog[Requirement ID],0))),"",INDEX(Backlog[Stream],MATCH($A253,Backlog[Requirement ID],0))),"")</f>
        <v/>
      </c>
      <c r="D252" s="92">
        <f>IFERROR(IF(ISBLANK(INDEX(Backlog[Stream Owner],MATCH($A253,Backlog[Requirement ID],0))),"",INDEX(Backlog[Stream Owner],MATCH($A253,Backlog[Requirement ID],0))),"")</f>
        <v/>
      </c>
      <c r="E252" s="92">
        <f>IFERROR(IF(ISBLANK(INDEX(Backlog[Jira Link],MATCH($A253,Backlog[Requirement ID],0))),"",INDEX(Backlog[Jira Link],MATCH($A253,Backlog[Requirement ID],0))),"")</f>
        <v/>
      </c>
      <c r="H252" s="92">
        <f>IFERROR(IF(ISBLANK(INDEX(SprintPlanning[Sprint],MATCH($A253,SprintPlanning[Requirement ID],0))),"",INDEX(SprintPlanning[Sprint],MATCH($A253,SprintPlanning[Requirement ID],0))),"")</f>
        <v/>
      </c>
      <c r="I252" s="92">
        <f>IFERROR(IF(ISBLANK(INDEX(Backlog[Status],MATCH($A253,Backlog[Requirement ID],0))),"",INDEX(Backlog[Status],MATCH($A253,Backlog[Requirement ID],0))),"")</f>
        <v/>
      </c>
      <c r="J252" s="92">
        <f>IFERROR(IF(ISBLANK(INDEX(Backlog[Priority],MATCH($A253,Backlog[Requirement ID],0))),"",INDEX(Backlog[Priority],MATCH($A253,Backlog[Requirement ID],0))),"")</f>
        <v/>
      </c>
      <c r="L252" s="97" t="n"/>
      <c r="M252" s="97" t="n"/>
      <c r="O252" s="97" t="n"/>
    </row>
    <row r="253" ht="15" customHeight="1" s="93">
      <c r="A253" s="92">
        <f>Backlog!A254</f>
        <v/>
      </c>
      <c r="B253" s="92">
        <f>IFERROR(IF(ISBLANK(INDEX(Backlog[Requirement Name],MATCH($A254,Backlog[Requirement ID],0))),"",INDEX(Backlog[Requirement Name],MATCH($A254,Backlog[Requirement ID],0))),"")</f>
        <v/>
      </c>
      <c r="C253" s="92">
        <f>IFERROR(IF(ISBLANK(INDEX(Backlog[Stream],MATCH($A254,Backlog[Requirement ID],0))),"",INDEX(Backlog[Stream],MATCH($A254,Backlog[Requirement ID],0))),"")</f>
        <v/>
      </c>
      <c r="D253" s="92">
        <f>IFERROR(IF(ISBLANK(INDEX(Backlog[Stream Owner],MATCH($A254,Backlog[Requirement ID],0))),"",INDEX(Backlog[Stream Owner],MATCH($A254,Backlog[Requirement ID],0))),"")</f>
        <v/>
      </c>
      <c r="E253" s="92">
        <f>IFERROR(IF(ISBLANK(INDEX(Backlog[Jira Link],MATCH($A254,Backlog[Requirement ID],0))),"",INDEX(Backlog[Jira Link],MATCH($A254,Backlog[Requirement ID],0))),"")</f>
        <v/>
      </c>
      <c r="H253" s="92">
        <f>IFERROR(IF(ISBLANK(INDEX(SprintPlanning[Sprint],MATCH($A254,SprintPlanning[Requirement ID],0))),"",INDEX(SprintPlanning[Sprint],MATCH($A254,SprintPlanning[Requirement ID],0))),"")</f>
        <v/>
      </c>
      <c r="I253" s="92">
        <f>IFERROR(IF(ISBLANK(INDEX(Backlog[Status],MATCH($A254,Backlog[Requirement ID],0))),"",INDEX(Backlog[Status],MATCH($A254,Backlog[Requirement ID],0))),"")</f>
        <v/>
      </c>
      <c r="J253" s="92">
        <f>IFERROR(IF(ISBLANK(INDEX(Backlog[Priority],MATCH($A254,Backlog[Requirement ID],0))),"",INDEX(Backlog[Priority],MATCH($A254,Backlog[Requirement ID],0))),"")</f>
        <v/>
      </c>
      <c r="L253" s="97" t="n"/>
      <c r="M253" s="97" t="n"/>
      <c r="O253" s="97" t="n"/>
    </row>
    <row r="254" ht="15" customHeight="1" s="93">
      <c r="A254" s="92">
        <f>Backlog!A255</f>
        <v/>
      </c>
      <c r="B254" s="92">
        <f>IFERROR(IF(ISBLANK(INDEX(Backlog[Requirement Name],MATCH($A255,Backlog[Requirement ID],0))),"",INDEX(Backlog[Requirement Name],MATCH($A255,Backlog[Requirement ID],0))),"")</f>
        <v/>
      </c>
      <c r="C254" s="92">
        <f>IFERROR(IF(ISBLANK(INDEX(Backlog[Stream],MATCH($A255,Backlog[Requirement ID],0))),"",INDEX(Backlog[Stream],MATCH($A255,Backlog[Requirement ID],0))),"")</f>
        <v/>
      </c>
      <c r="D254" s="92">
        <f>IFERROR(IF(ISBLANK(INDEX(Backlog[Stream Owner],MATCH($A255,Backlog[Requirement ID],0))),"",INDEX(Backlog[Stream Owner],MATCH($A255,Backlog[Requirement ID],0))),"")</f>
        <v/>
      </c>
      <c r="E254" s="92">
        <f>IFERROR(IF(ISBLANK(INDEX(Backlog[Jira Link],MATCH($A255,Backlog[Requirement ID],0))),"",INDEX(Backlog[Jira Link],MATCH($A255,Backlog[Requirement ID],0))),"")</f>
        <v/>
      </c>
      <c r="H254" s="92">
        <f>IFERROR(IF(ISBLANK(INDEX(SprintPlanning[Sprint],MATCH($A255,SprintPlanning[Requirement ID],0))),"",INDEX(SprintPlanning[Sprint],MATCH($A255,SprintPlanning[Requirement ID],0))),"")</f>
        <v/>
      </c>
      <c r="I254" s="92">
        <f>IFERROR(IF(ISBLANK(INDEX(Backlog[Status],MATCH($A255,Backlog[Requirement ID],0))),"",INDEX(Backlog[Status],MATCH($A255,Backlog[Requirement ID],0))),"")</f>
        <v/>
      </c>
      <c r="J254" s="92">
        <f>IFERROR(IF(ISBLANK(INDEX(Backlog[Priority],MATCH($A255,Backlog[Requirement ID],0))),"",INDEX(Backlog[Priority],MATCH($A255,Backlog[Requirement ID],0))),"")</f>
        <v/>
      </c>
      <c r="L254" s="97" t="n"/>
      <c r="M254" s="97" t="n"/>
      <c r="O254" s="97" t="n"/>
    </row>
    <row r="255" ht="15" customHeight="1" s="93">
      <c r="A255" s="92">
        <f>Backlog!A256</f>
        <v/>
      </c>
      <c r="B255" s="92">
        <f>IFERROR(IF(ISBLANK(INDEX(Backlog[Requirement Name],MATCH($A256,Backlog[Requirement ID],0))),"",INDEX(Backlog[Requirement Name],MATCH($A256,Backlog[Requirement ID],0))),"")</f>
        <v/>
      </c>
      <c r="C255" s="92">
        <f>IFERROR(IF(ISBLANK(INDEX(Backlog[Stream],MATCH($A256,Backlog[Requirement ID],0))),"",INDEX(Backlog[Stream],MATCH($A256,Backlog[Requirement ID],0))),"")</f>
        <v/>
      </c>
      <c r="D255" s="92">
        <f>IFERROR(IF(ISBLANK(INDEX(Backlog[Stream Owner],MATCH($A256,Backlog[Requirement ID],0))),"",INDEX(Backlog[Stream Owner],MATCH($A256,Backlog[Requirement ID],0))),"")</f>
        <v/>
      </c>
      <c r="E255" s="92">
        <f>IFERROR(IF(ISBLANK(INDEX(Backlog[Jira Link],MATCH($A256,Backlog[Requirement ID],0))),"",INDEX(Backlog[Jira Link],MATCH($A256,Backlog[Requirement ID],0))),"")</f>
        <v/>
      </c>
      <c r="H255" s="92">
        <f>IFERROR(IF(ISBLANK(INDEX(SprintPlanning[Sprint],MATCH($A256,SprintPlanning[Requirement ID],0))),"",INDEX(SprintPlanning[Sprint],MATCH($A256,SprintPlanning[Requirement ID],0))),"")</f>
        <v/>
      </c>
      <c r="I255" s="92">
        <f>IFERROR(IF(ISBLANK(INDEX(Backlog[Status],MATCH($A256,Backlog[Requirement ID],0))),"",INDEX(Backlog[Status],MATCH($A256,Backlog[Requirement ID],0))),"")</f>
        <v/>
      </c>
      <c r="J255" s="92">
        <f>IFERROR(IF(ISBLANK(INDEX(Backlog[Priority],MATCH($A256,Backlog[Requirement ID],0))),"",INDEX(Backlog[Priority],MATCH($A256,Backlog[Requirement ID],0))),"")</f>
        <v/>
      </c>
      <c r="L255" s="97" t="n"/>
      <c r="M255" s="97" t="n"/>
      <c r="O255" s="97" t="n"/>
    </row>
    <row r="256" ht="15" customHeight="1" s="93">
      <c r="A256" s="92">
        <f>Backlog!A257</f>
        <v/>
      </c>
      <c r="B256" s="92">
        <f>IFERROR(IF(ISBLANK(INDEX(Backlog[Requirement Name],MATCH($A257,Backlog[Requirement ID],0))),"",INDEX(Backlog[Requirement Name],MATCH($A257,Backlog[Requirement ID],0))),"")</f>
        <v/>
      </c>
      <c r="C256" s="92">
        <f>IFERROR(IF(ISBLANK(INDEX(Backlog[Stream],MATCH($A257,Backlog[Requirement ID],0))),"",INDEX(Backlog[Stream],MATCH($A257,Backlog[Requirement ID],0))),"")</f>
        <v/>
      </c>
      <c r="D256" s="92">
        <f>IFERROR(IF(ISBLANK(INDEX(Backlog[Stream Owner],MATCH($A257,Backlog[Requirement ID],0))),"",INDEX(Backlog[Stream Owner],MATCH($A257,Backlog[Requirement ID],0))),"")</f>
        <v/>
      </c>
      <c r="E256" s="92">
        <f>IFERROR(IF(ISBLANK(INDEX(Backlog[Jira Link],MATCH($A257,Backlog[Requirement ID],0))),"",INDEX(Backlog[Jira Link],MATCH($A257,Backlog[Requirement ID],0))),"")</f>
        <v/>
      </c>
      <c r="H256" s="92">
        <f>IFERROR(IF(ISBLANK(INDEX(SprintPlanning[Sprint],MATCH($A257,SprintPlanning[Requirement ID],0))),"",INDEX(SprintPlanning[Sprint],MATCH($A257,SprintPlanning[Requirement ID],0))),"")</f>
        <v/>
      </c>
      <c r="I256" s="92">
        <f>IFERROR(IF(ISBLANK(INDEX(Backlog[Status],MATCH($A257,Backlog[Requirement ID],0))),"",INDEX(Backlog[Status],MATCH($A257,Backlog[Requirement ID],0))),"")</f>
        <v/>
      </c>
      <c r="J256" s="92">
        <f>IFERROR(IF(ISBLANK(INDEX(Backlog[Priority],MATCH($A257,Backlog[Requirement ID],0))),"",INDEX(Backlog[Priority],MATCH($A257,Backlog[Requirement ID],0))),"")</f>
        <v/>
      </c>
      <c r="L256" s="97" t="n"/>
      <c r="M256" s="97" t="n"/>
      <c r="O256" s="97" t="n"/>
    </row>
    <row r="257" ht="15" customHeight="1" s="93">
      <c r="A257" s="92">
        <f>Backlog!A258</f>
        <v/>
      </c>
      <c r="B257" s="92">
        <f>IFERROR(IF(ISBLANK(INDEX(Backlog[Requirement Name],MATCH($A258,Backlog[Requirement ID],0))),"",INDEX(Backlog[Requirement Name],MATCH($A258,Backlog[Requirement ID],0))),"")</f>
        <v/>
      </c>
      <c r="C257" s="92">
        <f>IFERROR(IF(ISBLANK(INDEX(Backlog[Stream],MATCH($A258,Backlog[Requirement ID],0))),"",INDEX(Backlog[Stream],MATCH($A258,Backlog[Requirement ID],0))),"")</f>
        <v/>
      </c>
      <c r="D257" s="92">
        <f>IFERROR(IF(ISBLANK(INDEX(Backlog[Stream Owner],MATCH($A258,Backlog[Requirement ID],0))),"",INDEX(Backlog[Stream Owner],MATCH($A258,Backlog[Requirement ID],0))),"")</f>
        <v/>
      </c>
      <c r="E257" s="92">
        <f>IFERROR(IF(ISBLANK(INDEX(Backlog[Jira Link],MATCH($A258,Backlog[Requirement ID],0))),"",INDEX(Backlog[Jira Link],MATCH($A258,Backlog[Requirement ID],0))),"")</f>
        <v/>
      </c>
      <c r="H257" s="92">
        <f>IFERROR(IF(ISBLANK(INDEX(SprintPlanning[Sprint],MATCH($A258,SprintPlanning[Requirement ID],0))),"",INDEX(SprintPlanning[Sprint],MATCH($A258,SprintPlanning[Requirement ID],0))),"")</f>
        <v/>
      </c>
      <c r="I257" s="92">
        <f>IFERROR(IF(ISBLANK(INDEX(Backlog[Status],MATCH($A258,Backlog[Requirement ID],0))),"",INDEX(Backlog[Status],MATCH($A258,Backlog[Requirement ID],0))),"")</f>
        <v/>
      </c>
      <c r="J257" s="92">
        <f>IFERROR(IF(ISBLANK(INDEX(Backlog[Priority],MATCH($A258,Backlog[Requirement ID],0))),"",INDEX(Backlog[Priority],MATCH($A258,Backlog[Requirement ID],0))),"")</f>
        <v/>
      </c>
      <c r="L257" s="97" t="n"/>
      <c r="M257" s="97" t="n"/>
      <c r="O257" s="97" t="n"/>
    </row>
    <row r="258" ht="15" customHeight="1" s="93">
      <c r="A258" s="92">
        <f>Backlog!A259</f>
        <v/>
      </c>
      <c r="B258" s="92">
        <f>IFERROR(IF(ISBLANK(INDEX(Backlog[Requirement Name],MATCH($A259,Backlog[Requirement ID],0))),"",INDEX(Backlog[Requirement Name],MATCH($A259,Backlog[Requirement ID],0))),"")</f>
        <v/>
      </c>
      <c r="C258" s="92">
        <f>IFERROR(IF(ISBLANK(INDEX(Backlog[Stream],MATCH($A259,Backlog[Requirement ID],0))),"",INDEX(Backlog[Stream],MATCH($A259,Backlog[Requirement ID],0))),"")</f>
        <v/>
      </c>
      <c r="D258" s="92">
        <f>IFERROR(IF(ISBLANK(INDEX(Backlog[Stream Owner],MATCH($A259,Backlog[Requirement ID],0))),"",INDEX(Backlog[Stream Owner],MATCH($A259,Backlog[Requirement ID],0))),"")</f>
        <v/>
      </c>
      <c r="E258" s="92">
        <f>IFERROR(IF(ISBLANK(INDEX(Backlog[Jira Link],MATCH($A259,Backlog[Requirement ID],0))),"",INDEX(Backlog[Jira Link],MATCH($A259,Backlog[Requirement ID],0))),"")</f>
        <v/>
      </c>
      <c r="H258" s="92">
        <f>IFERROR(IF(ISBLANK(INDEX(SprintPlanning[Sprint],MATCH($A259,SprintPlanning[Requirement ID],0))),"",INDEX(SprintPlanning[Sprint],MATCH($A259,SprintPlanning[Requirement ID],0))),"")</f>
        <v/>
      </c>
      <c r="I258" s="92">
        <f>IFERROR(IF(ISBLANK(INDEX(Backlog[Status],MATCH($A259,Backlog[Requirement ID],0))),"",INDEX(Backlog[Status],MATCH($A259,Backlog[Requirement ID],0))),"")</f>
        <v/>
      </c>
      <c r="J258" s="92">
        <f>IFERROR(IF(ISBLANK(INDEX(Backlog[Priority],MATCH($A259,Backlog[Requirement ID],0))),"",INDEX(Backlog[Priority],MATCH($A259,Backlog[Requirement ID],0))),"")</f>
        <v/>
      </c>
      <c r="L258" s="97" t="n"/>
      <c r="M258" s="97" t="n"/>
      <c r="O258" s="97" t="n"/>
    </row>
    <row r="259" ht="15" customHeight="1" s="93">
      <c r="A259" s="92">
        <f>Backlog!A260</f>
        <v/>
      </c>
      <c r="B259" s="92">
        <f>IFERROR(IF(ISBLANK(INDEX(Backlog[Requirement Name],MATCH($A260,Backlog[Requirement ID],0))),"",INDEX(Backlog[Requirement Name],MATCH($A260,Backlog[Requirement ID],0))),"")</f>
        <v/>
      </c>
      <c r="C259" s="92">
        <f>IFERROR(IF(ISBLANK(INDEX(Backlog[Stream],MATCH($A260,Backlog[Requirement ID],0))),"",INDEX(Backlog[Stream],MATCH($A260,Backlog[Requirement ID],0))),"")</f>
        <v/>
      </c>
      <c r="D259" s="92">
        <f>IFERROR(IF(ISBLANK(INDEX(Backlog[Stream Owner],MATCH($A260,Backlog[Requirement ID],0))),"",INDEX(Backlog[Stream Owner],MATCH($A260,Backlog[Requirement ID],0))),"")</f>
        <v/>
      </c>
      <c r="E259" s="92">
        <f>IFERROR(IF(ISBLANK(INDEX(Backlog[Jira Link],MATCH($A260,Backlog[Requirement ID],0))),"",INDEX(Backlog[Jira Link],MATCH($A260,Backlog[Requirement ID],0))),"")</f>
        <v/>
      </c>
      <c r="H259" s="92">
        <f>IFERROR(IF(ISBLANK(INDEX(SprintPlanning[Sprint],MATCH($A260,SprintPlanning[Requirement ID],0))),"",INDEX(SprintPlanning[Sprint],MATCH($A260,SprintPlanning[Requirement ID],0))),"")</f>
        <v/>
      </c>
      <c r="I259" s="92">
        <f>IFERROR(IF(ISBLANK(INDEX(Backlog[Status],MATCH($A260,Backlog[Requirement ID],0))),"",INDEX(Backlog[Status],MATCH($A260,Backlog[Requirement ID],0))),"")</f>
        <v/>
      </c>
      <c r="J259" s="92">
        <f>IFERROR(IF(ISBLANK(INDEX(Backlog[Priority],MATCH($A260,Backlog[Requirement ID],0))),"",INDEX(Backlog[Priority],MATCH($A260,Backlog[Requirement ID],0))),"")</f>
        <v/>
      </c>
      <c r="L259" s="97" t="n"/>
      <c r="M259" s="97" t="n"/>
      <c r="O259" s="97" t="n"/>
    </row>
    <row r="260" ht="15" customHeight="1" s="93">
      <c r="A260" s="92">
        <f>Backlog!A261</f>
        <v/>
      </c>
      <c r="B260" s="92">
        <f>IFERROR(IF(ISBLANK(INDEX(Backlog[Requirement Name],MATCH($A261,Backlog[Requirement ID],0))),"",INDEX(Backlog[Requirement Name],MATCH($A261,Backlog[Requirement ID],0))),"")</f>
        <v/>
      </c>
      <c r="C260" s="92">
        <f>IFERROR(IF(ISBLANK(INDEX(Backlog[Stream],MATCH($A261,Backlog[Requirement ID],0))),"",INDEX(Backlog[Stream],MATCH($A261,Backlog[Requirement ID],0))),"")</f>
        <v/>
      </c>
      <c r="D260" s="92">
        <f>IFERROR(IF(ISBLANK(INDEX(Backlog[Stream Owner],MATCH($A261,Backlog[Requirement ID],0))),"",INDEX(Backlog[Stream Owner],MATCH($A261,Backlog[Requirement ID],0))),"")</f>
        <v/>
      </c>
      <c r="E260" s="92">
        <f>IFERROR(IF(ISBLANK(INDEX(Backlog[Jira Link],MATCH($A261,Backlog[Requirement ID],0))),"",INDEX(Backlog[Jira Link],MATCH($A261,Backlog[Requirement ID],0))),"")</f>
        <v/>
      </c>
      <c r="H260" s="92">
        <f>IFERROR(IF(ISBLANK(INDEX(SprintPlanning[Sprint],MATCH($A261,SprintPlanning[Requirement ID],0))),"",INDEX(SprintPlanning[Sprint],MATCH($A261,SprintPlanning[Requirement ID],0))),"")</f>
        <v/>
      </c>
      <c r="I260" s="92">
        <f>IFERROR(IF(ISBLANK(INDEX(Backlog[Status],MATCH($A261,Backlog[Requirement ID],0))),"",INDEX(Backlog[Status],MATCH($A261,Backlog[Requirement ID],0))),"")</f>
        <v/>
      </c>
      <c r="J260" s="92">
        <f>IFERROR(IF(ISBLANK(INDEX(Backlog[Priority],MATCH($A261,Backlog[Requirement ID],0))),"",INDEX(Backlog[Priority],MATCH($A261,Backlog[Requirement ID],0))),"")</f>
        <v/>
      </c>
      <c r="L260" s="97" t="n"/>
      <c r="M260" s="97" t="n"/>
      <c r="O260" s="97" t="n"/>
    </row>
    <row r="261" ht="15" customHeight="1" s="93">
      <c r="A261" s="92">
        <f>Backlog!A262</f>
        <v/>
      </c>
      <c r="B261" s="92">
        <f>IFERROR(IF(ISBLANK(INDEX(Backlog[Requirement Name],MATCH($A262,Backlog[Requirement ID],0))),"",INDEX(Backlog[Requirement Name],MATCH($A262,Backlog[Requirement ID],0))),"")</f>
        <v/>
      </c>
      <c r="C261" s="92">
        <f>IFERROR(IF(ISBLANK(INDEX(Backlog[Stream],MATCH($A262,Backlog[Requirement ID],0))),"",INDEX(Backlog[Stream],MATCH($A262,Backlog[Requirement ID],0))),"")</f>
        <v/>
      </c>
      <c r="D261" s="92">
        <f>IFERROR(IF(ISBLANK(INDEX(Backlog[Stream Owner],MATCH($A262,Backlog[Requirement ID],0))),"",INDEX(Backlog[Stream Owner],MATCH($A262,Backlog[Requirement ID],0))),"")</f>
        <v/>
      </c>
      <c r="E261" s="92">
        <f>IFERROR(IF(ISBLANK(INDEX(Backlog[Jira Link],MATCH($A262,Backlog[Requirement ID],0))),"",INDEX(Backlog[Jira Link],MATCH($A262,Backlog[Requirement ID],0))),"")</f>
        <v/>
      </c>
      <c r="H261" s="92">
        <f>IFERROR(IF(ISBLANK(INDEX(SprintPlanning[Sprint],MATCH($A262,SprintPlanning[Requirement ID],0))),"",INDEX(SprintPlanning[Sprint],MATCH($A262,SprintPlanning[Requirement ID],0))),"")</f>
        <v/>
      </c>
      <c r="I261" s="92">
        <f>IFERROR(IF(ISBLANK(INDEX(Backlog[Status],MATCH($A262,Backlog[Requirement ID],0))),"",INDEX(Backlog[Status],MATCH($A262,Backlog[Requirement ID],0))),"")</f>
        <v/>
      </c>
      <c r="J261" s="92">
        <f>IFERROR(IF(ISBLANK(INDEX(Backlog[Priority],MATCH($A262,Backlog[Requirement ID],0))),"",INDEX(Backlog[Priority],MATCH($A262,Backlog[Requirement ID],0))),"")</f>
        <v/>
      </c>
      <c r="L261" s="97" t="n"/>
      <c r="M261" s="97" t="n"/>
      <c r="O261" s="97" t="n"/>
    </row>
    <row r="262" ht="15" customHeight="1" s="93">
      <c r="A262" s="92">
        <f>Backlog!A263</f>
        <v/>
      </c>
      <c r="B262" s="92">
        <f>IFERROR(IF(ISBLANK(INDEX(Backlog[Requirement Name],MATCH($A263,Backlog[Requirement ID],0))),"",INDEX(Backlog[Requirement Name],MATCH($A263,Backlog[Requirement ID],0))),"")</f>
        <v/>
      </c>
      <c r="C262" s="92">
        <f>IFERROR(IF(ISBLANK(INDEX(Backlog[Stream],MATCH($A263,Backlog[Requirement ID],0))),"",INDEX(Backlog[Stream],MATCH($A263,Backlog[Requirement ID],0))),"")</f>
        <v/>
      </c>
      <c r="D262" s="92">
        <f>IFERROR(IF(ISBLANK(INDEX(Backlog[Stream Owner],MATCH($A263,Backlog[Requirement ID],0))),"",INDEX(Backlog[Stream Owner],MATCH($A263,Backlog[Requirement ID],0))),"")</f>
        <v/>
      </c>
      <c r="E262" s="92">
        <f>IFERROR(IF(ISBLANK(INDEX(Backlog[Jira Link],MATCH($A263,Backlog[Requirement ID],0))),"",INDEX(Backlog[Jira Link],MATCH($A263,Backlog[Requirement ID],0))),"")</f>
        <v/>
      </c>
      <c r="H262" s="92">
        <f>IFERROR(IF(ISBLANK(INDEX(SprintPlanning[Sprint],MATCH($A263,SprintPlanning[Requirement ID],0))),"",INDEX(SprintPlanning[Sprint],MATCH($A263,SprintPlanning[Requirement ID],0))),"")</f>
        <v/>
      </c>
      <c r="I262" s="92">
        <f>IFERROR(IF(ISBLANK(INDEX(Backlog[Status],MATCH($A263,Backlog[Requirement ID],0))),"",INDEX(Backlog[Status],MATCH($A263,Backlog[Requirement ID],0))),"")</f>
        <v/>
      </c>
      <c r="J262" s="92">
        <f>IFERROR(IF(ISBLANK(INDEX(Backlog[Priority],MATCH($A263,Backlog[Requirement ID],0))),"",INDEX(Backlog[Priority],MATCH($A263,Backlog[Requirement ID],0))),"")</f>
        <v/>
      </c>
      <c r="L262" s="97" t="n"/>
      <c r="M262" s="97" t="n"/>
      <c r="O262" s="97" t="n"/>
    </row>
    <row r="263" ht="15" customHeight="1" s="93">
      <c r="A263" s="92">
        <f>Backlog!A264</f>
        <v/>
      </c>
      <c r="B263" s="92">
        <f>IFERROR(IF(ISBLANK(INDEX(Backlog[Requirement Name],MATCH($A264,Backlog[Requirement ID],0))),"",INDEX(Backlog[Requirement Name],MATCH($A264,Backlog[Requirement ID],0))),"")</f>
        <v/>
      </c>
      <c r="C263" s="92">
        <f>IFERROR(IF(ISBLANK(INDEX(Backlog[Stream],MATCH($A264,Backlog[Requirement ID],0))),"",INDEX(Backlog[Stream],MATCH($A264,Backlog[Requirement ID],0))),"")</f>
        <v/>
      </c>
      <c r="D263" s="92">
        <f>IFERROR(IF(ISBLANK(INDEX(Backlog[Stream Owner],MATCH($A264,Backlog[Requirement ID],0))),"",INDEX(Backlog[Stream Owner],MATCH($A264,Backlog[Requirement ID],0))),"")</f>
        <v/>
      </c>
      <c r="E263" s="92">
        <f>IFERROR(IF(ISBLANK(INDEX(Backlog[Jira Link],MATCH($A264,Backlog[Requirement ID],0))),"",INDEX(Backlog[Jira Link],MATCH($A264,Backlog[Requirement ID],0))),"")</f>
        <v/>
      </c>
      <c r="H263" s="92">
        <f>IFERROR(IF(ISBLANK(INDEX(SprintPlanning[Sprint],MATCH($A264,SprintPlanning[Requirement ID],0))),"",INDEX(SprintPlanning[Sprint],MATCH($A264,SprintPlanning[Requirement ID],0))),"")</f>
        <v/>
      </c>
      <c r="I263" s="92">
        <f>IFERROR(IF(ISBLANK(INDEX(Backlog[Status],MATCH($A264,Backlog[Requirement ID],0))),"",INDEX(Backlog[Status],MATCH($A264,Backlog[Requirement ID],0))),"")</f>
        <v/>
      </c>
      <c r="J263" s="92">
        <f>IFERROR(IF(ISBLANK(INDEX(Backlog[Priority],MATCH($A264,Backlog[Requirement ID],0))),"",INDEX(Backlog[Priority],MATCH($A264,Backlog[Requirement ID],0))),"")</f>
        <v/>
      </c>
      <c r="L263" s="97" t="n"/>
      <c r="M263" s="97" t="n"/>
      <c r="O263" s="97" t="n"/>
    </row>
    <row r="264" ht="15" customHeight="1" s="93">
      <c r="A264" s="92">
        <f>Backlog!A265</f>
        <v/>
      </c>
      <c r="B264" s="92">
        <f>IFERROR(IF(ISBLANK(INDEX(Backlog[Requirement Name],MATCH($A265,Backlog[Requirement ID],0))),"",INDEX(Backlog[Requirement Name],MATCH($A265,Backlog[Requirement ID],0))),"")</f>
        <v/>
      </c>
      <c r="C264" s="92">
        <f>IFERROR(IF(ISBLANK(INDEX(Backlog[Stream],MATCH($A265,Backlog[Requirement ID],0))),"",INDEX(Backlog[Stream],MATCH($A265,Backlog[Requirement ID],0))),"")</f>
        <v/>
      </c>
      <c r="D264" s="92">
        <f>IFERROR(IF(ISBLANK(INDEX(Backlog[Stream Owner],MATCH($A265,Backlog[Requirement ID],0))),"",INDEX(Backlog[Stream Owner],MATCH($A265,Backlog[Requirement ID],0))),"")</f>
        <v/>
      </c>
      <c r="E264" s="92">
        <f>IFERROR(IF(ISBLANK(INDEX(Backlog[Jira Link],MATCH($A265,Backlog[Requirement ID],0))),"",INDEX(Backlog[Jira Link],MATCH($A265,Backlog[Requirement ID],0))),"")</f>
        <v/>
      </c>
      <c r="H264" s="92">
        <f>IFERROR(IF(ISBLANK(INDEX(SprintPlanning[Sprint],MATCH($A265,SprintPlanning[Requirement ID],0))),"",INDEX(SprintPlanning[Sprint],MATCH($A265,SprintPlanning[Requirement ID],0))),"")</f>
        <v/>
      </c>
      <c r="I264" s="92">
        <f>IFERROR(IF(ISBLANK(INDEX(Backlog[Status],MATCH($A265,Backlog[Requirement ID],0))),"",INDEX(Backlog[Status],MATCH($A265,Backlog[Requirement ID],0))),"")</f>
        <v/>
      </c>
      <c r="J264" s="92">
        <f>IFERROR(IF(ISBLANK(INDEX(Backlog[Priority],MATCH($A265,Backlog[Requirement ID],0))),"",INDEX(Backlog[Priority],MATCH($A265,Backlog[Requirement ID],0))),"")</f>
        <v/>
      </c>
      <c r="L264" s="97" t="n"/>
      <c r="M264" s="97" t="n"/>
      <c r="O264" s="97" t="n"/>
    </row>
    <row r="265" ht="15" customHeight="1" s="93">
      <c r="A265" s="92">
        <f>Backlog!A266</f>
        <v/>
      </c>
      <c r="B265" s="92">
        <f>IFERROR(IF(ISBLANK(INDEX(Backlog[Requirement Name],MATCH($A266,Backlog[Requirement ID],0))),"",INDEX(Backlog[Requirement Name],MATCH($A266,Backlog[Requirement ID],0))),"")</f>
        <v/>
      </c>
      <c r="C265" s="92">
        <f>IFERROR(IF(ISBLANK(INDEX(Backlog[Stream],MATCH($A266,Backlog[Requirement ID],0))),"",INDEX(Backlog[Stream],MATCH($A266,Backlog[Requirement ID],0))),"")</f>
        <v/>
      </c>
      <c r="D265" s="92">
        <f>IFERROR(IF(ISBLANK(INDEX(Backlog[Stream Owner],MATCH($A266,Backlog[Requirement ID],0))),"",INDEX(Backlog[Stream Owner],MATCH($A266,Backlog[Requirement ID],0))),"")</f>
        <v/>
      </c>
      <c r="E265" s="92">
        <f>IFERROR(IF(ISBLANK(INDEX(Backlog[Jira Link],MATCH($A266,Backlog[Requirement ID],0))),"",INDEX(Backlog[Jira Link],MATCH($A266,Backlog[Requirement ID],0))),"")</f>
        <v/>
      </c>
      <c r="H265" s="92">
        <f>IFERROR(IF(ISBLANK(INDEX(SprintPlanning[Sprint],MATCH($A266,SprintPlanning[Requirement ID],0))),"",INDEX(SprintPlanning[Sprint],MATCH($A266,SprintPlanning[Requirement ID],0))),"")</f>
        <v/>
      </c>
      <c r="I265" s="92">
        <f>IFERROR(IF(ISBLANK(INDEX(Backlog[Status],MATCH($A266,Backlog[Requirement ID],0))),"",INDEX(Backlog[Status],MATCH($A266,Backlog[Requirement ID],0))),"")</f>
        <v/>
      </c>
      <c r="J265" s="92">
        <f>IFERROR(IF(ISBLANK(INDEX(Backlog[Priority],MATCH($A266,Backlog[Requirement ID],0))),"",INDEX(Backlog[Priority],MATCH($A266,Backlog[Requirement ID],0))),"")</f>
        <v/>
      </c>
      <c r="L265" s="97" t="n"/>
      <c r="M265" s="97" t="n"/>
      <c r="O265" s="97" t="n"/>
    </row>
    <row r="266" ht="15" customHeight="1" s="93">
      <c r="A266" s="92">
        <f>Backlog!A267</f>
        <v/>
      </c>
      <c r="B266" s="92">
        <f>IFERROR(IF(ISBLANK(INDEX(Backlog[Requirement Name],MATCH($A267,Backlog[Requirement ID],0))),"",INDEX(Backlog[Requirement Name],MATCH($A267,Backlog[Requirement ID],0))),"")</f>
        <v/>
      </c>
      <c r="C266" s="92">
        <f>IFERROR(IF(ISBLANK(INDEX(Backlog[Stream],MATCH($A267,Backlog[Requirement ID],0))),"",INDEX(Backlog[Stream],MATCH($A267,Backlog[Requirement ID],0))),"")</f>
        <v/>
      </c>
      <c r="D266" s="92">
        <f>IFERROR(IF(ISBLANK(INDEX(Backlog[Stream Owner],MATCH($A267,Backlog[Requirement ID],0))),"",INDEX(Backlog[Stream Owner],MATCH($A267,Backlog[Requirement ID],0))),"")</f>
        <v/>
      </c>
      <c r="E266" s="92">
        <f>IFERROR(IF(ISBLANK(INDEX(Backlog[Jira Link],MATCH($A267,Backlog[Requirement ID],0))),"",INDEX(Backlog[Jira Link],MATCH($A267,Backlog[Requirement ID],0))),"")</f>
        <v/>
      </c>
      <c r="H266" s="92">
        <f>IFERROR(IF(ISBLANK(INDEX(SprintPlanning[Sprint],MATCH($A267,SprintPlanning[Requirement ID],0))),"",INDEX(SprintPlanning[Sprint],MATCH($A267,SprintPlanning[Requirement ID],0))),"")</f>
        <v/>
      </c>
      <c r="I266" s="92">
        <f>IFERROR(IF(ISBLANK(INDEX(Backlog[Status],MATCH($A267,Backlog[Requirement ID],0))),"",INDEX(Backlog[Status],MATCH($A267,Backlog[Requirement ID],0))),"")</f>
        <v/>
      </c>
      <c r="J266" s="92">
        <f>IFERROR(IF(ISBLANK(INDEX(Backlog[Priority],MATCH($A267,Backlog[Requirement ID],0))),"",INDEX(Backlog[Priority],MATCH($A267,Backlog[Requirement ID],0))),"")</f>
        <v/>
      </c>
      <c r="L266" s="97" t="n"/>
      <c r="M266" s="97" t="n"/>
      <c r="O266" s="97" t="n"/>
    </row>
    <row r="267" ht="15" customHeight="1" s="93">
      <c r="A267" s="92">
        <f>Backlog!A268</f>
        <v/>
      </c>
      <c r="B267" s="92">
        <f>IFERROR(IF(ISBLANK(INDEX(Backlog[Requirement Name],MATCH($A268,Backlog[Requirement ID],0))),"",INDEX(Backlog[Requirement Name],MATCH($A268,Backlog[Requirement ID],0))),"")</f>
        <v/>
      </c>
      <c r="C267" s="92">
        <f>IFERROR(IF(ISBLANK(INDEX(Backlog[Stream],MATCH($A268,Backlog[Requirement ID],0))),"",INDEX(Backlog[Stream],MATCH($A268,Backlog[Requirement ID],0))),"")</f>
        <v/>
      </c>
      <c r="D267" s="92">
        <f>IFERROR(IF(ISBLANK(INDEX(Backlog[Stream Owner],MATCH($A268,Backlog[Requirement ID],0))),"",INDEX(Backlog[Stream Owner],MATCH($A268,Backlog[Requirement ID],0))),"")</f>
        <v/>
      </c>
      <c r="E267" s="92">
        <f>IFERROR(IF(ISBLANK(INDEX(Backlog[Jira Link],MATCH($A268,Backlog[Requirement ID],0))),"",INDEX(Backlog[Jira Link],MATCH($A268,Backlog[Requirement ID],0))),"")</f>
        <v/>
      </c>
      <c r="H267" s="92">
        <f>IFERROR(IF(ISBLANK(INDEX(SprintPlanning[Sprint],MATCH($A268,SprintPlanning[Requirement ID],0))),"",INDEX(SprintPlanning[Sprint],MATCH($A268,SprintPlanning[Requirement ID],0))),"")</f>
        <v/>
      </c>
      <c r="I267" s="92">
        <f>IFERROR(IF(ISBLANK(INDEX(Backlog[Status],MATCH($A268,Backlog[Requirement ID],0))),"",INDEX(Backlog[Status],MATCH($A268,Backlog[Requirement ID],0))),"")</f>
        <v/>
      </c>
      <c r="J267" s="92">
        <f>IFERROR(IF(ISBLANK(INDEX(Backlog[Priority],MATCH($A268,Backlog[Requirement ID],0))),"",INDEX(Backlog[Priority],MATCH($A268,Backlog[Requirement ID],0))),"")</f>
        <v/>
      </c>
      <c r="L267" s="97" t="n"/>
      <c r="M267" s="97" t="n"/>
      <c r="O267" s="97" t="n"/>
    </row>
    <row r="268" ht="15" customHeight="1" s="93">
      <c r="A268" s="92">
        <f>Backlog!A269</f>
        <v/>
      </c>
      <c r="B268" s="92">
        <f>IFERROR(IF(ISBLANK(INDEX(Backlog[Requirement Name],MATCH($A269,Backlog[Requirement ID],0))),"",INDEX(Backlog[Requirement Name],MATCH($A269,Backlog[Requirement ID],0))),"")</f>
        <v/>
      </c>
      <c r="C268" s="92">
        <f>IFERROR(IF(ISBLANK(INDEX(Backlog[Stream],MATCH($A269,Backlog[Requirement ID],0))),"",INDEX(Backlog[Stream],MATCH($A269,Backlog[Requirement ID],0))),"")</f>
        <v/>
      </c>
      <c r="D268" s="92">
        <f>IFERROR(IF(ISBLANK(INDEX(Backlog[Stream Owner],MATCH($A269,Backlog[Requirement ID],0))),"",INDEX(Backlog[Stream Owner],MATCH($A269,Backlog[Requirement ID],0))),"")</f>
        <v/>
      </c>
      <c r="E268" s="92">
        <f>IFERROR(IF(ISBLANK(INDEX(Backlog[Jira Link],MATCH($A269,Backlog[Requirement ID],0))),"",INDEX(Backlog[Jira Link],MATCH($A269,Backlog[Requirement ID],0))),"")</f>
        <v/>
      </c>
      <c r="H268" s="92">
        <f>IFERROR(IF(ISBLANK(INDEX(SprintPlanning[Sprint],MATCH($A269,SprintPlanning[Requirement ID],0))),"",INDEX(SprintPlanning[Sprint],MATCH($A269,SprintPlanning[Requirement ID],0))),"")</f>
        <v/>
      </c>
      <c r="I268" s="92">
        <f>IFERROR(IF(ISBLANK(INDEX(Backlog[Status],MATCH($A269,Backlog[Requirement ID],0))),"",INDEX(Backlog[Status],MATCH($A269,Backlog[Requirement ID],0))),"")</f>
        <v/>
      </c>
      <c r="J268" s="92">
        <f>IFERROR(IF(ISBLANK(INDEX(Backlog[Priority],MATCH($A269,Backlog[Requirement ID],0))),"",INDEX(Backlog[Priority],MATCH($A269,Backlog[Requirement ID],0))),"")</f>
        <v/>
      </c>
      <c r="L268" s="97" t="n"/>
      <c r="M268" s="97" t="n"/>
      <c r="O268" s="97" t="n"/>
    </row>
    <row r="269" ht="15" customHeight="1" s="93">
      <c r="A269" s="92">
        <f>Backlog!A270</f>
        <v/>
      </c>
      <c r="B269" s="92">
        <f>IFERROR(IF(ISBLANK(INDEX(Backlog[Requirement Name],MATCH($A270,Backlog[Requirement ID],0))),"",INDEX(Backlog[Requirement Name],MATCH($A270,Backlog[Requirement ID],0))),"")</f>
        <v/>
      </c>
      <c r="C269" s="92">
        <f>IFERROR(IF(ISBLANK(INDEX(Backlog[Stream],MATCH($A270,Backlog[Requirement ID],0))),"",INDEX(Backlog[Stream],MATCH($A270,Backlog[Requirement ID],0))),"")</f>
        <v/>
      </c>
      <c r="D269" s="92">
        <f>IFERROR(IF(ISBLANK(INDEX(Backlog[Stream Owner],MATCH($A270,Backlog[Requirement ID],0))),"",INDEX(Backlog[Stream Owner],MATCH($A270,Backlog[Requirement ID],0))),"")</f>
        <v/>
      </c>
      <c r="E269" s="92">
        <f>IFERROR(IF(ISBLANK(INDEX(Backlog[Jira Link],MATCH($A270,Backlog[Requirement ID],0))),"",INDEX(Backlog[Jira Link],MATCH($A270,Backlog[Requirement ID],0))),"")</f>
        <v/>
      </c>
      <c r="H269" s="92">
        <f>IFERROR(IF(ISBLANK(INDEX(SprintPlanning[Sprint],MATCH($A270,SprintPlanning[Requirement ID],0))),"",INDEX(SprintPlanning[Sprint],MATCH($A270,SprintPlanning[Requirement ID],0))),"")</f>
        <v/>
      </c>
      <c r="I269" s="92">
        <f>IFERROR(IF(ISBLANK(INDEX(Backlog[Status],MATCH($A270,Backlog[Requirement ID],0))),"",INDEX(Backlog[Status],MATCH($A270,Backlog[Requirement ID],0))),"")</f>
        <v/>
      </c>
      <c r="J269" s="92">
        <f>IFERROR(IF(ISBLANK(INDEX(Backlog[Priority],MATCH($A270,Backlog[Requirement ID],0))),"",INDEX(Backlog[Priority],MATCH($A270,Backlog[Requirement ID],0))),"")</f>
        <v/>
      </c>
      <c r="L269" s="97" t="n"/>
      <c r="M269" s="97" t="n"/>
      <c r="O269" s="97" t="n"/>
    </row>
    <row r="270" ht="15" customHeight="1" s="93">
      <c r="A270" s="92">
        <f>Backlog!A271</f>
        <v/>
      </c>
      <c r="B270" s="92">
        <f>IFERROR(IF(ISBLANK(INDEX(Backlog[Requirement Name],MATCH($A271,Backlog[Requirement ID],0))),"",INDEX(Backlog[Requirement Name],MATCH($A271,Backlog[Requirement ID],0))),"")</f>
        <v/>
      </c>
      <c r="C270" s="92">
        <f>IFERROR(IF(ISBLANK(INDEX(Backlog[Stream],MATCH($A271,Backlog[Requirement ID],0))),"",INDEX(Backlog[Stream],MATCH($A271,Backlog[Requirement ID],0))),"")</f>
        <v/>
      </c>
      <c r="D270" s="92">
        <f>IFERROR(IF(ISBLANK(INDEX(Backlog[Stream Owner],MATCH($A271,Backlog[Requirement ID],0))),"",INDEX(Backlog[Stream Owner],MATCH($A271,Backlog[Requirement ID],0))),"")</f>
        <v/>
      </c>
      <c r="E270" s="92">
        <f>IFERROR(IF(ISBLANK(INDEX(Backlog[Jira Link],MATCH($A271,Backlog[Requirement ID],0))),"",INDEX(Backlog[Jira Link],MATCH($A271,Backlog[Requirement ID],0))),"")</f>
        <v/>
      </c>
      <c r="H270" s="92">
        <f>IFERROR(IF(ISBLANK(INDEX(SprintPlanning[Sprint],MATCH($A271,SprintPlanning[Requirement ID],0))),"",INDEX(SprintPlanning[Sprint],MATCH($A271,SprintPlanning[Requirement ID],0))),"")</f>
        <v/>
      </c>
      <c r="I270" s="92">
        <f>IFERROR(IF(ISBLANK(INDEX(Backlog[Status],MATCH($A271,Backlog[Requirement ID],0))),"",INDEX(Backlog[Status],MATCH($A271,Backlog[Requirement ID],0))),"")</f>
        <v/>
      </c>
      <c r="J270" s="92">
        <f>IFERROR(IF(ISBLANK(INDEX(Backlog[Priority],MATCH($A271,Backlog[Requirement ID],0))),"",INDEX(Backlog[Priority],MATCH($A271,Backlog[Requirement ID],0))),"")</f>
        <v/>
      </c>
      <c r="L270" s="97" t="n"/>
      <c r="M270" s="97" t="n"/>
      <c r="O270" s="97" t="n"/>
    </row>
    <row r="271" ht="15" customHeight="1" s="93">
      <c r="A271" s="92">
        <f>Backlog!A272</f>
        <v/>
      </c>
      <c r="B271" s="92">
        <f>IFERROR(IF(ISBLANK(INDEX(Backlog[Requirement Name],MATCH($A272,Backlog[Requirement ID],0))),"",INDEX(Backlog[Requirement Name],MATCH($A272,Backlog[Requirement ID],0))),"")</f>
        <v/>
      </c>
      <c r="C271" s="92">
        <f>IFERROR(IF(ISBLANK(INDEX(Backlog[Stream],MATCH($A272,Backlog[Requirement ID],0))),"",INDEX(Backlog[Stream],MATCH($A272,Backlog[Requirement ID],0))),"")</f>
        <v/>
      </c>
      <c r="D271" s="92">
        <f>IFERROR(IF(ISBLANK(INDEX(Backlog[Stream Owner],MATCH($A272,Backlog[Requirement ID],0))),"",INDEX(Backlog[Stream Owner],MATCH($A272,Backlog[Requirement ID],0))),"")</f>
        <v/>
      </c>
      <c r="E271" s="92">
        <f>IFERROR(IF(ISBLANK(INDEX(Backlog[Jira Link],MATCH($A272,Backlog[Requirement ID],0))),"",INDEX(Backlog[Jira Link],MATCH($A272,Backlog[Requirement ID],0))),"")</f>
        <v/>
      </c>
      <c r="H271" s="92">
        <f>IFERROR(IF(ISBLANK(INDEX(SprintPlanning[Sprint],MATCH($A272,SprintPlanning[Requirement ID],0))),"",INDEX(SprintPlanning[Sprint],MATCH($A272,SprintPlanning[Requirement ID],0))),"")</f>
        <v/>
      </c>
      <c r="I271" s="92">
        <f>IFERROR(IF(ISBLANK(INDEX(Backlog[Status],MATCH($A272,Backlog[Requirement ID],0))),"",INDEX(Backlog[Status],MATCH($A272,Backlog[Requirement ID],0))),"")</f>
        <v/>
      </c>
      <c r="J271" s="92">
        <f>IFERROR(IF(ISBLANK(INDEX(Backlog[Priority],MATCH($A272,Backlog[Requirement ID],0))),"",INDEX(Backlog[Priority],MATCH($A272,Backlog[Requirement ID],0))),"")</f>
        <v/>
      </c>
      <c r="L271" s="97" t="n"/>
      <c r="M271" s="97" t="n"/>
      <c r="O271" s="97" t="n"/>
    </row>
    <row r="272" ht="15" customHeight="1" s="93">
      <c r="A272" s="92">
        <f>Backlog!A273</f>
        <v/>
      </c>
      <c r="B272" s="92">
        <f>IFERROR(IF(ISBLANK(INDEX(Backlog[Requirement Name],MATCH($A273,Backlog[Requirement ID],0))),"",INDEX(Backlog[Requirement Name],MATCH($A273,Backlog[Requirement ID],0))),"")</f>
        <v/>
      </c>
      <c r="C272" s="92">
        <f>IFERROR(IF(ISBLANK(INDEX(Backlog[Stream],MATCH($A273,Backlog[Requirement ID],0))),"",INDEX(Backlog[Stream],MATCH($A273,Backlog[Requirement ID],0))),"")</f>
        <v/>
      </c>
      <c r="D272" s="92">
        <f>IFERROR(IF(ISBLANK(INDEX(Backlog[Stream Owner],MATCH($A273,Backlog[Requirement ID],0))),"",INDEX(Backlog[Stream Owner],MATCH($A273,Backlog[Requirement ID],0))),"")</f>
        <v/>
      </c>
      <c r="E272" s="92">
        <f>IFERROR(IF(ISBLANK(INDEX(Backlog[Jira Link],MATCH($A273,Backlog[Requirement ID],0))),"",INDEX(Backlog[Jira Link],MATCH($A273,Backlog[Requirement ID],0))),"")</f>
        <v/>
      </c>
      <c r="H272" s="92">
        <f>IFERROR(IF(ISBLANK(INDEX(SprintPlanning[Sprint],MATCH($A273,SprintPlanning[Requirement ID],0))),"",INDEX(SprintPlanning[Sprint],MATCH($A273,SprintPlanning[Requirement ID],0))),"")</f>
        <v/>
      </c>
      <c r="I272" s="92">
        <f>IFERROR(IF(ISBLANK(INDEX(Backlog[Status],MATCH($A273,Backlog[Requirement ID],0))),"",INDEX(Backlog[Status],MATCH($A273,Backlog[Requirement ID],0))),"")</f>
        <v/>
      </c>
      <c r="J272" s="92">
        <f>IFERROR(IF(ISBLANK(INDEX(Backlog[Priority],MATCH($A273,Backlog[Requirement ID],0))),"",INDEX(Backlog[Priority],MATCH($A273,Backlog[Requirement ID],0))),"")</f>
        <v/>
      </c>
      <c r="L272" s="97" t="n"/>
      <c r="M272" s="97" t="n"/>
      <c r="O272" s="97" t="n"/>
    </row>
    <row r="273" ht="15" customHeight="1" s="93">
      <c r="A273" s="92">
        <f>Backlog!A274</f>
        <v/>
      </c>
      <c r="B273" s="92">
        <f>IFERROR(IF(ISBLANK(INDEX(Backlog[Requirement Name],MATCH($A274,Backlog[Requirement ID],0))),"",INDEX(Backlog[Requirement Name],MATCH($A274,Backlog[Requirement ID],0))),"")</f>
        <v/>
      </c>
      <c r="C273" s="92">
        <f>IFERROR(IF(ISBLANK(INDEX(Backlog[Stream],MATCH($A274,Backlog[Requirement ID],0))),"",INDEX(Backlog[Stream],MATCH($A274,Backlog[Requirement ID],0))),"")</f>
        <v/>
      </c>
      <c r="D273" s="92">
        <f>IFERROR(IF(ISBLANK(INDEX(Backlog[Stream Owner],MATCH($A274,Backlog[Requirement ID],0))),"",INDEX(Backlog[Stream Owner],MATCH($A274,Backlog[Requirement ID],0))),"")</f>
        <v/>
      </c>
      <c r="E273" s="92">
        <f>IFERROR(IF(ISBLANK(INDEX(Backlog[Jira Link],MATCH($A274,Backlog[Requirement ID],0))),"",INDEX(Backlog[Jira Link],MATCH($A274,Backlog[Requirement ID],0))),"")</f>
        <v/>
      </c>
      <c r="H273" s="92">
        <f>IFERROR(IF(ISBLANK(INDEX(SprintPlanning[Sprint],MATCH($A274,SprintPlanning[Requirement ID],0))),"",INDEX(SprintPlanning[Sprint],MATCH($A274,SprintPlanning[Requirement ID],0))),"")</f>
        <v/>
      </c>
      <c r="I273" s="92">
        <f>IFERROR(IF(ISBLANK(INDEX(Backlog[Status],MATCH($A274,Backlog[Requirement ID],0))),"",INDEX(Backlog[Status],MATCH($A274,Backlog[Requirement ID],0))),"")</f>
        <v/>
      </c>
      <c r="J273" s="92">
        <f>IFERROR(IF(ISBLANK(INDEX(Backlog[Priority],MATCH($A274,Backlog[Requirement ID],0))),"",INDEX(Backlog[Priority],MATCH($A274,Backlog[Requirement ID],0))),"")</f>
        <v/>
      </c>
      <c r="L273" s="97" t="n"/>
      <c r="M273" s="97" t="n"/>
      <c r="O273" s="97" t="n"/>
    </row>
    <row r="274" ht="15" customHeight="1" s="93">
      <c r="A274" s="92">
        <f>Backlog!A275</f>
        <v/>
      </c>
      <c r="B274" s="92">
        <f>IFERROR(IF(ISBLANK(INDEX(Backlog[Requirement Name],MATCH($A275,Backlog[Requirement ID],0))),"",INDEX(Backlog[Requirement Name],MATCH($A275,Backlog[Requirement ID],0))),"")</f>
        <v/>
      </c>
      <c r="C274" s="92">
        <f>IFERROR(IF(ISBLANK(INDEX(Backlog[Stream],MATCH($A275,Backlog[Requirement ID],0))),"",INDEX(Backlog[Stream],MATCH($A275,Backlog[Requirement ID],0))),"")</f>
        <v/>
      </c>
      <c r="D274" s="92">
        <f>IFERROR(IF(ISBLANK(INDEX(Backlog[Stream Owner],MATCH($A275,Backlog[Requirement ID],0))),"",INDEX(Backlog[Stream Owner],MATCH($A275,Backlog[Requirement ID],0))),"")</f>
        <v/>
      </c>
      <c r="E274" s="92">
        <f>IFERROR(IF(ISBLANK(INDEX(Backlog[Jira Link],MATCH($A275,Backlog[Requirement ID],0))),"",INDEX(Backlog[Jira Link],MATCH($A275,Backlog[Requirement ID],0))),"")</f>
        <v/>
      </c>
      <c r="H274" s="92">
        <f>IFERROR(IF(ISBLANK(INDEX(SprintPlanning[Sprint],MATCH($A275,SprintPlanning[Requirement ID],0))),"",INDEX(SprintPlanning[Sprint],MATCH($A275,SprintPlanning[Requirement ID],0))),"")</f>
        <v/>
      </c>
      <c r="I274" s="92">
        <f>IFERROR(IF(ISBLANK(INDEX(Backlog[Status],MATCH($A275,Backlog[Requirement ID],0))),"",INDEX(Backlog[Status],MATCH($A275,Backlog[Requirement ID],0))),"")</f>
        <v/>
      </c>
      <c r="J274" s="92">
        <f>IFERROR(IF(ISBLANK(INDEX(Backlog[Priority],MATCH($A275,Backlog[Requirement ID],0))),"",INDEX(Backlog[Priority],MATCH($A275,Backlog[Requirement ID],0))),"")</f>
        <v/>
      </c>
      <c r="L274" s="97" t="n"/>
      <c r="M274" s="97" t="n"/>
      <c r="O274" s="97" t="n"/>
    </row>
    <row r="275" ht="15" customHeight="1" s="93">
      <c r="A275" s="92">
        <f>Backlog!A276</f>
        <v/>
      </c>
      <c r="B275" s="92">
        <f>IFERROR(IF(ISBLANK(INDEX(Backlog[Requirement Name],MATCH($A276,Backlog[Requirement ID],0))),"",INDEX(Backlog[Requirement Name],MATCH($A276,Backlog[Requirement ID],0))),"")</f>
        <v/>
      </c>
      <c r="C275" s="92">
        <f>IFERROR(IF(ISBLANK(INDEX(Backlog[Stream],MATCH($A276,Backlog[Requirement ID],0))),"",INDEX(Backlog[Stream],MATCH($A276,Backlog[Requirement ID],0))),"")</f>
        <v/>
      </c>
      <c r="D275" s="92">
        <f>IFERROR(IF(ISBLANK(INDEX(Backlog[Stream Owner],MATCH($A276,Backlog[Requirement ID],0))),"",INDEX(Backlog[Stream Owner],MATCH($A276,Backlog[Requirement ID],0))),"")</f>
        <v/>
      </c>
      <c r="E275" s="92">
        <f>IFERROR(IF(ISBLANK(INDEX(Backlog[Jira Link],MATCH($A276,Backlog[Requirement ID],0))),"",INDEX(Backlog[Jira Link],MATCH($A276,Backlog[Requirement ID],0))),"")</f>
        <v/>
      </c>
      <c r="H275" s="92">
        <f>IFERROR(IF(ISBLANK(INDEX(SprintPlanning[Sprint],MATCH($A276,SprintPlanning[Requirement ID],0))),"",INDEX(SprintPlanning[Sprint],MATCH($A276,SprintPlanning[Requirement ID],0))),"")</f>
        <v/>
      </c>
      <c r="I275" s="92">
        <f>IFERROR(IF(ISBLANK(INDEX(Backlog[Status],MATCH($A276,Backlog[Requirement ID],0))),"",INDEX(Backlog[Status],MATCH($A276,Backlog[Requirement ID],0))),"")</f>
        <v/>
      </c>
      <c r="J275" s="92">
        <f>IFERROR(IF(ISBLANK(INDEX(Backlog[Priority],MATCH($A276,Backlog[Requirement ID],0))),"",INDEX(Backlog[Priority],MATCH($A276,Backlog[Requirement ID],0))),"")</f>
        <v/>
      </c>
      <c r="L275" s="97" t="n"/>
      <c r="M275" s="97" t="n"/>
      <c r="O275" s="97" t="n"/>
    </row>
    <row r="276" ht="15" customHeight="1" s="93">
      <c r="A276" s="92">
        <f>Backlog!A277</f>
        <v/>
      </c>
      <c r="B276" s="92">
        <f>IFERROR(IF(ISBLANK(INDEX(Backlog[Requirement Name],MATCH($A277,Backlog[Requirement ID],0))),"",INDEX(Backlog[Requirement Name],MATCH($A277,Backlog[Requirement ID],0))),"")</f>
        <v/>
      </c>
      <c r="C276" s="92">
        <f>IFERROR(IF(ISBLANK(INDEX(Backlog[Stream],MATCH($A277,Backlog[Requirement ID],0))),"",INDEX(Backlog[Stream],MATCH($A277,Backlog[Requirement ID],0))),"")</f>
        <v/>
      </c>
      <c r="D276" s="92">
        <f>IFERROR(IF(ISBLANK(INDEX(Backlog[Stream Owner],MATCH($A277,Backlog[Requirement ID],0))),"",INDEX(Backlog[Stream Owner],MATCH($A277,Backlog[Requirement ID],0))),"")</f>
        <v/>
      </c>
      <c r="E276" s="92">
        <f>IFERROR(IF(ISBLANK(INDEX(Backlog[Jira Link],MATCH($A277,Backlog[Requirement ID],0))),"",INDEX(Backlog[Jira Link],MATCH($A277,Backlog[Requirement ID],0))),"")</f>
        <v/>
      </c>
      <c r="H276" s="92">
        <f>IFERROR(IF(ISBLANK(INDEX(SprintPlanning[Sprint],MATCH($A277,SprintPlanning[Requirement ID],0))),"",INDEX(SprintPlanning[Sprint],MATCH($A277,SprintPlanning[Requirement ID],0))),"")</f>
        <v/>
      </c>
      <c r="I276" s="92">
        <f>IFERROR(IF(ISBLANK(INDEX(Backlog[Status],MATCH($A277,Backlog[Requirement ID],0))),"",INDEX(Backlog[Status],MATCH($A277,Backlog[Requirement ID],0))),"")</f>
        <v/>
      </c>
      <c r="J276" s="92">
        <f>IFERROR(IF(ISBLANK(INDEX(Backlog[Priority],MATCH($A277,Backlog[Requirement ID],0))),"",INDEX(Backlog[Priority],MATCH($A277,Backlog[Requirement ID],0))),"")</f>
        <v/>
      </c>
      <c r="L276" s="97" t="n"/>
      <c r="M276" s="97" t="n"/>
      <c r="O276" s="97" t="n"/>
    </row>
    <row r="277" ht="15" customHeight="1" s="93">
      <c r="A277" s="92">
        <f>Backlog!A278</f>
        <v/>
      </c>
      <c r="B277" s="92">
        <f>IFERROR(IF(ISBLANK(INDEX(Backlog[Requirement Name],MATCH($A278,Backlog[Requirement ID],0))),"",INDEX(Backlog[Requirement Name],MATCH($A278,Backlog[Requirement ID],0))),"")</f>
        <v/>
      </c>
      <c r="C277" s="92">
        <f>IFERROR(IF(ISBLANK(INDEX(Backlog[Stream],MATCH($A278,Backlog[Requirement ID],0))),"",INDEX(Backlog[Stream],MATCH($A278,Backlog[Requirement ID],0))),"")</f>
        <v/>
      </c>
      <c r="D277" s="92">
        <f>IFERROR(IF(ISBLANK(INDEX(Backlog[Stream Owner],MATCH($A278,Backlog[Requirement ID],0))),"",INDEX(Backlog[Stream Owner],MATCH($A278,Backlog[Requirement ID],0))),"")</f>
        <v/>
      </c>
      <c r="E277" s="92">
        <f>IFERROR(IF(ISBLANK(INDEX(Backlog[Jira Link],MATCH($A278,Backlog[Requirement ID],0))),"",INDEX(Backlog[Jira Link],MATCH($A278,Backlog[Requirement ID],0))),"")</f>
        <v/>
      </c>
      <c r="H277" s="92">
        <f>IFERROR(IF(ISBLANK(INDEX(SprintPlanning[Sprint],MATCH($A278,SprintPlanning[Requirement ID],0))),"",INDEX(SprintPlanning[Sprint],MATCH($A278,SprintPlanning[Requirement ID],0))),"")</f>
        <v/>
      </c>
      <c r="I277" s="92">
        <f>IFERROR(IF(ISBLANK(INDEX(Backlog[Status],MATCH($A278,Backlog[Requirement ID],0))),"",INDEX(Backlog[Status],MATCH($A278,Backlog[Requirement ID],0))),"")</f>
        <v/>
      </c>
      <c r="J277" s="92">
        <f>IFERROR(IF(ISBLANK(INDEX(Backlog[Priority],MATCH($A278,Backlog[Requirement ID],0))),"",INDEX(Backlog[Priority],MATCH($A278,Backlog[Requirement ID],0))),"")</f>
        <v/>
      </c>
      <c r="L277" s="97" t="n"/>
      <c r="M277" s="97" t="n"/>
      <c r="O277" s="97" t="n"/>
    </row>
    <row r="278" ht="15" customHeight="1" s="93">
      <c r="A278" s="92">
        <f>Backlog!A279</f>
        <v/>
      </c>
      <c r="B278" s="92">
        <f>IFERROR(IF(ISBLANK(INDEX(Backlog[Requirement Name],MATCH($A279,Backlog[Requirement ID],0))),"",INDEX(Backlog[Requirement Name],MATCH($A279,Backlog[Requirement ID],0))),"")</f>
        <v/>
      </c>
      <c r="C278" s="92">
        <f>IFERROR(IF(ISBLANK(INDEX(Backlog[Stream],MATCH($A279,Backlog[Requirement ID],0))),"",INDEX(Backlog[Stream],MATCH($A279,Backlog[Requirement ID],0))),"")</f>
        <v/>
      </c>
      <c r="D278" s="92">
        <f>IFERROR(IF(ISBLANK(INDEX(Backlog[Stream Owner],MATCH($A279,Backlog[Requirement ID],0))),"",INDEX(Backlog[Stream Owner],MATCH($A279,Backlog[Requirement ID],0))),"")</f>
        <v/>
      </c>
      <c r="E278" s="92">
        <f>IFERROR(IF(ISBLANK(INDEX(Backlog[Jira Link],MATCH($A279,Backlog[Requirement ID],0))),"",INDEX(Backlog[Jira Link],MATCH($A279,Backlog[Requirement ID],0))),"")</f>
        <v/>
      </c>
      <c r="H278" s="92">
        <f>IFERROR(IF(ISBLANK(INDEX(SprintPlanning[Sprint],MATCH($A279,SprintPlanning[Requirement ID],0))),"",INDEX(SprintPlanning[Sprint],MATCH($A279,SprintPlanning[Requirement ID],0))),"")</f>
        <v/>
      </c>
      <c r="I278" s="92">
        <f>IFERROR(IF(ISBLANK(INDEX(Backlog[Status],MATCH($A279,Backlog[Requirement ID],0))),"",INDEX(Backlog[Status],MATCH($A279,Backlog[Requirement ID],0))),"")</f>
        <v/>
      </c>
      <c r="J278" s="92">
        <f>IFERROR(IF(ISBLANK(INDEX(Backlog[Priority],MATCH($A279,Backlog[Requirement ID],0))),"",INDEX(Backlog[Priority],MATCH($A279,Backlog[Requirement ID],0))),"")</f>
        <v/>
      </c>
      <c r="L278" s="97" t="n"/>
      <c r="M278" s="97" t="n"/>
      <c r="O278" s="97" t="n"/>
    </row>
    <row r="279" ht="15" customHeight="1" s="93">
      <c r="A279" s="92">
        <f>Backlog!A280</f>
        <v/>
      </c>
      <c r="B279" s="92">
        <f>IFERROR(IF(ISBLANK(INDEX(Backlog[Requirement Name],MATCH($A280,Backlog[Requirement ID],0))),"",INDEX(Backlog[Requirement Name],MATCH($A280,Backlog[Requirement ID],0))),"")</f>
        <v/>
      </c>
      <c r="C279" s="92">
        <f>IFERROR(IF(ISBLANK(INDEX(Backlog[Stream],MATCH($A280,Backlog[Requirement ID],0))),"",INDEX(Backlog[Stream],MATCH($A280,Backlog[Requirement ID],0))),"")</f>
        <v/>
      </c>
      <c r="D279" s="92">
        <f>IFERROR(IF(ISBLANK(INDEX(Backlog[Stream Owner],MATCH($A280,Backlog[Requirement ID],0))),"",INDEX(Backlog[Stream Owner],MATCH($A280,Backlog[Requirement ID],0))),"")</f>
        <v/>
      </c>
      <c r="E279" s="92">
        <f>IFERROR(IF(ISBLANK(INDEX(Backlog[Jira Link],MATCH($A280,Backlog[Requirement ID],0))),"",INDEX(Backlog[Jira Link],MATCH($A280,Backlog[Requirement ID],0))),"")</f>
        <v/>
      </c>
      <c r="H279" s="92">
        <f>IFERROR(IF(ISBLANK(INDEX(SprintPlanning[Sprint],MATCH($A280,SprintPlanning[Requirement ID],0))),"",INDEX(SprintPlanning[Sprint],MATCH($A280,SprintPlanning[Requirement ID],0))),"")</f>
        <v/>
      </c>
      <c r="I279" s="92">
        <f>IFERROR(IF(ISBLANK(INDEX(Backlog[Status],MATCH($A280,Backlog[Requirement ID],0))),"",INDEX(Backlog[Status],MATCH($A280,Backlog[Requirement ID],0))),"")</f>
        <v/>
      </c>
      <c r="J279" s="92">
        <f>IFERROR(IF(ISBLANK(INDEX(Backlog[Priority],MATCH($A280,Backlog[Requirement ID],0))),"",INDEX(Backlog[Priority],MATCH($A280,Backlog[Requirement ID],0))),"")</f>
        <v/>
      </c>
      <c r="L279" s="97" t="n"/>
      <c r="M279" s="97" t="n"/>
      <c r="O279" s="97" t="n"/>
    </row>
    <row r="280" ht="15" customHeight="1" s="93">
      <c r="A280" s="92">
        <f>Backlog!A281</f>
        <v/>
      </c>
      <c r="B280" s="92">
        <f>IFERROR(IF(ISBLANK(INDEX(Backlog[Requirement Name],MATCH($A281,Backlog[Requirement ID],0))),"",INDEX(Backlog[Requirement Name],MATCH($A281,Backlog[Requirement ID],0))),"")</f>
        <v/>
      </c>
      <c r="C280" s="92">
        <f>IFERROR(IF(ISBLANK(INDEX(Backlog[Stream],MATCH($A281,Backlog[Requirement ID],0))),"",INDEX(Backlog[Stream],MATCH($A281,Backlog[Requirement ID],0))),"")</f>
        <v/>
      </c>
      <c r="D280" s="92">
        <f>IFERROR(IF(ISBLANK(INDEX(Backlog[Stream Owner],MATCH($A281,Backlog[Requirement ID],0))),"",INDEX(Backlog[Stream Owner],MATCH($A281,Backlog[Requirement ID],0))),"")</f>
        <v/>
      </c>
      <c r="E280" s="92">
        <f>IFERROR(IF(ISBLANK(INDEX(Backlog[Jira Link],MATCH($A281,Backlog[Requirement ID],0))),"",INDEX(Backlog[Jira Link],MATCH($A281,Backlog[Requirement ID],0))),"")</f>
        <v/>
      </c>
      <c r="H280" s="92">
        <f>IFERROR(IF(ISBLANK(INDEX(SprintPlanning[Sprint],MATCH($A281,SprintPlanning[Requirement ID],0))),"",INDEX(SprintPlanning[Sprint],MATCH($A281,SprintPlanning[Requirement ID],0))),"")</f>
        <v/>
      </c>
      <c r="I280" s="92">
        <f>IFERROR(IF(ISBLANK(INDEX(Backlog[Status],MATCH($A281,Backlog[Requirement ID],0))),"",INDEX(Backlog[Status],MATCH($A281,Backlog[Requirement ID],0))),"")</f>
        <v/>
      </c>
      <c r="J280" s="92">
        <f>IFERROR(IF(ISBLANK(INDEX(Backlog[Priority],MATCH($A281,Backlog[Requirement ID],0))),"",INDEX(Backlog[Priority],MATCH($A281,Backlog[Requirement ID],0))),"")</f>
        <v/>
      </c>
      <c r="L280" s="97" t="n"/>
      <c r="M280" s="97" t="n"/>
      <c r="O280" s="97" t="n"/>
    </row>
    <row r="281" ht="15" customHeight="1" s="93">
      <c r="A281" s="92">
        <f>Backlog!A282</f>
        <v/>
      </c>
      <c r="B281" s="92">
        <f>IFERROR(IF(ISBLANK(INDEX(Backlog[Requirement Name],MATCH($A282,Backlog[Requirement ID],0))),"",INDEX(Backlog[Requirement Name],MATCH($A282,Backlog[Requirement ID],0))),"")</f>
        <v/>
      </c>
      <c r="C281" s="92">
        <f>IFERROR(IF(ISBLANK(INDEX(Backlog[Stream],MATCH($A282,Backlog[Requirement ID],0))),"",INDEX(Backlog[Stream],MATCH($A282,Backlog[Requirement ID],0))),"")</f>
        <v/>
      </c>
      <c r="D281" s="92">
        <f>IFERROR(IF(ISBLANK(INDEX(Backlog[Stream Owner],MATCH($A282,Backlog[Requirement ID],0))),"",INDEX(Backlog[Stream Owner],MATCH($A282,Backlog[Requirement ID],0))),"")</f>
        <v/>
      </c>
      <c r="E281" s="92">
        <f>IFERROR(IF(ISBLANK(INDEX(Backlog[Jira Link],MATCH($A282,Backlog[Requirement ID],0))),"",INDEX(Backlog[Jira Link],MATCH($A282,Backlog[Requirement ID],0))),"")</f>
        <v/>
      </c>
      <c r="H281" s="92">
        <f>IFERROR(IF(ISBLANK(INDEX(SprintPlanning[Sprint],MATCH($A282,SprintPlanning[Requirement ID],0))),"",INDEX(SprintPlanning[Sprint],MATCH($A282,SprintPlanning[Requirement ID],0))),"")</f>
        <v/>
      </c>
      <c r="I281" s="92">
        <f>IFERROR(IF(ISBLANK(INDEX(Backlog[Status],MATCH($A282,Backlog[Requirement ID],0))),"",INDEX(Backlog[Status],MATCH($A282,Backlog[Requirement ID],0))),"")</f>
        <v/>
      </c>
      <c r="J281" s="92">
        <f>IFERROR(IF(ISBLANK(INDEX(Backlog[Priority],MATCH($A282,Backlog[Requirement ID],0))),"",INDEX(Backlog[Priority],MATCH($A282,Backlog[Requirement ID],0))),"")</f>
        <v/>
      </c>
      <c r="L281" s="97" t="n"/>
      <c r="M281" s="97" t="n"/>
      <c r="O281" s="97" t="n"/>
    </row>
    <row r="282" ht="15" customHeight="1" s="93">
      <c r="A282" s="92">
        <f>Backlog!A283</f>
        <v/>
      </c>
      <c r="B282" s="92">
        <f>IFERROR(IF(ISBLANK(INDEX(Backlog[Requirement Name],MATCH($A283,Backlog[Requirement ID],0))),"",INDEX(Backlog[Requirement Name],MATCH($A283,Backlog[Requirement ID],0))),"")</f>
        <v/>
      </c>
      <c r="C282" s="92">
        <f>IFERROR(IF(ISBLANK(INDEX(Backlog[Stream],MATCH($A283,Backlog[Requirement ID],0))),"",INDEX(Backlog[Stream],MATCH($A283,Backlog[Requirement ID],0))),"")</f>
        <v/>
      </c>
      <c r="D282" s="92">
        <f>IFERROR(IF(ISBLANK(INDEX(Backlog[Stream Owner],MATCH($A283,Backlog[Requirement ID],0))),"",INDEX(Backlog[Stream Owner],MATCH($A283,Backlog[Requirement ID],0))),"")</f>
        <v/>
      </c>
      <c r="E282" s="92">
        <f>IFERROR(IF(ISBLANK(INDEX(Backlog[Jira Link],MATCH($A283,Backlog[Requirement ID],0))),"",INDEX(Backlog[Jira Link],MATCH($A283,Backlog[Requirement ID],0))),"")</f>
        <v/>
      </c>
      <c r="H282" s="92">
        <f>IFERROR(IF(ISBLANK(INDEX(SprintPlanning[Sprint],MATCH($A283,SprintPlanning[Requirement ID],0))),"",INDEX(SprintPlanning[Sprint],MATCH($A283,SprintPlanning[Requirement ID],0))),"")</f>
        <v/>
      </c>
      <c r="I282" s="92">
        <f>IFERROR(IF(ISBLANK(INDEX(Backlog[Status],MATCH($A283,Backlog[Requirement ID],0))),"",INDEX(Backlog[Status],MATCH($A283,Backlog[Requirement ID],0))),"")</f>
        <v/>
      </c>
      <c r="J282" s="92">
        <f>IFERROR(IF(ISBLANK(INDEX(Backlog[Priority],MATCH($A283,Backlog[Requirement ID],0))),"",INDEX(Backlog[Priority],MATCH($A283,Backlog[Requirement ID],0))),"")</f>
        <v/>
      </c>
      <c r="L282" s="97" t="n"/>
      <c r="M282" s="97" t="n"/>
      <c r="O282" s="97" t="n"/>
    </row>
    <row r="283" ht="15" customHeight="1" s="93">
      <c r="A283" s="92">
        <f>Backlog!A284</f>
        <v/>
      </c>
      <c r="B283" s="92">
        <f>IFERROR(IF(ISBLANK(INDEX(Backlog[Requirement Name],MATCH($A284,Backlog[Requirement ID],0))),"",INDEX(Backlog[Requirement Name],MATCH($A284,Backlog[Requirement ID],0))),"")</f>
        <v/>
      </c>
      <c r="C283" s="92">
        <f>IFERROR(IF(ISBLANK(INDEX(Backlog[Stream],MATCH($A284,Backlog[Requirement ID],0))),"",INDEX(Backlog[Stream],MATCH($A284,Backlog[Requirement ID],0))),"")</f>
        <v/>
      </c>
      <c r="D283" s="92">
        <f>IFERROR(IF(ISBLANK(INDEX(Backlog[Stream Owner],MATCH($A284,Backlog[Requirement ID],0))),"",INDEX(Backlog[Stream Owner],MATCH($A284,Backlog[Requirement ID],0))),"")</f>
        <v/>
      </c>
      <c r="E283" s="92">
        <f>IFERROR(IF(ISBLANK(INDEX(Backlog[Jira Link],MATCH($A284,Backlog[Requirement ID],0))),"",INDEX(Backlog[Jira Link],MATCH($A284,Backlog[Requirement ID],0))),"")</f>
        <v/>
      </c>
      <c r="H283" s="92">
        <f>IFERROR(IF(ISBLANK(INDEX(SprintPlanning[Sprint],MATCH($A284,SprintPlanning[Requirement ID],0))),"",INDEX(SprintPlanning[Sprint],MATCH($A284,SprintPlanning[Requirement ID],0))),"")</f>
        <v/>
      </c>
      <c r="I283" s="92">
        <f>IFERROR(IF(ISBLANK(INDEX(Backlog[Status],MATCH($A284,Backlog[Requirement ID],0))),"",INDEX(Backlog[Status],MATCH($A284,Backlog[Requirement ID],0))),"")</f>
        <v/>
      </c>
      <c r="J283" s="92">
        <f>IFERROR(IF(ISBLANK(INDEX(Backlog[Priority],MATCH($A284,Backlog[Requirement ID],0))),"",INDEX(Backlog[Priority],MATCH($A284,Backlog[Requirement ID],0))),"")</f>
        <v/>
      </c>
      <c r="L283" s="97" t="n"/>
      <c r="M283" s="97" t="n"/>
      <c r="O283" s="97" t="n"/>
    </row>
    <row r="284" ht="15" customHeight="1" s="93">
      <c r="A284" s="92">
        <f>Backlog!A285</f>
        <v/>
      </c>
      <c r="B284" s="92">
        <f>IFERROR(IF(ISBLANK(INDEX(Backlog[Requirement Name],MATCH($A285,Backlog[Requirement ID],0))),"",INDEX(Backlog[Requirement Name],MATCH($A285,Backlog[Requirement ID],0))),"")</f>
        <v/>
      </c>
      <c r="C284" s="92">
        <f>IFERROR(IF(ISBLANK(INDEX(Backlog[Stream],MATCH($A285,Backlog[Requirement ID],0))),"",INDEX(Backlog[Stream],MATCH($A285,Backlog[Requirement ID],0))),"")</f>
        <v/>
      </c>
      <c r="D284" s="92">
        <f>IFERROR(IF(ISBLANK(INDEX(Backlog[Stream Owner],MATCH($A285,Backlog[Requirement ID],0))),"",INDEX(Backlog[Stream Owner],MATCH($A285,Backlog[Requirement ID],0))),"")</f>
        <v/>
      </c>
      <c r="E284" s="92">
        <f>IFERROR(IF(ISBLANK(INDEX(Backlog[Jira Link],MATCH($A285,Backlog[Requirement ID],0))),"",INDEX(Backlog[Jira Link],MATCH($A285,Backlog[Requirement ID],0))),"")</f>
        <v/>
      </c>
      <c r="H284" s="92">
        <f>IFERROR(IF(ISBLANK(INDEX(SprintPlanning[Sprint],MATCH($A285,SprintPlanning[Requirement ID],0))),"",INDEX(SprintPlanning[Sprint],MATCH($A285,SprintPlanning[Requirement ID],0))),"")</f>
        <v/>
      </c>
      <c r="I284" s="92">
        <f>IFERROR(IF(ISBLANK(INDEX(Backlog[Status],MATCH($A285,Backlog[Requirement ID],0))),"",INDEX(Backlog[Status],MATCH($A285,Backlog[Requirement ID],0))),"")</f>
        <v/>
      </c>
      <c r="J284" s="92">
        <f>IFERROR(IF(ISBLANK(INDEX(Backlog[Priority],MATCH($A285,Backlog[Requirement ID],0))),"",INDEX(Backlog[Priority],MATCH($A285,Backlog[Requirement ID],0))),"")</f>
        <v/>
      </c>
      <c r="L284" s="97" t="n"/>
      <c r="M284" s="97" t="n"/>
      <c r="O284" s="97" t="n"/>
    </row>
    <row r="285" ht="15" customHeight="1" s="93">
      <c r="A285" s="92">
        <f>Backlog!A286</f>
        <v/>
      </c>
      <c r="B285" s="92">
        <f>IFERROR(IF(ISBLANK(INDEX(Backlog[Requirement Name],MATCH($A286,Backlog[Requirement ID],0))),"",INDEX(Backlog[Requirement Name],MATCH($A286,Backlog[Requirement ID],0))),"")</f>
        <v/>
      </c>
      <c r="C285" s="92">
        <f>IFERROR(IF(ISBLANK(INDEX(Backlog[Stream],MATCH($A286,Backlog[Requirement ID],0))),"",INDEX(Backlog[Stream],MATCH($A286,Backlog[Requirement ID],0))),"")</f>
        <v/>
      </c>
      <c r="D285" s="92">
        <f>IFERROR(IF(ISBLANK(INDEX(Backlog[Stream Owner],MATCH($A286,Backlog[Requirement ID],0))),"",INDEX(Backlog[Stream Owner],MATCH($A286,Backlog[Requirement ID],0))),"")</f>
        <v/>
      </c>
      <c r="E285" s="92">
        <f>IFERROR(IF(ISBLANK(INDEX(Backlog[Jira Link],MATCH($A286,Backlog[Requirement ID],0))),"",INDEX(Backlog[Jira Link],MATCH($A286,Backlog[Requirement ID],0))),"")</f>
        <v/>
      </c>
      <c r="H285" s="92">
        <f>IFERROR(IF(ISBLANK(INDEX(SprintPlanning[Sprint],MATCH($A286,SprintPlanning[Requirement ID],0))),"",INDEX(SprintPlanning[Sprint],MATCH($A286,SprintPlanning[Requirement ID],0))),"")</f>
        <v/>
      </c>
      <c r="I285" s="92">
        <f>IFERROR(IF(ISBLANK(INDEX(Backlog[Status],MATCH($A286,Backlog[Requirement ID],0))),"",INDEX(Backlog[Status],MATCH($A286,Backlog[Requirement ID],0))),"")</f>
        <v/>
      </c>
      <c r="J285" s="92">
        <f>IFERROR(IF(ISBLANK(INDEX(Backlog[Priority],MATCH($A286,Backlog[Requirement ID],0))),"",INDEX(Backlog[Priority],MATCH($A286,Backlog[Requirement ID],0))),"")</f>
        <v/>
      </c>
      <c r="L285" s="97" t="n"/>
      <c r="M285" s="97" t="n"/>
      <c r="O285" s="97" t="n"/>
    </row>
    <row r="286" ht="15" customHeight="1" s="93">
      <c r="A286" s="92">
        <f>Backlog!A287</f>
        <v/>
      </c>
      <c r="B286" s="92">
        <f>IFERROR(IF(ISBLANK(INDEX(Backlog[Requirement Name],MATCH($A287,Backlog[Requirement ID],0))),"",INDEX(Backlog[Requirement Name],MATCH($A287,Backlog[Requirement ID],0))),"")</f>
        <v/>
      </c>
      <c r="C286" s="92">
        <f>IFERROR(IF(ISBLANK(INDEX(Backlog[Stream],MATCH($A287,Backlog[Requirement ID],0))),"",INDEX(Backlog[Stream],MATCH($A287,Backlog[Requirement ID],0))),"")</f>
        <v/>
      </c>
      <c r="D286" s="92">
        <f>IFERROR(IF(ISBLANK(INDEX(Backlog[Stream Owner],MATCH($A287,Backlog[Requirement ID],0))),"",INDEX(Backlog[Stream Owner],MATCH($A287,Backlog[Requirement ID],0))),"")</f>
        <v/>
      </c>
      <c r="E286" s="92">
        <f>IFERROR(IF(ISBLANK(INDEX(Backlog[Jira Link],MATCH($A287,Backlog[Requirement ID],0))),"",INDEX(Backlog[Jira Link],MATCH($A287,Backlog[Requirement ID],0))),"")</f>
        <v/>
      </c>
      <c r="H286" s="92">
        <f>IFERROR(IF(ISBLANK(INDEX(SprintPlanning[Sprint],MATCH($A287,SprintPlanning[Requirement ID],0))),"",INDEX(SprintPlanning[Sprint],MATCH($A287,SprintPlanning[Requirement ID],0))),"")</f>
        <v/>
      </c>
      <c r="I286" s="92">
        <f>IFERROR(IF(ISBLANK(INDEX(Backlog[Status],MATCH($A287,Backlog[Requirement ID],0))),"",INDEX(Backlog[Status],MATCH($A287,Backlog[Requirement ID],0))),"")</f>
        <v/>
      </c>
      <c r="J286" s="92">
        <f>IFERROR(IF(ISBLANK(INDEX(Backlog[Priority],MATCH($A287,Backlog[Requirement ID],0))),"",INDEX(Backlog[Priority],MATCH($A287,Backlog[Requirement ID],0))),"")</f>
        <v/>
      </c>
      <c r="L286" s="97" t="n"/>
      <c r="M286" s="97" t="n"/>
      <c r="O286" s="97" t="n"/>
    </row>
    <row r="287" ht="15" customHeight="1" s="93">
      <c r="A287" s="92">
        <f>Backlog!A288</f>
        <v/>
      </c>
      <c r="B287" s="92">
        <f>IFERROR(IF(ISBLANK(INDEX(Backlog[Requirement Name],MATCH($A288,Backlog[Requirement ID],0))),"",INDEX(Backlog[Requirement Name],MATCH($A288,Backlog[Requirement ID],0))),"")</f>
        <v/>
      </c>
      <c r="C287" s="92">
        <f>IFERROR(IF(ISBLANK(INDEX(Backlog[Stream],MATCH($A288,Backlog[Requirement ID],0))),"",INDEX(Backlog[Stream],MATCH($A288,Backlog[Requirement ID],0))),"")</f>
        <v/>
      </c>
      <c r="D287" s="92">
        <f>IFERROR(IF(ISBLANK(INDEX(Backlog[Stream Owner],MATCH($A288,Backlog[Requirement ID],0))),"",INDEX(Backlog[Stream Owner],MATCH($A288,Backlog[Requirement ID],0))),"")</f>
        <v/>
      </c>
      <c r="E287" s="92">
        <f>IFERROR(IF(ISBLANK(INDEX(Backlog[Jira Link],MATCH($A288,Backlog[Requirement ID],0))),"",INDEX(Backlog[Jira Link],MATCH($A288,Backlog[Requirement ID],0))),"")</f>
        <v/>
      </c>
      <c r="H287" s="92">
        <f>IFERROR(IF(ISBLANK(INDEX(SprintPlanning[Sprint],MATCH($A288,SprintPlanning[Requirement ID],0))),"",INDEX(SprintPlanning[Sprint],MATCH($A288,SprintPlanning[Requirement ID],0))),"")</f>
        <v/>
      </c>
      <c r="I287" s="92">
        <f>IFERROR(IF(ISBLANK(INDEX(Backlog[Status],MATCH($A288,Backlog[Requirement ID],0))),"",INDEX(Backlog[Status],MATCH($A288,Backlog[Requirement ID],0))),"")</f>
        <v/>
      </c>
      <c r="J287" s="92">
        <f>IFERROR(IF(ISBLANK(INDEX(Backlog[Priority],MATCH($A288,Backlog[Requirement ID],0))),"",INDEX(Backlog[Priority],MATCH($A288,Backlog[Requirement ID],0))),"")</f>
        <v/>
      </c>
      <c r="L287" s="97" t="n"/>
      <c r="M287" s="97" t="n"/>
      <c r="O287" s="97" t="n"/>
    </row>
    <row r="288" ht="15" customHeight="1" s="93">
      <c r="A288" s="92">
        <f>Backlog!A289</f>
        <v/>
      </c>
      <c r="B288" s="92">
        <f>IFERROR(IF(ISBLANK(INDEX(Backlog[Requirement Name],MATCH($A289,Backlog[Requirement ID],0))),"",INDEX(Backlog[Requirement Name],MATCH($A289,Backlog[Requirement ID],0))),"")</f>
        <v/>
      </c>
      <c r="C288" s="92">
        <f>IFERROR(IF(ISBLANK(INDEX(Backlog[Stream],MATCH($A289,Backlog[Requirement ID],0))),"",INDEX(Backlog[Stream],MATCH($A289,Backlog[Requirement ID],0))),"")</f>
        <v/>
      </c>
      <c r="D288" s="92">
        <f>IFERROR(IF(ISBLANK(INDEX(Backlog[Stream Owner],MATCH($A289,Backlog[Requirement ID],0))),"",INDEX(Backlog[Stream Owner],MATCH($A289,Backlog[Requirement ID],0))),"")</f>
        <v/>
      </c>
      <c r="E288" s="92">
        <f>IFERROR(IF(ISBLANK(INDEX(Backlog[Jira Link],MATCH($A289,Backlog[Requirement ID],0))),"",INDEX(Backlog[Jira Link],MATCH($A289,Backlog[Requirement ID],0))),"")</f>
        <v/>
      </c>
      <c r="H288" s="92">
        <f>IFERROR(IF(ISBLANK(INDEX(SprintPlanning[Sprint],MATCH($A289,SprintPlanning[Requirement ID],0))),"",INDEX(SprintPlanning[Sprint],MATCH($A289,SprintPlanning[Requirement ID],0))),"")</f>
        <v/>
      </c>
      <c r="I288" s="92">
        <f>IFERROR(IF(ISBLANK(INDEX(Backlog[Status],MATCH($A289,Backlog[Requirement ID],0))),"",INDEX(Backlog[Status],MATCH($A289,Backlog[Requirement ID],0))),"")</f>
        <v/>
      </c>
      <c r="J288" s="92">
        <f>IFERROR(IF(ISBLANK(INDEX(Backlog[Priority],MATCH($A289,Backlog[Requirement ID],0))),"",INDEX(Backlog[Priority],MATCH($A289,Backlog[Requirement ID],0))),"")</f>
        <v/>
      </c>
      <c r="L288" s="97" t="n"/>
      <c r="M288" s="97" t="n"/>
      <c r="O288" s="97" t="n"/>
    </row>
    <row r="289" ht="15" customHeight="1" s="93">
      <c r="A289" s="92">
        <f>Backlog!A290</f>
        <v/>
      </c>
      <c r="B289" s="92">
        <f>IFERROR(IF(ISBLANK(INDEX(Backlog[Requirement Name],MATCH($A290,Backlog[Requirement ID],0))),"",INDEX(Backlog[Requirement Name],MATCH($A290,Backlog[Requirement ID],0))),"")</f>
        <v/>
      </c>
      <c r="C289" s="92">
        <f>IFERROR(IF(ISBLANK(INDEX(Backlog[Stream],MATCH($A290,Backlog[Requirement ID],0))),"",INDEX(Backlog[Stream],MATCH($A290,Backlog[Requirement ID],0))),"")</f>
        <v/>
      </c>
      <c r="D289" s="92">
        <f>IFERROR(IF(ISBLANK(INDEX(Backlog[Stream Owner],MATCH($A290,Backlog[Requirement ID],0))),"",INDEX(Backlog[Stream Owner],MATCH($A290,Backlog[Requirement ID],0))),"")</f>
        <v/>
      </c>
      <c r="E289" s="92">
        <f>IFERROR(IF(ISBLANK(INDEX(Backlog[Jira Link],MATCH($A290,Backlog[Requirement ID],0))),"",INDEX(Backlog[Jira Link],MATCH($A290,Backlog[Requirement ID],0))),"")</f>
        <v/>
      </c>
      <c r="H289" s="92">
        <f>IFERROR(IF(ISBLANK(INDEX(SprintPlanning[Sprint],MATCH($A290,SprintPlanning[Requirement ID],0))),"",INDEX(SprintPlanning[Sprint],MATCH($A290,SprintPlanning[Requirement ID],0))),"")</f>
        <v/>
      </c>
      <c r="I289" s="92">
        <f>IFERROR(IF(ISBLANK(INDEX(Backlog[Status],MATCH($A290,Backlog[Requirement ID],0))),"",INDEX(Backlog[Status],MATCH($A290,Backlog[Requirement ID],0))),"")</f>
        <v/>
      </c>
      <c r="J289" s="92">
        <f>IFERROR(IF(ISBLANK(INDEX(Backlog[Priority],MATCH($A290,Backlog[Requirement ID],0))),"",INDEX(Backlog[Priority],MATCH($A290,Backlog[Requirement ID],0))),"")</f>
        <v/>
      </c>
      <c r="L289" s="97" t="n"/>
      <c r="M289" s="97" t="n"/>
      <c r="O289" s="97" t="n"/>
    </row>
    <row r="290" ht="15" customHeight="1" s="93">
      <c r="A290" s="92">
        <f>Backlog!A291</f>
        <v/>
      </c>
      <c r="B290" s="92">
        <f>IFERROR(IF(ISBLANK(INDEX(Backlog[Requirement Name],MATCH($A291,Backlog[Requirement ID],0))),"",INDEX(Backlog[Requirement Name],MATCH($A291,Backlog[Requirement ID],0))),"")</f>
        <v/>
      </c>
      <c r="C290" s="92">
        <f>IFERROR(IF(ISBLANK(INDEX(Backlog[Stream],MATCH($A291,Backlog[Requirement ID],0))),"",INDEX(Backlog[Stream],MATCH($A291,Backlog[Requirement ID],0))),"")</f>
        <v/>
      </c>
      <c r="D290" s="92">
        <f>IFERROR(IF(ISBLANK(INDEX(Backlog[Stream Owner],MATCH($A291,Backlog[Requirement ID],0))),"",INDEX(Backlog[Stream Owner],MATCH($A291,Backlog[Requirement ID],0))),"")</f>
        <v/>
      </c>
      <c r="E290" s="92">
        <f>IFERROR(IF(ISBLANK(INDEX(Backlog[Jira Link],MATCH($A291,Backlog[Requirement ID],0))),"",INDEX(Backlog[Jira Link],MATCH($A291,Backlog[Requirement ID],0))),"")</f>
        <v/>
      </c>
      <c r="H290" s="92">
        <f>IFERROR(IF(ISBLANK(INDEX(SprintPlanning[Sprint],MATCH($A291,SprintPlanning[Requirement ID],0))),"",INDEX(SprintPlanning[Sprint],MATCH($A291,SprintPlanning[Requirement ID],0))),"")</f>
        <v/>
      </c>
      <c r="I290" s="92">
        <f>IFERROR(IF(ISBLANK(INDEX(Backlog[Status],MATCH($A291,Backlog[Requirement ID],0))),"",INDEX(Backlog[Status],MATCH($A291,Backlog[Requirement ID],0))),"")</f>
        <v/>
      </c>
      <c r="J290" s="92">
        <f>IFERROR(IF(ISBLANK(INDEX(Backlog[Priority],MATCH($A291,Backlog[Requirement ID],0))),"",INDEX(Backlog[Priority],MATCH($A291,Backlog[Requirement ID],0))),"")</f>
        <v/>
      </c>
      <c r="L290" s="97" t="n"/>
      <c r="M290" s="97" t="n"/>
      <c r="O290" s="97" t="n"/>
    </row>
    <row r="291" ht="15" customHeight="1" s="93">
      <c r="A291" s="92">
        <f>Backlog!A292</f>
        <v/>
      </c>
      <c r="B291" s="92">
        <f>IFERROR(IF(ISBLANK(INDEX(Backlog[Requirement Name],MATCH($A292,Backlog[Requirement ID],0))),"",INDEX(Backlog[Requirement Name],MATCH($A292,Backlog[Requirement ID],0))),"")</f>
        <v/>
      </c>
      <c r="C291" s="92">
        <f>IFERROR(IF(ISBLANK(INDEX(Backlog[Stream],MATCH($A292,Backlog[Requirement ID],0))),"",INDEX(Backlog[Stream],MATCH($A292,Backlog[Requirement ID],0))),"")</f>
        <v/>
      </c>
      <c r="D291" s="92">
        <f>IFERROR(IF(ISBLANK(INDEX(Backlog[Stream Owner],MATCH($A292,Backlog[Requirement ID],0))),"",INDEX(Backlog[Stream Owner],MATCH($A292,Backlog[Requirement ID],0))),"")</f>
        <v/>
      </c>
      <c r="E291" s="92">
        <f>IFERROR(IF(ISBLANK(INDEX(Backlog[Jira Link],MATCH($A292,Backlog[Requirement ID],0))),"",INDEX(Backlog[Jira Link],MATCH($A292,Backlog[Requirement ID],0))),"")</f>
        <v/>
      </c>
      <c r="H291" s="92">
        <f>IFERROR(IF(ISBLANK(INDEX(SprintPlanning[Sprint],MATCH($A292,SprintPlanning[Requirement ID],0))),"",INDEX(SprintPlanning[Sprint],MATCH($A292,SprintPlanning[Requirement ID],0))),"")</f>
        <v/>
      </c>
      <c r="I291" s="92">
        <f>IFERROR(IF(ISBLANK(INDEX(Backlog[Status],MATCH($A292,Backlog[Requirement ID],0))),"",INDEX(Backlog[Status],MATCH($A292,Backlog[Requirement ID],0))),"")</f>
        <v/>
      </c>
      <c r="J291" s="92">
        <f>IFERROR(IF(ISBLANK(INDEX(Backlog[Priority],MATCH($A292,Backlog[Requirement ID],0))),"",INDEX(Backlog[Priority],MATCH($A292,Backlog[Requirement ID],0))),"")</f>
        <v/>
      </c>
      <c r="L291" s="97" t="n"/>
      <c r="M291" s="97" t="n"/>
      <c r="O291" s="97" t="n"/>
    </row>
    <row r="292" ht="15" customHeight="1" s="93">
      <c r="A292" s="92">
        <f>Backlog!A293</f>
        <v/>
      </c>
      <c r="B292" s="92">
        <f>IFERROR(IF(ISBLANK(INDEX(Backlog[Requirement Name],MATCH($A293,Backlog[Requirement ID],0))),"",INDEX(Backlog[Requirement Name],MATCH($A293,Backlog[Requirement ID],0))),"")</f>
        <v/>
      </c>
      <c r="C292" s="92">
        <f>IFERROR(IF(ISBLANK(INDEX(Backlog[Stream],MATCH($A293,Backlog[Requirement ID],0))),"",INDEX(Backlog[Stream],MATCH($A293,Backlog[Requirement ID],0))),"")</f>
        <v/>
      </c>
      <c r="D292" s="92">
        <f>IFERROR(IF(ISBLANK(INDEX(Backlog[Stream Owner],MATCH($A293,Backlog[Requirement ID],0))),"",INDEX(Backlog[Stream Owner],MATCH($A293,Backlog[Requirement ID],0))),"")</f>
        <v/>
      </c>
      <c r="E292" s="92">
        <f>IFERROR(IF(ISBLANK(INDEX(Backlog[Jira Link],MATCH($A293,Backlog[Requirement ID],0))),"",INDEX(Backlog[Jira Link],MATCH($A293,Backlog[Requirement ID],0))),"")</f>
        <v/>
      </c>
      <c r="H292" s="92">
        <f>IFERROR(IF(ISBLANK(INDEX(SprintPlanning[Sprint],MATCH($A293,SprintPlanning[Requirement ID],0))),"",INDEX(SprintPlanning[Sprint],MATCH($A293,SprintPlanning[Requirement ID],0))),"")</f>
        <v/>
      </c>
      <c r="I292" s="92">
        <f>IFERROR(IF(ISBLANK(INDEX(Backlog[Status],MATCH($A293,Backlog[Requirement ID],0))),"",INDEX(Backlog[Status],MATCH($A293,Backlog[Requirement ID],0))),"")</f>
        <v/>
      </c>
      <c r="J292" s="92">
        <f>IFERROR(IF(ISBLANK(INDEX(Backlog[Priority],MATCH($A293,Backlog[Requirement ID],0))),"",INDEX(Backlog[Priority],MATCH($A293,Backlog[Requirement ID],0))),"")</f>
        <v/>
      </c>
      <c r="L292" s="97" t="n"/>
      <c r="M292" s="97" t="n"/>
      <c r="O292" s="97" t="n"/>
    </row>
    <row r="293" ht="15" customHeight="1" s="93">
      <c r="A293" s="92">
        <f>Backlog!A294</f>
        <v/>
      </c>
      <c r="B293" s="92">
        <f>IFERROR(IF(ISBLANK(INDEX(Backlog[Requirement Name],MATCH($A294,Backlog[Requirement ID],0))),"",INDEX(Backlog[Requirement Name],MATCH($A294,Backlog[Requirement ID],0))),"")</f>
        <v/>
      </c>
      <c r="C293" s="92">
        <f>IFERROR(IF(ISBLANK(INDEX(Backlog[Stream],MATCH($A294,Backlog[Requirement ID],0))),"",INDEX(Backlog[Stream],MATCH($A294,Backlog[Requirement ID],0))),"")</f>
        <v/>
      </c>
      <c r="D293" s="92">
        <f>IFERROR(IF(ISBLANK(INDEX(Backlog[Stream Owner],MATCH($A294,Backlog[Requirement ID],0))),"",INDEX(Backlog[Stream Owner],MATCH($A294,Backlog[Requirement ID],0))),"")</f>
        <v/>
      </c>
      <c r="E293" s="92">
        <f>IFERROR(IF(ISBLANK(INDEX(Backlog[Jira Link],MATCH($A294,Backlog[Requirement ID],0))),"",INDEX(Backlog[Jira Link],MATCH($A294,Backlog[Requirement ID],0))),"")</f>
        <v/>
      </c>
      <c r="H293" s="92">
        <f>IFERROR(IF(ISBLANK(INDEX(SprintPlanning[Sprint],MATCH($A294,SprintPlanning[Requirement ID],0))),"",INDEX(SprintPlanning[Sprint],MATCH($A294,SprintPlanning[Requirement ID],0))),"")</f>
        <v/>
      </c>
      <c r="I293" s="92">
        <f>IFERROR(IF(ISBLANK(INDEX(Backlog[Status],MATCH($A294,Backlog[Requirement ID],0))),"",INDEX(Backlog[Status],MATCH($A294,Backlog[Requirement ID],0))),"")</f>
        <v/>
      </c>
      <c r="J293" s="92">
        <f>IFERROR(IF(ISBLANK(INDEX(Backlog[Priority],MATCH($A294,Backlog[Requirement ID],0))),"",INDEX(Backlog[Priority],MATCH($A294,Backlog[Requirement ID],0))),"")</f>
        <v/>
      </c>
      <c r="L293" s="97" t="n"/>
      <c r="M293" s="97" t="n"/>
      <c r="O293" s="97" t="n"/>
    </row>
    <row r="294" ht="15" customHeight="1" s="93">
      <c r="A294" s="92">
        <f>Backlog!A295</f>
        <v/>
      </c>
      <c r="B294" s="92">
        <f>IFERROR(IF(ISBLANK(INDEX(Backlog[Requirement Name],MATCH($A295,Backlog[Requirement ID],0))),"",INDEX(Backlog[Requirement Name],MATCH($A295,Backlog[Requirement ID],0))),"")</f>
        <v/>
      </c>
      <c r="C294" s="92">
        <f>IFERROR(IF(ISBLANK(INDEX(Backlog[Stream],MATCH($A295,Backlog[Requirement ID],0))),"",INDEX(Backlog[Stream],MATCH($A295,Backlog[Requirement ID],0))),"")</f>
        <v/>
      </c>
      <c r="D294" s="92">
        <f>IFERROR(IF(ISBLANK(INDEX(Backlog[Stream Owner],MATCH($A295,Backlog[Requirement ID],0))),"",INDEX(Backlog[Stream Owner],MATCH($A295,Backlog[Requirement ID],0))),"")</f>
        <v/>
      </c>
      <c r="E294" s="92">
        <f>IFERROR(IF(ISBLANK(INDEX(Backlog[Jira Link],MATCH($A295,Backlog[Requirement ID],0))),"",INDEX(Backlog[Jira Link],MATCH($A295,Backlog[Requirement ID],0))),"")</f>
        <v/>
      </c>
      <c r="H294" s="92">
        <f>IFERROR(IF(ISBLANK(INDEX(SprintPlanning[Sprint],MATCH($A295,SprintPlanning[Requirement ID],0))),"",INDEX(SprintPlanning[Sprint],MATCH($A295,SprintPlanning[Requirement ID],0))),"")</f>
        <v/>
      </c>
      <c r="I294" s="92">
        <f>IFERROR(IF(ISBLANK(INDEX(Backlog[Status],MATCH($A295,Backlog[Requirement ID],0))),"",INDEX(Backlog[Status],MATCH($A295,Backlog[Requirement ID],0))),"")</f>
        <v/>
      </c>
      <c r="J294" s="92">
        <f>IFERROR(IF(ISBLANK(INDEX(Backlog[Priority],MATCH($A295,Backlog[Requirement ID],0))),"",INDEX(Backlog[Priority],MATCH($A295,Backlog[Requirement ID],0))),"")</f>
        <v/>
      </c>
      <c r="L294" s="97" t="n"/>
      <c r="M294" s="97" t="n"/>
      <c r="O294" s="97" t="n"/>
    </row>
    <row r="295" ht="15" customHeight="1" s="93">
      <c r="A295" s="92">
        <f>Backlog!A296</f>
        <v/>
      </c>
      <c r="B295" s="92">
        <f>IFERROR(IF(ISBLANK(INDEX(Backlog[Requirement Name],MATCH($A296,Backlog[Requirement ID],0))),"",INDEX(Backlog[Requirement Name],MATCH($A296,Backlog[Requirement ID],0))),"")</f>
        <v/>
      </c>
      <c r="C295" s="92">
        <f>IFERROR(IF(ISBLANK(INDEX(Backlog[Stream],MATCH($A296,Backlog[Requirement ID],0))),"",INDEX(Backlog[Stream],MATCH($A296,Backlog[Requirement ID],0))),"")</f>
        <v/>
      </c>
      <c r="D295" s="92">
        <f>IFERROR(IF(ISBLANK(INDEX(Backlog[Stream Owner],MATCH($A296,Backlog[Requirement ID],0))),"",INDEX(Backlog[Stream Owner],MATCH($A296,Backlog[Requirement ID],0))),"")</f>
        <v/>
      </c>
      <c r="E295" s="92">
        <f>IFERROR(IF(ISBLANK(INDEX(Backlog[Jira Link],MATCH($A296,Backlog[Requirement ID],0))),"",INDEX(Backlog[Jira Link],MATCH($A296,Backlog[Requirement ID],0))),"")</f>
        <v/>
      </c>
      <c r="H295" s="92">
        <f>IFERROR(IF(ISBLANK(INDEX(SprintPlanning[Sprint],MATCH($A296,SprintPlanning[Requirement ID],0))),"",INDEX(SprintPlanning[Sprint],MATCH($A296,SprintPlanning[Requirement ID],0))),"")</f>
        <v/>
      </c>
      <c r="I295" s="92">
        <f>IFERROR(IF(ISBLANK(INDEX(Backlog[Status],MATCH($A296,Backlog[Requirement ID],0))),"",INDEX(Backlog[Status],MATCH($A296,Backlog[Requirement ID],0))),"")</f>
        <v/>
      </c>
      <c r="J295" s="92">
        <f>IFERROR(IF(ISBLANK(INDEX(Backlog[Priority],MATCH($A296,Backlog[Requirement ID],0))),"",INDEX(Backlog[Priority],MATCH($A296,Backlog[Requirement ID],0))),"")</f>
        <v/>
      </c>
      <c r="L295" s="97" t="n"/>
      <c r="M295" s="97" t="n"/>
      <c r="O295" s="97" t="n"/>
    </row>
    <row r="296" ht="15" customHeight="1" s="93">
      <c r="A296" s="92">
        <f>Backlog!A297</f>
        <v/>
      </c>
      <c r="B296" s="92">
        <f>IFERROR(IF(ISBLANK(INDEX(Backlog[Requirement Name],MATCH($A297,Backlog[Requirement ID],0))),"",INDEX(Backlog[Requirement Name],MATCH($A297,Backlog[Requirement ID],0))),"")</f>
        <v/>
      </c>
      <c r="C296" s="92">
        <f>IFERROR(IF(ISBLANK(INDEX(Backlog[Stream],MATCH($A297,Backlog[Requirement ID],0))),"",INDEX(Backlog[Stream],MATCH($A297,Backlog[Requirement ID],0))),"")</f>
        <v/>
      </c>
      <c r="D296" s="92">
        <f>IFERROR(IF(ISBLANK(INDEX(Backlog[Stream Owner],MATCH($A297,Backlog[Requirement ID],0))),"",INDEX(Backlog[Stream Owner],MATCH($A297,Backlog[Requirement ID],0))),"")</f>
        <v/>
      </c>
      <c r="E296" s="92">
        <f>IFERROR(IF(ISBLANK(INDEX(Backlog[Jira Link],MATCH($A297,Backlog[Requirement ID],0))),"",INDEX(Backlog[Jira Link],MATCH($A297,Backlog[Requirement ID],0))),"")</f>
        <v/>
      </c>
      <c r="H296" s="92">
        <f>IFERROR(IF(ISBLANK(INDEX(SprintPlanning[Sprint],MATCH($A297,SprintPlanning[Requirement ID],0))),"",INDEX(SprintPlanning[Sprint],MATCH($A297,SprintPlanning[Requirement ID],0))),"")</f>
        <v/>
      </c>
      <c r="I296" s="92">
        <f>IFERROR(IF(ISBLANK(INDEX(Backlog[Status],MATCH($A297,Backlog[Requirement ID],0))),"",INDEX(Backlog[Status],MATCH($A297,Backlog[Requirement ID],0))),"")</f>
        <v/>
      </c>
      <c r="J296" s="92">
        <f>IFERROR(IF(ISBLANK(INDEX(Backlog[Priority],MATCH($A297,Backlog[Requirement ID],0))),"",INDEX(Backlog[Priority],MATCH($A297,Backlog[Requirement ID],0))),"")</f>
        <v/>
      </c>
      <c r="L296" s="97" t="n"/>
      <c r="M296" s="97" t="n"/>
      <c r="O296" s="97" t="n"/>
    </row>
    <row r="297" ht="15" customHeight="1" s="93">
      <c r="A297" s="92">
        <f>Backlog!A298</f>
        <v/>
      </c>
      <c r="B297" s="92">
        <f>IFERROR(IF(ISBLANK(INDEX(Backlog[Requirement Name],MATCH($A298,Backlog[Requirement ID],0))),"",INDEX(Backlog[Requirement Name],MATCH($A298,Backlog[Requirement ID],0))),"")</f>
        <v/>
      </c>
      <c r="C297" s="92">
        <f>IFERROR(IF(ISBLANK(INDEX(Backlog[Stream],MATCH($A298,Backlog[Requirement ID],0))),"",INDEX(Backlog[Stream],MATCH($A298,Backlog[Requirement ID],0))),"")</f>
        <v/>
      </c>
      <c r="D297" s="92">
        <f>IFERROR(IF(ISBLANK(INDEX(Backlog[Stream Owner],MATCH($A298,Backlog[Requirement ID],0))),"",INDEX(Backlog[Stream Owner],MATCH($A298,Backlog[Requirement ID],0))),"")</f>
        <v/>
      </c>
      <c r="E297" s="92">
        <f>IFERROR(IF(ISBLANK(INDEX(Backlog[Jira Link],MATCH($A298,Backlog[Requirement ID],0))),"",INDEX(Backlog[Jira Link],MATCH($A298,Backlog[Requirement ID],0))),"")</f>
        <v/>
      </c>
      <c r="H297" s="92">
        <f>IFERROR(IF(ISBLANK(INDEX(SprintPlanning[Sprint],MATCH($A298,SprintPlanning[Requirement ID],0))),"",INDEX(SprintPlanning[Sprint],MATCH($A298,SprintPlanning[Requirement ID],0))),"")</f>
        <v/>
      </c>
      <c r="I297" s="92">
        <f>IFERROR(IF(ISBLANK(INDEX(Backlog[Status],MATCH($A298,Backlog[Requirement ID],0))),"",INDEX(Backlog[Status],MATCH($A298,Backlog[Requirement ID],0))),"")</f>
        <v/>
      </c>
      <c r="J297" s="92">
        <f>IFERROR(IF(ISBLANK(INDEX(Backlog[Priority],MATCH($A298,Backlog[Requirement ID],0))),"",INDEX(Backlog[Priority],MATCH($A298,Backlog[Requirement ID],0))),"")</f>
        <v/>
      </c>
      <c r="L297" s="97" t="n"/>
      <c r="M297" s="97" t="n"/>
      <c r="O297" s="97" t="n"/>
    </row>
    <row r="298" ht="15" customHeight="1" s="93">
      <c r="A298" s="92">
        <f>Backlog!A299</f>
        <v/>
      </c>
      <c r="B298" s="92">
        <f>IFERROR(IF(ISBLANK(INDEX(Backlog[Requirement Name],MATCH($A299,Backlog[Requirement ID],0))),"",INDEX(Backlog[Requirement Name],MATCH($A299,Backlog[Requirement ID],0))),"")</f>
        <v/>
      </c>
      <c r="C298" s="92">
        <f>IFERROR(IF(ISBLANK(INDEX(Backlog[Stream],MATCH($A299,Backlog[Requirement ID],0))),"",INDEX(Backlog[Stream],MATCH($A299,Backlog[Requirement ID],0))),"")</f>
        <v/>
      </c>
      <c r="D298" s="92">
        <f>IFERROR(IF(ISBLANK(INDEX(Backlog[Stream Owner],MATCH($A299,Backlog[Requirement ID],0))),"",INDEX(Backlog[Stream Owner],MATCH($A299,Backlog[Requirement ID],0))),"")</f>
        <v/>
      </c>
      <c r="E298" s="92">
        <f>IFERROR(IF(ISBLANK(INDEX(Backlog[Jira Link],MATCH($A299,Backlog[Requirement ID],0))),"",INDEX(Backlog[Jira Link],MATCH($A299,Backlog[Requirement ID],0))),"")</f>
        <v/>
      </c>
      <c r="H298" s="92">
        <f>IFERROR(IF(ISBLANK(INDEX(SprintPlanning[Sprint],MATCH($A299,SprintPlanning[Requirement ID],0))),"",INDEX(SprintPlanning[Sprint],MATCH($A299,SprintPlanning[Requirement ID],0))),"")</f>
        <v/>
      </c>
      <c r="I298" s="92">
        <f>IFERROR(IF(ISBLANK(INDEX(Backlog[Status],MATCH($A299,Backlog[Requirement ID],0))),"",INDEX(Backlog[Status],MATCH($A299,Backlog[Requirement ID],0))),"")</f>
        <v/>
      </c>
      <c r="J298" s="92">
        <f>IFERROR(IF(ISBLANK(INDEX(Backlog[Priority],MATCH($A299,Backlog[Requirement ID],0))),"",INDEX(Backlog[Priority],MATCH($A299,Backlog[Requirement ID],0))),"")</f>
        <v/>
      </c>
      <c r="L298" s="97" t="n"/>
      <c r="M298" s="97" t="n"/>
      <c r="O298" s="97" t="n"/>
    </row>
    <row r="299" ht="15" customHeight="1" s="93">
      <c r="A299" s="92">
        <f>Backlog!A300</f>
        <v/>
      </c>
      <c r="B299" s="92">
        <f>IFERROR(IF(ISBLANK(INDEX(Backlog[Requirement Name],MATCH($A300,Backlog[Requirement ID],0))),"",INDEX(Backlog[Requirement Name],MATCH($A300,Backlog[Requirement ID],0))),"")</f>
        <v/>
      </c>
      <c r="C299" s="92">
        <f>IFERROR(IF(ISBLANK(INDEX(Backlog[Stream],MATCH($A300,Backlog[Requirement ID],0))),"",INDEX(Backlog[Stream],MATCH($A300,Backlog[Requirement ID],0))),"")</f>
        <v/>
      </c>
      <c r="D299" s="92">
        <f>IFERROR(IF(ISBLANK(INDEX(Backlog[Stream Owner],MATCH($A300,Backlog[Requirement ID],0))),"",INDEX(Backlog[Stream Owner],MATCH($A300,Backlog[Requirement ID],0))),"")</f>
        <v/>
      </c>
      <c r="E299" s="92">
        <f>IFERROR(IF(ISBLANK(INDEX(Backlog[Jira Link],MATCH($A300,Backlog[Requirement ID],0))),"",INDEX(Backlog[Jira Link],MATCH($A300,Backlog[Requirement ID],0))),"")</f>
        <v/>
      </c>
      <c r="H299" s="92">
        <f>IFERROR(IF(ISBLANK(INDEX(SprintPlanning[Sprint],MATCH($A300,SprintPlanning[Requirement ID],0))),"",INDEX(SprintPlanning[Sprint],MATCH($A300,SprintPlanning[Requirement ID],0))),"")</f>
        <v/>
      </c>
      <c r="I299" s="92">
        <f>IFERROR(IF(ISBLANK(INDEX(Backlog[Status],MATCH($A300,Backlog[Requirement ID],0))),"",INDEX(Backlog[Status],MATCH($A300,Backlog[Requirement ID],0))),"")</f>
        <v/>
      </c>
      <c r="J299" s="92">
        <f>IFERROR(IF(ISBLANK(INDEX(Backlog[Priority],MATCH($A300,Backlog[Requirement ID],0))),"",INDEX(Backlog[Priority],MATCH($A300,Backlog[Requirement ID],0))),"")</f>
        <v/>
      </c>
      <c r="L299" s="97" t="n"/>
      <c r="M299" s="97" t="n"/>
      <c r="O299" s="97" t="n"/>
    </row>
    <row r="300" ht="15" customHeight="1" s="93">
      <c r="A300" s="92">
        <f>Backlog!A301</f>
        <v/>
      </c>
      <c r="B300" s="92">
        <f>IFERROR(IF(ISBLANK(INDEX(Backlog[Requirement Name],MATCH($A301,Backlog[Requirement ID],0))),"",INDEX(Backlog[Requirement Name],MATCH($A301,Backlog[Requirement ID],0))),"")</f>
        <v/>
      </c>
      <c r="C300" s="92">
        <f>IFERROR(IF(ISBLANK(INDEX(Backlog[Stream],MATCH($A301,Backlog[Requirement ID],0))),"",INDEX(Backlog[Stream],MATCH($A301,Backlog[Requirement ID],0))),"")</f>
        <v/>
      </c>
      <c r="D300" s="92">
        <f>IFERROR(IF(ISBLANK(INDEX(Backlog[Stream Owner],MATCH($A301,Backlog[Requirement ID],0))),"",INDEX(Backlog[Stream Owner],MATCH($A301,Backlog[Requirement ID],0))),"")</f>
        <v/>
      </c>
      <c r="E300" s="92">
        <f>IFERROR(IF(ISBLANK(INDEX(Backlog[Jira Link],MATCH($A301,Backlog[Requirement ID],0))),"",INDEX(Backlog[Jira Link],MATCH($A301,Backlog[Requirement ID],0))),"")</f>
        <v/>
      </c>
      <c r="H300" s="92">
        <f>IFERROR(IF(ISBLANK(INDEX(SprintPlanning[Sprint],MATCH($A301,SprintPlanning[Requirement ID],0))),"",INDEX(SprintPlanning[Sprint],MATCH($A301,SprintPlanning[Requirement ID],0))),"")</f>
        <v/>
      </c>
      <c r="I300" s="92">
        <f>IFERROR(IF(ISBLANK(INDEX(Backlog[Status],MATCH($A301,Backlog[Requirement ID],0))),"",INDEX(Backlog[Status],MATCH($A301,Backlog[Requirement ID],0))),"")</f>
        <v/>
      </c>
      <c r="J300" s="92">
        <f>IFERROR(IF(ISBLANK(INDEX(Backlog[Priority],MATCH($A301,Backlog[Requirement ID],0))),"",INDEX(Backlog[Priority],MATCH($A301,Backlog[Requirement ID],0))),"")</f>
        <v/>
      </c>
      <c r="L300" s="97" t="n"/>
      <c r="M300" s="97" t="n"/>
      <c r="O300" s="97" t="n"/>
    </row>
    <row r="301" ht="15" customHeight="1" s="93">
      <c r="A301" s="92">
        <f>Backlog!A302</f>
        <v/>
      </c>
      <c r="B301" s="92">
        <f>IFERROR(IF(ISBLANK(INDEX(Backlog[Requirement Name],MATCH($A302,Backlog[Requirement ID],0))),"",INDEX(Backlog[Requirement Name],MATCH($A302,Backlog[Requirement ID],0))),"")</f>
        <v/>
      </c>
      <c r="C301" s="92">
        <f>IFERROR(IF(ISBLANK(INDEX(Backlog[Stream],MATCH($A302,Backlog[Requirement ID],0))),"",INDEX(Backlog[Stream],MATCH($A302,Backlog[Requirement ID],0))),"")</f>
        <v/>
      </c>
      <c r="D301" s="92">
        <f>IFERROR(IF(ISBLANK(INDEX(Backlog[Stream Owner],MATCH($A302,Backlog[Requirement ID],0))),"",INDEX(Backlog[Stream Owner],MATCH($A302,Backlog[Requirement ID],0))),"")</f>
        <v/>
      </c>
      <c r="E301" s="92">
        <f>IFERROR(IF(ISBLANK(INDEX(Backlog[Jira Link],MATCH($A302,Backlog[Requirement ID],0))),"",INDEX(Backlog[Jira Link],MATCH($A302,Backlog[Requirement ID],0))),"")</f>
        <v/>
      </c>
      <c r="H301" s="92">
        <f>IFERROR(IF(ISBLANK(INDEX(SprintPlanning[Sprint],MATCH($A302,SprintPlanning[Requirement ID],0))),"",INDEX(SprintPlanning[Sprint],MATCH($A302,SprintPlanning[Requirement ID],0))),"")</f>
        <v/>
      </c>
      <c r="I301" s="92">
        <f>IFERROR(IF(ISBLANK(INDEX(Backlog[Status],MATCH($A302,Backlog[Requirement ID],0))),"",INDEX(Backlog[Status],MATCH($A302,Backlog[Requirement ID],0))),"")</f>
        <v/>
      </c>
      <c r="J301" s="92">
        <f>IFERROR(IF(ISBLANK(INDEX(Backlog[Priority],MATCH($A302,Backlog[Requirement ID],0))),"",INDEX(Backlog[Priority],MATCH($A302,Backlog[Requirement ID],0))),"")</f>
        <v/>
      </c>
      <c r="L301" s="97" t="n"/>
      <c r="M301" s="97" t="n"/>
      <c r="O301" s="97" t="n"/>
    </row>
    <row r="302" ht="15" customHeight="1" s="93">
      <c r="A302" s="92">
        <f>Backlog!A303</f>
        <v/>
      </c>
      <c r="B302" s="92">
        <f>IFERROR(IF(ISBLANK(INDEX(Backlog[Requirement Name],MATCH($A303,Backlog[Requirement ID],0))),"",INDEX(Backlog[Requirement Name],MATCH($A303,Backlog[Requirement ID],0))),"")</f>
        <v/>
      </c>
      <c r="C302" s="92">
        <f>IFERROR(IF(ISBLANK(INDEX(Backlog[Stream],MATCH($A303,Backlog[Requirement ID],0))),"",INDEX(Backlog[Stream],MATCH($A303,Backlog[Requirement ID],0))),"")</f>
        <v/>
      </c>
      <c r="D302" s="92">
        <f>IFERROR(IF(ISBLANK(INDEX(Backlog[Stream Owner],MATCH($A303,Backlog[Requirement ID],0))),"",INDEX(Backlog[Stream Owner],MATCH($A303,Backlog[Requirement ID],0))),"")</f>
        <v/>
      </c>
      <c r="E302" s="92">
        <f>IFERROR(IF(ISBLANK(INDEX(Backlog[Jira Link],MATCH($A303,Backlog[Requirement ID],0))),"",INDEX(Backlog[Jira Link],MATCH($A303,Backlog[Requirement ID],0))),"")</f>
        <v/>
      </c>
      <c r="H302" s="92">
        <f>IFERROR(IF(ISBLANK(INDEX(SprintPlanning[Sprint],MATCH($A303,SprintPlanning[Requirement ID],0))),"",INDEX(SprintPlanning[Sprint],MATCH($A303,SprintPlanning[Requirement ID],0))),"")</f>
        <v/>
      </c>
      <c r="I302" s="92">
        <f>IFERROR(IF(ISBLANK(INDEX(Backlog[Status],MATCH($A303,Backlog[Requirement ID],0))),"",INDEX(Backlog[Status],MATCH($A303,Backlog[Requirement ID],0))),"")</f>
        <v/>
      </c>
      <c r="J302" s="92">
        <f>IFERROR(IF(ISBLANK(INDEX(Backlog[Priority],MATCH($A303,Backlog[Requirement ID],0))),"",INDEX(Backlog[Priority],MATCH($A303,Backlog[Requirement ID],0))),"")</f>
        <v/>
      </c>
      <c r="L302" s="97" t="n"/>
      <c r="M302" s="97" t="n"/>
      <c r="O302" s="97" t="n"/>
    </row>
    <row r="303" ht="15" customHeight="1" s="93">
      <c r="A303" s="92">
        <f>Backlog!A304</f>
        <v/>
      </c>
      <c r="B303" s="92">
        <f>IFERROR(IF(ISBLANK(INDEX(Backlog[Requirement Name],MATCH($A304,Backlog[Requirement ID],0))),"",INDEX(Backlog[Requirement Name],MATCH($A304,Backlog[Requirement ID],0))),"")</f>
        <v/>
      </c>
      <c r="C303" s="92">
        <f>IFERROR(IF(ISBLANK(INDEX(Backlog[Stream],MATCH($A304,Backlog[Requirement ID],0))),"",INDEX(Backlog[Stream],MATCH($A304,Backlog[Requirement ID],0))),"")</f>
        <v/>
      </c>
      <c r="D303" s="92">
        <f>IFERROR(IF(ISBLANK(INDEX(Backlog[Stream Owner],MATCH($A304,Backlog[Requirement ID],0))),"",INDEX(Backlog[Stream Owner],MATCH($A304,Backlog[Requirement ID],0))),"")</f>
        <v/>
      </c>
      <c r="E303" s="92">
        <f>IFERROR(IF(ISBLANK(INDEX(Backlog[Jira Link],MATCH($A304,Backlog[Requirement ID],0))),"",INDEX(Backlog[Jira Link],MATCH($A304,Backlog[Requirement ID],0))),"")</f>
        <v/>
      </c>
      <c r="H303" s="92">
        <f>IFERROR(IF(ISBLANK(INDEX(SprintPlanning[Sprint],MATCH($A304,SprintPlanning[Requirement ID],0))),"",INDEX(SprintPlanning[Sprint],MATCH($A304,SprintPlanning[Requirement ID],0))),"")</f>
        <v/>
      </c>
      <c r="I303" s="92">
        <f>IFERROR(IF(ISBLANK(INDEX(Backlog[Status],MATCH($A304,Backlog[Requirement ID],0))),"",INDEX(Backlog[Status],MATCH($A304,Backlog[Requirement ID],0))),"")</f>
        <v/>
      </c>
      <c r="J303" s="92">
        <f>IFERROR(IF(ISBLANK(INDEX(Backlog[Priority],MATCH($A304,Backlog[Requirement ID],0))),"",INDEX(Backlog[Priority],MATCH($A304,Backlog[Requirement ID],0))),"")</f>
        <v/>
      </c>
      <c r="L303" s="97" t="n"/>
      <c r="M303" s="97" t="n"/>
      <c r="O303" s="97" t="n"/>
    </row>
    <row r="304" ht="15" customHeight="1" s="93">
      <c r="A304" s="92">
        <f>Backlog!A305</f>
        <v/>
      </c>
      <c r="B304" s="92">
        <f>IFERROR(IF(ISBLANK(INDEX(Backlog[Requirement Name],MATCH($A305,Backlog[Requirement ID],0))),"",INDEX(Backlog[Requirement Name],MATCH($A305,Backlog[Requirement ID],0))),"")</f>
        <v/>
      </c>
      <c r="C304" s="92">
        <f>IFERROR(IF(ISBLANK(INDEX(Backlog[Stream],MATCH($A305,Backlog[Requirement ID],0))),"",INDEX(Backlog[Stream],MATCH($A305,Backlog[Requirement ID],0))),"")</f>
        <v/>
      </c>
      <c r="D304" s="92">
        <f>IFERROR(IF(ISBLANK(INDEX(Backlog[Stream Owner],MATCH($A305,Backlog[Requirement ID],0))),"",INDEX(Backlog[Stream Owner],MATCH($A305,Backlog[Requirement ID],0))),"")</f>
        <v/>
      </c>
      <c r="E304" s="92">
        <f>IFERROR(IF(ISBLANK(INDEX(Backlog[Jira Link],MATCH($A305,Backlog[Requirement ID],0))),"",INDEX(Backlog[Jira Link],MATCH($A305,Backlog[Requirement ID],0))),"")</f>
        <v/>
      </c>
      <c r="H304" s="92">
        <f>IFERROR(IF(ISBLANK(INDEX(SprintPlanning[Sprint],MATCH($A305,SprintPlanning[Requirement ID],0))),"",INDEX(SprintPlanning[Sprint],MATCH($A305,SprintPlanning[Requirement ID],0))),"")</f>
        <v/>
      </c>
      <c r="I304" s="92">
        <f>IFERROR(IF(ISBLANK(INDEX(Backlog[Status],MATCH($A305,Backlog[Requirement ID],0))),"",INDEX(Backlog[Status],MATCH($A305,Backlog[Requirement ID],0))),"")</f>
        <v/>
      </c>
      <c r="J304" s="92">
        <f>IFERROR(IF(ISBLANK(INDEX(Backlog[Priority],MATCH($A305,Backlog[Requirement ID],0))),"",INDEX(Backlog[Priority],MATCH($A305,Backlog[Requirement ID],0))),"")</f>
        <v/>
      </c>
      <c r="L304" s="97" t="n"/>
      <c r="M304" s="97" t="n"/>
      <c r="O304" s="97" t="n"/>
    </row>
    <row r="305" ht="15" customHeight="1" s="93">
      <c r="A305" s="92">
        <f>Backlog!A306</f>
        <v/>
      </c>
      <c r="B305" s="92">
        <f>IFERROR(IF(ISBLANK(INDEX(Backlog[Requirement Name],MATCH($A306,Backlog[Requirement ID],0))),"",INDEX(Backlog[Requirement Name],MATCH($A306,Backlog[Requirement ID],0))),"")</f>
        <v/>
      </c>
      <c r="C305" s="92">
        <f>IFERROR(IF(ISBLANK(INDEX(Backlog[Stream],MATCH($A306,Backlog[Requirement ID],0))),"",INDEX(Backlog[Stream],MATCH($A306,Backlog[Requirement ID],0))),"")</f>
        <v/>
      </c>
      <c r="D305" s="92">
        <f>IFERROR(IF(ISBLANK(INDEX(Backlog[Stream Owner],MATCH($A306,Backlog[Requirement ID],0))),"",INDEX(Backlog[Stream Owner],MATCH($A306,Backlog[Requirement ID],0))),"")</f>
        <v/>
      </c>
      <c r="E305" s="92">
        <f>IFERROR(IF(ISBLANK(INDEX(Backlog[Jira Link],MATCH($A306,Backlog[Requirement ID],0))),"",INDEX(Backlog[Jira Link],MATCH($A306,Backlog[Requirement ID],0))),"")</f>
        <v/>
      </c>
      <c r="H305" s="92">
        <f>IFERROR(IF(ISBLANK(INDEX(SprintPlanning[Sprint],MATCH($A306,SprintPlanning[Requirement ID],0))),"",INDEX(SprintPlanning[Sprint],MATCH($A306,SprintPlanning[Requirement ID],0))),"")</f>
        <v/>
      </c>
      <c r="I305" s="92">
        <f>IFERROR(IF(ISBLANK(INDEX(Backlog[Status],MATCH($A306,Backlog[Requirement ID],0))),"",INDEX(Backlog[Status],MATCH($A306,Backlog[Requirement ID],0))),"")</f>
        <v/>
      </c>
      <c r="J305" s="92">
        <f>IFERROR(IF(ISBLANK(INDEX(Backlog[Priority],MATCH($A306,Backlog[Requirement ID],0))),"",INDEX(Backlog[Priority],MATCH($A306,Backlog[Requirement ID],0))),"")</f>
        <v/>
      </c>
      <c r="L305" s="97" t="n"/>
      <c r="M305" s="97" t="n"/>
      <c r="O305" s="97" t="n"/>
    </row>
    <row r="306" ht="15" customHeight="1" s="93">
      <c r="A306" s="92">
        <f>Backlog!A307</f>
        <v/>
      </c>
      <c r="B306" s="92">
        <f>IFERROR(IF(ISBLANK(INDEX(Backlog[Requirement Name],MATCH($A307,Backlog[Requirement ID],0))),"",INDEX(Backlog[Requirement Name],MATCH($A307,Backlog[Requirement ID],0))),"")</f>
        <v/>
      </c>
      <c r="C306" s="92">
        <f>IFERROR(IF(ISBLANK(INDEX(Backlog[Stream],MATCH($A307,Backlog[Requirement ID],0))),"",INDEX(Backlog[Stream],MATCH($A307,Backlog[Requirement ID],0))),"")</f>
        <v/>
      </c>
      <c r="D306" s="92">
        <f>IFERROR(IF(ISBLANK(INDEX(Backlog[Stream Owner],MATCH($A307,Backlog[Requirement ID],0))),"",INDEX(Backlog[Stream Owner],MATCH($A307,Backlog[Requirement ID],0))),"")</f>
        <v/>
      </c>
      <c r="E306" s="92">
        <f>IFERROR(IF(ISBLANK(INDEX(Backlog[Jira Link],MATCH($A307,Backlog[Requirement ID],0))),"",INDEX(Backlog[Jira Link],MATCH($A307,Backlog[Requirement ID],0))),"")</f>
        <v/>
      </c>
      <c r="H306" s="92">
        <f>IFERROR(IF(ISBLANK(INDEX(SprintPlanning[Sprint],MATCH($A307,SprintPlanning[Requirement ID],0))),"",INDEX(SprintPlanning[Sprint],MATCH($A307,SprintPlanning[Requirement ID],0))),"")</f>
        <v/>
      </c>
      <c r="I306" s="92">
        <f>IFERROR(IF(ISBLANK(INDEX(Backlog[Status],MATCH($A307,Backlog[Requirement ID],0))),"",INDEX(Backlog[Status],MATCH($A307,Backlog[Requirement ID],0))),"")</f>
        <v/>
      </c>
      <c r="J306" s="92">
        <f>IFERROR(IF(ISBLANK(INDEX(Backlog[Priority],MATCH($A307,Backlog[Requirement ID],0))),"",INDEX(Backlog[Priority],MATCH($A307,Backlog[Requirement ID],0))),"")</f>
        <v/>
      </c>
      <c r="L306" s="97" t="n"/>
      <c r="M306" s="97" t="n"/>
      <c r="O306" s="97" t="n"/>
    </row>
    <row r="307" ht="15" customHeight="1" s="93">
      <c r="A307" s="92">
        <f>Backlog!A308</f>
        <v/>
      </c>
      <c r="B307" s="92">
        <f>IFERROR(IF(ISBLANK(INDEX(Backlog[Requirement Name],MATCH($A308,Backlog[Requirement ID],0))),"",INDEX(Backlog[Requirement Name],MATCH($A308,Backlog[Requirement ID],0))),"")</f>
        <v/>
      </c>
      <c r="C307" s="92">
        <f>IFERROR(IF(ISBLANK(INDEX(Backlog[Stream],MATCH($A308,Backlog[Requirement ID],0))),"",INDEX(Backlog[Stream],MATCH($A308,Backlog[Requirement ID],0))),"")</f>
        <v/>
      </c>
      <c r="D307" s="92">
        <f>IFERROR(IF(ISBLANK(INDEX(Backlog[Stream Owner],MATCH($A308,Backlog[Requirement ID],0))),"",INDEX(Backlog[Stream Owner],MATCH($A308,Backlog[Requirement ID],0))),"")</f>
        <v/>
      </c>
      <c r="E307" s="92">
        <f>IFERROR(IF(ISBLANK(INDEX(Backlog[Jira Link],MATCH($A308,Backlog[Requirement ID],0))),"",INDEX(Backlog[Jira Link],MATCH($A308,Backlog[Requirement ID],0))),"")</f>
        <v/>
      </c>
      <c r="H307" s="92">
        <f>IFERROR(IF(ISBLANK(INDEX(SprintPlanning[Sprint],MATCH($A308,SprintPlanning[Requirement ID],0))),"",INDEX(SprintPlanning[Sprint],MATCH($A308,SprintPlanning[Requirement ID],0))),"")</f>
        <v/>
      </c>
      <c r="I307" s="92">
        <f>IFERROR(IF(ISBLANK(INDEX(Backlog[Status],MATCH($A308,Backlog[Requirement ID],0))),"",INDEX(Backlog[Status],MATCH($A308,Backlog[Requirement ID],0))),"")</f>
        <v/>
      </c>
      <c r="J307" s="92">
        <f>IFERROR(IF(ISBLANK(INDEX(Backlog[Priority],MATCH($A308,Backlog[Requirement ID],0))),"",INDEX(Backlog[Priority],MATCH($A308,Backlog[Requirement ID],0))),"")</f>
        <v/>
      </c>
      <c r="L307" s="97" t="n"/>
      <c r="M307" s="97" t="n"/>
      <c r="O307" s="97" t="n"/>
    </row>
    <row r="308" ht="15" customHeight="1" s="93">
      <c r="A308" s="92">
        <f>Backlog!A309</f>
        <v/>
      </c>
      <c r="B308" s="92">
        <f>IFERROR(IF(ISBLANK(INDEX(Backlog[Requirement Name],MATCH($A309,Backlog[Requirement ID],0))),"",INDEX(Backlog[Requirement Name],MATCH($A309,Backlog[Requirement ID],0))),"")</f>
        <v/>
      </c>
      <c r="C308" s="92">
        <f>IFERROR(IF(ISBLANK(INDEX(Backlog[Stream],MATCH($A309,Backlog[Requirement ID],0))),"",INDEX(Backlog[Stream],MATCH($A309,Backlog[Requirement ID],0))),"")</f>
        <v/>
      </c>
      <c r="D308" s="92">
        <f>IFERROR(IF(ISBLANK(INDEX(Backlog[Stream Owner],MATCH($A309,Backlog[Requirement ID],0))),"",INDEX(Backlog[Stream Owner],MATCH($A309,Backlog[Requirement ID],0))),"")</f>
        <v/>
      </c>
      <c r="E308" s="92">
        <f>IFERROR(IF(ISBLANK(INDEX(Backlog[Jira Link],MATCH($A309,Backlog[Requirement ID],0))),"",INDEX(Backlog[Jira Link],MATCH($A309,Backlog[Requirement ID],0))),"")</f>
        <v/>
      </c>
      <c r="H308" s="92">
        <f>IFERROR(IF(ISBLANK(INDEX(SprintPlanning[Sprint],MATCH($A309,SprintPlanning[Requirement ID],0))),"",INDEX(SprintPlanning[Sprint],MATCH($A309,SprintPlanning[Requirement ID],0))),"")</f>
        <v/>
      </c>
      <c r="I308" s="92">
        <f>IFERROR(IF(ISBLANK(INDEX(Backlog[Status],MATCH($A309,Backlog[Requirement ID],0))),"",INDEX(Backlog[Status],MATCH($A309,Backlog[Requirement ID],0))),"")</f>
        <v/>
      </c>
      <c r="J308" s="92">
        <f>IFERROR(IF(ISBLANK(INDEX(Backlog[Priority],MATCH($A309,Backlog[Requirement ID],0))),"",INDEX(Backlog[Priority],MATCH($A309,Backlog[Requirement ID],0))),"")</f>
        <v/>
      </c>
      <c r="L308" s="97" t="n"/>
      <c r="M308" s="97" t="n"/>
      <c r="O308" s="97" t="n"/>
    </row>
    <row r="309" ht="15" customHeight="1" s="93">
      <c r="A309" s="92">
        <f>Backlog!A310</f>
        <v/>
      </c>
      <c r="B309" s="92">
        <f>IFERROR(IF(ISBLANK(INDEX(Backlog[Requirement Name],MATCH($A310,Backlog[Requirement ID],0))),"",INDEX(Backlog[Requirement Name],MATCH($A310,Backlog[Requirement ID],0))),"")</f>
        <v/>
      </c>
      <c r="C309" s="92">
        <f>IFERROR(IF(ISBLANK(INDEX(Backlog[Stream],MATCH($A310,Backlog[Requirement ID],0))),"",INDEX(Backlog[Stream],MATCH($A310,Backlog[Requirement ID],0))),"")</f>
        <v/>
      </c>
      <c r="D309" s="92">
        <f>IFERROR(IF(ISBLANK(INDEX(Backlog[Stream Owner],MATCH($A310,Backlog[Requirement ID],0))),"",INDEX(Backlog[Stream Owner],MATCH($A310,Backlog[Requirement ID],0))),"")</f>
        <v/>
      </c>
      <c r="E309" s="92">
        <f>IFERROR(IF(ISBLANK(INDEX(Backlog[Jira Link],MATCH($A310,Backlog[Requirement ID],0))),"",INDEX(Backlog[Jira Link],MATCH($A310,Backlog[Requirement ID],0))),"")</f>
        <v/>
      </c>
      <c r="H309" s="92">
        <f>IFERROR(IF(ISBLANK(INDEX(SprintPlanning[Sprint],MATCH($A310,SprintPlanning[Requirement ID],0))),"",INDEX(SprintPlanning[Sprint],MATCH($A310,SprintPlanning[Requirement ID],0))),"")</f>
        <v/>
      </c>
      <c r="I309" s="92">
        <f>IFERROR(IF(ISBLANK(INDEX(Backlog[Status],MATCH($A310,Backlog[Requirement ID],0))),"",INDEX(Backlog[Status],MATCH($A310,Backlog[Requirement ID],0))),"")</f>
        <v/>
      </c>
      <c r="J309" s="92">
        <f>IFERROR(IF(ISBLANK(INDEX(Backlog[Priority],MATCH($A310,Backlog[Requirement ID],0))),"",INDEX(Backlog[Priority],MATCH($A310,Backlog[Requirement ID],0))),"")</f>
        <v/>
      </c>
      <c r="L309" s="97" t="n"/>
      <c r="M309" s="97" t="n"/>
      <c r="O309" s="97" t="n"/>
    </row>
    <row r="310" ht="15" customHeight="1" s="93">
      <c r="A310" s="92">
        <f>Backlog!A311</f>
        <v/>
      </c>
      <c r="B310" s="92">
        <f>IFERROR(IF(ISBLANK(INDEX(Backlog[Requirement Name],MATCH($A311,Backlog[Requirement ID],0))),"",INDEX(Backlog[Requirement Name],MATCH($A311,Backlog[Requirement ID],0))),"")</f>
        <v/>
      </c>
      <c r="C310" s="92">
        <f>IFERROR(IF(ISBLANK(INDEX(Backlog[Stream],MATCH($A311,Backlog[Requirement ID],0))),"",INDEX(Backlog[Stream],MATCH($A311,Backlog[Requirement ID],0))),"")</f>
        <v/>
      </c>
      <c r="D310" s="92">
        <f>IFERROR(IF(ISBLANK(INDEX(Backlog[Stream Owner],MATCH($A311,Backlog[Requirement ID],0))),"",INDEX(Backlog[Stream Owner],MATCH($A311,Backlog[Requirement ID],0))),"")</f>
        <v/>
      </c>
      <c r="E310" s="92">
        <f>IFERROR(IF(ISBLANK(INDEX(Backlog[Jira Link],MATCH($A311,Backlog[Requirement ID],0))),"",INDEX(Backlog[Jira Link],MATCH($A311,Backlog[Requirement ID],0))),"")</f>
        <v/>
      </c>
      <c r="H310" s="92">
        <f>IFERROR(IF(ISBLANK(INDEX(SprintPlanning[Sprint],MATCH($A311,SprintPlanning[Requirement ID],0))),"",INDEX(SprintPlanning[Sprint],MATCH($A311,SprintPlanning[Requirement ID],0))),"")</f>
        <v/>
      </c>
      <c r="I310" s="92">
        <f>IFERROR(IF(ISBLANK(INDEX(Backlog[Status],MATCH($A311,Backlog[Requirement ID],0))),"",INDEX(Backlog[Status],MATCH($A311,Backlog[Requirement ID],0))),"")</f>
        <v/>
      </c>
      <c r="J310" s="92">
        <f>IFERROR(IF(ISBLANK(INDEX(Backlog[Priority],MATCH($A311,Backlog[Requirement ID],0))),"",INDEX(Backlog[Priority],MATCH($A311,Backlog[Requirement ID],0))),"")</f>
        <v/>
      </c>
      <c r="L310" s="97" t="n"/>
      <c r="M310" s="97" t="n"/>
      <c r="O310" s="97" t="n"/>
    </row>
    <row r="311" ht="15" customHeight="1" s="93">
      <c r="A311" s="92">
        <f>Backlog!A312</f>
        <v/>
      </c>
      <c r="B311" s="92">
        <f>IFERROR(IF(ISBLANK(INDEX(Backlog[Requirement Name],MATCH($A312,Backlog[Requirement ID],0))),"",INDEX(Backlog[Requirement Name],MATCH($A312,Backlog[Requirement ID],0))),"")</f>
        <v/>
      </c>
      <c r="C311" s="92">
        <f>IFERROR(IF(ISBLANK(INDEX(Backlog[Stream],MATCH($A312,Backlog[Requirement ID],0))),"",INDEX(Backlog[Stream],MATCH($A312,Backlog[Requirement ID],0))),"")</f>
        <v/>
      </c>
      <c r="D311" s="92">
        <f>IFERROR(IF(ISBLANK(INDEX(Backlog[Stream Owner],MATCH($A312,Backlog[Requirement ID],0))),"",INDEX(Backlog[Stream Owner],MATCH($A312,Backlog[Requirement ID],0))),"")</f>
        <v/>
      </c>
      <c r="E311" s="92">
        <f>IFERROR(IF(ISBLANK(INDEX(Backlog[Jira Link],MATCH($A312,Backlog[Requirement ID],0))),"",INDEX(Backlog[Jira Link],MATCH($A312,Backlog[Requirement ID],0))),"")</f>
        <v/>
      </c>
      <c r="H311" s="92">
        <f>IFERROR(IF(ISBLANK(INDEX(SprintPlanning[Sprint],MATCH($A312,SprintPlanning[Requirement ID],0))),"",INDEX(SprintPlanning[Sprint],MATCH($A312,SprintPlanning[Requirement ID],0))),"")</f>
        <v/>
      </c>
      <c r="I311" s="92">
        <f>IFERROR(IF(ISBLANK(INDEX(Backlog[Status],MATCH($A312,Backlog[Requirement ID],0))),"",INDEX(Backlog[Status],MATCH($A312,Backlog[Requirement ID],0))),"")</f>
        <v/>
      </c>
      <c r="J311" s="92">
        <f>IFERROR(IF(ISBLANK(INDEX(Backlog[Priority],MATCH($A312,Backlog[Requirement ID],0))),"",INDEX(Backlog[Priority],MATCH($A312,Backlog[Requirement ID],0))),"")</f>
        <v/>
      </c>
      <c r="L311" s="97" t="n"/>
      <c r="M311" s="97" t="n"/>
      <c r="O311" s="97" t="n"/>
    </row>
    <row r="312" ht="15" customHeight="1" s="93">
      <c r="A312" s="92">
        <f>Backlog!A313</f>
        <v/>
      </c>
      <c r="B312" s="92">
        <f>IFERROR(IF(ISBLANK(INDEX(Backlog[Requirement Name],MATCH($A313,Backlog[Requirement ID],0))),"",INDEX(Backlog[Requirement Name],MATCH($A313,Backlog[Requirement ID],0))),"")</f>
        <v/>
      </c>
      <c r="C312" s="92">
        <f>IFERROR(IF(ISBLANK(INDEX(Backlog[Stream],MATCH($A313,Backlog[Requirement ID],0))),"",INDEX(Backlog[Stream],MATCH($A313,Backlog[Requirement ID],0))),"")</f>
        <v/>
      </c>
      <c r="D312" s="92">
        <f>IFERROR(IF(ISBLANK(INDEX(Backlog[Stream Owner],MATCH($A313,Backlog[Requirement ID],0))),"",INDEX(Backlog[Stream Owner],MATCH($A313,Backlog[Requirement ID],0))),"")</f>
        <v/>
      </c>
      <c r="E312" s="92">
        <f>IFERROR(IF(ISBLANK(INDEX(Backlog[Jira Link],MATCH($A313,Backlog[Requirement ID],0))),"",INDEX(Backlog[Jira Link],MATCH($A313,Backlog[Requirement ID],0))),"")</f>
        <v/>
      </c>
      <c r="H312" s="92">
        <f>IFERROR(IF(ISBLANK(INDEX(SprintPlanning[Sprint],MATCH($A313,SprintPlanning[Requirement ID],0))),"",INDEX(SprintPlanning[Sprint],MATCH($A313,SprintPlanning[Requirement ID],0))),"")</f>
        <v/>
      </c>
      <c r="I312" s="92">
        <f>IFERROR(IF(ISBLANK(INDEX(Backlog[Status],MATCH($A313,Backlog[Requirement ID],0))),"",INDEX(Backlog[Status],MATCH($A313,Backlog[Requirement ID],0))),"")</f>
        <v/>
      </c>
      <c r="J312" s="92">
        <f>IFERROR(IF(ISBLANK(INDEX(Backlog[Priority],MATCH($A313,Backlog[Requirement ID],0))),"",INDEX(Backlog[Priority],MATCH($A313,Backlog[Requirement ID],0))),"")</f>
        <v/>
      </c>
      <c r="L312" s="97" t="n"/>
      <c r="M312" s="97" t="n"/>
      <c r="O312" s="97" t="n"/>
    </row>
    <row r="313" ht="15" customHeight="1" s="93">
      <c r="A313" s="92">
        <f>Backlog!A314</f>
        <v/>
      </c>
      <c r="B313" s="92">
        <f>IFERROR(IF(ISBLANK(INDEX(Backlog[Requirement Name],MATCH($A314,Backlog[Requirement ID],0))),"",INDEX(Backlog[Requirement Name],MATCH($A314,Backlog[Requirement ID],0))),"")</f>
        <v/>
      </c>
      <c r="C313" s="92">
        <f>IFERROR(IF(ISBLANK(INDEX(Backlog[Stream],MATCH($A314,Backlog[Requirement ID],0))),"",INDEX(Backlog[Stream],MATCH($A314,Backlog[Requirement ID],0))),"")</f>
        <v/>
      </c>
      <c r="D313" s="92">
        <f>IFERROR(IF(ISBLANK(INDEX(Backlog[Stream Owner],MATCH($A314,Backlog[Requirement ID],0))),"",INDEX(Backlog[Stream Owner],MATCH($A314,Backlog[Requirement ID],0))),"")</f>
        <v/>
      </c>
      <c r="E313" s="92">
        <f>IFERROR(IF(ISBLANK(INDEX(Backlog[Jira Link],MATCH($A314,Backlog[Requirement ID],0))),"",INDEX(Backlog[Jira Link],MATCH($A314,Backlog[Requirement ID],0))),"")</f>
        <v/>
      </c>
      <c r="H313" s="92">
        <f>IFERROR(IF(ISBLANK(INDEX(SprintPlanning[Sprint],MATCH($A314,SprintPlanning[Requirement ID],0))),"",INDEX(SprintPlanning[Sprint],MATCH($A314,SprintPlanning[Requirement ID],0))),"")</f>
        <v/>
      </c>
      <c r="I313" s="92">
        <f>IFERROR(IF(ISBLANK(INDEX(Backlog[Status],MATCH($A314,Backlog[Requirement ID],0))),"",INDEX(Backlog[Status],MATCH($A314,Backlog[Requirement ID],0))),"")</f>
        <v/>
      </c>
      <c r="J313" s="92">
        <f>IFERROR(IF(ISBLANK(INDEX(Backlog[Priority],MATCH($A314,Backlog[Requirement ID],0))),"",INDEX(Backlog[Priority],MATCH($A314,Backlog[Requirement ID],0))),"")</f>
        <v/>
      </c>
      <c r="L313" s="97" t="n"/>
      <c r="M313" s="97" t="n"/>
      <c r="O313" s="97" t="n"/>
    </row>
    <row r="314" ht="15" customHeight="1" s="93">
      <c r="A314" s="92">
        <f>Backlog!A315</f>
        <v/>
      </c>
      <c r="B314" s="92">
        <f>IFERROR(IF(ISBLANK(INDEX(Backlog[Requirement Name],MATCH($A315,Backlog[Requirement ID],0))),"",INDEX(Backlog[Requirement Name],MATCH($A315,Backlog[Requirement ID],0))),"")</f>
        <v/>
      </c>
      <c r="C314" s="92">
        <f>IFERROR(IF(ISBLANK(INDEX(Backlog[Stream],MATCH($A315,Backlog[Requirement ID],0))),"",INDEX(Backlog[Stream],MATCH($A315,Backlog[Requirement ID],0))),"")</f>
        <v/>
      </c>
      <c r="D314" s="92">
        <f>IFERROR(IF(ISBLANK(INDEX(Backlog[Stream Owner],MATCH($A315,Backlog[Requirement ID],0))),"",INDEX(Backlog[Stream Owner],MATCH($A315,Backlog[Requirement ID],0))),"")</f>
        <v/>
      </c>
      <c r="E314" s="92">
        <f>IFERROR(IF(ISBLANK(INDEX(Backlog[Jira Link],MATCH($A315,Backlog[Requirement ID],0))),"",INDEX(Backlog[Jira Link],MATCH($A315,Backlog[Requirement ID],0))),"")</f>
        <v/>
      </c>
      <c r="H314" s="92">
        <f>IFERROR(IF(ISBLANK(INDEX(SprintPlanning[Sprint],MATCH($A315,SprintPlanning[Requirement ID],0))),"",INDEX(SprintPlanning[Sprint],MATCH($A315,SprintPlanning[Requirement ID],0))),"")</f>
        <v/>
      </c>
      <c r="I314" s="92">
        <f>IFERROR(IF(ISBLANK(INDEX(Backlog[Status],MATCH($A315,Backlog[Requirement ID],0))),"",INDEX(Backlog[Status],MATCH($A315,Backlog[Requirement ID],0))),"")</f>
        <v/>
      </c>
      <c r="J314" s="92">
        <f>IFERROR(IF(ISBLANK(INDEX(Backlog[Priority],MATCH($A315,Backlog[Requirement ID],0))),"",INDEX(Backlog[Priority],MATCH($A315,Backlog[Requirement ID],0))),"")</f>
        <v/>
      </c>
      <c r="L314" s="97" t="n"/>
      <c r="M314" s="97" t="n"/>
      <c r="O314" s="97" t="n"/>
    </row>
    <row r="315" ht="15" customHeight="1" s="93">
      <c r="A315" s="92">
        <f>Backlog!A316</f>
        <v/>
      </c>
      <c r="B315" s="92">
        <f>IFERROR(IF(ISBLANK(INDEX(Backlog[Requirement Name],MATCH($A316,Backlog[Requirement ID],0))),"",INDEX(Backlog[Requirement Name],MATCH($A316,Backlog[Requirement ID],0))),"")</f>
        <v/>
      </c>
      <c r="C315" s="92">
        <f>IFERROR(IF(ISBLANK(INDEX(Backlog[Stream],MATCH($A316,Backlog[Requirement ID],0))),"",INDEX(Backlog[Stream],MATCH($A316,Backlog[Requirement ID],0))),"")</f>
        <v/>
      </c>
      <c r="D315" s="92">
        <f>IFERROR(IF(ISBLANK(INDEX(Backlog[Stream Owner],MATCH($A316,Backlog[Requirement ID],0))),"",INDEX(Backlog[Stream Owner],MATCH($A316,Backlog[Requirement ID],0))),"")</f>
        <v/>
      </c>
      <c r="E315" s="92">
        <f>IFERROR(IF(ISBLANK(INDEX(Backlog[Jira Link],MATCH($A316,Backlog[Requirement ID],0))),"",INDEX(Backlog[Jira Link],MATCH($A316,Backlog[Requirement ID],0))),"")</f>
        <v/>
      </c>
      <c r="H315" s="92">
        <f>IFERROR(IF(ISBLANK(INDEX(SprintPlanning[Sprint],MATCH($A316,SprintPlanning[Requirement ID],0))),"",INDEX(SprintPlanning[Sprint],MATCH($A316,SprintPlanning[Requirement ID],0))),"")</f>
        <v/>
      </c>
      <c r="I315" s="92">
        <f>IFERROR(IF(ISBLANK(INDEX(Backlog[Status],MATCH($A316,Backlog[Requirement ID],0))),"",INDEX(Backlog[Status],MATCH($A316,Backlog[Requirement ID],0))),"")</f>
        <v/>
      </c>
      <c r="J315" s="92">
        <f>IFERROR(IF(ISBLANK(INDEX(Backlog[Priority],MATCH($A316,Backlog[Requirement ID],0))),"",INDEX(Backlog[Priority],MATCH($A316,Backlog[Requirement ID],0))),"")</f>
        <v/>
      </c>
      <c r="L315" s="97" t="n"/>
      <c r="M315" s="97" t="n"/>
      <c r="O315" s="97" t="n"/>
    </row>
    <row r="316" ht="15" customHeight="1" s="93">
      <c r="A316" s="92">
        <f>Backlog!A317</f>
        <v/>
      </c>
      <c r="B316" s="92">
        <f>IFERROR(IF(ISBLANK(INDEX(Backlog[Requirement Name],MATCH($A317,Backlog[Requirement ID],0))),"",INDEX(Backlog[Requirement Name],MATCH($A317,Backlog[Requirement ID],0))),"")</f>
        <v/>
      </c>
      <c r="C316" s="92">
        <f>IFERROR(IF(ISBLANK(INDEX(Backlog[Stream],MATCH($A317,Backlog[Requirement ID],0))),"",INDEX(Backlog[Stream],MATCH($A317,Backlog[Requirement ID],0))),"")</f>
        <v/>
      </c>
      <c r="D316" s="92">
        <f>IFERROR(IF(ISBLANK(INDEX(Backlog[Stream Owner],MATCH($A317,Backlog[Requirement ID],0))),"",INDEX(Backlog[Stream Owner],MATCH($A317,Backlog[Requirement ID],0))),"")</f>
        <v/>
      </c>
      <c r="E316" s="92">
        <f>IFERROR(IF(ISBLANK(INDEX(Backlog[Jira Link],MATCH($A317,Backlog[Requirement ID],0))),"",INDEX(Backlog[Jira Link],MATCH($A317,Backlog[Requirement ID],0))),"")</f>
        <v/>
      </c>
      <c r="H316" s="92">
        <f>IFERROR(IF(ISBLANK(INDEX(SprintPlanning[Sprint],MATCH($A317,SprintPlanning[Requirement ID],0))),"",INDEX(SprintPlanning[Sprint],MATCH($A317,SprintPlanning[Requirement ID],0))),"")</f>
        <v/>
      </c>
      <c r="I316" s="92">
        <f>IFERROR(IF(ISBLANK(INDEX(Backlog[Status],MATCH($A317,Backlog[Requirement ID],0))),"",INDEX(Backlog[Status],MATCH($A317,Backlog[Requirement ID],0))),"")</f>
        <v/>
      </c>
      <c r="J316" s="92">
        <f>IFERROR(IF(ISBLANK(INDEX(Backlog[Priority],MATCH($A317,Backlog[Requirement ID],0))),"",INDEX(Backlog[Priority],MATCH($A317,Backlog[Requirement ID],0))),"")</f>
        <v/>
      </c>
      <c r="L316" s="97" t="n"/>
      <c r="M316" s="97" t="n"/>
      <c r="O316" s="97" t="n"/>
    </row>
    <row r="317" ht="15" customHeight="1" s="93">
      <c r="A317" s="92">
        <f>Backlog!A318</f>
        <v/>
      </c>
      <c r="B317" s="92">
        <f>IFERROR(IF(ISBLANK(INDEX(Backlog[Requirement Name],MATCH($A318,Backlog[Requirement ID],0))),"",INDEX(Backlog[Requirement Name],MATCH($A318,Backlog[Requirement ID],0))),"")</f>
        <v/>
      </c>
      <c r="C317" s="92">
        <f>IFERROR(IF(ISBLANK(INDEX(Backlog[Stream],MATCH($A318,Backlog[Requirement ID],0))),"",INDEX(Backlog[Stream],MATCH($A318,Backlog[Requirement ID],0))),"")</f>
        <v/>
      </c>
      <c r="D317" s="92">
        <f>IFERROR(IF(ISBLANK(INDEX(Backlog[Stream Owner],MATCH($A318,Backlog[Requirement ID],0))),"",INDEX(Backlog[Stream Owner],MATCH($A318,Backlog[Requirement ID],0))),"")</f>
        <v/>
      </c>
      <c r="E317" s="92">
        <f>IFERROR(IF(ISBLANK(INDEX(Backlog[Jira Link],MATCH($A318,Backlog[Requirement ID],0))),"",INDEX(Backlog[Jira Link],MATCH($A318,Backlog[Requirement ID],0))),"")</f>
        <v/>
      </c>
      <c r="H317" s="92">
        <f>IFERROR(IF(ISBLANK(INDEX(SprintPlanning[Sprint],MATCH($A318,SprintPlanning[Requirement ID],0))),"",INDEX(SprintPlanning[Sprint],MATCH($A318,SprintPlanning[Requirement ID],0))),"")</f>
        <v/>
      </c>
      <c r="I317" s="92">
        <f>IFERROR(IF(ISBLANK(INDEX(Backlog[Status],MATCH($A318,Backlog[Requirement ID],0))),"",INDEX(Backlog[Status],MATCH($A318,Backlog[Requirement ID],0))),"")</f>
        <v/>
      </c>
      <c r="J317" s="92">
        <f>IFERROR(IF(ISBLANK(INDEX(Backlog[Priority],MATCH($A318,Backlog[Requirement ID],0))),"",INDEX(Backlog[Priority],MATCH($A318,Backlog[Requirement ID],0))),"")</f>
        <v/>
      </c>
      <c r="L317" s="97" t="n"/>
      <c r="M317" s="97" t="n"/>
      <c r="O317" s="97" t="n"/>
    </row>
    <row r="318" ht="15" customHeight="1" s="93">
      <c r="A318" s="92">
        <f>Backlog!A319</f>
        <v/>
      </c>
      <c r="B318" s="92">
        <f>IFERROR(IF(ISBLANK(INDEX(Backlog[Requirement Name],MATCH($A319,Backlog[Requirement ID],0))),"",INDEX(Backlog[Requirement Name],MATCH($A319,Backlog[Requirement ID],0))),"")</f>
        <v/>
      </c>
      <c r="C318" s="92">
        <f>IFERROR(IF(ISBLANK(INDEX(Backlog[Stream],MATCH($A319,Backlog[Requirement ID],0))),"",INDEX(Backlog[Stream],MATCH($A319,Backlog[Requirement ID],0))),"")</f>
        <v/>
      </c>
      <c r="D318" s="92">
        <f>IFERROR(IF(ISBLANK(INDEX(Backlog[Stream Owner],MATCH($A319,Backlog[Requirement ID],0))),"",INDEX(Backlog[Stream Owner],MATCH($A319,Backlog[Requirement ID],0))),"")</f>
        <v/>
      </c>
      <c r="E318" s="92">
        <f>IFERROR(IF(ISBLANK(INDEX(Backlog[Jira Link],MATCH($A319,Backlog[Requirement ID],0))),"",INDEX(Backlog[Jira Link],MATCH($A319,Backlog[Requirement ID],0))),"")</f>
        <v/>
      </c>
      <c r="H318" s="92">
        <f>IFERROR(IF(ISBLANK(INDEX(SprintPlanning[Sprint],MATCH($A319,SprintPlanning[Requirement ID],0))),"",INDEX(SprintPlanning[Sprint],MATCH($A319,SprintPlanning[Requirement ID],0))),"")</f>
        <v/>
      </c>
      <c r="I318" s="92">
        <f>IFERROR(IF(ISBLANK(INDEX(Backlog[Status],MATCH($A319,Backlog[Requirement ID],0))),"",INDEX(Backlog[Status],MATCH($A319,Backlog[Requirement ID],0))),"")</f>
        <v/>
      </c>
      <c r="J318" s="92">
        <f>IFERROR(IF(ISBLANK(INDEX(Backlog[Priority],MATCH($A319,Backlog[Requirement ID],0))),"",INDEX(Backlog[Priority],MATCH($A319,Backlog[Requirement ID],0))),"")</f>
        <v/>
      </c>
      <c r="L318" s="97" t="n"/>
      <c r="M318" s="97" t="n"/>
      <c r="O318" s="97" t="n"/>
    </row>
    <row r="319" ht="15" customHeight="1" s="93">
      <c r="A319" s="92">
        <f>Backlog!A320</f>
        <v/>
      </c>
      <c r="B319" s="92">
        <f>IFERROR(IF(ISBLANK(INDEX(Backlog[Requirement Name],MATCH($A320,Backlog[Requirement ID],0))),"",INDEX(Backlog[Requirement Name],MATCH($A320,Backlog[Requirement ID],0))),"")</f>
        <v/>
      </c>
      <c r="C319" s="92">
        <f>IFERROR(IF(ISBLANK(INDEX(Backlog[Stream],MATCH($A320,Backlog[Requirement ID],0))),"",INDEX(Backlog[Stream],MATCH($A320,Backlog[Requirement ID],0))),"")</f>
        <v/>
      </c>
      <c r="D319" s="92">
        <f>IFERROR(IF(ISBLANK(INDEX(Backlog[Stream Owner],MATCH($A320,Backlog[Requirement ID],0))),"",INDEX(Backlog[Stream Owner],MATCH($A320,Backlog[Requirement ID],0))),"")</f>
        <v/>
      </c>
      <c r="E319" s="92">
        <f>IFERROR(IF(ISBLANK(INDEX(Backlog[Jira Link],MATCH($A320,Backlog[Requirement ID],0))),"",INDEX(Backlog[Jira Link],MATCH($A320,Backlog[Requirement ID],0))),"")</f>
        <v/>
      </c>
      <c r="H319" s="92">
        <f>IFERROR(IF(ISBLANK(INDEX(SprintPlanning[Sprint],MATCH($A320,SprintPlanning[Requirement ID],0))),"",INDEX(SprintPlanning[Sprint],MATCH($A320,SprintPlanning[Requirement ID],0))),"")</f>
        <v/>
      </c>
      <c r="I319" s="92">
        <f>IFERROR(IF(ISBLANK(INDEX(Backlog[Status],MATCH($A320,Backlog[Requirement ID],0))),"",INDEX(Backlog[Status],MATCH($A320,Backlog[Requirement ID],0))),"")</f>
        <v/>
      </c>
      <c r="J319" s="92">
        <f>IFERROR(IF(ISBLANK(INDEX(Backlog[Priority],MATCH($A320,Backlog[Requirement ID],0))),"",INDEX(Backlog[Priority],MATCH($A320,Backlog[Requirement ID],0))),"")</f>
        <v/>
      </c>
      <c r="L319" s="97" t="n"/>
      <c r="M319" s="97" t="n"/>
      <c r="O319" s="97" t="n"/>
    </row>
    <row r="320" ht="15" customHeight="1" s="93">
      <c r="A320" s="92">
        <f>Backlog!A321</f>
        <v/>
      </c>
      <c r="B320" s="92">
        <f>IFERROR(IF(ISBLANK(INDEX(Backlog[Requirement Name],MATCH($A321,Backlog[Requirement ID],0))),"",INDEX(Backlog[Requirement Name],MATCH($A321,Backlog[Requirement ID],0))),"")</f>
        <v/>
      </c>
      <c r="C320" s="92">
        <f>IFERROR(IF(ISBLANK(INDEX(Backlog[Stream],MATCH($A321,Backlog[Requirement ID],0))),"",INDEX(Backlog[Stream],MATCH($A321,Backlog[Requirement ID],0))),"")</f>
        <v/>
      </c>
      <c r="D320" s="92">
        <f>IFERROR(IF(ISBLANK(INDEX(Backlog[Stream Owner],MATCH($A321,Backlog[Requirement ID],0))),"",INDEX(Backlog[Stream Owner],MATCH($A321,Backlog[Requirement ID],0))),"")</f>
        <v/>
      </c>
      <c r="E320" s="92">
        <f>IFERROR(IF(ISBLANK(INDEX(Backlog[Jira Link],MATCH($A321,Backlog[Requirement ID],0))),"",INDEX(Backlog[Jira Link],MATCH($A321,Backlog[Requirement ID],0))),"")</f>
        <v/>
      </c>
      <c r="H320" s="92">
        <f>IFERROR(IF(ISBLANK(INDEX(SprintPlanning[Sprint],MATCH($A321,SprintPlanning[Requirement ID],0))),"",INDEX(SprintPlanning[Sprint],MATCH($A321,SprintPlanning[Requirement ID],0))),"")</f>
        <v/>
      </c>
      <c r="I320" s="92">
        <f>IFERROR(IF(ISBLANK(INDEX(Backlog[Status],MATCH($A321,Backlog[Requirement ID],0))),"",INDEX(Backlog[Status],MATCH($A321,Backlog[Requirement ID],0))),"")</f>
        <v/>
      </c>
      <c r="J320" s="92">
        <f>IFERROR(IF(ISBLANK(INDEX(Backlog[Priority],MATCH($A321,Backlog[Requirement ID],0))),"",INDEX(Backlog[Priority],MATCH($A321,Backlog[Requirement ID],0))),"")</f>
        <v/>
      </c>
      <c r="L320" s="97" t="n"/>
      <c r="M320" s="97" t="n"/>
      <c r="O320" s="97" t="n"/>
    </row>
    <row r="321" ht="15" customHeight="1" s="93">
      <c r="A321" s="92">
        <f>Backlog!A322</f>
        <v/>
      </c>
      <c r="B321" s="92">
        <f>IFERROR(IF(ISBLANK(INDEX(Backlog[Requirement Name],MATCH($A322,Backlog[Requirement ID],0))),"",INDEX(Backlog[Requirement Name],MATCH($A322,Backlog[Requirement ID],0))),"")</f>
        <v/>
      </c>
      <c r="C321" s="92">
        <f>IFERROR(IF(ISBLANK(INDEX(Backlog[Stream],MATCH($A322,Backlog[Requirement ID],0))),"",INDEX(Backlog[Stream],MATCH($A322,Backlog[Requirement ID],0))),"")</f>
        <v/>
      </c>
      <c r="D321" s="92">
        <f>IFERROR(IF(ISBLANK(INDEX(Backlog[Stream Owner],MATCH($A322,Backlog[Requirement ID],0))),"",INDEX(Backlog[Stream Owner],MATCH($A322,Backlog[Requirement ID],0))),"")</f>
        <v/>
      </c>
      <c r="E321" s="92">
        <f>IFERROR(IF(ISBLANK(INDEX(Backlog[Jira Link],MATCH($A322,Backlog[Requirement ID],0))),"",INDEX(Backlog[Jira Link],MATCH($A322,Backlog[Requirement ID],0))),"")</f>
        <v/>
      </c>
      <c r="H321" s="92">
        <f>IFERROR(IF(ISBLANK(INDEX(SprintPlanning[Sprint],MATCH($A322,SprintPlanning[Requirement ID],0))),"",INDEX(SprintPlanning[Sprint],MATCH($A322,SprintPlanning[Requirement ID],0))),"")</f>
        <v/>
      </c>
      <c r="I321" s="92">
        <f>IFERROR(IF(ISBLANK(INDEX(Backlog[Status],MATCH($A322,Backlog[Requirement ID],0))),"",INDEX(Backlog[Status],MATCH($A322,Backlog[Requirement ID],0))),"")</f>
        <v/>
      </c>
      <c r="J321" s="92">
        <f>IFERROR(IF(ISBLANK(INDEX(Backlog[Priority],MATCH($A322,Backlog[Requirement ID],0))),"",INDEX(Backlog[Priority],MATCH($A322,Backlog[Requirement ID],0))),"")</f>
        <v/>
      </c>
      <c r="L321" s="97" t="n"/>
      <c r="M321" s="97" t="n"/>
      <c r="O321" s="97" t="n"/>
    </row>
    <row r="322" ht="15" customHeight="1" s="93">
      <c r="A322" s="92">
        <f>Backlog!A323</f>
        <v/>
      </c>
      <c r="B322" s="92">
        <f>IFERROR(IF(ISBLANK(INDEX(Backlog[Requirement Name],MATCH($A323,Backlog[Requirement ID],0))),"",INDEX(Backlog[Requirement Name],MATCH($A323,Backlog[Requirement ID],0))),"")</f>
        <v/>
      </c>
      <c r="C322" s="92">
        <f>IFERROR(IF(ISBLANK(INDEX(Backlog[Stream],MATCH($A323,Backlog[Requirement ID],0))),"",INDEX(Backlog[Stream],MATCH($A323,Backlog[Requirement ID],0))),"")</f>
        <v/>
      </c>
      <c r="D322" s="92">
        <f>IFERROR(IF(ISBLANK(INDEX(Backlog[Stream Owner],MATCH($A323,Backlog[Requirement ID],0))),"",INDEX(Backlog[Stream Owner],MATCH($A323,Backlog[Requirement ID],0))),"")</f>
        <v/>
      </c>
      <c r="E322" s="92">
        <f>IFERROR(IF(ISBLANK(INDEX(Backlog[Jira Link],MATCH($A323,Backlog[Requirement ID],0))),"",INDEX(Backlog[Jira Link],MATCH($A323,Backlog[Requirement ID],0))),"")</f>
        <v/>
      </c>
      <c r="H322" s="92">
        <f>IFERROR(IF(ISBLANK(INDEX(SprintPlanning[Sprint],MATCH($A323,SprintPlanning[Requirement ID],0))),"",INDEX(SprintPlanning[Sprint],MATCH($A323,SprintPlanning[Requirement ID],0))),"")</f>
        <v/>
      </c>
      <c r="I322" s="92">
        <f>IFERROR(IF(ISBLANK(INDEX(Backlog[Status],MATCH($A323,Backlog[Requirement ID],0))),"",INDEX(Backlog[Status],MATCH($A323,Backlog[Requirement ID],0))),"")</f>
        <v/>
      </c>
      <c r="J322" s="92">
        <f>IFERROR(IF(ISBLANK(INDEX(Backlog[Priority],MATCH($A323,Backlog[Requirement ID],0))),"",INDEX(Backlog[Priority],MATCH($A323,Backlog[Requirement ID],0))),"")</f>
        <v/>
      </c>
      <c r="L322" s="97" t="n"/>
      <c r="M322" s="97" t="n"/>
      <c r="O322" s="97" t="n"/>
    </row>
    <row r="323" ht="15" customHeight="1" s="93">
      <c r="A323" s="92">
        <f>Backlog!A324</f>
        <v/>
      </c>
      <c r="B323" s="92">
        <f>IFERROR(IF(ISBLANK(INDEX(Backlog[Requirement Name],MATCH($A324,Backlog[Requirement ID],0))),"",INDEX(Backlog[Requirement Name],MATCH($A324,Backlog[Requirement ID],0))),"")</f>
        <v/>
      </c>
      <c r="C323" s="92">
        <f>IFERROR(IF(ISBLANK(INDEX(Backlog[Stream],MATCH($A324,Backlog[Requirement ID],0))),"",INDEX(Backlog[Stream],MATCH($A324,Backlog[Requirement ID],0))),"")</f>
        <v/>
      </c>
      <c r="D323" s="92">
        <f>IFERROR(IF(ISBLANK(INDEX(Backlog[Stream Owner],MATCH($A324,Backlog[Requirement ID],0))),"",INDEX(Backlog[Stream Owner],MATCH($A324,Backlog[Requirement ID],0))),"")</f>
        <v/>
      </c>
      <c r="E323" s="92">
        <f>IFERROR(IF(ISBLANK(INDEX(Backlog[Jira Link],MATCH($A324,Backlog[Requirement ID],0))),"",INDEX(Backlog[Jira Link],MATCH($A324,Backlog[Requirement ID],0))),"")</f>
        <v/>
      </c>
      <c r="H323" s="92">
        <f>IFERROR(IF(ISBLANK(INDEX(SprintPlanning[Sprint],MATCH($A324,SprintPlanning[Requirement ID],0))),"",INDEX(SprintPlanning[Sprint],MATCH($A324,SprintPlanning[Requirement ID],0))),"")</f>
        <v/>
      </c>
      <c r="I323" s="92">
        <f>IFERROR(IF(ISBLANK(INDEX(Backlog[Status],MATCH($A324,Backlog[Requirement ID],0))),"",INDEX(Backlog[Status],MATCH($A324,Backlog[Requirement ID],0))),"")</f>
        <v/>
      </c>
      <c r="J323" s="92">
        <f>IFERROR(IF(ISBLANK(INDEX(Backlog[Priority],MATCH($A324,Backlog[Requirement ID],0))),"",INDEX(Backlog[Priority],MATCH($A324,Backlog[Requirement ID],0))),"")</f>
        <v/>
      </c>
      <c r="L323" s="97" t="n"/>
      <c r="M323" s="97" t="n"/>
      <c r="O323" s="97" t="n"/>
    </row>
    <row r="324" ht="15" customHeight="1" s="93">
      <c r="A324" s="92">
        <f>Backlog!A325</f>
        <v/>
      </c>
      <c r="B324" s="92">
        <f>IFERROR(IF(ISBLANK(INDEX(Backlog[Requirement Name],MATCH($A325,Backlog[Requirement ID],0))),"",INDEX(Backlog[Requirement Name],MATCH($A325,Backlog[Requirement ID],0))),"")</f>
        <v/>
      </c>
      <c r="C324" s="92">
        <f>IFERROR(IF(ISBLANK(INDEX(Backlog[Stream],MATCH($A325,Backlog[Requirement ID],0))),"",INDEX(Backlog[Stream],MATCH($A325,Backlog[Requirement ID],0))),"")</f>
        <v/>
      </c>
      <c r="D324" s="92">
        <f>IFERROR(IF(ISBLANK(INDEX(Backlog[Stream Owner],MATCH($A325,Backlog[Requirement ID],0))),"",INDEX(Backlog[Stream Owner],MATCH($A325,Backlog[Requirement ID],0))),"")</f>
        <v/>
      </c>
      <c r="E324" s="92">
        <f>IFERROR(IF(ISBLANK(INDEX(Backlog[Jira Link],MATCH($A325,Backlog[Requirement ID],0))),"",INDEX(Backlog[Jira Link],MATCH($A325,Backlog[Requirement ID],0))),"")</f>
        <v/>
      </c>
      <c r="H324" s="92">
        <f>IFERROR(IF(ISBLANK(INDEX(SprintPlanning[Sprint],MATCH($A325,SprintPlanning[Requirement ID],0))),"",INDEX(SprintPlanning[Sprint],MATCH($A325,SprintPlanning[Requirement ID],0))),"")</f>
        <v/>
      </c>
      <c r="I324" s="92">
        <f>IFERROR(IF(ISBLANK(INDEX(Backlog[Status],MATCH($A325,Backlog[Requirement ID],0))),"",INDEX(Backlog[Status],MATCH($A325,Backlog[Requirement ID],0))),"")</f>
        <v/>
      </c>
      <c r="J324" s="92">
        <f>IFERROR(IF(ISBLANK(INDEX(Backlog[Priority],MATCH($A325,Backlog[Requirement ID],0))),"",INDEX(Backlog[Priority],MATCH($A325,Backlog[Requirement ID],0))),"")</f>
        <v/>
      </c>
      <c r="L324" s="97" t="n"/>
      <c r="M324" s="97" t="n"/>
      <c r="O324" s="97" t="n"/>
    </row>
    <row r="325" ht="15" customHeight="1" s="93">
      <c r="L325" s="97" t="n"/>
      <c r="M325" s="97" t="n"/>
      <c r="O325" s="97" t="n"/>
    </row>
    <row r="326" ht="15" customHeight="1" s="93">
      <c r="L326" s="97" t="n"/>
      <c r="M326" s="97" t="n"/>
      <c r="O326" s="97" t="n"/>
    </row>
    <row r="327" ht="15" customHeight="1" s="93">
      <c r="L327" s="97" t="n"/>
      <c r="M327" s="97" t="n"/>
      <c r="O327" s="97" t="n"/>
    </row>
    <row r="328" ht="15" customHeight="1" s="93">
      <c r="L328" s="97" t="n"/>
      <c r="M328" s="97" t="n"/>
      <c r="O328" s="97" t="n"/>
    </row>
    <row r="329" ht="15" customHeight="1" s="93">
      <c r="L329" s="97" t="n"/>
      <c r="M329" s="97" t="n"/>
      <c r="O329" s="97" t="n"/>
    </row>
    <row r="330" ht="15" customHeight="1" s="93">
      <c r="L330" s="97" t="n"/>
      <c r="M330" s="97" t="n"/>
      <c r="O330" s="97" t="n"/>
    </row>
    <row r="331" ht="15" customHeight="1" s="93">
      <c r="L331" s="97" t="n"/>
      <c r="M331" s="97" t="n"/>
      <c r="O331" s="97" t="n"/>
    </row>
    <row r="332" ht="15" customHeight="1" s="93">
      <c r="L332" s="97" t="n"/>
      <c r="M332" s="97" t="n"/>
      <c r="O332" s="97" t="n"/>
    </row>
    <row r="333" ht="15" customHeight="1" s="93">
      <c r="L333" s="97" t="n"/>
      <c r="M333" s="97" t="n"/>
      <c r="O333" s="97" t="n"/>
    </row>
    <row r="334" ht="15" customHeight="1" s="93">
      <c r="L334" s="97" t="n"/>
      <c r="M334" s="97" t="n"/>
      <c r="O334" s="97" t="n"/>
    </row>
    <row r="335" ht="15" customHeight="1" s="93">
      <c r="L335" s="97" t="n"/>
      <c r="M335" s="97" t="n"/>
      <c r="O335" s="97" t="n"/>
    </row>
    <row r="336" ht="15" customHeight="1" s="93">
      <c r="L336" s="97" t="n"/>
      <c r="M336" s="97" t="n"/>
      <c r="O336" s="97" t="n"/>
    </row>
    <row r="337" ht="15" customHeight="1" s="93">
      <c r="L337" s="97" t="n"/>
      <c r="M337" s="97" t="n"/>
      <c r="O337" s="97" t="n"/>
    </row>
    <row r="338" ht="15" customHeight="1" s="93">
      <c r="L338" s="97" t="n"/>
      <c r="M338" s="97" t="n"/>
      <c r="O338" s="97" t="n"/>
    </row>
    <row r="339" ht="15" customHeight="1" s="93">
      <c r="L339" s="97" t="n"/>
      <c r="M339" s="97" t="n"/>
      <c r="O339" s="97" t="n"/>
    </row>
    <row r="340" ht="15" customHeight="1" s="93">
      <c r="L340" s="97" t="n"/>
      <c r="M340" s="97" t="n"/>
      <c r="O340" s="97" t="n"/>
    </row>
    <row r="341" ht="15" customHeight="1" s="93">
      <c r="L341" s="97" t="n"/>
      <c r="M341" s="97" t="n"/>
      <c r="O341" s="97" t="n"/>
    </row>
    <row r="342" ht="15" customHeight="1" s="93">
      <c r="L342" s="97" t="n"/>
      <c r="M342" s="97" t="n"/>
      <c r="O342" s="97" t="n"/>
    </row>
    <row r="343" ht="15" customHeight="1" s="93">
      <c r="L343" s="97" t="n"/>
      <c r="M343" s="97" t="n"/>
      <c r="O343" s="97" t="n"/>
    </row>
    <row r="344" ht="15" customHeight="1" s="93">
      <c r="L344" s="97" t="n"/>
      <c r="M344" s="97" t="n"/>
      <c r="O344" s="97" t="n"/>
    </row>
    <row r="345" ht="15" customHeight="1" s="93">
      <c r="L345" s="97" t="n"/>
      <c r="M345" s="97" t="n"/>
      <c r="O345" s="97" t="n"/>
    </row>
    <row r="346" ht="15" customHeight="1" s="93">
      <c r="L346" s="97" t="n"/>
      <c r="M346" s="97" t="n"/>
      <c r="O346" s="97" t="n"/>
    </row>
    <row r="347" ht="15" customHeight="1" s="93">
      <c r="L347" s="97" t="n"/>
      <c r="M347" s="97" t="n"/>
      <c r="O347" s="97" t="n"/>
    </row>
    <row r="348" ht="15" customHeight="1" s="93">
      <c r="L348" s="97" t="n"/>
      <c r="M348" s="97" t="n"/>
      <c r="O348" s="97" t="n"/>
    </row>
    <row r="349" ht="15" customHeight="1" s="93">
      <c r="L349" s="97" t="n"/>
      <c r="M349" s="97" t="n"/>
      <c r="O349" s="97" t="n"/>
    </row>
    <row r="350" ht="15" customHeight="1" s="93">
      <c r="L350" s="97" t="n"/>
      <c r="M350" s="97" t="n"/>
      <c r="O350" s="97" t="n"/>
    </row>
    <row r="351" ht="15" customHeight="1" s="93">
      <c r="L351" s="97" t="n"/>
      <c r="M351" s="97" t="n"/>
      <c r="O351" s="97" t="n"/>
    </row>
    <row r="352" ht="15" customHeight="1" s="93">
      <c r="L352" s="97" t="n"/>
      <c r="M352" s="97" t="n"/>
      <c r="O352" s="97" t="n"/>
    </row>
    <row r="353" ht="15" customHeight="1" s="93">
      <c r="L353" s="97" t="n"/>
      <c r="M353" s="97" t="n"/>
      <c r="O353" s="97" t="n"/>
    </row>
    <row r="354" ht="15" customHeight="1" s="93">
      <c r="L354" s="97" t="n"/>
      <c r="M354" s="97" t="n"/>
      <c r="O354" s="97" t="n"/>
    </row>
    <row r="355" ht="15" customHeight="1" s="93">
      <c r="L355" s="97" t="n"/>
      <c r="M355" s="97" t="n"/>
      <c r="O355" s="97" t="n"/>
    </row>
    <row r="356" ht="15" customHeight="1" s="93">
      <c r="L356" s="97" t="n"/>
      <c r="M356" s="97" t="n"/>
      <c r="O356" s="97" t="n"/>
    </row>
    <row r="357" ht="15" customHeight="1" s="93">
      <c r="L357" s="97" t="n"/>
      <c r="M357" s="97" t="n"/>
      <c r="O357" s="97" t="n"/>
    </row>
    <row r="358" ht="15" customHeight="1" s="93">
      <c r="L358" s="97" t="n"/>
      <c r="M358" s="97" t="n"/>
      <c r="O358" s="97" t="n"/>
    </row>
    <row r="359" ht="15" customHeight="1" s="93">
      <c r="L359" s="97" t="n"/>
      <c r="M359" s="97" t="n"/>
      <c r="O359" s="97" t="n"/>
    </row>
    <row r="360" ht="15" customHeight="1" s="93">
      <c r="L360" s="97" t="n"/>
      <c r="M360" s="97" t="n"/>
      <c r="O360" s="97" t="n"/>
    </row>
    <row r="361" ht="15" customHeight="1" s="93">
      <c r="L361" s="97" t="n"/>
      <c r="M361" s="97" t="n"/>
      <c r="O361" s="97" t="n"/>
    </row>
    <row r="362" ht="15" customHeight="1" s="93">
      <c r="L362" s="97" t="n"/>
      <c r="M362" s="97" t="n"/>
      <c r="O362" s="97" t="n"/>
    </row>
    <row r="363" ht="15" customHeight="1" s="93">
      <c r="L363" s="97" t="n"/>
      <c r="M363" s="97" t="n"/>
      <c r="O363" s="97" t="n"/>
    </row>
    <row r="364" ht="15" customHeight="1" s="93">
      <c r="L364" s="97" t="n"/>
      <c r="M364" s="97" t="n"/>
      <c r="O364" s="97" t="n"/>
    </row>
    <row r="365" ht="15" customHeight="1" s="93">
      <c r="L365" s="97" t="n"/>
      <c r="M365" s="97" t="n"/>
      <c r="O365" s="97" t="n"/>
    </row>
    <row r="366" ht="15" customHeight="1" s="93">
      <c r="L366" s="97" t="n"/>
      <c r="M366" s="97" t="n"/>
      <c r="O366" s="97" t="n"/>
    </row>
    <row r="367" ht="15" customHeight="1" s="93">
      <c r="L367" s="97" t="n"/>
      <c r="M367" s="97" t="n"/>
      <c r="O367" s="97" t="n"/>
    </row>
    <row r="368" ht="15" customHeight="1" s="93">
      <c r="L368" s="97" t="n"/>
      <c r="M368" s="97" t="n"/>
      <c r="O368" s="97" t="n"/>
    </row>
    <row r="369" ht="15" customHeight="1" s="93">
      <c r="L369" s="97" t="n"/>
      <c r="M369" s="97" t="n"/>
      <c r="O369" s="97" t="n"/>
    </row>
    <row r="370" ht="15" customHeight="1" s="93">
      <c r="L370" s="97" t="n"/>
      <c r="M370" s="97" t="n"/>
      <c r="O370" s="97" t="n"/>
    </row>
    <row r="371" ht="15" customHeight="1" s="93">
      <c r="L371" s="97" t="n"/>
      <c r="M371" s="97" t="n"/>
      <c r="O371" s="97" t="n"/>
    </row>
    <row r="372" ht="15" customHeight="1" s="93">
      <c r="L372" s="97" t="n"/>
      <c r="M372" s="97" t="n"/>
      <c r="O372" s="97" t="n"/>
    </row>
    <row r="373" ht="15" customHeight="1" s="93">
      <c r="L373" s="97" t="n"/>
      <c r="M373" s="97" t="n"/>
      <c r="O373" s="97" t="n"/>
    </row>
    <row r="374" ht="15" customHeight="1" s="93">
      <c r="L374" s="97" t="n"/>
      <c r="M374" s="97" t="n"/>
      <c r="O374" s="97" t="n"/>
    </row>
    <row r="375" ht="15" customHeight="1" s="93">
      <c r="L375" s="97" t="n"/>
      <c r="M375" s="97" t="n"/>
      <c r="O375" s="97" t="n"/>
    </row>
    <row r="376" ht="15" customHeight="1" s="93">
      <c r="L376" s="97" t="n"/>
      <c r="M376" s="97" t="n"/>
      <c r="O376" s="97" t="n"/>
    </row>
    <row r="377" ht="15" customHeight="1" s="93">
      <c r="L377" s="97" t="n"/>
      <c r="M377" s="97" t="n"/>
      <c r="O377" s="97" t="n"/>
    </row>
    <row r="378" ht="15" customHeight="1" s="93">
      <c r="L378" s="97" t="n"/>
      <c r="M378" s="97" t="n"/>
      <c r="O378" s="97" t="n"/>
    </row>
    <row r="379" ht="15" customHeight="1" s="93">
      <c r="L379" s="97" t="n"/>
      <c r="M379" s="97" t="n"/>
      <c r="O379" s="97" t="n"/>
    </row>
    <row r="380" ht="15" customHeight="1" s="93">
      <c r="L380" s="97" t="n"/>
      <c r="M380" s="97" t="n"/>
      <c r="O380" s="97" t="n"/>
    </row>
    <row r="381" ht="15" customHeight="1" s="93">
      <c r="L381" s="97" t="n"/>
      <c r="M381" s="97" t="n"/>
      <c r="O381" s="97" t="n"/>
    </row>
    <row r="382" ht="15" customHeight="1" s="93">
      <c r="L382" s="97" t="n"/>
      <c r="M382" s="97" t="n"/>
      <c r="O382" s="97" t="n"/>
    </row>
    <row r="383" ht="15" customHeight="1" s="93">
      <c r="L383" s="97" t="n"/>
      <c r="M383" s="97" t="n"/>
      <c r="O383" s="97" t="n"/>
    </row>
    <row r="384" ht="15" customHeight="1" s="93">
      <c r="L384" s="97" t="n"/>
      <c r="M384" s="97" t="n"/>
      <c r="O384" s="97" t="n"/>
    </row>
    <row r="385" ht="15" customHeight="1" s="93">
      <c r="L385" s="97" t="n"/>
      <c r="M385" s="97" t="n"/>
      <c r="O385" s="97" t="n"/>
    </row>
    <row r="386" ht="15" customHeight="1" s="93">
      <c r="L386" s="97" t="n"/>
      <c r="M386" s="97" t="n"/>
      <c r="O386" s="97" t="n"/>
    </row>
    <row r="387" ht="15" customHeight="1" s="93">
      <c r="L387" s="97" t="n"/>
      <c r="M387" s="97" t="n"/>
      <c r="O387" s="97" t="n"/>
    </row>
    <row r="388" ht="15" customHeight="1" s="93">
      <c r="L388" s="97" t="n"/>
      <c r="M388" s="97" t="n"/>
      <c r="O388" s="97" t="n"/>
    </row>
    <row r="389" ht="15" customHeight="1" s="93">
      <c r="L389" s="97" t="n"/>
      <c r="M389" s="97" t="n"/>
      <c r="O389" s="97" t="n"/>
    </row>
    <row r="390" ht="15" customHeight="1" s="93">
      <c r="L390" s="97" t="n"/>
      <c r="M390" s="97" t="n"/>
      <c r="O390" s="97" t="n"/>
    </row>
    <row r="391" ht="15" customHeight="1" s="93">
      <c r="L391" s="97" t="n"/>
      <c r="M391" s="97" t="n"/>
      <c r="O391" s="97" t="n"/>
    </row>
    <row r="392" ht="15" customHeight="1" s="93">
      <c r="L392" s="97" t="n"/>
      <c r="M392" s="97" t="n"/>
      <c r="O392" s="97" t="n"/>
    </row>
    <row r="393" ht="15" customHeight="1" s="93">
      <c r="L393" s="97" t="n"/>
      <c r="M393" s="97" t="n"/>
      <c r="O393" s="97" t="n"/>
    </row>
    <row r="394" ht="15" customHeight="1" s="93">
      <c r="L394" s="97" t="n"/>
      <c r="M394" s="97" t="n"/>
      <c r="O394" s="97" t="n"/>
    </row>
    <row r="395" ht="15" customHeight="1" s="93">
      <c r="L395" s="97" t="n"/>
      <c r="M395" s="97" t="n"/>
      <c r="O395" s="97" t="n"/>
    </row>
    <row r="396" ht="15" customHeight="1" s="93">
      <c r="L396" s="97" t="n"/>
      <c r="M396" s="97" t="n"/>
      <c r="O396" s="97" t="n"/>
    </row>
    <row r="397" ht="15" customHeight="1" s="93">
      <c r="L397" s="97" t="n"/>
      <c r="M397" s="97" t="n"/>
      <c r="O397" s="97" t="n"/>
    </row>
    <row r="398" ht="15" customHeight="1" s="93">
      <c r="L398" s="97" t="n"/>
      <c r="M398" s="97" t="n"/>
      <c r="O398" s="97" t="n"/>
    </row>
    <row r="399" ht="15" customHeight="1" s="93">
      <c r="L399" s="97" t="n"/>
      <c r="M399" s="97" t="n"/>
      <c r="O399" s="97" t="n"/>
    </row>
    <row r="400" ht="15" customHeight="1" s="93">
      <c r="L400" s="97" t="n"/>
      <c r="M400" s="97" t="n"/>
      <c r="O400" s="97" t="n"/>
    </row>
    <row r="401" ht="15" customHeight="1" s="93">
      <c r="L401" s="97" t="n"/>
      <c r="M401" s="97" t="n"/>
      <c r="O401" s="97" t="n"/>
    </row>
    <row r="402" ht="15" customHeight="1" s="93">
      <c r="L402" s="97" t="n"/>
      <c r="M402" s="97" t="n"/>
      <c r="O402" s="97" t="n"/>
    </row>
    <row r="403" ht="15" customHeight="1" s="93">
      <c r="L403" s="97" t="n"/>
      <c r="M403" s="97" t="n"/>
      <c r="O403" s="97" t="n"/>
    </row>
    <row r="404" ht="15" customHeight="1" s="93">
      <c r="L404" s="97" t="n"/>
      <c r="M404" s="97" t="n"/>
      <c r="O404" s="97" t="n"/>
    </row>
    <row r="405" ht="15" customHeight="1" s="93">
      <c r="L405" s="97" t="n"/>
      <c r="M405" s="97" t="n"/>
      <c r="O405" s="97" t="n"/>
    </row>
    <row r="406" ht="15" customHeight="1" s="93">
      <c r="L406" s="97" t="n"/>
      <c r="M406" s="97" t="n"/>
      <c r="O406" s="97" t="n"/>
    </row>
    <row r="407" ht="15" customHeight="1" s="93">
      <c r="L407" s="97" t="n"/>
      <c r="M407" s="97" t="n"/>
      <c r="O407" s="97" t="n"/>
    </row>
    <row r="408" ht="15" customHeight="1" s="93">
      <c r="L408" s="97" t="n"/>
      <c r="M408" s="97" t="n"/>
      <c r="O408" s="97" t="n"/>
    </row>
    <row r="409" ht="15" customHeight="1" s="93">
      <c r="L409" s="97" t="n"/>
      <c r="M409" s="97" t="n"/>
      <c r="O409" s="97" t="n"/>
    </row>
    <row r="410" ht="15" customHeight="1" s="93">
      <c r="L410" s="97" t="n"/>
      <c r="M410" s="97" t="n"/>
      <c r="O410" s="97" t="n"/>
    </row>
    <row r="411" ht="15" customHeight="1" s="93">
      <c r="L411" s="97" t="n"/>
      <c r="M411" s="97" t="n"/>
      <c r="O411" s="97" t="n"/>
    </row>
    <row r="412" ht="15" customHeight="1" s="93">
      <c r="L412" s="97" t="n"/>
      <c r="M412" s="97" t="n"/>
      <c r="O412" s="97" t="n"/>
    </row>
    <row r="413" ht="15" customHeight="1" s="93">
      <c r="L413" s="97" t="n"/>
      <c r="M413" s="97" t="n"/>
      <c r="O413" s="97" t="n"/>
    </row>
    <row r="414" ht="15" customHeight="1" s="93">
      <c r="L414" s="97" t="n"/>
      <c r="M414" s="97" t="n"/>
      <c r="O414" s="97" t="n"/>
    </row>
    <row r="415" ht="15" customHeight="1" s="93">
      <c r="L415" s="97" t="n"/>
      <c r="M415" s="97" t="n"/>
      <c r="O415" s="97" t="n"/>
    </row>
    <row r="416" ht="15" customHeight="1" s="93">
      <c r="L416" s="97" t="n"/>
      <c r="M416" s="97" t="n"/>
      <c r="O416" s="97" t="n"/>
    </row>
    <row r="417" ht="15" customHeight="1" s="93">
      <c r="L417" s="97" t="n"/>
      <c r="M417" s="97" t="n"/>
      <c r="O417" s="97" t="n"/>
    </row>
    <row r="418" ht="15" customHeight="1" s="93">
      <c r="L418" s="97" t="n"/>
      <c r="M418" s="97" t="n"/>
      <c r="O418" s="97" t="n"/>
    </row>
    <row r="419" ht="15" customHeight="1" s="93">
      <c r="L419" s="97" t="n"/>
      <c r="M419" s="97" t="n"/>
      <c r="O419" s="97" t="n"/>
    </row>
    <row r="420" ht="15" customHeight="1" s="93">
      <c r="L420" s="97" t="n"/>
      <c r="M420" s="97" t="n"/>
      <c r="O420" s="97" t="n"/>
    </row>
    <row r="421" ht="15" customHeight="1" s="93">
      <c r="L421" s="97" t="n"/>
      <c r="M421" s="97" t="n"/>
      <c r="O421" s="97" t="n"/>
    </row>
    <row r="422" ht="15" customHeight="1" s="93">
      <c r="L422" s="97" t="n"/>
      <c r="M422" s="97" t="n"/>
      <c r="O422" s="97" t="n"/>
    </row>
    <row r="423" ht="15" customHeight="1" s="93">
      <c r="L423" s="97" t="n"/>
      <c r="M423" s="97" t="n"/>
      <c r="O423" s="97" t="n"/>
    </row>
    <row r="424" ht="15" customHeight="1" s="93">
      <c r="L424" s="97" t="n"/>
      <c r="M424" s="97" t="n"/>
      <c r="O424" s="97" t="n"/>
    </row>
    <row r="425" ht="15" customHeight="1" s="93">
      <c r="L425" s="97" t="n"/>
      <c r="M425" s="97" t="n"/>
      <c r="O425" s="97" t="n"/>
    </row>
    <row r="426" ht="15" customHeight="1" s="93">
      <c r="L426" s="97" t="n"/>
      <c r="M426" s="97" t="n"/>
      <c r="O426" s="97" t="n"/>
    </row>
    <row r="427" ht="15" customHeight="1" s="93">
      <c r="L427" s="97" t="n"/>
      <c r="M427" s="97" t="n"/>
      <c r="O427" s="97" t="n"/>
    </row>
    <row r="428" ht="15" customHeight="1" s="93">
      <c r="L428" s="97" t="n"/>
      <c r="M428" s="97" t="n"/>
      <c r="O428" s="97" t="n"/>
    </row>
    <row r="429" ht="15" customHeight="1" s="93">
      <c r="L429" s="97" t="n"/>
      <c r="M429" s="97" t="n"/>
      <c r="O429" s="97" t="n"/>
    </row>
    <row r="430" ht="15" customHeight="1" s="93">
      <c r="L430" s="97" t="n"/>
      <c r="M430" s="97" t="n"/>
      <c r="O430" s="97" t="n"/>
    </row>
    <row r="431" ht="15" customHeight="1" s="93">
      <c r="L431" s="97" t="n"/>
      <c r="M431" s="97" t="n"/>
      <c r="O431" s="97" t="n"/>
    </row>
    <row r="432" ht="15" customHeight="1" s="93">
      <c r="L432" s="97" t="n"/>
      <c r="M432" s="97" t="n"/>
      <c r="O432" s="97" t="n"/>
    </row>
    <row r="433" ht="15" customHeight="1" s="93">
      <c r="L433" s="97" t="n"/>
      <c r="M433" s="97" t="n"/>
      <c r="O433" s="97" t="n"/>
    </row>
    <row r="434" ht="15" customHeight="1" s="93">
      <c r="L434" s="97" t="n"/>
      <c r="M434" s="97" t="n"/>
      <c r="O434" s="97" t="n"/>
    </row>
    <row r="435" ht="15" customHeight="1" s="93">
      <c r="L435" s="97" t="n"/>
      <c r="M435" s="97" t="n"/>
      <c r="O435" s="97" t="n"/>
    </row>
    <row r="436" ht="15" customHeight="1" s="93">
      <c r="L436" s="97" t="n"/>
      <c r="M436" s="97" t="n"/>
      <c r="O436" s="97" t="n"/>
    </row>
    <row r="437" ht="15" customHeight="1" s="93">
      <c r="L437" s="97" t="n"/>
      <c r="M437" s="97" t="n"/>
      <c r="O437" s="97" t="n"/>
    </row>
    <row r="438" ht="15" customHeight="1" s="93">
      <c r="L438" s="97" t="n"/>
      <c r="M438" s="97" t="n"/>
      <c r="O438" s="97" t="n"/>
    </row>
    <row r="439" ht="15" customHeight="1" s="93">
      <c r="L439" s="97" t="n"/>
      <c r="M439" s="97" t="n"/>
      <c r="O439" s="97" t="n"/>
    </row>
    <row r="440" ht="15" customHeight="1" s="93">
      <c r="L440" s="97" t="n"/>
      <c r="M440" s="97" t="n"/>
      <c r="O440" s="97" t="n"/>
    </row>
    <row r="441" ht="15" customHeight="1" s="93">
      <c r="L441" s="97" t="n"/>
      <c r="M441" s="97" t="n"/>
      <c r="O441" s="97" t="n"/>
    </row>
    <row r="442" ht="15" customHeight="1" s="93">
      <c r="L442" s="97" t="n"/>
      <c r="M442" s="97" t="n"/>
      <c r="O442" s="97" t="n"/>
    </row>
    <row r="443" ht="15" customHeight="1" s="93">
      <c r="L443" s="97" t="n"/>
      <c r="M443" s="97" t="n"/>
      <c r="O443" s="97" t="n"/>
    </row>
    <row r="444" ht="15" customHeight="1" s="93">
      <c r="L444" s="97" t="n"/>
      <c r="M444" s="97" t="n"/>
      <c r="O444" s="97" t="n"/>
    </row>
    <row r="445" ht="15" customHeight="1" s="93">
      <c r="L445" s="97" t="n"/>
      <c r="M445" s="97" t="n"/>
      <c r="O445" s="97" t="n"/>
    </row>
    <row r="446" ht="15" customHeight="1" s="93">
      <c r="L446" s="97" t="n"/>
      <c r="M446" s="97" t="n"/>
      <c r="O446" s="97" t="n"/>
    </row>
    <row r="447" ht="15" customHeight="1" s="93">
      <c r="L447" s="97" t="n"/>
      <c r="M447" s="97" t="n"/>
      <c r="O447" s="97" t="n"/>
    </row>
    <row r="448" ht="15" customHeight="1" s="93">
      <c r="L448" s="97" t="n"/>
      <c r="M448" s="97" t="n"/>
      <c r="O448" s="97" t="n"/>
    </row>
    <row r="449" ht="15" customHeight="1" s="93">
      <c r="L449" s="97" t="n"/>
      <c r="M449" s="97" t="n"/>
      <c r="O449" s="97" t="n"/>
    </row>
    <row r="450" ht="15" customHeight="1" s="93">
      <c r="L450" s="97" t="n"/>
      <c r="M450" s="97" t="n"/>
      <c r="O450" s="97" t="n"/>
    </row>
    <row r="451" ht="15" customHeight="1" s="93">
      <c r="L451" s="97" t="n"/>
      <c r="M451" s="97" t="n"/>
      <c r="O451" s="97" t="n"/>
    </row>
    <row r="452" ht="15" customHeight="1" s="93">
      <c r="L452" s="97" t="n"/>
      <c r="M452" s="97" t="n"/>
      <c r="O452" s="97" t="n"/>
    </row>
    <row r="453" ht="15" customHeight="1" s="93">
      <c r="L453" s="97" t="n"/>
      <c r="M453" s="97" t="n"/>
      <c r="O453" s="97" t="n"/>
    </row>
    <row r="454" ht="15" customHeight="1" s="93">
      <c r="L454" s="97" t="n"/>
      <c r="M454" s="97" t="n"/>
      <c r="O454" s="97" t="n"/>
    </row>
    <row r="455" ht="15" customHeight="1" s="93">
      <c r="L455" s="97" t="n"/>
      <c r="M455" s="97" t="n"/>
      <c r="O455" s="97" t="n"/>
    </row>
    <row r="456" ht="15" customHeight="1" s="93">
      <c r="L456" s="97" t="n"/>
      <c r="M456" s="97" t="n"/>
      <c r="O456" s="97" t="n"/>
    </row>
    <row r="457" ht="15" customHeight="1" s="93">
      <c r="L457" s="97" t="n"/>
      <c r="M457" s="97" t="n"/>
      <c r="O457" s="97" t="n"/>
    </row>
    <row r="458" ht="15" customHeight="1" s="93">
      <c r="L458" s="97" t="n"/>
      <c r="M458" s="97" t="n"/>
      <c r="O458" s="97" t="n"/>
    </row>
    <row r="459" ht="15" customHeight="1" s="93">
      <c r="L459" s="97" t="n"/>
      <c r="M459" s="97" t="n"/>
      <c r="O459" s="97" t="n"/>
    </row>
    <row r="460" ht="15" customHeight="1" s="93">
      <c r="L460" s="97" t="n"/>
      <c r="M460" s="97" t="n"/>
      <c r="O460" s="97" t="n"/>
    </row>
    <row r="461" ht="15" customHeight="1" s="93">
      <c r="L461" s="97" t="n"/>
      <c r="M461" s="97" t="n"/>
      <c r="O461" s="97" t="n"/>
    </row>
    <row r="462" ht="15" customHeight="1" s="93">
      <c r="L462" s="97" t="n"/>
      <c r="M462" s="97" t="n"/>
      <c r="O462" s="97" t="n"/>
    </row>
    <row r="463" ht="15" customHeight="1" s="93">
      <c r="L463" s="97" t="n"/>
      <c r="M463" s="97" t="n"/>
      <c r="O463" s="97" t="n"/>
    </row>
    <row r="464" ht="15" customHeight="1" s="93">
      <c r="L464" s="97" t="n"/>
      <c r="M464" s="97" t="n"/>
      <c r="O464" s="97" t="n"/>
    </row>
    <row r="465" ht="15" customHeight="1" s="93">
      <c r="L465" s="97" t="n"/>
      <c r="M465" s="97" t="n"/>
      <c r="O465" s="97" t="n"/>
    </row>
    <row r="466" ht="15" customHeight="1" s="93">
      <c r="L466" s="97" t="n"/>
      <c r="M466" s="97" t="n"/>
      <c r="O466" s="97" t="n"/>
    </row>
    <row r="467" ht="15" customHeight="1" s="93">
      <c r="L467" s="97" t="n"/>
      <c r="M467" s="97" t="n"/>
      <c r="O467" s="97" t="n"/>
    </row>
    <row r="468" ht="15" customHeight="1" s="93">
      <c r="L468" s="97" t="n"/>
      <c r="M468" s="97" t="n"/>
      <c r="O468" s="97" t="n"/>
    </row>
    <row r="469" ht="15" customHeight="1" s="93">
      <c r="L469" s="97" t="n"/>
      <c r="M469" s="97" t="n"/>
      <c r="O469" s="97" t="n"/>
    </row>
    <row r="470" ht="15" customHeight="1" s="93">
      <c r="L470" s="97" t="n"/>
      <c r="M470" s="97" t="n"/>
      <c r="O470" s="97" t="n"/>
    </row>
    <row r="471" ht="15" customHeight="1" s="93">
      <c r="L471" s="97" t="n"/>
      <c r="M471" s="97" t="n"/>
      <c r="O471" s="97" t="n"/>
    </row>
    <row r="472" ht="15" customHeight="1" s="93">
      <c r="L472" s="97" t="n"/>
      <c r="M472" s="97" t="n"/>
      <c r="O472" s="97" t="n"/>
    </row>
    <row r="473" ht="15" customHeight="1" s="93">
      <c r="L473" s="97" t="n"/>
      <c r="M473" s="97" t="n"/>
      <c r="O473" s="97" t="n"/>
    </row>
    <row r="474" ht="15" customHeight="1" s="93">
      <c r="L474" s="97" t="n"/>
      <c r="M474" s="97" t="n"/>
      <c r="O474" s="97" t="n"/>
    </row>
    <row r="475" ht="15" customHeight="1" s="93">
      <c r="L475" s="97" t="n"/>
      <c r="M475" s="97" t="n"/>
      <c r="O475" s="97" t="n"/>
    </row>
    <row r="476" ht="15" customHeight="1" s="93">
      <c r="L476" s="97" t="n"/>
      <c r="M476" s="97" t="n"/>
      <c r="O476" s="97" t="n"/>
    </row>
    <row r="477" ht="15" customHeight="1" s="93">
      <c r="L477" s="97" t="n"/>
      <c r="M477" s="97" t="n"/>
      <c r="O477" s="97" t="n"/>
    </row>
    <row r="478" ht="15" customHeight="1" s="93">
      <c r="L478" s="97" t="n"/>
      <c r="M478" s="97" t="n"/>
      <c r="O478" s="97" t="n"/>
    </row>
    <row r="479" ht="15" customHeight="1" s="93">
      <c r="L479" s="97" t="n"/>
      <c r="M479" s="97" t="n"/>
      <c r="O479" s="97" t="n"/>
    </row>
    <row r="480" ht="15" customHeight="1" s="93">
      <c r="L480" s="97" t="n"/>
      <c r="M480" s="97" t="n"/>
      <c r="O480" s="97" t="n"/>
    </row>
    <row r="481" ht="15" customHeight="1" s="93">
      <c r="L481" s="97" t="n"/>
      <c r="M481" s="97" t="n"/>
      <c r="O481" s="97" t="n"/>
    </row>
    <row r="482" ht="15" customHeight="1" s="93">
      <c r="L482" s="97" t="n"/>
      <c r="M482" s="97" t="n"/>
      <c r="O482" s="97" t="n"/>
    </row>
    <row r="483" ht="15" customHeight="1" s="93">
      <c r="L483" s="97" t="n"/>
      <c r="M483" s="97" t="n"/>
      <c r="O483" s="97" t="n"/>
    </row>
    <row r="484" ht="15" customHeight="1" s="93">
      <c r="L484" s="97" t="n"/>
      <c r="M484" s="97" t="n"/>
      <c r="O484" s="97" t="n"/>
    </row>
    <row r="485" ht="15" customHeight="1" s="93">
      <c r="L485" s="97" t="n"/>
      <c r="M485" s="97" t="n"/>
      <c r="O485" s="97" t="n"/>
    </row>
    <row r="486" ht="15" customHeight="1" s="93">
      <c r="L486" s="97" t="n"/>
      <c r="M486" s="97" t="n"/>
      <c r="O486" s="97" t="n"/>
    </row>
    <row r="487" ht="15" customHeight="1" s="93">
      <c r="L487" s="97" t="n"/>
      <c r="M487" s="97" t="n"/>
      <c r="O487" s="97" t="n"/>
    </row>
    <row r="488" ht="15" customHeight="1" s="93">
      <c r="L488" s="97" t="n"/>
      <c r="M488" s="97" t="n"/>
      <c r="O488" s="97" t="n"/>
    </row>
    <row r="489" ht="15" customHeight="1" s="93">
      <c r="L489" s="97" t="n"/>
      <c r="M489" s="97" t="n"/>
      <c r="O489" s="97" t="n"/>
    </row>
    <row r="490" ht="15" customHeight="1" s="93">
      <c r="L490" s="97" t="n"/>
      <c r="M490" s="97" t="n"/>
      <c r="O490" s="97" t="n"/>
    </row>
    <row r="491" ht="15" customHeight="1" s="93">
      <c r="L491" s="97" t="n"/>
      <c r="M491" s="97" t="n"/>
      <c r="O491" s="97" t="n"/>
    </row>
    <row r="492" ht="15" customHeight="1" s="93">
      <c r="L492" s="97" t="n"/>
      <c r="M492" s="97" t="n"/>
      <c r="O492" s="97" t="n"/>
    </row>
    <row r="493" ht="15" customHeight="1" s="93">
      <c r="L493" s="97" t="n"/>
      <c r="M493" s="97" t="n"/>
      <c r="O493" s="97" t="n"/>
    </row>
    <row r="494" ht="15" customHeight="1" s="93">
      <c r="L494" s="97" t="n"/>
      <c r="M494" s="97" t="n"/>
      <c r="O494" s="97" t="n"/>
    </row>
    <row r="495" ht="15" customHeight="1" s="93">
      <c r="L495" s="97" t="n"/>
      <c r="M495" s="97" t="n"/>
      <c r="O495" s="97" t="n"/>
    </row>
    <row r="496" ht="15" customHeight="1" s="93">
      <c r="L496" s="97" t="n"/>
      <c r="M496" s="97" t="n"/>
      <c r="O496" s="97" t="n"/>
    </row>
    <row r="497" ht="15" customHeight="1" s="93">
      <c r="L497" s="97" t="n"/>
      <c r="M497" s="97" t="n"/>
      <c r="O497" s="97" t="n"/>
    </row>
    <row r="498" ht="15" customHeight="1" s="93">
      <c r="L498" s="97" t="n"/>
      <c r="M498" s="97" t="n"/>
      <c r="O498" s="97" t="n"/>
    </row>
    <row r="499" ht="15" customHeight="1" s="93">
      <c r="L499" s="97" t="n"/>
      <c r="M499" s="97" t="n"/>
      <c r="O499" s="97" t="n"/>
    </row>
    <row r="500" ht="15" customHeight="1" s="93">
      <c r="L500" s="97" t="n"/>
      <c r="M500" s="97" t="n"/>
      <c r="O500" s="97" t="n"/>
    </row>
    <row r="501" ht="15" customHeight="1" s="93">
      <c r="L501" s="97" t="n"/>
      <c r="M501" s="97" t="n"/>
      <c r="O501" s="97" t="n"/>
    </row>
    <row r="502" ht="15" customHeight="1" s="93">
      <c r="L502" s="97" t="n"/>
      <c r="M502" s="97" t="n"/>
      <c r="O502" s="97" t="n"/>
    </row>
    <row r="503" ht="15" customHeight="1" s="93">
      <c r="L503" s="97" t="n"/>
      <c r="M503" s="97" t="n"/>
      <c r="O503" s="97" t="n"/>
    </row>
    <row r="504" ht="15" customHeight="1" s="93">
      <c r="L504" s="97" t="n"/>
      <c r="M504" s="97" t="n"/>
      <c r="O504" s="97" t="n"/>
    </row>
    <row r="505" ht="15" customHeight="1" s="93">
      <c r="L505" s="97" t="n"/>
      <c r="M505" s="97" t="n"/>
      <c r="O505" s="97" t="n"/>
    </row>
    <row r="506" ht="15" customHeight="1" s="93">
      <c r="L506" s="97" t="n"/>
      <c r="M506" s="97" t="n"/>
      <c r="O506" s="97" t="n"/>
    </row>
    <row r="507" ht="15" customHeight="1" s="93">
      <c r="L507" s="97" t="n"/>
      <c r="M507" s="97" t="n"/>
      <c r="O507" s="97" t="n"/>
    </row>
    <row r="508" ht="15" customHeight="1" s="93">
      <c r="L508" s="97" t="n"/>
      <c r="M508" s="97" t="n"/>
      <c r="O508" s="97" t="n"/>
    </row>
    <row r="509" ht="15" customHeight="1" s="93">
      <c r="L509" s="97" t="n"/>
      <c r="M509" s="97" t="n"/>
      <c r="O509" s="97" t="n"/>
    </row>
    <row r="510" ht="15" customHeight="1" s="93">
      <c r="L510" s="97" t="n"/>
      <c r="M510" s="97" t="n"/>
      <c r="O510" s="97" t="n"/>
    </row>
    <row r="511" ht="15" customHeight="1" s="93">
      <c r="L511" s="97" t="n"/>
      <c r="M511" s="97" t="n"/>
      <c r="O511" s="97" t="n"/>
    </row>
    <row r="512" ht="15" customHeight="1" s="93">
      <c r="L512" s="97" t="n"/>
      <c r="M512" s="97" t="n"/>
      <c r="O512" s="97" t="n"/>
    </row>
    <row r="513" ht="15" customHeight="1" s="93">
      <c r="L513" s="97" t="n"/>
      <c r="M513" s="97" t="n"/>
      <c r="O513" s="97" t="n"/>
    </row>
    <row r="514" ht="15" customHeight="1" s="93">
      <c r="L514" s="97" t="n"/>
      <c r="M514" s="97" t="n"/>
      <c r="O514" s="97" t="n"/>
    </row>
    <row r="515" ht="15" customHeight="1" s="93">
      <c r="L515" s="97" t="n"/>
      <c r="M515" s="97" t="n"/>
      <c r="O515" s="97" t="n"/>
    </row>
    <row r="516" ht="15" customHeight="1" s="93">
      <c r="L516" s="97" t="n"/>
      <c r="M516" s="97" t="n"/>
      <c r="O516" s="97" t="n"/>
    </row>
    <row r="517" ht="15" customHeight="1" s="93">
      <c r="L517" s="97" t="n"/>
      <c r="M517" s="97" t="n"/>
      <c r="O517" s="97" t="n"/>
    </row>
    <row r="518" ht="15" customHeight="1" s="93">
      <c r="L518" s="97" t="n"/>
      <c r="M518" s="97" t="n"/>
      <c r="O518" s="97" t="n"/>
    </row>
    <row r="519" ht="15" customHeight="1" s="93">
      <c r="L519" s="97" t="n"/>
      <c r="M519" s="97" t="n"/>
      <c r="O519" s="97" t="n"/>
    </row>
    <row r="520" ht="15" customHeight="1" s="93">
      <c r="L520" s="97" t="n"/>
      <c r="M520" s="97" t="n"/>
      <c r="O520" s="97" t="n"/>
    </row>
    <row r="521" ht="15" customHeight="1" s="93">
      <c r="L521" s="97" t="n"/>
      <c r="M521" s="97" t="n"/>
      <c r="O521" s="97" t="n"/>
    </row>
    <row r="522" ht="15" customHeight="1" s="93">
      <c r="L522" s="97" t="n"/>
      <c r="M522" s="97" t="n"/>
      <c r="O522" s="97" t="n"/>
    </row>
    <row r="523" ht="15" customHeight="1" s="93">
      <c r="L523" s="97" t="n"/>
      <c r="M523" s="97" t="n"/>
      <c r="O523" s="97" t="n"/>
    </row>
    <row r="524" ht="15" customHeight="1" s="93">
      <c r="L524" s="97" t="n"/>
      <c r="M524" s="97" t="n"/>
      <c r="O524" s="97" t="n"/>
    </row>
    <row r="525" ht="15" customHeight="1" s="93">
      <c r="L525" s="97" t="n"/>
      <c r="M525" s="97" t="n"/>
      <c r="O525" s="97" t="n"/>
    </row>
    <row r="526" ht="15" customHeight="1" s="93">
      <c r="L526" s="97" t="n"/>
      <c r="M526" s="97" t="n"/>
      <c r="O526" s="97" t="n"/>
    </row>
    <row r="527" ht="15" customHeight="1" s="93">
      <c r="L527" s="97" t="n"/>
      <c r="M527" s="97" t="n"/>
      <c r="O527" s="97" t="n"/>
    </row>
    <row r="528" ht="15" customHeight="1" s="93">
      <c r="L528" s="97" t="n"/>
      <c r="M528" s="97" t="n"/>
      <c r="O528" s="97" t="n"/>
    </row>
    <row r="529" ht="15" customHeight="1" s="93">
      <c r="L529" s="97" t="n"/>
      <c r="M529" s="97" t="n"/>
      <c r="O529" s="97" t="n"/>
    </row>
    <row r="530" ht="15" customHeight="1" s="93">
      <c r="L530" s="97" t="n"/>
      <c r="M530" s="97" t="n"/>
      <c r="O530" s="97" t="n"/>
    </row>
    <row r="531" ht="15" customHeight="1" s="93">
      <c r="L531" s="97" t="n"/>
      <c r="M531" s="97" t="n"/>
      <c r="O531" s="97" t="n"/>
    </row>
    <row r="532" ht="15" customHeight="1" s="93">
      <c r="L532" s="97" t="n"/>
      <c r="M532" s="97" t="n"/>
      <c r="O532" s="97" t="n"/>
    </row>
    <row r="533" ht="15" customHeight="1" s="93">
      <c r="L533" s="97" t="n"/>
      <c r="M533" s="97" t="n"/>
      <c r="O533" s="97" t="n"/>
    </row>
    <row r="534" ht="15" customHeight="1" s="93">
      <c r="L534" s="97" t="n"/>
      <c r="M534" s="97" t="n"/>
      <c r="O534" s="97" t="n"/>
    </row>
    <row r="535" ht="15" customHeight="1" s="93">
      <c r="L535" s="97" t="n"/>
      <c r="M535" s="97" t="n"/>
      <c r="O535" s="97" t="n"/>
    </row>
    <row r="536" ht="15" customHeight="1" s="93">
      <c r="L536" s="97" t="n"/>
      <c r="M536" s="97" t="n"/>
      <c r="O536" s="97" t="n"/>
    </row>
    <row r="537" ht="15" customHeight="1" s="93">
      <c r="L537" s="97" t="n"/>
      <c r="M537" s="97" t="n"/>
      <c r="O537" s="97" t="n"/>
    </row>
    <row r="538" ht="15" customHeight="1" s="93">
      <c r="L538" s="97" t="n"/>
      <c r="M538" s="97" t="n"/>
      <c r="O538" s="97" t="n"/>
    </row>
    <row r="539" ht="15" customHeight="1" s="93">
      <c r="L539" s="97" t="n"/>
      <c r="M539" s="97" t="n"/>
      <c r="O539" s="97" t="n"/>
    </row>
    <row r="540" ht="15" customHeight="1" s="93">
      <c r="L540" s="97" t="n"/>
      <c r="M540" s="97" t="n"/>
      <c r="O540" s="97" t="n"/>
    </row>
    <row r="541" ht="15" customHeight="1" s="93">
      <c r="L541" s="97" t="n"/>
      <c r="M541" s="97" t="n"/>
      <c r="O541" s="97" t="n"/>
    </row>
    <row r="542" ht="15" customHeight="1" s="93">
      <c r="L542" s="97" t="n"/>
      <c r="M542" s="97" t="n"/>
      <c r="O542" s="97" t="n"/>
    </row>
    <row r="543" ht="15" customHeight="1" s="93">
      <c r="L543" s="97" t="n"/>
      <c r="M543" s="97" t="n"/>
      <c r="O543" s="97" t="n"/>
    </row>
    <row r="544" ht="15" customHeight="1" s="93">
      <c r="L544" s="97" t="n"/>
      <c r="M544" s="97" t="n"/>
      <c r="O544" s="97" t="n"/>
    </row>
    <row r="545" ht="15" customHeight="1" s="93">
      <c r="L545" s="97" t="n"/>
      <c r="M545" s="97" t="n"/>
      <c r="O545" s="97" t="n"/>
    </row>
    <row r="546" ht="15" customHeight="1" s="93">
      <c r="L546" s="97" t="n"/>
      <c r="M546" s="97" t="n"/>
      <c r="O546" s="97" t="n"/>
    </row>
    <row r="547" ht="15" customHeight="1" s="93">
      <c r="L547" s="97" t="n"/>
      <c r="M547" s="97" t="n"/>
      <c r="O547" s="97" t="n"/>
    </row>
    <row r="548" ht="15" customHeight="1" s="93">
      <c r="L548" s="97" t="n"/>
      <c r="M548" s="97" t="n"/>
      <c r="O548" s="97" t="n"/>
    </row>
    <row r="549" ht="15" customHeight="1" s="93">
      <c r="L549" s="97" t="n"/>
      <c r="M549" s="97" t="n"/>
      <c r="O549" s="97" t="n"/>
    </row>
    <row r="550" ht="15" customHeight="1" s="93">
      <c r="L550" s="97" t="n"/>
      <c r="M550" s="97" t="n"/>
      <c r="O550" s="97" t="n"/>
    </row>
    <row r="551" ht="15" customHeight="1" s="93">
      <c r="L551" s="97" t="n"/>
      <c r="M551" s="97" t="n"/>
      <c r="O551" s="97" t="n"/>
    </row>
    <row r="552" ht="15" customHeight="1" s="93">
      <c r="L552" s="97" t="n"/>
      <c r="M552" s="97" t="n"/>
      <c r="O552" s="97" t="n"/>
    </row>
    <row r="553" ht="15" customHeight="1" s="93">
      <c r="L553" s="97" t="n"/>
      <c r="M553" s="97" t="n"/>
      <c r="O553" s="97" t="n"/>
    </row>
    <row r="554" ht="15" customHeight="1" s="93">
      <c r="L554" s="97" t="n"/>
      <c r="M554" s="97" t="n"/>
      <c r="O554" s="97" t="n"/>
    </row>
    <row r="555" ht="15" customHeight="1" s="93">
      <c r="L555" s="97" t="n"/>
      <c r="M555" s="97" t="n"/>
      <c r="O555" s="97" t="n"/>
    </row>
    <row r="556" ht="15" customHeight="1" s="93">
      <c r="L556" s="97" t="n"/>
      <c r="M556" s="97" t="n"/>
      <c r="O556" s="97" t="n"/>
    </row>
    <row r="557" ht="15" customHeight="1" s="93">
      <c r="L557" s="97" t="n"/>
      <c r="M557" s="97" t="n"/>
      <c r="O557" s="97" t="n"/>
    </row>
    <row r="558" ht="15" customHeight="1" s="93">
      <c r="L558" s="97" t="n"/>
      <c r="M558" s="97" t="n"/>
      <c r="O558" s="97" t="n"/>
    </row>
    <row r="559" ht="15" customHeight="1" s="93">
      <c r="L559" s="97" t="n"/>
      <c r="M559" s="97" t="n"/>
      <c r="O559" s="97" t="n"/>
    </row>
    <row r="560" ht="15" customHeight="1" s="93">
      <c r="L560" s="97" t="n"/>
      <c r="M560" s="97" t="n"/>
      <c r="O560" s="97" t="n"/>
    </row>
    <row r="561" ht="15" customHeight="1" s="93">
      <c r="L561" s="97" t="n"/>
      <c r="M561" s="97" t="n"/>
      <c r="O561" s="97" t="n"/>
    </row>
    <row r="562" ht="15" customHeight="1" s="93">
      <c r="L562" s="97" t="n"/>
      <c r="M562" s="97" t="n"/>
      <c r="O562" s="97" t="n"/>
    </row>
    <row r="563" ht="15" customHeight="1" s="93">
      <c r="L563" s="97" t="n"/>
      <c r="M563" s="97" t="n"/>
      <c r="O563" s="97" t="n"/>
    </row>
    <row r="564" ht="15" customHeight="1" s="93">
      <c r="L564" s="97" t="n"/>
      <c r="M564" s="97" t="n"/>
      <c r="O564" s="97" t="n"/>
    </row>
    <row r="565" ht="15" customHeight="1" s="93">
      <c r="L565" s="97" t="n"/>
      <c r="M565" s="97" t="n"/>
      <c r="O565" s="97" t="n"/>
    </row>
    <row r="566" ht="15" customHeight="1" s="93">
      <c r="L566" s="97" t="n"/>
      <c r="M566" s="97" t="n"/>
      <c r="O566" s="97" t="n"/>
    </row>
    <row r="567" ht="15" customHeight="1" s="93">
      <c r="L567" s="97" t="n"/>
      <c r="M567" s="97" t="n"/>
      <c r="O567" s="97" t="n"/>
    </row>
    <row r="568" ht="15" customHeight="1" s="93">
      <c r="L568" s="97" t="n"/>
      <c r="M568" s="97" t="n"/>
      <c r="O568" s="97" t="n"/>
    </row>
    <row r="569" ht="15" customHeight="1" s="93">
      <c r="L569" s="97" t="n"/>
      <c r="M569" s="97" t="n"/>
      <c r="O569" s="97" t="n"/>
    </row>
    <row r="570" ht="15" customHeight="1" s="93">
      <c r="L570" s="97" t="n"/>
      <c r="M570" s="97" t="n"/>
      <c r="O570" s="97" t="n"/>
    </row>
    <row r="571" ht="15" customHeight="1" s="93">
      <c r="L571" s="97" t="n"/>
      <c r="M571" s="97" t="n"/>
      <c r="O571" s="97" t="n"/>
    </row>
    <row r="572" ht="15" customHeight="1" s="93">
      <c r="L572" s="97" t="n"/>
      <c r="M572" s="97" t="n"/>
      <c r="O572" s="97" t="n"/>
    </row>
    <row r="573" ht="15" customHeight="1" s="93">
      <c r="L573" s="97" t="n"/>
      <c r="M573" s="97" t="n"/>
      <c r="O573" s="97" t="n"/>
    </row>
    <row r="574" ht="15" customHeight="1" s="93">
      <c r="L574" s="97" t="n"/>
      <c r="M574" s="97" t="n"/>
      <c r="O574" s="97" t="n"/>
    </row>
    <row r="575" ht="15" customHeight="1" s="93">
      <c r="L575" s="97" t="n"/>
      <c r="M575" s="97" t="n"/>
      <c r="O575" s="97" t="n"/>
    </row>
    <row r="576" ht="15" customHeight="1" s="93">
      <c r="L576" s="97" t="n"/>
      <c r="M576" s="97" t="n"/>
      <c r="O576" s="97" t="n"/>
    </row>
    <row r="577" ht="15" customHeight="1" s="93">
      <c r="L577" s="97" t="n"/>
      <c r="M577" s="97" t="n"/>
      <c r="O577" s="97" t="n"/>
    </row>
    <row r="578" ht="15" customHeight="1" s="93">
      <c r="L578" s="97" t="n"/>
      <c r="M578" s="97" t="n"/>
      <c r="O578" s="97" t="n"/>
    </row>
    <row r="579" ht="15" customHeight="1" s="93">
      <c r="L579" s="97" t="n"/>
      <c r="M579" s="97" t="n"/>
      <c r="O579" s="97" t="n"/>
    </row>
    <row r="580" ht="15" customHeight="1" s="93">
      <c r="L580" s="97" t="n"/>
      <c r="M580" s="97" t="n"/>
      <c r="O580" s="97" t="n"/>
    </row>
    <row r="581" ht="15" customHeight="1" s="93">
      <c r="L581" s="97" t="n"/>
      <c r="M581" s="97" t="n"/>
      <c r="O581" s="97" t="n"/>
    </row>
    <row r="582" ht="15" customHeight="1" s="93">
      <c r="L582" s="97" t="n"/>
      <c r="M582" s="97" t="n"/>
      <c r="O582" s="97" t="n"/>
    </row>
    <row r="583" ht="15" customHeight="1" s="93">
      <c r="L583" s="97" t="n"/>
      <c r="M583" s="97" t="n"/>
      <c r="O583" s="97" t="n"/>
    </row>
    <row r="584" ht="15" customHeight="1" s="93">
      <c r="L584" s="97" t="n"/>
      <c r="M584" s="97" t="n"/>
      <c r="O584" s="97" t="n"/>
    </row>
    <row r="585" ht="15" customHeight="1" s="93">
      <c r="L585" s="97" t="n"/>
      <c r="M585" s="97" t="n"/>
      <c r="O585" s="97" t="n"/>
    </row>
    <row r="586" ht="15" customHeight="1" s="93">
      <c r="L586" s="97" t="n"/>
      <c r="M586" s="97" t="n"/>
      <c r="O586" s="97" t="n"/>
    </row>
    <row r="587" ht="15" customHeight="1" s="93">
      <c r="L587" s="97" t="n"/>
      <c r="M587" s="97" t="n"/>
      <c r="O587" s="97" t="n"/>
    </row>
    <row r="588" ht="15" customHeight="1" s="93">
      <c r="L588" s="97" t="n"/>
      <c r="M588" s="97" t="n"/>
      <c r="O588" s="97" t="n"/>
    </row>
    <row r="589" ht="15" customHeight="1" s="93">
      <c r="L589" s="97" t="n"/>
      <c r="M589" s="97" t="n"/>
      <c r="O589" s="97" t="n"/>
    </row>
    <row r="590" ht="15" customHeight="1" s="93">
      <c r="L590" s="97" t="n"/>
      <c r="M590" s="97" t="n"/>
      <c r="O590" s="97" t="n"/>
    </row>
    <row r="591" ht="15" customHeight="1" s="93">
      <c r="L591" s="97" t="n"/>
      <c r="M591" s="97" t="n"/>
      <c r="O591" s="97" t="n"/>
    </row>
    <row r="592" ht="15" customHeight="1" s="93">
      <c r="L592" s="97" t="n"/>
      <c r="M592" s="97" t="n"/>
      <c r="O592" s="97" t="n"/>
    </row>
    <row r="593" ht="15" customHeight="1" s="93">
      <c r="L593" s="97" t="n"/>
      <c r="M593" s="97" t="n"/>
      <c r="O593" s="97" t="n"/>
    </row>
    <row r="594" ht="15" customHeight="1" s="93">
      <c r="L594" s="97" t="n"/>
      <c r="M594" s="97" t="n"/>
      <c r="O594" s="97" t="n"/>
    </row>
    <row r="595" ht="15" customHeight="1" s="93">
      <c r="L595" s="97" t="n"/>
      <c r="M595" s="97" t="n"/>
      <c r="O595" s="97" t="n"/>
    </row>
    <row r="596" ht="15" customHeight="1" s="93">
      <c r="L596" s="97" t="n"/>
      <c r="M596" s="97" t="n"/>
      <c r="O596" s="97" t="n"/>
    </row>
    <row r="597" ht="15" customHeight="1" s="93">
      <c r="L597" s="97" t="n"/>
      <c r="M597" s="97" t="n"/>
      <c r="O597" s="97" t="n"/>
    </row>
    <row r="598" ht="15" customHeight="1" s="93">
      <c r="L598" s="97" t="n"/>
      <c r="M598" s="97" t="n"/>
      <c r="O598" s="97" t="n"/>
    </row>
    <row r="599" ht="15" customHeight="1" s="93">
      <c r="L599" s="97" t="n"/>
      <c r="M599" s="97" t="n"/>
      <c r="O599" s="97" t="n"/>
    </row>
    <row r="600" ht="15" customHeight="1" s="93">
      <c r="L600" s="97" t="n"/>
      <c r="M600" s="97" t="n"/>
      <c r="O600" s="97" t="n"/>
    </row>
    <row r="601" ht="15" customHeight="1" s="93">
      <c r="L601" s="97" t="n"/>
      <c r="M601" s="97" t="n"/>
      <c r="O601" s="97" t="n"/>
    </row>
    <row r="602" ht="15" customHeight="1" s="93">
      <c r="L602" s="97" t="n"/>
      <c r="M602" s="97" t="n"/>
      <c r="O602" s="97" t="n"/>
    </row>
    <row r="603" ht="15" customHeight="1" s="93">
      <c r="L603" s="97" t="n"/>
      <c r="M603" s="97" t="n"/>
      <c r="O603" s="97" t="n"/>
    </row>
    <row r="604" ht="15" customHeight="1" s="93">
      <c r="L604" s="97" t="n"/>
      <c r="M604" s="97" t="n"/>
      <c r="O604" s="97" t="n"/>
    </row>
    <row r="605" ht="15" customHeight="1" s="93">
      <c r="L605" s="97" t="n"/>
      <c r="M605" s="97" t="n"/>
      <c r="O605" s="97" t="n"/>
    </row>
    <row r="606" ht="15" customHeight="1" s="93">
      <c r="L606" s="97" t="n"/>
      <c r="M606" s="97" t="n"/>
      <c r="O606" s="97" t="n"/>
    </row>
    <row r="607" ht="15" customHeight="1" s="93">
      <c r="L607" s="97" t="n"/>
      <c r="M607" s="97" t="n"/>
      <c r="O607" s="97" t="n"/>
    </row>
    <row r="608" ht="15" customHeight="1" s="93">
      <c r="L608" s="97" t="n"/>
      <c r="M608" s="97" t="n"/>
      <c r="O608" s="97" t="n"/>
    </row>
    <row r="609" ht="15" customHeight="1" s="93">
      <c r="L609" s="97" t="n"/>
      <c r="M609" s="97" t="n"/>
      <c r="O609" s="97" t="n"/>
    </row>
    <row r="610" ht="15" customHeight="1" s="93">
      <c r="L610" s="97" t="n"/>
      <c r="M610" s="97" t="n"/>
      <c r="O610" s="97" t="n"/>
    </row>
    <row r="611" ht="15" customHeight="1" s="93">
      <c r="L611" s="97" t="n"/>
      <c r="M611" s="97" t="n"/>
      <c r="O611" s="97" t="n"/>
    </row>
    <row r="612" ht="15" customHeight="1" s="93">
      <c r="L612" s="97" t="n"/>
      <c r="M612" s="97" t="n"/>
      <c r="O612" s="97" t="n"/>
    </row>
    <row r="613" ht="15" customHeight="1" s="93">
      <c r="L613" s="97" t="n"/>
      <c r="M613" s="97" t="n"/>
      <c r="O613" s="97" t="n"/>
    </row>
    <row r="614" ht="15" customHeight="1" s="93">
      <c r="L614" s="97" t="n"/>
      <c r="M614" s="97" t="n"/>
      <c r="O614" s="97" t="n"/>
    </row>
    <row r="615" ht="15" customHeight="1" s="93">
      <c r="L615" s="97" t="n"/>
      <c r="M615" s="97" t="n"/>
      <c r="O615" s="97" t="n"/>
    </row>
    <row r="616" ht="15" customHeight="1" s="93">
      <c r="L616" s="97" t="n"/>
      <c r="M616" s="97" t="n"/>
      <c r="O616" s="97" t="n"/>
    </row>
    <row r="617" ht="15" customHeight="1" s="93">
      <c r="L617" s="97" t="n"/>
      <c r="M617" s="97" t="n"/>
      <c r="O617" s="97" t="n"/>
    </row>
    <row r="618" ht="15" customHeight="1" s="93">
      <c r="L618" s="97" t="n"/>
      <c r="M618" s="97" t="n"/>
      <c r="O618" s="97" t="n"/>
    </row>
    <row r="619" ht="15" customHeight="1" s="93">
      <c r="L619" s="97" t="n"/>
      <c r="M619" s="97" t="n"/>
      <c r="O619" s="97" t="n"/>
    </row>
    <row r="620" ht="15" customHeight="1" s="93">
      <c r="L620" s="97" t="n"/>
      <c r="M620" s="97" t="n"/>
      <c r="O620" s="97" t="n"/>
    </row>
    <row r="621" ht="15" customHeight="1" s="93">
      <c r="L621" s="97" t="n"/>
      <c r="M621" s="97" t="n"/>
      <c r="O621" s="97" t="n"/>
    </row>
    <row r="622" ht="15" customHeight="1" s="93">
      <c r="L622" s="97" t="n"/>
      <c r="M622" s="97" t="n"/>
      <c r="O622" s="97" t="n"/>
    </row>
    <row r="623" ht="15" customHeight="1" s="93">
      <c r="L623" s="97" t="n"/>
      <c r="M623" s="97" t="n"/>
      <c r="O623" s="97" t="n"/>
    </row>
    <row r="624" ht="15" customHeight="1" s="93">
      <c r="L624" s="97" t="n"/>
      <c r="M624" s="97" t="n"/>
      <c r="O624" s="97" t="n"/>
    </row>
    <row r="625" ht="15" customHeight="1" s="93">
      <c r="L625" s="97" t="n"/>
      <c r="M625" s="97" t="n"/>
      <c r="O625" s="97" t="n"/>
    </row>
    <row r="626" ht="15" customHeight="1" s="93">
      <c r="L626" s="97" t="n"/>
      <c r="M626" s="97" t="n"/>
      <c r="O626" s="97" t="n"/>
    </row>
    <row r="627" ht="15" customHeight="1" s="93">
      <c r="L627" s="97" t="n"/>
      <c r="M627" s="97" t="n"/>
      <c r="O627" s="97" t="n"/>
    </row>
    <row r="628" ht="15" customHeight="1" s="93">
      <c r="L628" s="97" t="n"/>
      <c r="M628" s="97" t="n"/>
      <c r="O628" s="97" t="n"/>
    </row>
    <row r="629" ht="15" customHeight="1" s="93">
      <c r="L629" s="97" t="n"/>
      <c r="M629" s="97" t="n"/>
      <c r="O629" s="97" t="n"/>
    </row>
    <row r="630" ht="15" customHeight="1" s="93">
      <c r="L630" s="97" t="n"/>
      <c r="M630" s="97" t="n"/>
      <c r="O630" s="97" t="n"/>
    </row>
    <row r="631" ht="15" customHeight="1" s="93">
      <c r="L631" s="97" t="n"/>
      <c r="M631" s="97" t="n"/>
      <c r="O631" s="97" t="n"/>
    </row>
    <row r="632" ht="15" customHeight="1" s="93">
      <c r="L632" s="97" t="n"/>
      <c r="M632" s="97" t="n"/>
      <c r="O632" s="97" t="n"/>
    </row>
    <row r="633" ht="15" customHeight="1" s="93">
      <c r="L633" s="97" t="n"/>
      <c r="M633" s="97" t="n"/>
      <c r="O633" s="97" t="n"/>
    </row>
    <row r="634" ht="15" customHeight="1" s="93">
      <c r="L634" s="97" t="n"/>
      <c r="M634" s="97" t="n"/>
      <c r="O634" s="97" t="n"/>
    </row>
    <row r="635" ht="15" customHeight="1" s="93">
      <c r="L635" s="97" t="n"/>
      <c r="M635" s="97" t="n"/>
      <c r="O635" s="97" t="n"/>
    </row>
    <row r="636" ht="15" customHeight="1" s="93">
      <c r="L636" s="97" t="n"/>
      <c r="M636" s="97" t="n"/>
      <c r="O636" s="97" t="n"/>
    </row>
    <row r="637" ht="15" customHeight="1" s="93">
      <c r="L637" s="97" t="n"/>
      <c r="M637" s="97" t="n"/>
      <c r="O637" s="97" t="n"/>
    </row>
    <row r="638" ht="15" customHeight="1" s="93">
      <c r="L638" s="97" t="n"/>
      <c r="M638" s="97" t="n"/>
      <c r="O638" s="97" t="n"/>
    </row>
    <row r="639" ht="15" customHeight="1" s="93">
      <c r="L639" s="97" t="n"/>
      <c r="M639" s="97" t="n"/>
      <c r="O639" s="97" t="n"/>
    </row>
    <row r="640" ht="15" customHeight="1" s="93">
      <c r="L640" s="97" t="n"/>
      <c r="M640" s="97" t="n"/>
      <c r="O640" s="97" t="n"/>
    </row>
    <row r="641" ht="15" customHeight="1" s="93">
      <c r="L641" s="97" t="n"/>
      <c r="M641" s="97" t="n"/>
      <c r="O641" s="97" t="n"/>
    </row>
    <row r="642" ht="15" customHeight="1" s="93">
      <c r="L642" s="97" t="n"/>
      <c r="M642" s="97" t="n"/>
      <c r="O642" s="97" t="n"/>
    </row>
    <row r="643" ht="15" customHeight="1" s="93">
      <c r="L643" s="97" t="n"/>
      <c r="M643" s="97" t="n"/>
      <c r="O643" s="97" t="n"/>
    </row>
    <row r="644" ht="15" customHeight="1" s="93">
      <c r="L644" s="97" t="n"/>
      <c r="M644" s="97" t="n"/>
      <c r="O644" s="97" t="n"/>
    </row>
    <row r="645" ht="15" customHeight="1" s="93">
      <c r="L645" s="97" t="n"/>
      <c r="M645" s="97" t="n"/>
      <c r="O645" s="97" t="n"/>
    </row>
    <row r="646" ht="15" customHeight="1" s="93">
      <c r="L646" s="97" t="n"/>
      <c r="M646" s="97" t="n"/>
      <c r="O646" s="97" t="n"/>
    </row>
    <row r="647" ht="15" customHeight="1" s="93">
      <c r="L647" s="97" t="n"/>
      <c r="M647" s="97" t="n"/>
      <c r="O647" s="97" t="n"/>
    </row>
    <row r="648" ht="15" customHeight="1" s="93">
      <c r="L648" s="97" t="n"/>
      <c r="M648" s="97" t="n"/>
      <c r="O648" s="97" t="n"/>
    </row>
    <row r="649" ht="15" customHeight="1" s="93">
      <c r="L649" s="97" t="n"/>
      <c r="M649" s="97" t="n"/>
      <c r="O649" s="97" t="n"/>
    </row>
    <row r="650" ht="15" customHeight="1" s="93">
      <c r="L650" s="97" t="n"/>
      <c r="M650" s="97" t="n"/>
      <c r="O650" s="97" t="n"/>
    </row>
    <row r="651" ht="15" customHeight="1" s="93">
      <c r="L651" s="97" t="n"/>
      <c r="M651" s="97" t="n"/>
      <c r="O651" s="97" t="n"/>
    </row>
    <row r="652" ht="15" customHeight="1" s="93">
      <c r="L652" s="97" t="n"/>
      <c r="M652" s="97" t="n"/>
      <c r="O652" s="97" t="n"/>
    </row>
    <row r="653" ht="15" customHeight="1" s="93">
      <c r="L653" s="97" t="n"/>
      <c r="M653" s="97" t="n"/>
      <c r="O653" s="97" t="n"/>
    </row>
    <row r="654" ht="15" customHeight="1" s="93">
      <c r="L654" s="97" t="n"/>
      <c r="M654" s="97" t="n"/>
      <c r="O654" s="97" t="n"/>
    </row>
    <row r="655" ht="15" customHeight="1" s="93">
      <c r="L655" s="97" t="n"/>
      <c r="M655" s="97" t="n"/>
      <c r="O655" s="97" t="n"/>
    </row>
    <row r="656" ht="15" customHeight="1" s="93">
      <c r="L656" s="97" t="n"/>
      <c r="M656" s="97" t="n"/>
      <c r="O656" s="97" t="n"/>
    </row>
    <row r="657" ht="15" customHeight="1" s="93">
      <c r="L657" s="97" t="n"/>
      <c r="M657" s="97" t="n"/>
      <c r="O657" s="97" t="n"/>
    </row>
    <row r="658" ht="15" customHeight="1" s="93">
      <c r="L658" s="97" t="n"/>
      <c r="M658" s="97" t="n"/>
      <c r="O658" s="97" t="n"/>
    </row>
    <row r="659" ht="15" customHeight="1" s="93">
      <c r="L659" s="97" t="n"/>
      <c r="M659" s="97" t="n"/>
      <c r="O659" s="97" t="n"/>
    </row>
    <row r="660" ht="15" customHeight="1" s="93">
      <c r="L660" s="97" t="n"/>
      <c r="M660" s="97" t="n"/>
      <c r="O660" s="97" t="n"/>
    </row>
    <row r="661" ht="15" customHeight="1" s="93">
      <c r="L661" s="97" t="n"/>
      <c r="M661" s="97" t="n"/>
      <c r="O661" s="97" t="n"/>
    </row>
    <row r="662" ht="15" customHeight="1" s="93">
      <c r="L662" s="97" t="n"/>
      <c r="M662" s="97" t="n"/>
      <c r="O662" s="97" t="n"/>
    </row>
    <row r="663" ht="15" customHeight="1" s="93">
      <c r="L663" s="97" t="n"/>
      <c r="M663" s="97" t="n"/>
      <c r="O663" s="97" t="n"/>
    </row>
    <row r="664" ht="15" customHeight="1" s="93">
      <c r="L664" s="97" t="n"/>
      <c r="M664" s="97" t="n"/>
      <c r="O664" s="97" t="n"/>
    </row>
    <row r="665" ht="15" customHeight="1" s="93">
      <c r="L665" s="97" t="n"/>
      <c r="M665" s="97" t="n"/>
      <c r="O665" s="97" t="n"/>
    </row>
    <row r="666" ht="15" customHeight="1" s="93">
      <c r="L666" s="97" t="n"/>
      <c r="M666" s="97" t="n"/>
      <c r="O666" s="97" t="n"/>
    </row>
    <row r="667" ht="15" customHeight="1" s="93">
      <c r="L667" s="97" t="n"/>
      <c r="M667" s="97" t="n"/>
      <c r="O667" s="97" t="n"/>
    </row>
    <row r="668" ht="15" customHeight="1" s="93">
      <c r="L668" s="97" t="n"/>
      <c r="M668" s="97" t="n"/>
      <c r="O668" s="97" t="n"/>
    </row>
    <row r="669" ht="15" customHeight="1" s="93">
      <c r="L669" s="97" t="n"/>
      <c r="M669" s="97" t="n"/>
      <c r="O669" s="97" t="n"/>
    </row>
    <row r="670" ht="15" customHeight="1" s="93">
      <c r="L670" s="97" t="n"/>
      <c r="M670" s="97" t="n"/>
      <c r="O670" s="97" t="n"/>
    </row>
    <row r="671" ht="15" customHeight="1" s="93">
      <c r="L671" s="97" t="n"/>
      <c r="M671" s="97" t="n"/>
      <c r="O671" s="97" t="n"/>
    </row>
    <row r="672" ht="15" customHeight="1" s="93">
      <c r="L672" s="97" t="n"/>
      <c r="M672" s="97" t="n"/>
      <c r="O672" s="97" t="n"/>
    </row>
    <row r="673" ht="15" customHeight="1" s="93">
      <c r="L673" s="97" t="n"/>
      <c r="M673" s="97" t="n"/>
      <c r="O673" s="97" t="n"/>
    </row>
    <row r="674" ht="15" customHeight="1" s="93">
      <c r="L674" s="97" t="n"/>
      <c r="M674" s="97" t="n"/>
      <c r="O674" s="97" t="n"/>
    </row>
    <row r="675" ht="15" customHeight="1" s="93">
      <c r="L675" s="97" t="n"/>
      <c r="M675" s="97" t="n"/>
      <c r="O675" s="97" t="n"/>
    </row>
    <row r="676" ht="15" customHeight="1" s="93">
      <c r="L676" s="97" t="n"/>
      <c r="M676" s="97" t="n"/>
      <c r="O676" s="97" t="n"/>
    </row>
    <row r="677" ht="15" customHeight="1" s="93">
      <c r="L677" s="97" t="n"/>
      <c r="M677" s="97" t="n"/>
      <c r="O677" s="97" t="n"/>
    </row>
    <row r="678" ht="15" customHeight="1" s="93">
      <c r="L678" s="97" t="n"/>
      <c r="M678" s="97" t="n"/>
      <c r="O678" s="97" t="n"/>
    </row>
    <row r="679" ht="15" customHeight="1" s="93">
      <c r="L679" s="97" t="n"/>
      <c r="M679" s="97" t="n"/>
      <c r="O679" s="97" t="n"/>
    </row>
    <row r="680" ht="15" customHeight="1" s="93">
      <c r="L680" s="97" t="n"/>
      <c r="M680" s="97" t="n"/>
      <c r="O680" s="97" t="n"/>
    </row>
    <row r="681" ht="15" customHeight="1" s="93">
      <c r="L681" s="97" t="n"/>
      <c r="M681" s="97" t="n"/>
      <c r="O681" s="97" t="n"/>
    </row>
    <row r="682" ht="15" customHeight="1" s="93">
      <c r="L682" s="97" t="n"/>
      <c r="M682" s="97" t="n"/>
      <c r="O682" s="97" t="n"/>
    </row>
    <row r="683" ht="15" customHeight="1" s="93">
      <c r="L683" s="97" t="n"/>
      <c r="M683" s="97" t="n"/>
      <c r="O683" s="97" t="n"/>
    </row>
    <row r="684" ht="15" customHeight="1" s="93">
      <c r="L684" s="97" t="n"/>
      <c r="M684" s="97" t="n"/>
      <c r="O684" s="97" t="n"/>
    </row>
    <row r="685" ht="15" customHeight="1" s="93">
      <c r="L685" s="97" t="n"/>
      <c r="M685" s="97" t="n"/>
      <c r="O685" s="97" t="n"/>
    </row>
    <row r="686" ht="15" customHeight="1" s="93">
      <c r="L686" s="97" t="n"/>
      <c r="M686" s="97" t="n"/>
      <c r="O686" s="97" t="n"/>
    </row>
    <row r="687" ht="15" customHeight="1" s="93">
      <c r="L687" s="97" t="n"/>
      <c r="M687" s="97" t="n"/>
      <c r="O687" s="97" t="n"/>
    </row>
    <row r="688" ht="15" customHeight="1" s="93">
      <c r="L688" s="97" t="n"/>
      <c r="M688" s="97" t="n"/>
      <c r="O688" s="97" t="n"/>
    </row>
    <row r="689" ht="15" customHeight="1" s="93">
      <c r="L689" s="97" t="n"/>
      <c r="M689" s="97" t="n"/>
      <c r="O689" s="97" t="n"/>
    </row>
    <row r="690" ht="15" customHeight="1" s="93">
      <c r="L690" s="97" t="n"/>
      <c r="M690" s="97" t="n"/>
      <c r="O690" s="97" t="n"/>
    </row>
    <row r="691" ht="15" customHeight="1" s="93">
      <c r="L691" s="97" t="n"/>
      <c r="M691" s="97" t="n"/>
      <c r="O691" s="97" t="n"/>
    </row>
    <row r="692" ht="15" customHeight="1" s="93">
      <c r="L692" s="97" t="n"/>
      <c r="M692" s="97" t="n"/>
      <c r="O692" s="97" t="n"/>
    </row>
    <row r="693" ht="15" customHeight="1" s="93">
      <c r="L693" s="97" t="n"/>
      <c r="M693" s="97" t="n"/>
      <c r="O693" s="97" t="n"/>
    </row>
    <row r="694" ht="15" customHeight="1" s="93">
      <c r="L694" s="97" t="n"/>
      <c r="M694" s="97" t="n"/>
      <c r="O694" s="97" t="n"/>
    </row>
    <row r="695" ht="15" customHeight="1" s="93">
      <c r="L695" s="97" t="n"/>
      <c r="M695" s="97" t="n"/>
      <c r="O695" s="97" t="n"/>
    </row>
    <row r="696" ht="15" customHeight="1" s="93">
      <c r="L696" s="97" t="n"/>
      <c r="M696" s="97" t="n"/>
      <c r="O696" s="97" t="n"/>
    </row>
    <row r="697" ht="15" customHeight="1" s="93">
      <c r="L697" s="97" t="n"/>
      <c r="M697" s="97" t="n"/>
      <c r="O697" s="97" t="n"/>
    </row>
    <row r="698" ht="15" customHeight="1" s="93">
      <c r="L698" s="97" t="n"/>
      <c r="M698" s="97" t="n"/>
      <c r="O698" s="97" t="n"/>
    </row>
    <row r="699" ht="15" customHeight="1" s="93">
      <c r="L699" s="97" t="n"/>
      <c r="M699" s="97" t="n"/>
      <c r="O699" s="97" t="n"/>
    </row>
    <row r="700" ht="15" customHeight="1" s="93">
      <c r="L700" s="97" t="n"/>
      <c r="M700" s="97" t="n"/>
      <c r="O700" s="97" t="n"/>
    </row>
    <row r="701" ht="15" customHeight="1" s="93">
      <c r="L701" s="97" t="n"/>
      <c r="M701" s="97" t="n"/>
      <c r="O701" s="97" t="n"/>
    </row>
    <row r="702" ht="15" customHeight="1" s="93">
      <c r="L702" s="97" t="n"/>
      <c r="M702" s="97" t="n"/>
      <c r="O702" s="97" t="n"/>
    </row>
    <row r="703" ht="15" customHeight="1" s="93">
      <c r="L703" s="97" t="n"/>
      <c r="M703" s="97" t="n"/>
      <c r="O703" s="97" t="n"/>
    </row>
    <row r="704" ht="15" customHeight="1" s="93">
      <c r="L704" s="97" t="n"/>
      <c r="M704" s="97" t="n"/>
      <c r="O704" s="97" t="n"/>
    </row>
    <row r="705" ht="15" customHeight="1" s="93">
      <c r="L705" s="97" t="n"/>
      <c r="M705" s="97" t="n"/>
      <c r="O705" s="97" t="n"/>
    </row>
    <row r="706" ht="15" customHeight="1" s="93">
      <c r="L706" s="97" t="n"/>
      <c r="M706" s="97" t="n"/>
      <c r="O706" s="97" t="n"/>
    </row>
    <row r="707" ht="15" customHeight="1" s="93">
      <c r="L707" s="97" t="n"/>
      <c r="M707" s="97" t="n"/>
      <c r="O707" s="97" t="n"/>
    </row>
    <row r="708" ht="15" customHeight="1" s="93">
      <c r="L708" s="97" t="n"/>
      <c r="M708" s="97" t="n"/>
      <c r="O708" s="97" t="n"/>
    </row>
    <row r="709" ht="15" customHeight="1" s="93">
      <c r="L709" s="97" t="n"/>
      <c r="M709" s="97" t="n"/>
      <c r="O709" s="97" t="n"/>
    </row>
    <row r="710" ht="15" customHeight="1" s="93">
      <c r="L710" s="97" t="n"/>
      <c r="M710" s="97" t="n"/>
      <c r="O710" s="97" t="n"/>
    </row>
    <row r="711" ht="15" customHeight="1" s="93">
      <c r="L711" s="97" t="n"/>
      <c r="M711" s="97" t="n"/>
      <c r="O711" s="97" t="n"/>
    </row>
    <row r="712" ht="15" customHeight="1" s="93">
      <c r="L712" s="97" t="n"/>
      <c r="M712" s="97" t="n"/>
      <c r="O712" s="97" t="n"/>
    </row>
    <row r="713" ht="15" customHeight="1" s="93">
      <c r="L713" s="97" t="n"/>
      <c r="M713" s="97" t="n"/>
      <c r="O713" s="97" t="n"/>
    </row>
    <row r="714" ht="15" customHeight="1" s="93">
      <c r="L714" s="97" t="n"/>
      <c r="M714" s="97" t="n"/>
      <c r="O714" s="97" t="n"/>
    </row>
    <row r="715" ht="15" customHeight="1" s="93">
      <c r="L715" s="97" t="n"/>
      <c r="M715" s="97" t="n"/>
      <c r="O715" s="97" t="n"/>
    </row>
    <row r="716" ht="15" customHeight="1" s="93">
      <c r="L716" s="97" t="n"/>
      <c r="M716" s="97" t="n"/>
      <c r="O716" s="97" t="n"/>
    </row>
    <row r="717" ht="15" customHeight="1" s="93">
      <c r="L717" s="97" t="n"/>
      <c r="M717" s="97" t="n"/>
      <c r="O717" s="97" t="n"/>
    </row>
    <row r="718" ht="15" customHeight="1" s="93">
      <c r="L718" s="97" t="n"/>
      <c r="M718" s="97" t="n"/>
      <c r="O718" s="97" t="n"/>
    </row>
    <row r="719" ht="15" customHeight="1" s="93">
      <c r="L719" s="97" t="n"/>
      <c r="M719" s="97" t="n"/>
      <c r="O719" s="97" t="n"/>
    </row>
    <row r="720" ht="15" customHeight="1" s="93">
      <c r="L720" s="97" t="n"/>
      <c r="M720" s="97" t="n"/>
      <c r="O720" s="97" t="n"/>
    </row>
    <row r="721" ht="15" customHeight="1" s="93">
      <c r="L721" s="97" t="n"/>
      <c r="M721" s="97" t="n"/>
      <c r="O721" s="97" t="n"/>
    </row>
    <row r="722" ht="15" customHeight="1" s="93">
      <c r="L722" s="97" t="n"/>
      <c r="M722" s="97" t="n"/>
      <c r="O722" s="97" t="n"/>
    </row>
    <row r="723" ht="15" customHeight="1" s="93">
      <c r="L723" s="97" t="n"/>
      <c r="M723" s="97" t="n"/>
      <c r="O723" s="97" t="n"/>
    </row>
    <row r="724" ht="15" customHeight="1" s="93">
      <c r="L724" s="97" t="n"/>
      <c r="M724" s="97" t="n"/>
      <c r="O724" s="97" t="n"/>
    </row>
    <row r="725" ht="15" customHeight="1" s="93">
      <c r="L725" s="97" t="n"/>
      <c r="M725" s="97" t="n"/>
      <c r="O725" s="97" t="n"/>
    </row>
    <row r="726" ht="15" customHeight="1" s="93">
      <c r="L726" s="97" t="n"/>
      <c r="M726" s="97" t="n"/>
      <c r="O726" s="97" t="n"/>
    </row>
    <row r="727" ht="15" customHeight="1" s="93">
      <c r="L727" s="97" t="n"/>
      <c r="M727" s="97" t="n"/>
      <c r="O727" s="97" t="n"/>
    </row>
    <row r="728" ht="15" customHeight="1" s="93">
      <c r="L728" s="97" t="n"/>
      <c r="M728" s="97" t="n"/>
      <c r="O728" s="97" t="n"/>
    </row>
    <row r="729" ht="15" customHeight="1" s="93">
      <c r="L729" s="97" t="n"/>
      <c r="M729" s="97" t="n"/>
      <c r="O729" s="97" t="n"/>
    </row>
    <row r="730" ht="15" customHeight="1" s="93">
      <c r="L730" s="97" t="n"/>
      <c r="M730" s="97" t="n"/>
      <c r="O730" s="97" t="n"/>
    </row>
    <row r="731" ht="15" customHeight="1" s="93">
      <c r="L731" s="97" t="n"/>
      <c r="M731" s="97" t="n"/>
      <c r="O731" s="97" t="n"/>
    </row>
    <row r="732" ht="15" customHeight="1" s="93">
      <c r="L732" s="97" t="n"/>
      <c r="M732" s="97" t="n"/>
      <c r="O732" s="97" t="n"/>
    </row>
    <row r="733" ht="15" customHeight="1" s="93">
      <c r="L733" s="97" t="n"/>
      <c r="M733" s="97" t="n"/>
      <c r="O733" s="97" t="n"/>
    </row>
    <row r="734" ht="15" customHeight="1" s="93">
      <c r="L734" s="97" t="n"/>
      <c r="M734" s="97" t="n"/>
      <c r="O734" s="97" t="n"/>
    </row>
    <row r="735" ht="15" customHeight="1" s="93">
      <c r="L735" s="97" t="n"/>
      <c r="M735" s="97" t="n"/>
      <c r="O735" s="97" t="n"/>
    </row>
    <row r="736" ht="15" customHeight="1" s="93">
      <c r="L736" s="97" t="n"/>
      <c r="M736" s="97" t="n"/>
      <c r="O736" s="97" t="n"/>
    </row>
    <row r="737" ht="15" customHeight="1" s="93">
      <c r="L737" s="97" t="n"/>
      <c r="M737" s="97" t="n"/>
      <c r="O737" s="97" t="n"/>
    </row>
    <row r="738" ht="15" customHeight="1" s="93">
      <c r="L738" s="97" t="n"/>
      <c r="M738" s="97" t="n"/>
      <c r="O738" s="97" t="n"/>
    </row>
    <row r="739" ht="15" customHeight="1" s="93">
      <c r="L739" s="97" t="n"/>
      <c r="M739" s="97" t="n"/>
      <c r="O739" s="97" t="n"/>
    </row>
    <row r="740" ht="15" customHeight="1" s="93">
      <c r="L740" s="97" t="n"/>
      <c r="M740" s="97" t="n"/>
      <c r="O740" s="97" t="n"/>
    </row>
    <row r="741" ht="15" customHeight="1" s="93">
      <c r="L741" s="97" t="n"/>
      <c r="M741" s="97" t="n"/>
      <c r="O741" s="97" t="n"/>
    </row>
    <row r="742" ht="15" customHeight="1" s="93">
      <c r="L742" s="97" t="n"/>
      <c r="M742" s="97" t="n"/>
      <c r="O742" s="97" t="n"/>
    </row>
    <row r="743" ht="15" customHeight="1" s="93">
      <c r="L743" s="97" t="n"/>
      <c r="M743" s="97" t="n"/>
      <c r="O743" s="97" t="n"/>
    </row>
    <row r="744" ht="15" customHeight="1" s="93">
      <c r="L744" s="97" t="n"/>
      <c r="M744" s="97" t="n"/>
      <c r="O744" s="97" t="n"/>
    </row>
    <row r="745" ht="15" customHeight="1" s="93">
      <c r="L745" s="97" t="n"/>
      <c r="M745" s="97" t="n"/>
      <c r="O745" s="97" t="n"/>
    </row>
    <row r="746" ht="15" customHeight="1" s="93">
      <c r="L746" s="97" t="n"/>
      <c r="M746" s="97" t="n"/>
      <c r="O746" s="97" t="n"/>
    </row>
    <row r="747" ht="15" customHeight="1" s="93">
      <c r="L747" s="97" t="n"/>
      <c r="M747" s="97" t="n"/>
      <c r="O747" s="97" t="n"/>
    </row>
    <row r="748" ht="15" customHeight="1" s="93">
      <c r="L748" s="97" t="n"/>
      <c r="M748" s="97" t="n"/>
      <c r="O748" s="97" t="n"/>
    </row>
    <row r="749" ht="15" customHeight="1" s="93">
      <c r="L749" s="97" t="n"/>
      <c r="M749" s="97" t="n"/>
      <c r="O749" s="97" t="n"/>
    </row>
    <row r="750" ht="15" customHeight="1" s="93">
      <c r="L750" s="97" t="n"/>
      <c r="M750" s="97" t="n"/>
      <c r="O750" s="97" t="n"/>
    </row>
    <row r="751" ht="15" customHeight="1" s="93">
      <c r="L751" s="97" t="n"/>
      <c r="M751" s="97" t="n"/>
      <c r="O751" s="97" t="n"/>
    </row>
    <row r="752" ht="15" customHeight="1" s="93">
      <c r="L752" s="97" t="n"/>
      <c r="M752" s="97" t="n"/>
      <c r="O752" s="97" t="n"/>
    </row>
    <row r="753" ht="15" customHeight="1" s="93">
      <c r="L753" s="97" t="n"/>
      <c r="M753" s="97" t="n"/>
      <c r="O753" s="97" t="n"/>
    </row>
    <row r="754" ht="15" customHeight="1" s="93">
      <c r="L754" s="97" t="n"/>
      <c r="M754" s="97" t="n"/>
      <c r="O754" s="97" t="n"/>
    </row>
    <row r="755" ht="15" customHeight="1" s="93">
      <c r="L755" s="97" t="n"/>
      <c r="M755" s="97" t="n"/>
      <c r="O755" s="97" t="n"/>
    </row>
    <row r="756" ht="15" customHeight="1" s="93">
      <c r="L756" s="97" t="n"/>
      <c r="M756" s="97" t="n"/>
      <c r="O756" s="97" t="n"/>
    </row>
    <row r="757" ht="15" customHeight="1" s="93">
      <c r="L757" s="97" t="n"/>
      <c r="M757" s="97" t="n"/>
      <c r="O757" s="97" t="n"/>
    </row>
    <row r="758" ht="15" customHeight="1" s="93">
      <c r="L758" s="97" t="n"/>
      <c r="M758" s="97" t="n"/>
      <c r="O758" s="97" t="n"/>
    </row>
    <row r="759" ht="15" customHeight="1" s="93">
      <c r="L759" s="97" t="n"/>
      <c r="M759" s="97" t="n"/>
      <c r="O759" s="97" t="n"/>
    </row>
    <row r="760" ht="15" customHeight="1" s="93">
      <c r="L760" s="97" t="n"/>
      <c r="M760" s="97" t="n"/>
      <c r="O760" s="97" t="n"/>
    </row>
    <row r="761" ht="15" customHeight="1" s="93">
      <c r="L761" s="97" t="n"/>
      <c r="M761" s="97" t="n"/>
      <c r="O761" s="97" t="n"/>
    </row>
    <row r="762" ht="15" customHeight="1" s="93">
      <c r="L762" s="97" t="n"/>
      <c r="M762" s="97" t="n"/>
      <c r="O762" s="97" t="n"/>
    </row>
    <row r="763" ht="15" customHeight="1" s="93">
      <c r="L763" s="97" t="n"/>
      <c r="M763" s="97" t="n"/>
      <c r="O763" s="97" t="n"/>
    </row>
    <row r="764" ht="15" customHeight="1" s="93">
      <c r="L764" s="97" t="n"/>
      <c r="M764" s="97" t="n"/>
      <c r="O764" s="97" t="n"/>
    </row>
    <row r="765" ht="15" customHeight="1" s="93">
      <c r="L765" s="97" t="n"/>
      <c r="M765" s="97" t="n"/>
      <c r="O765" s="97" t="n"/>
    </row>
    <row r="766" ht="15" customHeight="1" s="93">
      <c r="L766" s="97" t="n"/>
      <c r="M766" s="97" t="n"/>
      <c r="O766" s="97" t="n"/>
    </row>
    <row r="767" ht="15" customHeight="1" s="93">
      <c r="L767" s="97" t="n"/>
      <c r="M767" s="97" t="n"/>
      <c r="O767" s="97" t="n"/>
    </row>
    <row r="768" ht="15" customHeight="1" s="93">
      <c r="L768" s="97" t="n"/>
      <c r="M768" s="97" t="n"/>
      <c r="O768" s="97" t="n"/>
    </row>
    <row r="769" ht="15" customHeight="1" s="93">
      <c r="L769" s="97" t="n"/>
      <c r="M769" s="97" t="n"/>
      <c r="O769" s="97" t="n"/>
    </row>
    <row r="770" ht="15" customHeight="1" s="93">
      <c r="L770" s="97" t="n"/>
      <c r="M770" s="97" t="n"/>
      <c r="O770" s="97" t="n"/>
    </row>
    <row r="771" ht="15" customHeight="1" s="93">
      <c r="L771" s="97" t="n"/>
      <c r="M771" s="97" t="n"/>
      <c r="O771" s="97" t="n"/>
    </row>
    <row r="772" ht="15" customHeight="1" s="93">
      <c r="L772" s="97" t="n"/>
      <c r="M772" s="97" t="n"/>
      <c r="O772" s="97" t="n"/>
    </row>
    <row r="773" ht="15" customHeight="1" s="93">
      <c r="L773" s="97" t="n"/>
      <c r="M773" s="97" t="n"/>
      <c r="O773" s="97" t="n"/>
    </row>
    <row r="774" ht="15" customHeight="1" s="93">
      <c r="L774" s="97" t="n"/>
      <c r="M774" s="97" t="n"/>
      <c r="O774" s="97" t="n"/>
    </row>
    <row r="775" ht="15" customHeight="1" s="93">
      <c r="L775" s="97" t="n"/>
      <c r="M775" s="97" t="n"/>
      <c r="O775" s="97" t="n"/>
    </row>
    <row r="776" ht="15" customHeight="1" s="93">
      <c r="L776" s="97" t="n"/>
      <c r="M776" s="97" t="n"/>
      <c r="O776" s="97" t="n"/>
    </row>
    <row r="777" ht="15" customHeight="1" s="93">
      <c r="L777" s="97" t="n"/>
      <c r="M777" s="97" t="n"/>
      <c r="O777" s="97" t="n"/>
    </row>
    <row r="778" ht="15" customHeight="1" s="93">
      <c r="L778" s="97" t="n"/>
      <c r="M778" s="97" t="n"/>
      <c r="O778" s="97" t="n"/>
    </row>
    <row r="779" ht="15" customHeight="1" s="93">
      <c r="L779" s="97" t="n"/>
      <c r="M779" s="97" t="n"/>
      <c r="O779" s="97" t="n"/>
    </row>
    <row r="780" ht="15" customHeight="1" s="93">
      <c r="L780" s="97" t="n"/>
      <c r="M780" s="97" t="n"/>
      <c r="O780" s="97" t="n"/>
    </row>
    <row r="781" ht="15" customHeight="1" s="93">
      <c r="L781" s="97" t="n"/>
      <c r="M781" s="97" t="n"/>
      <c r="O781" s="97" t="n"/>
    </row>
    <row r="782" ht="15" customHeight="1" s="93">
      <c r="L782" s="97" t="n"/>
      <c r="M782" s="97" t="n"/>
      <c r="O782" s="97" t="n"/>
    </row>
    <row r="783" ht="15" customHeight="1" s="93">
      <c r="L783" s="97" t="n"/>
      <c r="M783" s="97" t="n"/>
      <c r="O783" s="97" t="n"/>
    </row>
    <row r="784" ht="15" customHeight="1" s="93">
      <c r="L784" s="97" t="n"/>
      <c r="M784" s="97" t="n"/>
      <c r="O784" s="97" t="n"/>
    </row>
    <row r="785" ht="15" customHeight="1" s="93">
      <c r="L785" s="97" t="n"/>
      <c r="M785" s="97" t="n"/>
      <c r="O785" s="97" t="n"/>
    </row>
    <row r="786" ht="15" customHeight="1" s="93">
      <c r="L786" s="97" t="n"/>
      <c r="M786" s="97" t="n"/>
      <c r="O786" s="97" t="n"/>
    </row>
    <row r="787" ht="15" customHeight="1" s="93">
      <c r="L787" s="97" t="n"/>
      <c r="M787" s="97" t="n"/>
      <c r="O787" s="97" t="n"/>
    </row>
    <row r="788" ht="15" customHeight="1" s="93">
      <c r="L788" s="97" t="n"/>
      <c r="M788" s="97" t="n"/>
      <c r="O788" s="97" t="n"/>
    </row>
    <row r="789" ht="15" customHeight="1" s="93">
      <c r="L789" s="97" t="n"/>
      <c r="M789" s="97" t="n"/>
      <c r="O789" s="97" t="n"/>
    </row>
    <row r="790" ht="15" customHeight="1" s="93">
      <c r="L790" s="97" t="n"/>
      <c r="M790" s="97" t="n"/>
      <c r="O790" s="97" t="n"/>
    </row>
    <row r="791" ht="15" customHeight="1" s="93">
      <c r="L791" s="97" t="n"/>
      <c r="M791" s="97" t="n"/>
      <c r="O791" s="97" t="n"/>
    </row>
    <row r="792" ht="15" customHeight="1" s="93">
      <c r="L792" s="97" t="n"/>
      <c r="M792" s="97" t="n"/>
      <c r="O792" s="97" t="n"/>
    </row>
    <row r="793" ht="15" customHeight="1" s="93">
      <c r="L793" s="97" t="n"/>
      <c r="M793" s="97" t="n"/>
      <c r="O793" s="97" t="n"/>
    </row>
    <row r="794" ht="15" customHeight="1" s="93">
      <c r="L794" s="97" t="n"/>
      <c r="M794" s="97" t="n"/>
      <c r="O794" s="97" t="n"/>
    </row>
    <row r="795" ht="15" customHeight="1" s="93">
      <c r="L795" s="97" t="n"/>
      <c r="M795" s="97" t="n"/>
      <c r="O795" s="97" t="n"/>
    </row>
    <row r="796" ht="15" customHeight="1" s="93">
      <c r="L796" s="97" t="n"/>
      <c r="M796" s="97" t="n"/>
      <c r="O796" s="97" t="n"/>
    </row>
    <row r="797" ht="15" customHeight="1" s="93">
      <c r="L797" s="97" t="n"/>
      <c r="M797" s="97" t="n"/>
      <c r="O797" s="97" t="n"/>
    </row>
    <row r="798" ht="15" customHeight="1" s="93">
      <c r="L798" s="97" t="n"/>
      <c r="M798" s="97" t="n"/>
      <c r="O798" s="97" t="n"/>
    </row>
    <row r="799" ht="15" customHeight="1" s="93">
      <c r="L799" s="97" t="n"/>
      <c r="M799" s="97" t="n"/>
      <c r="O799" s="97" t="n"/>
    </row>
    <row r="800" ht="15" customHeight="1" s="93">
      <c r="L800" s="97" t="n"/>
      <c r="M800" s="97" t="n"/>
      <c r="O800" s="97" t="n"/>
    </row>
    <row r="801" ht="15" customHeight="1" s="93">
      <c r="L801" s="97" t="n"/>
      <c r="M801" s="97" t="n"/>
      <c r="O801" s="97" t="n"/>
    </row>
    <row r="802" ht="15" customHeight="1" s="93">
      <c r="L802" s="97" t="n"/>
      <c r="M802" s="97" t="n"/>
      <c r="O802" s="97" t="n"/>
    </row>
    <row r="803" ht="15" customHeight="1" s="93">
      <c r="L803" s="97" t="n"/>
      <c r="M803" s="97" t="n"/>
      <c r="O803" s="97" t="n"/>
    </row>
    <row r="804" ht="15" customHeight="1" s="93">
      <c r="L804" s="97" t="n"/>
      <c r="M804" s="97" t="n"/>
      <c r="O804" s="97" t="n"/>
    </row>
    <row r="805" ht="15" customHeight="1" s="93">
      <c r="L805" s="97" t="n"/>
      <c r="M805" s="97" t="n"/>
      <c r="O805" s="97" t="n"/>
    </row>
    <row r="806" ht="15" customHeight="1" s="93">
      <c r="L806" s="97" t="n"/>
      <c r="M806" s="97" t="n"/>
      <c r="O806" s="97" t="n"/>
    </row>
    <row r="807" ht="15" customHeight="1" s="93">
      <c r="L807" s="97" t="n"/>
      <c r="M807" s="97" t="n"/>
      <c r="O807" s="97" t="n"/>
    </row>
    <row r="808" ht="15" customHeight="1" s="93">
      <c r="L808" s="97" t="n"/>
      <c r="M808" s="97" t="n"/>
      <c r="O808" s="97" t="n"/>
    </row>
    <row r="809" ht="15" customHeight="1" s="93">
      <c r="L809" s="97" t="n"/>
      <c r="M809" s="97" t="n"/>
      <c r="O809" s="97" t="n"/>
    </row>
    <row r="810" ht="15" customHeight="1" s="93">
      <c r="L810" s="97" t="n"/>
      <c r="M810" s="97" t="n"/>
      <c r="O810" s="97" t="n"/>
    </row>
    <row r="811" ht="15" customHeight="1" s="93">
      <c r="L811" s="97" t="n"/>
      <c r="M811" s="97" t="n"/>
      <c r="O811" s="97" t="n"/>
    </row>
    <row r="812" ht="15" customHeight="1" s="93">
      <c r="L812" s="97" t="n"/>
      <c r="M812" s="97" t="n"/>
      <c r="O812" s="97" t="n"/>
    </row>
    <row r="813" ht="15" customHeight="1" s="93">
      <c r="L813" s="97" t="n"/>
      <c r="M813" s="97" t="n"/>
      <c r="O813" s="97" t="n"/>
    </row>
    <row r="814" ht="15" customHeight="1" s="93">
      <c r="L814" s="97" t="n"/>
      <c r="M814" s="97" t="n"/>
      <c r="O814" s="97" t="n"/>
    </row>
    <row r="815" ht="15" customHeight="1" s="93">
      <c r="L815" s="97" t="n"/>
      <c r="M815" s="97" t="n"/>
      <c r="O815" s="97" t="n"/>
    </row>
    <row r="816" ht="15" customHeight="1" s="93">
      <c r="L816" s="97" t="n"/>
      <c r="M816" s="97" t="n"/>
      <c r="O816" s="97" t="n"/>
    </row>
    <row r="817" ht="15" customHeight="1" s="93">
      <c r="L817" s="97" t="n"/>
      <c r="M817" s="97" t="n"/>
      <c r="O817" s="97" t="n"/>
    </row>
    <row r="818" ht="15" customHeight="1" s="93">
      <c r="L818" s="97" t="n"/>
      <c r="M818" s="97" t="n"/>
      <c r="O818" s="97" t="n"/>
    </row>
    <row r="819" ht="15" customHeight="1" s="93">
      <c r="L819" s="97" t="n"/>
      <c r="M819" s="97" t="n"/>
      <c r="O819" s="97" t="n"/>
    </row>
    <row r="820" ht="15" customHeight="1" s="93">
      <c r="L820" s="97" t="n"/>
      <c r="M820" s="97" t="n"/>
      <c r="O820" s="97" t="n"/>
    </row>
    <row r="821" ht="15" customHeight="1" s="93">
      <c r="L821" s="97" t="n"/>
      <c r="M821" s="97" t="n"/>
      <c r="O821" s="97" t="n"/>
    </row>
    <row r="822" ht="15" customHeight="1" s="93">
      <c r="L822" s="97" t="n"/>
      <c r="M822" s="97" t="n"/>
      <c r="O822" s="97" t="n"/>
    </row>
    <row r="823" ht="15" customHeight="1" s="93">
      <c r="L823" s="97" t="n"/>
      <c r="M823" s="97" t="n"/>
      <c r="O823" s="97" t="n"/>
    </row>
    <row r="824" ht="15" customHeight="1" s="93">
      <c r="L824" s="97" t="n"/>
      <c r="M824" s="97" t="n"/>
      <c r="O824" s="97" t="n"/>
    </row>
    <row r="825" ht="15" customHeight="1" s="93">
      <c r="L825" s="97" t="n"/>
      <c r="M825" s="97" t="n"/>
      <c r="O825" s="97" t="n"/>
    </row>
    <row r="826" ht="15" customHeight="1" s="93">
      <c r="L826" s="97" t="n"/>
      <c r="M826" s="97" t="n"/>
      <c r="O826" s="97" t="n"/>
    </row>
    <row r="827" ht="15" customHeight="1" s="93">
      <c r="L827" s="97" t="n"/>
      <c r="M827" s="97" t="n"/>
      <c r="O827" s="97" t="n"/>
    </row>
    <row r="828" ht="15" customHeight="1" s="93">
      <c r="L828" s="97" t="n"/>
      <c r="M828" s="97" t="n"/>
      <c r="O828" s="97" t="n"/>
    </row>
    <row r="829" ht="15" customHeight="1" s="93">
      <c r="L829" s="97" t="n"/>
      <c r="M829" s="97" t="n"/>
      <c r="O829" s="97" t="n"/>
    </row>
    <row r="830" ht="15" customHeight="1" s="93">
      <c r="L830" s="97" t="n"/>
      <c r="M830" s="97" t="n"/>
      <c r="O830" s="97" t="n"/>
    </row>
    <row r="831" ht="15" customHeight="1" s="93">
      <c r="L831" s="97" t="n"/>
      <c r="M831" s="97" t="n"/>
      <c r="O831" s="97" t="n"/>
    </row>
    <row r="832" ht="15" customHeight="1" s="93">
      <c r="L832" s="97" t="n"/>
      <c r="M832" s="97" t="n"/>
      <c r="O832" s="97" t="n"/>
    </row>
    <row r="833" ht="15" customHeight="1" s="93">
      <c r="L833" s="97" t="n"/>
      <c r="M833" s="97" t="n"/>
      <c r="O833" s="97" t="n"/>
    </row>
    <row r="834" ht="15" customHeight="1" s="93">
      <c r="L834" s="97" t="n"/>
      <c r="M834" s="97" t="n"/>
      <c r="O834" s="97" t="n"/>
    </row>
    <row r="835" ht="15" customHeight="1" s="93">
      <c r="L835" s="97" t="n"/>
      <c r="M835" s="97" t="n"/>
      <c r="O835" s="97" t="n"/>
    </row>
    <row r="836" ht="15" customHeight="1" s="93">
      <c r="L836" s="97" t="n"/>
      <c r="M836" s="97" t="n"/>
      <c r="O836" s="97" t="n"/>
    </row>
    <row r="837" ht="15" customHeight="1" s="93">
      <c r="L837" s="97" t="n"/>
      <c r="M837" s="97" t="n"/>
      <c r="O837" s="97" t="n"/>
    </row>
    <row r="838" ht="15" customHeight="1" s="93">
      <c r="L838" s="97" t="n"/>
      <c r="M838" s="97" t="n"/>
      <c r="O838" s="97" t="n"/>
    </row>
    <row r="839" ht="15" customHeight="1" s="93">
      <c r="L839" s="97" t="n"/>
      <c r="M839" s="97" t="n"/>
      <c r="O839" s="97" t="n"/>
    </row>
    <row r="840" ht="15" customHeight="1" s="93">
      <c r="L840" s="97" t="n"/>
      <c r="M840" s="97" t="n"/>
      <c r="O840" s="97" t="n"/>
    </row>
    <row r="841" ht="15" customHeight="1" s="93">
      <c r="L841" s="97" t="n"/>
      <c r="M841" s="97" t="n"/>
      <c r="O841" s="97" t="n"/>
    </row>
    <row r="842" ht="15" customHeight="1" s="93">
      <c r="L842" s="97" t="n"/>
      <c r="M842" s="97" t="n"/>
      <c r="O842" s="97" t="n"/>
    </row>
    <row r="843" ht="15" customHeight="1" s="93">
      <c r="L843" s="97" t="n"/>
      <c r="M843" s="97" t="n"/>
      <c r="O843" s="97" t="n"/>
    </row>
    <row r="844" ht="15" customHeight="1" s="93">
      <c r="L844" s="97" t="n"/>
      <c r="M844" s="97" t="n"/>
      <c r="O844" s="97" t="n"/>
    </row>
    <row r="845" ht="15" customHeight="1" s="93">
      <c r="L845" s="97" t="n"/>
      <c r="M845" s="97" t="n"/>
      <c r="O845" s="97" t="n"/>
    </row>
    <row r="846" ht="15" customHeight="1" s="93">
      <c r="L846" s="97" t="n"/>
      <c r="M846" s="97" t="n"/>
      <c r="O846" s="97" t="n"/>
    </row>
    <row r="847" ht="15" customHeight="1" s="93">
      <c r="L847" s="97" t="n"/>
      <c r="M847" s="97" t="n"/>
      <c r="O847" s="97" t="n"/>
    </row>
    <row r="848" ht="15" customHeight="1" s="93">
      <c r="L848" s="97" t="n"/>
      <c r="M848" s="97" t="n"/>
      <c r="O848" s="97" t="n"/>
    </row>
    <row r="849" ht="15" customHeight="1" s="93">
      <c r="L849" s="97" t="n"/>
      <c r="M849" s="97" t="n"/>
      <c r="O849" s="97" t="n"/>
    </row>
    <row r="850" ht="15" customHeight="1" s="93">
      <c r="L850" s="97" t="n"/>
      <c r="M850" s="97" t="n"/>
      <c r="O850" s="97" t="n"/>
    </row>
    <row r="851" ht="15" customHeight="1" s="93">
      <c r="L851" s="97" t="n"/>
      <c r="M851" s="97" t="n"/>
      <c r="O851" s="97" t="n"/>
    </row>
    <row r="852" ht="15" customHeight="1" s="93">
      <c r="L852" s="97" t="n"/>
      <c r="M852" s="97" t="n"/>
      <c r="O852" s="97" t="n"/>
    </row>
    <row r="853" ht="15" customHeight="1" s="93">
      <c r="L853" s="97" t="n"/>
      <c r="M853" s="97" t="n"/>
      <c r="O853" s="97" t="n"/>
    </row>
    <row r="854" ht="15" customHeight="1" s="93">
      <c r="L854" s="97" t="n"/>
      <c r="M854" s="97" t="n"/>
      <c r="O854" s="97" t="n"/>
    </row>
    <row r="855" ht="15" customHeight="1" s="93">
      <c r="L855" s="97" t="n"/>
      <c r="M855" s="97" t="n"/>
      <c r="O855" s="97" t="n"/>
    </row>
    <row r="856" ht="15" customHeight="1" s="93">
      <c r="L856" s="97" t="n"/>
      <c r="M856" s="97" t="n"/>
      <c r="O856" s="97" t="n"/>
    </row>
    <row r="857" ht="15" customHeight="1" s="93">
      <c r="L857" s="97" t="n"/>
      <c r="M857" s="97" t="n"/>
      <c r="O857" s="97" t="n"/>
    </row>
    <row r="858" ht="15" customHeight="1" s="93">
      <c r="L858" s="97" t="n"/>
      <c r="M858" s="97" t="n"/>
      <c r="O858" s="97" t="n"/>
    </row>
    <row r="859" ht="15" customHeight="1" s="93">
      <c r="L859" s="97" t="n"/>
      <c r="M859" s="97" t="n"/>
      <c r="O859" s="97" t="n"/>
    </row>
    <row r="860" ht="15" customHeight="1" s="93">
      <c r="L860" s="97" t="n"/>
      <c r="M860" s="97" t="n"/>
      <c r="O860" s="97" t="n"/>
    </row>
    <row r="861" ht="15" customHeight="1" s="93">
      <c r="L861" s="97" t="n"/>
      <c r="M861" s="97" t="n"/>
      <c r="O861" s="97" t="n"/>
    </row>
    <row r="862" ht="15" customHeight="1" s="93">
      <c r="L862" s="97" t="n"/>
      <c r="M862" s="97" t="n"/>
      <c r="O862" s="97" t="n"/>
    </row>
    <row r="863" ht="15" customHeight="1" s="93">
      <c r="L863" s="97" t="n"/>
      <c r="M863" s="97" t="n"/>
      <c r="O863" s="97" t="n"/>
    </row>
    <row r="864" ht="15" customHeight="1" s="93">
      <c r="L864" s="97" t="n"/>
      <c r="M864" s="97" t="n"/>
      <c r="O864" s="97" t="n"/>
    </row>
    <row r="865" ht="15" customHeight="1" s="93">
      <c r="L865" s="97" t="n"/>
      <c r="M865" s="97" t="n"/>
      <c r="O865" s="97" t="n"/>
    </row>
    <row r="866" ht="15" customHeight="1" s="93">
      <c r="L866" s="97" t="n"/>
      <c r="M866" s="97" t="n"/>
      <c r="O866" s="97" t="n"/>
    </row>
    <row r="867" ht="15" customHeight="1" s="93">
      <c r="L867" s="97" t="n"/>
      <c r="M867" s="97" t="n"/>
      <c r="O867" s="97" t="n"/>
    </row>
    <row r="868" ht="15" customHeight="1" s="93">
      <c r="L868" s="97" t="n"/>
      <c r="M868" s="97" t="n"/>
      <c r="O868" s="97" t="n"/>
    </row>
    <row r="869" ht="15" customHeight="1" s="93">
      <c r="L869" s="97" t="n"/>
      <c r="M869" s="97" t="n"/>
      <c r="O869" s="97" t="n"/>
    </row>
    <row r="870" ht="15" customHeight="1" s="93">
      <c r="L870" s="97" t="n"/>
      <c r="M870" s="97" t="n"/>
      <c r="O870" s="97" t="n"/>
    </row>
    <row r="871" ht="15" customHeight="1" s="93">
      <c r="L871" s="97" t="n"/>
      <c r="M871" s="97" t="n"/>
      <c r="O871" s="97" t="n"/>
    </row>
    <row r="872" ht="15" customHeight="1" s="93">
      <c r="L872" s="97" t="n"/>
      <c r="M872" s="97" t="n"/>
      <c r="O872" s="97" t="n"/>
    </row>
    <row r="873" ht="15" customHeight="1" s="93">
      <c r="L873" s="97" t="n"/>
      <c r="M873" s="97" t="n"/>
      <c r="O873" s="97" t="n"/>
    </row>
    <row r="874" ht="15" customHeight="1" s="93">
      <c r="L874" s="97" t="n"/>
      <c r="M874" s="97" t="n"/>
      <c r="O874" s="97" t="n"/>
    </row>
    <row r="875" ht="15" customHeight="1" s="93">
      <c r="L875" s="97" t="n"/>
      <c r="M875" s="97" t="n"/>
      <c r="O875" s="97" t="n"/>
    </row>
    <row r="876" ht="15" customHeight="1" s="93">
      <c r="L876" s="97" t="n"/>
      <c r="M876" s="97" t="n"/>
      <c r="O876" s="97" t="n"/>
    </row>
    <row r="877" ht="15" customHeight="1" s="93">
      <c r="L877" s="97" t="n"/>
      <c r="M877" s="97" t="n"/>
      <c r="O877" s="97" t="n"/>
    </row>
    <row r="878" ht="15" customHeight="1" s="93">
      <c r="L878" s="97" t="n"/>
      <c r="M878" s="97" t="n"/>
      <c r="O878" s="97" t="n"/>
    </row>
    <row r="879" ht="15" customHeight="1" s="93">
      <c r="L879" s="97" t="n"/>
      <c r="M879" s="97" t="n"/>
      <c r="O879" s="97" t="n"/>
    </row>
    <row r="880" ht="15" customHeight="1" s="93">
      <c r="L880" s="97" t="n"/>
      <c r="M880" s="97" t="n"/>
      <c r="O880" s="97" t="n"/>
    </row>
    <row r="881" ht="15" customHeight="1" s="93">
      <c r="L881" s="97" t="n"/>
      <c r="M881" s="97" t="n"/>
      <c r="O881" s="97" t="n"/>
    </row>
    <row r="882" ht="15" customHeight="1" s="93">
      <c r="L882" s="97" t="n"/>
      <c r="M882" s="97" t="n"/>
      <c r="O882" s="97" t="n"/>
    </row>
    <row r="883" ht="15" customHeight="1" s="93">
      <c r="L883" s="97" t="n"/>
      <c r="M883" s="97" t="n"/>
      <c r="O883" s="97" t="n"/>
    </row>
    <row r="884" ht="15" customHeight="1" s="93">
      <c r="L884" s="97" t="n"/>
      <c r="M884" s="97" t="n"/>
      <c r="O884" s="97" t="n"/>
    </row>
    <row r="885" ht="15" customHeight="1" s="93">
      <c r="L885" s="97" t="n"/>
      <c r="M885" s="97" t="n"/>
      <c r="O885" s="97" t="n"/>
    </row>
    <row r="886" ht="15" customHeight="1" s="93">
      <c r="L886" s="97" t="n"/>
      <c r="M886" s="97" t="n"/>
      <c r="O886" s="97" t="n"/>
    </row>
    <row r="887" ht="15" customHeight="1" s="93">
      <c r="L887" s="97" t="n"/>
      <c r="M887" s="97" t="n"/>
      <c r="O887" s="97" t="n"/>
    </row>
    <row r="888" ht="15" customHeight="1" s="93">
      <c r="L888" s="97" t="n"/>
      <c r="M888" s="97" t="n"/>
      <c r="O888" s="97" t="n"/>
    </row>
    <row r="889" ht="15" customHeight="1" s="93">
      <c r="L889" s="97" t="n"/>
      <c r="M889" s="97" t="n"/>
      <c r="O889" s="97" t="n"/>
    </row>
    <row r="890" ht="15" customHeight="1" s="93">
      <c r="L890" s="97" t="n"/>
      <c r="M890" s="97" t="n"/>
      <c r="O890" s="97" t="n"/>
    </row>
    <row r="891" ht="15" customHeight="1" s="93">
      <c r="L891" s="97" t="n"/>
      <c r="M891" s="97" t="n"/>
      <c r="O891" s="97" t="n"/>
    </row>
    <row r="892" ht="15" customHeight="1" s="93">
      <c r="L892" s="97" t="n"/>
      <c r="M892" s="97" t="n"/>
      <c r="O892" s="97" t="n"/>
    </row>
    <row r="893" ht="15" customHeight="1" s="93">
      <c r="L893" s="97" t="n"/>
      <c r="M893" s="97" t="n"/>
      <c r="O893" s="97" t="n"/>
    </row>
    <row r="894" ht="15" customHeight="1" s="93">
      <c r="L894" s="97" t="n"/>
      <c r="M894" s="97" t="n"/>
      <c r="O894" s="97" t="n"/>
    </row>
    <row r="895" ht="15" customHeight="1" s="93">
      <c r="L895" s="97" t="n"/>
      <c r="M895" s="97" t="n"/>
      <c r="O895" s="97" t="n"/>
    </row>
    <row r="896" ht="15" customHeight="1" s="93">
      <c r="L896" s="97" t="n"/>
      <c r="M896" s="97" t="n"/>
      <c r="O896" s="97" t="n"/>
    </row>
    <row r="897" ht="15" customHeight="1" s="93">
      <c r="L897" s="97" t="n"/>
      <c r="M897" s="97" t="n"/>
      <c r="O897" s="97" t="n"/>
    </row>
    <row r="898" ht="15" customHeight="1" s="93">
      <c r="L898" s="97" t="n"/>
      <c r="M898" s="97" t="n"/>
      <c r="O898" s="97" t="n"/>
    </row>
    <row r="899" ht="15" customHeight="1" s="93">
      <c r="L899" s="97" t="n"/>
      <c r="M899" s="97" t="n"/>
      <c r="O899" s="97" t="n"/>
    </row>
    <row r="900" ht="15" customHeight="1" s="93">
      <c r="L900" s="97" t="n"/>
      <c r="M900" s="97" t="n"/>
      <c r="O900" s="97" t="n"/>
    </row>
    <row r="901" ht="15" customHeight="1" s="93">
      <c r="L901" s="97" t="n"/>
      <c r="M901" s="97" t="n"/>
      <c r="O901" s="97" t="n"/>
    </row>
    <row r="902" ht="15" customHeight="1" s="93">
      <c r="L902" s="97" t="n"/>
      <c r="M902" s="97" t="n"/>
      <c r="O902" s="97" t="n"/>
    </row>
    <row r="903" ht="15" customHeight="1" s="93">
      <c r="L903" s="97" t="n"/>
      <c r="M903" s="97" t="n"/>
      <c r="O903" s="97" t="n"/>
    </row>
    <row r="904" ht="15" customHeight="1" s="93">
      <c r="L904" s="97" t="n"/>
      <c r="M904" s="97" t="n"/>
      <c r="O904" s="97" t="n"/>
    </row>
    <row r="905" ht="15" customHeight="1" s="93">
      <c r="L905" s="97" t="n"/>
      <c r="M905" s="97" t="n"/>
      <c r="O905" s="97" t="n"/>
    </row>
    <row r="906" ht="15" customHeight="1" s="93">
      <c r="L906" s="97" t="n"/>
      <c r="M906" s="97" t="n"/>
      <c r="O906" s="97" t="n"/>
    </row>
    <row r="907" ht="15" customHeight="1" s="93">
      <c r="L907" s="97" t="n"/>
      <c r="M907" s="97" t="n"/>
      <c r="O907" s="97" t="n"/>
    </row>
    <row r="908" ht="15" customHeight="1" s="93">
      <c r="L908" s="97" t="n"/>
      <c r="M908" s="97" t="n"/>
      <c r="O908" s="97" t="n"/>
    </row>
    <row r="909" ht="15" customHeight="1" s="93">
      <c r="L909" s="97" t="n"/>
      <c r="M909" s="97" t="n"/>
      <c r="O909" s="97" t="n"/>
    </row>
    <row r="910" ht="15" customHeight="1" s="93">
      <c r="L910" s="97" t="n"/>
      <c r="M910" s="97" t="n"/>
      <c r="O910" s="97" t="n"/>
    </row>
    <row r="911" ht="15" customHeight="1" s="93">
      <c r="L911" s="97" t="n"/>
      <c r="M911" s="97" t="n"/>
      <c r="O911" s="97" t="n"/>
    </row>
    <row r="912" ht="15" customHeight="1" s="93">
      <c r="L912" s="97" t="n"/>
      <c r="M912" s="97" t="n"/>
      <c r="O912" s="97" t="n"/>
    </row>
    <row r="913" ht="15" customHeight="1" s="93">
      <c r="L913" s="97" t="n"/>
      <c r="M913" s="97" t="n"/>
      <c r="O913" s="97" t="n"/>
    </row>
    <row r="914" ht="15" customHeight="1" s="93">
      <c r="L914" s="97" t="n"/>
      <c r="M914" s="97" t="n"/>
      <c r="O914" s="97" t="n"/>
    </row>
    <row r="915" ht="15" customHeight="1" s="93">
      <c r="L915" s="97" t="n"/>
      <c r="M915" s="97" t="n"/>
      <c r="O915" s="97" t="n"/>
    </row>
    <row r="916" ht="15" customHeight="1" s="93">
      <c r="L916" s="97" t="n"/>
      <c r="M916" s="97" t="n"/>
      <c r="O916" s="97" t="n"/>
    </row>
    <row r="917" ht="15" customHeight="1" s="93">
      <c r="L917" s="97" t="n"/>
      <c r="M917" s="97" t="n"/>
      <c r="O917" s="97" t="n"/>
    </row>
    <row r="918" ht="15" customHeight="1" s="93">
      <c r="L918" s="97" t="n"/>
      <c r="M918" s="97" t="n"/>
      <c r="O918" s="97" t="n"/>
    </row>
    <row r="919" ht="15" customHeight="1" s="93">
      <c r="L919" s="97" t="n"/>
      <c r="M919" s="97" t="n"/>
      <c r="O919" s="97" t="n"/>
    </row>
    <row r="920" ht="15" customHeight="1" s="93">
      <c r="L920" s="97" t="n"/>
      <c r="M920" s="97" t="n"/>
      <c r="O920" s="97" t="n"/>
    </row>
    <row r="921" ht="15" customHeight="1" s="93">
      <c r="L921" s="97" t="n"/>
      <c r="M921" s="97" t="n"/>
      <c r="O921" s="97" t="n"/>
    </row>
    <row r="922" ht="15" customHeight="1" s="93">
      <c r="L922" s="97" t="n"/>
      <c r="M922" s="97" t="n"/>
      <c r="O922" s="97" t="n"/>
    </row>
    <row r="923" ht="15" customHeight="1" s="93">
      <c r="L923" s="97" t="n"/>
      <c r="M923" s="97" t="n"/>
      <c r="O923" s="97" t="n"/>
    </row>
    <row r="924" ht="15" customHeight="1" s="93">
      <c r="L924" s="97" t="n"/>
      <c r="M924" s="97" t="n"/>
      <c r="O924" s="97" t="n"/>
    </row>
    <row r="925" ht="15" customHeight="1" s="93">
      <c r="L925" s="97" t="n"/>
      <c r="M925" s="97" t="n"/>
      <c r="O925" s="97" t="n"/>
    </row>
    <row r="926" ht="15" customHeight="1" s="93">
      <c r="L926" s="97" t="n"/>
      <c r="M926" s="97" t="n"/>
      <c r="O926" s="97" t="n"/>
    </row>
    <row r="927" ht="15" customHeight="1" s="93">
      <c r="L927" s="97" t="n"/>
      <c r="M927" s="97" t="n"/>
      <c r="O927" s="97" t="n"/>
    </row>
    <row r="928" ht="15" customHeight="1" s="93">
      <c r="L928" s="97" t="n"/>
      <c r="M928" s="97" t="n"/>
      <c r="O928" s="97" t="n"/>
    </row>
    <row r="929" ht="15" customHeight="1" s="93">
      <c r="L929" s="97" t="n"/>
      <c r="M929" s="97" t="n"/>
      <c r="O929" s="97" t="n"/>
    </row>
    <row r="930" ht="15" customHeight="1" s="93">
      <c r="L930" s="97" t="n"/>
      <c r="M930" s="97" t="n"/>
      <c r="O930" s="97" t="n"/>
    </row>
    <row r="931" ht="15" customHeight="1" s="93">
      <c r="L931" s="97" t="n"/>
      <c r="M931" s="97" t="n"/>
      <c r="O931" s="97" t="n"/>
    </row>
    <row r="932" ht="15" customHeight="1" s="93">
      <c r="L932" s="97" t="n"/>
      <c r="M932" s="97" t="n"/>
      <c r="O932" s="97" t="n"/>
    </row>
    <row r="933" ht="15" customHeight="1" s="93">
      <c r="L933" s="97" t="n"/>
      <c r="M933" s="97" t="n"/>
      <c r="O933" s="97" t="n"/>
    </row>
    <row r="934" ht="15" customHeight="1" s="93">
      <c r="L934" s="97" t="n"/>
      <c r="M934" s="97" t="n"/>
      <c r="O934" s="97" t="n"/>
    </row>
    <row r="935" ht="15" customHeight="1" s="93">
      <c r="L935" s="97" t="n"/>
      <c r="M935" s="97" t="n"/>
      <c r="O935" s="97" t="n"/>
    </row>
    <row r="936" ht="15" customHeight="1" s="93">
      <c r="L936" s="97" t="n"/>
      <c r="M936" s="97" t="n"/>
      <c r="O936" s="97" t="n"/>
    </row>
    <row r="937" ht="15" customHeight="1" s="93">
      <c r="L937" s="97" t="n"/>
      <c r="M937" s="97" t="n"/>
      <c r="O937" s="97" t="n"/>
    </row>
    <row r="938" ht="15" customHeight="1" s="93">
      <c r="L938" s="97" t="n"/>
      <c r="M938" s="97" t="n"/>
      <c r="O938" s="97" t="n"/>
    </row>
    <row r="939" ht="15" customHeight="1" s="93">
      <c r="L939" s="97" t="n"/>
      <c r="M939" s="97" t="n"/>
      <c r="O939" s="97" t="n"/>
    </row>
    <row r="940" ht="15" customHeight="1" s="93">
      <c r="L940" s="97" t="n"/>
      <c r="M940" s="97" t="n"/>
      <c r="O940" s="97" t="n"/>
    </row>
    <row r="941" ht="15" customHeight="1" s="93">
      <c r="L941" s="97" t="n"/>
      <c r="M941" s="97" t="n"/>
      <c r="O941" s="97" t="n"/>
    </row>
    <row r="942" ht="15" customHeight="1" s="93">
      <c r="L942" s="97" t="n"/>
      <c r="M942" s="97" t="n"/>
      <c r="O942" s="97" t="n"/>
    </row>
    <row r="943" ht="15" customHeight="1" s="93">
      <c r="L943" s="97" t="n"/>
      <c r="M943" s="97" t="n"/>
      <c r="O943" s="97" t="n"/>
    </row>
    <row r="944" ht="15" customHeight="1" s="93">
      <c r="L944" s="97" t="n"/>
      <c r="M944" s="97" t="n"/>
      <c r="O944" s="97" t="n"/>
    </row>
    <row r="945" ht="15" customHeight="1" s="93">
      <c r="L945" s="97" t="n"/>
      <c r="M945" s="97" t="n"/>
      <c r="O945" s="97" t="n"/>
    </row>
    <row r="946" ht="15" customHeight="1" s="93">
      <c r="L946" s="97" t="n"/>
      <c r="M946" s="97" t="n"/>
      <c r="O946" s="97" t="n"/>
    </row>
    <row r="947" ht="15" customHeight="1" s="93">
      <c r="L947" s="97" t="n"/>
      <c r="M947" s="97" t="n"/>
      <c r="O947" s="97" t="n"/>
    </row>
    <row r="948" ht="15" customHeight="1" s="93">
      <c r="L948" s="97" t="n"/>
      <c r="M948" s="97" t="n"/>
      <c r="O948" s="97" t="n"/>
    </row>
    <row r="949" ht="15" customHeight="1" s="93">
      <c r="L949" s="97" t="n"/>
      <c r="M949" s="97" t="n"/>
      <c r="O949" s="97" t="n"/>
    </row>
    <row r="950" ht="15" customHeight="1" s="93">
      <c r="L950" s="97" t="n"/>
      <c r="M950" s="97" t="n"/>
      <c r="O950" s="97" t="n"/>
    </row>
    <row r="951" ht="15" customHeight="1" s="93">
      <c r="L951" s="97" t="n"/>
      <c r="M951" s="97" t="n"/>
      <c r="O951" s="97" t="n"/>
    </row>
    <row r="952" ht="15" customHeight="1" s="93">
      <c r="L952" s="97" t="n"/>
      <c r="M952" s="97" t="n"/>
      <c r="O952" s="97" t="n"/>
    </row>
    <row r="953" ht="15" customHeight="1" s="93">
      <c r="L953" s="97" t="n"/>
      <c r="M953" s="97" t="n"/>
      <c r="O953" s="97" t="n"/>
    </row>
    <row r="954" ht="15" customHeight="1" s="93">
      <c r="L954" s="97" t="n"/>
      <c r="M954" s="97" t="n"/>
      <c r="O954" s="97" t="n"/>
    </row>
    <row r="955" ht="15" customHeight="1" s="93">
      <c r="L955" s="97" t="n"/>
      <c r="M955" s="97" t="n"/>
      <c r="O955" s="97" t="n"/>
    </row>
    <row r="956" ht="15" customHeight="1" s="93">
      <c r="L956" s="97" t="n"/>
      <c r="M956" s="97" t="n"/>
      <c r="O956" s="97" t="n"/>
    </row>
    <row r="957" ht="15" customHeight="1" s="93">
      <c r="L957" s="97" t="n"/>
      <c r="M957" s="97" t="n"/>
      <c r="O957" s="97" t="n"/>
    </row>
    <row r="958" ht="15" customHeight="1" s="93">
      <c r="L958" s="97" t="n"/>
      <c r="M958" s="97" t="n"/>
      <c r="O958" s="97" t="n"/>
    </row>
    <row r="959" ht="15" customHeight="1" s="93">
      <c r="L959" s="97" t="n"/>
      <c r="M959" s="97" t="n"/>
      <c r="O959" s="97" t="n"/>
    </row>
    <row r="960" ht="15" customHeight="1" s="93">
      <c r="L960" s="97" t="n"/>
      <c r="M960" s="97" t="n"/>
      <c r="O960" s="97" t="n"/>
    </row>
    <row r="961" ht="15" customHeight="1" s="93">
      <c r="L961" s="97" t="n"/>
      <c r="M961" s="97" t="n"/>
      <c r="O961" s="97" t="n"/>
    </row>
    <row r="962" ht="15" customHeight="1" s="93">
      <c r="L962" s="97" t="n"/>
      <c r="M962" s="97" t="n"/>
      <c r="O962" s="97" t="n"/>
    </row>
    <row r="963" ht="15" customHeight="1" s="93">
      <c r="L963" s="97" t="n"/>
      <c r="M963" s="97" t="n"/>
      <c r="O963" s="97" t="n"/>
    </row>
    <row r="964" ht="15" customHeight="1" s="93">
      <c r="L964" s="97" t="n"/>
      <c r="M964" s="97" t="n"/>
      <c r="O964" s="97" t="n"/>
    </row>
    <row r="965" ht="15" customHeight="1" s="93">
      <c r="L965" s="97" t="n"/>
      <c r="M965" s="97" t="n"/>
      <c r="O965" s="97" t="n"/>
    </row>
    <row r="966" ht="15" customHeight="1" s="93">
      <c r="L966" s="97" t="n"/>
      <c r="M966" s="97" t="n"/>
      <c r="O966" s="97" t="n"/>
    </row>
    <row r="967" ht="15" customHeight="1" s="93">
      <c r="L967" s="97" t="n"/>
      <c r="M967" s="97" t="n"/>
      <c r="O967" s="97" t="n"/>
    </row>
    <row r="968" ht="15" customHeight="1" s="93">
      <c r="L968" s="97" t="n"/>
      <c r="M968" s="97" t="n"/>
      <c r="O968" s="97" t="n"/>
    </row>
    <row r="969" ht="15" customHeight="1" s="93">
      <c r="L969" s="97" t="n"/>
      <c r="M969" s="97" t="n"/>
      <c r="O969" s="97" t="n"/>
    </row>
    <row r="970" ht="15" customHeight="1" s="93">
      <c r="L970" s="97" t="n"/>
      <c r="M970" s="97" t="n"/>
      <c r="O970" s="97" t="n"/>
    </row>
    <row r="971" ht="15" customHeight="1" s="93">
      <c r="L971" s="97" t="n"/>
      <c r="M971" s="97" t="n"/>
      <c r="O971" s="97" t="n"/>
    </row>
    <row r="972" ht="15" customHeight="1" s="93">
      <c r="L972" s="97" t="n"/>
      <c r="M972" s="97" t="n"/>
      <c r="O972" s="97" t="n"/>
    </row>
    <row r="973" ht="15" customHeight="1" s="93">
      <c r="L973" s="97" t="n"/>
      <c r="M973" s="97" t="n"/>
      <c r="O973" s="97" t="n"/>
    </row>
    <row r="974" ht="15" customHeight="1" s="93">
      <c r="L974" s="97" t="n"/>
      <c r="M974" s="97" t="n"/>
      <c r="O974" s="97" t="n"/>
    </row>
    <row r="975" ht="15" customHeight="1" s="93">
      <c r="L975" s="97" t="n"/>
      <c r="M975" s="97" t="n"/>
      <c r="O975" s="97" t="n"/>
    </row>
    <row r="976" ht="15" customHeight="1" s="93">
      <c r="L976" s="97" t="n"/>
      <c r="M976" s="97" t="n"/>
      <c r="O976" s="97" t="n"/>
    </row>
    <row r="977" ht="15" customHeight="1" s="93">
      <c r="L977" s="97" t="n"/>
      <c r="M977" s="97" t="n"/>
      <c r="O977" s="97" t="n"/>
    </row>
    <row r="978" ht="15" customHeight="1" s="93">
      <c r="L978" s="97" t="n"/>
      <c r="M978" s="97" t="n"/>
      <c r="O978" s="97" t="n"/>
    </row>
    <row r="979" ht="15" customHeight="1" s="93">
      <c r="L979" s="97" t="n"/>
      <c r="M979" s="97" t="n"/>
      <c r="O979" s="97" t="n"/>
    </row>
    <row r="980" ht="15" customHeight="1" s="93">
      <c r="L980" s="97" t="n"/>
      <c r="M980" s="97" t="n"/>
      <c r="O980" s="97" t="n"/>
    </row>
    <row r="981" ht="15" customHeight="1" s="93">
      <c r="L981" s="97" t="n"/>
      <c r="M981" s="97" t="n"/>
      <c r="O981" s="97" t="n"/>
    </row>
    <row r="982" ht="15" customHeight="1" s="93">
      <c r="L982" s="97" t="n"/>
      <c r="M982" s="97" t="n"/>
      <c r="O982" s="97" t="n"/>
    </row>
    <row r="983" ht="15" customHeight="1" s="93">
      <c r="L983" s="97" t="n"/>
      <c r="M983" s="97" t="n"/>
      <c r="O983" s="97" t="n"/>
    </row>
    <row r="984" ht="15" customHeight="1" s="93">
      <c r="L984" s="97" t="n"/>
      <c r="M984" s="97" t="n"/>
      <c r="O984" s="97" t="n"/>
    </row>
    <row r="985" ht="15" customHeight="1" s="93">
      <c r="L985" s="97" t="n"/>
      <c r="M985" s="97" t="n"/>
      <c r="O985" s="97" t="n"/>
    </row>
    <row r="986" ht="15" customHeight="1" s="93">
      <c r="L986" s="97" t="n"/>
      <c r="M986" s="97" t="n"/>
      <c r="O986" s="97" t="n"/>
    </row>
    <row r="987" ht="15" customHeight="1" s="93">
      <c r="L987" s="97" t="n"/>
      <c r="M987" s="97" t="n"/>
      <c r="O987" s="97" t="n"/>
    </row>
    <row r="988" ht="15" customHeight="1" s="93">
      <c r="L988" s="97" t="n"/>
      <c r="M988" s="97" t="n"/>
      <c r="O988" s="97" t="n"/>
    </row>
    <row r="989" ht="15" customHeight="1" s="93">
      <c r="L989" s="97" t="n"/>
      <c r="M989" s="97" t="n"/>
      <c r="O989" s="97" t="n"/>
    </row>
    <row r="990" ht="15" customHeight="1" s="93">
      <c r="L990" s="97" t="n"/>
      <c r="M990" s="97" t="n"/>
      <c r="O990" s="97" t="n"/>
    </row>
    <row r="991" ht="15" customHeight="1" s="93">
      <c r="L991" s="97" t="n"/>
      <c r="M991" s="97" t="n"/>
      <c r="O991" s="97" t="n"/>
    </row>
    <row r="992" ht="15" customHeight="1" s="93">
      <c r="L992" s="97" t="n"/>
      <c r="M992" s="97" t="n"/>
      <c r="O992" s="97" t="n"/>
    </row>
    <row r="993" ht="15" customHeight="1" s="93">
      <c r="L993" s="97" t="n"/>
      <c r="M993" s="97" t="n"/>
      <c r="O993" s="97" t="n"/>
    </row>
    <row r="994" ht="15" customHeight="1" s="93">
      <c r="L994" s="97" t="n"/>
      <c r="M994" s="97" t="n"/>
      <c r="O994" s="97" t="n"/>
    </row>
    <row r="995" ht="15" customHeight="1" s="93">
      <c r="L995" s="97" t="n"/>
      <c r="M995" s="97" t="n"/>
      <c r="O995" s="97" t="n"/>
    </row>
    <row r="996" ht="15" customHeight="1" s="93">
      <c r="L996" s="97" t="n"/>
      <c r="M996" s="97" t="n"/>
      <c r="O996" s="97" t="n"/>
    </row>
    <row r="997" ht="15" customHeight="1" s="93">
      <c r="L997" s="97" t="n"/>
      <c r="M997" s="97" t="n"/>
      <c r="O997" s="97" t="n"/>
    </row>
    <row r="998" ht="15" customHeight="1" s="93"/>
    <row r="999" ht="15" customHeight="1" s="93"/>
    <row r="1000" ht="15" customHeight="1" s="93"/>
  </sheetData>
  <conditionalFormatting sqref="A2:Q998">
    <cfRule type="expression" rank="0" priority="2" equalAverage="0" aboveAverage="0" dxfId="11" text="" percent="0" bottom="0">
      <formula>$C2="US"</formula>
    </cfRule>
    <cfRule type="expression" rank="0" priority="3" equalAverage="0" aboveAverage="0" dxfId="12" text="" percent="0" bottom="0">
      <formula>$C2="MyMSC"</formula>
    </cfRule>
    <cfRule type="expression" rank="0" priority="4" equalAverage="0" aboveAverage="0" dxfId="13" text="" percent="0" bottom="0">
      <formula>$C2="Rollout"</formula>
    </cfRule>
    <cfRule type="expression" rank="0" priority="5" equalAverage="0" aboveAverage="0" dxfId="13" text="" percent="0" bottom="0">
      <formula>$C2="MVP Rollout"</formula>
    </cfRule>
    <cfRule type="expression" rank="0" priority="6" equalAverage="0" aboveAverage="0" dxfId="14" text="" percent="0" bottom="0">
      <formula>$C2="Backlog"</formula>
    </cfRule>
    <cfRule type="expression" rank="0" priority="7" equalAverage="0" aboveAverage="0" dxfId="14" text="" percent="0" bottom="0">
      <formula>$C2="Growth"</formula>
    </cfRule>
    <cfRule type="expression" rank="0" priority="8" equalAverage="0" aboveAverage="0" dxfId="15" text="" percent="0" bottom="0">
      <formula>$C2="Tech Enhancements"</formula>
    </cfRule>
    <cfRule type="expression" rank="0" priority="9" equalAverage="0" aboveAverage="0" dxfId="16" text="" percent="0" bottom="0">
      <formula>LEFT($C2,2)="PI"</formula>
    </cfRule>
  </conditionalFormatting>
  <dataValidations count="1">
    <dataValidation sqref="F2:G498" showDropDown="0" showInputMessage="0" showErrorMessage="0" allowBlank="1" type="list" errorStyle="stop" operator="between">
      <formula1>"Yes,No,NA"</formula1>
      <formula2>0</formula2>
    </dataValidation>
  </dataValidations>
  <hyperlinks>
    <hyperlink xmlns:r="http://schemas.openxmlformats.org/officeDocument/2006/relationships" ref="O4" display="https://smartship.atlassian.net/browse/DTTP25-352"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2"/>
  </tableParts>
</worksheet>
</file>

<file path=xl/worksheets/sheet5.xml><?xml version="1.0" encoding="utf-8"?>
<worksheet xmlns="http://schemas.openxmlformats.org/spreadsheetml/2006/main">
  <sheetPr filterMode="0">
    <outlinePr summaryBelow="1" summaryRight="1"/>
    <pageSetUpPr fitToPage="0"/>
  </sheetPr>
  <dimension ref="A1:J497"/>
  <sheetViews>
    <sheetView showFormulas="0" showGridLines="1" showRowColHeaders="1" showZeros="1" rightToLeft="0" tabSelected="0" showOutlineSymbols="1" defaultGridColor="1" view="normal" topLeftCell="B1" colorId="64" zoomScale="174" zoomScaleNormal="174" zoomScalePageLayoutView="100" workbookViewId="0">
      <pane xSplit="0" ySplit="1" topLeftCell="A93" activePane="bottomLeft" state="frozen"/>
      <selection pane="topLeft" activeCell="B1" activeCellId="0" sqref="B1"/>
      <selection pane="bottomLeft" activeCell="E113" activeCellId="0" sqref="E113"/>
    </sheetView>
  </sheetViews>
  <sheetFormatPr baseColWidth="8" defaultColWidth="8.66796875" defaultRowHeight="15" customHeight="0" zeroHeight="0" outlineLevelRow="0"/>
  <cols>
    <col width="16" customWidth="1" style="92" min="1" max="1"/>
    <col width="78" customWidth="1" style="92" min="2" max="2"/>
    <col width="12" customWidth="1" style="92" min="3" max="4"/>
    <col width="14" customWidth="1" style="92" min="5" max="6"/>
    <col width="8" customWidth="1" style="92" min="7" max="7"/>
    <col hidden="1" width="10.33" customWidth="1" style="92" min="8" max="8"/>
    <col width="14" customWidth="1" style="92" min="9" max="9"/>
    <col width="12" customWidth="1" style="92" min="10" max="10"/>
  </cols>
  <sheetData>
    <row r="1" ht="30" customHeight="1" s="93">
      <c r="A1" s="113" t="inlineStr">
        <is>
          <t>Requirement ID</t>
        </is>
      </c>
      <c r="B1" s="114" t="inlineStr">
        <is>
          <t>Requirement Name</t>
        </is>
      </c>
      <c r="C1" s="114" t="inlineStr">
        <is>
          <t>Stream</t>
        </is>
      </c>
      <c r="D1" s="114" t="inlineStr">
        <is>
          <t>Priority</t>
        </is>
      </c>
      <c r="E1" s="114" t="inlineStr">
        <is>
          <t>Status</t>
        </is>
      </c>
      <c r="F1" s="113" t="inlineStr">
        <is>
          <t>Sprint</t>
        </is>
      </c>
      <c r="G1" s="114" t="inlineStr">
        <is>
          <t>HLE</t>
        </is>
      </c>
      <c r="H1" s="114" t="inlineStr">
        <is>
          <t>Sort Key</t>
        </is>
      </c>
      <c r="I1" s="150" t="inlineStr">
        <is>
          <t>Total HLE by Sprint</t>
        </is>
      </c>
      <c r="J1" s="151" t="n"/>
    </row>
    <row r="2" ht="15" customHeight="1" s="93">
      <c r="A2" s="115">
        <f>Backlog!A2</f>
        <v/>
      </c>
      <c r="B2" s="117">
        <f>IFERROR(IF(ISBLANK(INDEX(Backlog[Requirement Name],MATCH($A2,Backlog[Requirement ID],0))),"",INDEX(Backlog[Requirement Name],MATCH($A2,Backlog[Requirement ID],0))),"")</f>
        <v/>
      </c>
      <c r="C2" s="117">
        <f>IFERROR(IF(ISBLANK(INDEX(Backlog[Stream],MATCH($A2,Backlog[Requirement ID],0))),"",INDEX(Backlog[Stream],MATCH($A2,Backlog[Requirement ID],0))),"")</f>
        <v/>
      </c>
      <c r="D2" s="117">
        <f>IFERROR(IF(ISBLANK(INDEX(Backlog[Priority],MATCH($A2,Backlog[Requirement ID],0))),"",INDEX(Backlog[Priority],MATCH($A2,Backlog[Requirement ID],0))),"")</f>
        <v/>
      </c>
      <c r="E2" s="117">
        <f>IFERROR(IF(ISBLANK(INDEX(Backlog[Status],MATCH($A2,Backlog[Requirement ID],0))),"",INDEX(Backlog[Status],MATCH($A2,Backlog[Requirement ID],0))),"")</f>
        <v/>
      </c>
      <c r="F2" s="115" t="inlineStr">
        <is>
          <t>To Plan</t>
        </is>
      </c>
      <c r="G2" s="117">
        <f>IFERROR(IF(ISBLANK(INDEX(Backlog[HLE],MATCH($A2,Backlog[Requirement ID],0))),"",INDEX(Backlog[HLE],MATCH($A2,Backlog[Requirement ID],0))),"")</f>
        <v/>
      </c>
      <c r="H2" s="152">
        <f>IFERROR(VALUE(SUBSTITUTE($F2,"Sprint ","")),9999)</f>
        <v/>
      </c>
      <c r="I2" s="153" t="inlineStr">
        <is>
          <t>Sprint</t>
        </is>
      </c>
      <c r="J2" s="153" t="inlineStr">
        <is>
          <t>Total HLE</t>
        </is>
      </c>
    </row>
    <row r="3" ht="15" customHeight="1" s="93">
      <c r="A3" s="115">
        <f>Backlog!A3</f>
        <v/>
      </c>
      <c r="B3" s="117">
        <f>IFERROR(IF(ISBLANK(INDEX(Backlog[Requirement Name],MATCH($A3,Backlog[Requirement ID],0))),"",INDEX(Backlog[Requirement Name],MATCH($A3,Backlog[Requirement ID],0))),"")</f>
        <v/>
      </c>
      <c r="C3" s="117">
        <f>IFERROR(IF(ISBLANK(INDEX(Backlog[Stream],MATCH($A3,Backlog[Requirement ID],0))),"",INDEX(Backlog[Stream],MATCH($A3,Backlog[Requirement ID],0))),"")</f>
        <v/>
      </c>
      <c r="D3" s="117">
        <f>IFERROR(IF(ISBLANK(INDEX(Backlog[Priority],MATCH($A3,Backlog[Requirement ID],0))),"",INDEX(Backlog[Priority],MATCH($A3,Backlog[Requirement ID],0))),"")</f>
        <v/>
      </c>
      <c r="E3" s="117">
        <f>IFERROR(IF(ISBLANK(INDEX(Backlog[Status],MATCH($A3,Backlog[Requirement ID],0))),"",INDEX(Backlog[Status],MATCH($A3,Backlog[Requirement ID],0))),"")</f>
        <v/>
      </c>
      <c r="F3" s="115" t="inlineStr">
        <is>
          <t>Sprint 10</t>
        </is>
      </c>
      <c r="G3" s="117">
        <f>IFERROR(IF(ISBLANK(INDEX(Backlog[HLE],MATCH($A3,Backlog[Requirement ID],0))),"",INDEX(Backlog[HLE],MATCH($A3,Backlog[Requirement ID],0))),"")</f>
        <v/>
      </c>
      <c r="H3" s="152">
        <f>IFERROR(VALUE(SUBSTITUTE($F3,"Sprint ","")),9999)</f>
        <v/>
      </c>
      <c r="I3" s="154" t="inlineStr">
        <is>
          <t>Sprint 1</t>
        </is>
      </c>
      <c r="J3" s="154">
        <f>SUMIFS(SprintPlanning[HLE],SprintPlanning[Sprint],I3)+SUMIFS('Q1 Backlog Report 2026'!$L:$L,'Q1 Backlog Report 2026'!$J:$J,I3)</f>
        <v/>
      </c>
    </row>
    <row r="4" ht="15" customHeight="1" s="93">
      <c r="A4" s="115">
        <f>Backlog!A4</f>
        <v/>
      </c>
      <c r="B4" s="117">
        <f>IFERROR(IF(ISBLANK(INDEX(Backlog[Requirement Name],MATCH($A4,Backlog[Requirement ID],0))),"",INDEX(Backlog[Requirement Name],MATCH($A4,Backlog[Requirement ID],0))),"")</f>
        <v/>
      </c>
      <c r="C4" s="117">
        <f>IFERROR(IF(ISBLANK(INDEX(Backlog[Stream],MATCH($A4,Backlog[Requirement ID],0))),"",INDEX(Backlog[Stream],MATCH($A4,Backlog[Requirement ID],0))),"")</f>
        <v/>
      </c>
      <c r="D4" s="117">
        <f>IFERROR(IF(ISBLANK(INDEX(Backlog[Priority],MATCH($A4,Backlog[Requirement ID],0))),"",INDEX(Backlog[Priority],MATCH($A4,Backlog[Requirement ID],0))),"")</f>
        <v/>
      </c>
      <c r="E4" s="117">
        <f>IFERROR(IF(ISBLANK(INDEX(Backlog[Status],MATCH($A4,Backlog[Requirement ID],0))),"",INDEX(Backlog[Status],MATCH($A4,Backlog[Requirement ID],0))),"")</f>
        <v/>
      </c>
      <c r="F4" s="115" t="inlineStr">
        <is>
          <t>Sprint 10</t>
        </is>
      </c>
      <c r="G4" s="117">
        <f>IFERROR(IF(ISBLANK(INDEX(Backlog[HLE],MATCH($A4,Backlog[Requirement ID],0))),"",INDEX(Backlog[HLE],MATCH($A4,Backlog[Requirement ID],0))),"")</f>
        <v/>
      </c>
      <c r="H4" s="152">
        <f>IFERROR(VALUE(SUBSTITUTE($F4,"Sprint ","")),9999)</f>
        <v/>
      </c>
      <c r="I4" s="154" t="inlineStr">
        <is>
          <t>Sprint 2</t>
        </is>
      </c>
      <c r="J4" s="154">
        <f>SUMIFS(SprintPlanning[HLE],SprintPlanning[Sprint],I4)+SUMIFS('Q1 Backlog Report 2026'!$L:$L,'Q1 Backlog Report 2026'!$J:$J,I4)</f>
        <v/>
      </c>
    </row>
    <row r="5" ht="15" customHeight="1" s="93">
      <c r="A5" s="115">
        <f>Backlog!A5</f>
        <v/>
      </c>
      <c r="B5" s="117">
        <f>IFERROR(IF(ISBLANK(INDEX(Backlog[Requirement Name],MATCH($A5,Backlog[Requirement ID],0))),"",INDEX(Backlog[Requirement Name],MATCH($A5,Backlog[Requirement ID],0))),"")</f>
        <v/>
      </c>
      <c r="C5" s="117">
        <f>IFERROR(IF(ISBLANK(INDEX(Backlog[Stream],MATCH($A5,Backlog[Requirement ID],0))),"",INDEX(Backlog[Stream],MATCH($A5,Backlog[Requirement ID],0))),"")</f>
        <v/>
      </c>
      <c r="D5" s="117">
        <f>IFERROR(IF(ISBLANK(INDEX(Backlog[Priority],MATCH($A5,Backlog[Requirement ID],0))),"",INDEX(Backlog[Priority],MATCH($A5,Backlog[Requirement ID],0))),"")</f>
        <v/>
      </c>
      <c r="E5" s="117">
        <f>IFERROR(IF(ISBLANK(INDEX(Backlog[Status],MATCH($A5,Backlog[Requirement ID],0))),"",INDEX(Backlog[Status],MATCH($A5,Backlog[Requirement ID],0))),"")</f>
        <v/>
      </c>
      <c r="F5" s="115" t="inlineStr">
        <is>
          <t>Sprint 10</t>
        </is>
      </c>
      <c r="G5" s="117">
        <f>IFERROR(IF(ISBLANK(INDEX(Backlog[HLE],MATCH($A5,Backlog[Requirement ID],0))),"",INDEX(Backlog[HLE],MATCH($A5,Backlog[Requirement ID],0))),"")</f>
        <v/>
      </c>
      <c r="H5" s="152">
        <f>IFERROR(VALUE(SUBSTITUTE($F5,"Sprint ","")),9999)</f>
        <v/>
      </c>
      <c r="I5" s="154" t="inlineStr">
        <is>
          <t>Sprint 3</t>
        </is>
      </c>
      <c r="J5" s="154">
        <f>SUMIFS(SprintPlanning[HLE],SprintPlanning[Sprint],I5)+SUMIFS('Q1 Backlog Report 2026'!$L:$L,'Q1 Backlog Report 2026'!$J:$J,I5)</f>
        <v/>
      </c>
    </row>
    <row r="6" ht="15" customHeight="1" s="93">
      <c r="A6" s="115">
        <f>Backlog!A6</f>
        <v/>
      </c>
      <c r="B6" s="117">
        <f>IFERROR(IF(ISBLANK(INDEX(Backlog[Requirement Name],MATCH($A6,Backlog[Requirement ID],0))),"",INDEX(Backlog[Requirement Name],MATCH($A6,Backlog[Requirement ID],0))),"")</f>
        <v/>
      </c>
      <c r="C6" s="117">
        <f>IFERROR(IF(ISBLANK(INDEX(Backlog[Stream],MATCH($A6,Backlog[Requirement ID],0))),"",INDEX(Backlog[Stream],MATCH($A6,Backlog[Requirement ID],0))),"")</f>
        <v/>
      </c>
      <c r="D6" s="117">
        <f>IFERROR(IF(ISBLANK(INDEX(Backlog[Priority],MATCH($A6,Backlog[Requirement ID],0))),"",INDEX(Backlog[Priority],MATCH($A6,Backlog[Requirement ID],0))),"")</f>
        <v/>
      </c>
      <c r="E6" s="117">
        <f>IFERROR(IF(ISBLANK(INDEX(Backlog[Status],MATCH($A6,Backlog[Requirement ID],0))),"",INDEX(Backlog[Status],MATCH($A6,Backlog[Requirement ID],0))),"")</f>
        <v/>
      </c>
      <c r="F6" s="115" t="inlineStr">
        <is>
          <t>Sprint 10</t>
        </is>
      </c>
      <c r="G6" s="117">
        <f>IFERROR(IF(ISBLANK(INDEX(Backlog[HLE],MATCH($A6,Backlog[Requirement ID],0))),"",INDEX(Backlog[HLE],MATCH($A6,Backlog[Requirement ID],0))),"")</f>
        <v/>
      </c>
      <c r="H6" s="152">
        <f>IFERROR(VALUE(SUBSTITUTE($F6,"Sprint ","")),9999)</f>
        <v/>
      </c>
      <c r="I6" s="154" t="inlineStr">
        <is>
          <t>Sprint 4</t>
        </is>
      </c>
      <c r="J6" s="154">
        <f>SUMIFS(SprintPlanning[HLE],SprintPlanning[Sprint],I6)+SUMIFS('Q1 Backlog Report 2026'!$L:$L,'Q1 Backlog Report 2026'!$J:$J,I6)</f>
        <v/>
      </c>
    </row>
    <row r="7" ht="15" customHeight="1" s="93">
      <c r="A7" s="115">
        <f>Backlog!A7</f>
        <v/>
      </c>
      <c r="B7" s="117">
        <f>IFERROR(IF(ISBLANK(INDEX(Backlog[Requirement Name],MATCH($A7,Backlog[Requirement ID],0))),"",INDEX(Backlog[Requirement Name],MATCH($A7,Backlog[Requirement ID],0))),"")</f>
        <v/>
      </c>
      <c r="C7" s="117">
        <f>IFERROR(IF(ISBLANK(INDEX(Backlog[Stream],MATCH($A7,Backlog[Requirement ID],0))),"",INDEX(Backlog[Stream],MATCH($A7,Backlog[Requirement ID],0))),"")</f>
        <v/>
      </c>
      <c r="D7" s="117">
        <f>IFERROR(IF(ISBLANK(INDEX(Backlog[Priority],MATCH($A7,Backlog[Requirement ID],0))),"",INDEX(Backlog[Priority],MATCH($A7,Backlog[Requirement ID],0))),"")</f>
        <v/>
      </c>
      <c r="E7" s="117">
        <f>IFERROR(IF(ISBLANK(INDEX(Backlog[Status],MATCH($A7,Backlog[Requirement ID],0))),"",INDEX(Backlog[Status],MATCH($A7,Backlog[Requirement ID],0))),"")</f>
        <v/>
      </c>
      <c r="F7" s="115" t="inlineStr">
        <is>
          <t>Sprint 10</t>
        </is>
      </c>
      <c r="G7" s="117">
        <f>IFERROR(IF(ISBLANK(INDEX(Backlog[HLE],MATCH($A7,Backlog[Requirement ID],0))),"",INDEX(Backlog[HLE],MATCH($A7,Backlog[Requirement ID],0))),"")</f>
        <v/>
      </c>
      <c r="H7" s="152">
        <f>IFERROR(VALUE(SUBSTITUTE($F7,"Sprint ","")),9999)</f>
        <v/>
      </c>
      <c r="I7" s="154" t="inlineStr">
        <is>
          <t>Sprint 5</t>
        </is>
      </c>
      <c r="J7" s="154">
        <f>SUMIFS(SprintPlanning[HLE],SprintPlanning[Sprint],I7)+SUMIFS('Q2 Backlog Report 2026'!$L:$L,'Q2 Backlog Report 2026'!$J:$J,I7)</f>
        <v/>
      </c>
    </row>
    <row r="8" ht="15" customHeight="1" s="93">
      <c r="A8" s="115">
        <f>Backlog!A8</f>
        <v/>
      </c>
      <c r="B8" s="117">
        <f>IFERROR(IF(ISBLANK(INDEX(Backlog[Requirement Name],MATCH($A8,Backlog[Requirement ID],0))),"",INDEX(Backlog[Requirement Name],MATCH($A8,Backlog[Requirement ID],0))),"")</f>
        <v/>
      </c>
      <c r="C8" s="117">
        <f>IFERROR(IF(ISBLANK(INDEX(Backlog[Stream],MATCH($A8,Backlog[Requirement ID],0))),"",INDEX(Backlog[Stream],MATCH($A8,Backlog[Requirement ID],0))),"")</f>
        <v/>
      </c>
      <c r="D8" s="117">
        <f>IFERROR(IF(ISBLANK(INDEX(Backlog[Priority],MATCH($A8,Backlog[Requirement ID],0))),"",INDEX(Backlog[Priority],MATCH($A8,Backlog[Requirement ID],0))),"")</f>
        <v/>
      </c>
      <c r="E8" s="117">
        <f>IFERROR(IF(ISBLANK(INDEX(Backlog[Status],MATCH($A8,Backlog[Requirement ID],0))),"",INDEX(Backlog[Status],MATCH($A8,Backlog[Requirement ID],0))),"")</f>
        <v/>
      </c>
      <c r="F8" s="115" t="inlineStr">
        <is>
          <t>Sprint 10</t>
        </is>
      </c>
      <c r="G8" s="117">
        <f>IFERROR(IF(ISBLANK(INDEX(Backlog[HLE],MATCH($A8,Backlog[Requirement ID],0))),"",INDEX(Backlog[HLE],MATCH($A8,Backlog[Requirement ID],0))),"")</f>
        <v/>
      </c>
      <c r="H8" s="152">
        <f>IFERROR(VALUE(SUBSTITUTE($F8,"Sprint ","")),9999)</f>
        <v/>
      </c>
      <c r="I8" s="154" t="inlineStr">
        <is>
          <t>Sprint 6</t>
        </is>
      </c>
      <c r="J8" s="154">
        <f>SUMIFS(SprintPlanning[HLE],SprintPlanning[Sprint],I8)+SUMIFS('Q2 Backlog Report 2026'!$L:$L,'Q2 Backlog Report 2026'!$J:$J,I8)</f>
        <v/>
      </c>
    </row>
    <row r="9" ht="15" customHeight="1" s="93">
      <c r="A9" s="115">
        <f>Backlog!A9</f>
        <v/>
      </c>
      <c r="B9" s="117">
        <f>IFERROR(IF(ISBLANK(INDEX(Backlog[Requirement Name],MATCH($A9,Backlog[Requirement ID],0))),"",INDEX(Backlog[Requirement Name],MATCH($A9,Backlog[Requirement ID],0))),"")</f>
        <v/>
      </c>
      <c r="C9" s="117">
        <f>IFERROR(IF(ISBLANK(INDEX(Backlog[Stream],MATCH($A9,Backlog[Requirement ID],0))),"",INDEX(Backlog[Stream],MATCH($A9,Backlog[Requirement ID],0))),"")</f>
        <v/>
      </c>
      <c r="D9" s="117">
        <f>IFERROR(IF(ISBLANK(INDEX(Backlog[Priority],MATCH($A9,Backlog[Requirement ID],0))),"",INDEX(Backlog[Priority],MATCH($A9,Backlog[Requirement ID],0))),"")</f>
        <v/>
      </c>
      <c r="E9" s="117">
        <f>IFERROR(IF(ISBLANK(INDEX(Backlog[Status],MATCH($A9,Backlog[Requirement ID],0))),"",INDEX(Backlog[Status],MATCH($A9,Backlog[Requirement ID],0))),"")</f>
        <v/>
      </c>
      <c r="F9" s="115" t="inlineStr">
        <is>
          <t>Sprint 10</t>
        </is>
      </c>
      <c r="G9" s="117">
        <f>IFERROR(IF(ISBLANK(INDEX(Backlog[HLE],MATCH($A9,Backlog[Requirement ID],0))),"",INDEX(Backlog[HLE],MATCH($A9,Backlog[Requirement ID],0))),"")</f>
        <v/>
      </c>
      <c r="H9" s="152">
        <f>IFERROR(VALUE(SUBSTITUTE($F9,"Sprint ","")),9999)</f>
        <v/>
      </c>
      <c r="I9" s="154" t="inlineStr">
        <is>
          <t>Sprint 7</t>
        </is>
      </c>
      <c r="J9" s="154">
        <f>SUMIFS(SprintPlanning[HLE],SprintPlanning[Sprint],I9)+SUMIFS('Q2 Backlog Report 2026'!$L:$L,'Q2 Backlog Report 2026'!$J:$J,I9)</f>
        <v/>
      </c>
    </row>
    <row r="10" ht="15" customHeight="1" s="93">
      <c r="A10" s="115">
        <f>Backlog!A10</f>
        <v/>
      </c>
      <c r="B10" s="117">
        <f>IFERROR(IF(ISBLANK(INDEX(Backlog[Requirement Name],MATCH($A10,Backlog[Requirement ID],0))),"",INDEX(Backlog[Requirement Name],MATCH($A10,Backlog[Requirement ID],0))),"")</f>
        <v/>
      </c>
      <c r="C10" s="117">
        <f>IFERROR(IF(ISBLANK(INDEX(Backlog[Stream],MATCH($A10,Backlog[Requirement ID],0))),"",INDEX(Backlog[Stream],MATCH($A10,Backlog[Requirement ID],0))),"")</f>
        <v/>
      </c>
      <c r="D10" s="117">
        <f>IFERROR(IF(ISBLANK(INDEX(Backlog[Priority],MATCH($A10,Backlog[Requirement ID],0))),"",INDEX(Backlog[Priority],MATCH($A10,Backlog[Requirement ID],0))),"")</f>
        <v/>
      </c>
      <c r="E10" s="117">
        <f>IFERROR(IF(ISBLANK(INDEX(Backlog[Status],MATCH($A10,Backlog[Requirement ID],0))),"",INDEX(Backlog[Status],MATCH($A10,Backlog[Requirement ID],0))),"")</f>
        <v/>
      </c>
      <c r="F10" s="115" t="inlineStr">
        <is>
          <t>Sprint 10</t>
        </is>
      </c>
      <c r="G10" s="117">
        <f>IFERROR(IF(ISBLANK(INDEX(Backlog[HLE],MATCH($A10,Backlog[Requirement ID],0))),"",INDEX(Backlog[HLE],MATCH($A10,Backlog[Requirement ID],0))),"")</f>
        <v/>
      </c>
      <c r="H10" s="152">
        <f>IFERROR(VALUE(SUBSTITUTE($F10,"Sprint ","")),9999)</f>
        <v/>
      </c>
      <c r="I10" s="154" t="inlineStr">
        <is>
          <t>Sprint 8</t>
        </is>
      </c>
      <c r="J10" s="154">
        <f>SUMIFS(SprintPlanning[HLE],SprintPlanning[Sprint],I10)+SUMIFS('Q2 Backlog Report 2026'!$L:$L,'Q2 Backlog Report 2026'!$J:$J,I10)</f>
        <v/>
      </c>
    </row>
    <row r="11" ht="15" customHeight="1" s="93">
      <c r="A11" s="115">
        <f>Backlog!A11</f>
        <v/>
      </c>
      <c r="B11" s="117">
        <f>IFERROR(IF(ISBLANK(INDEX(Backlog[Requirement Name],MATCH($A11,Backlog[Requirement ID],0))),"",INDEX(Backlog[Requirement Name],MATCH($A11,Backlog[Requirement ID],0))),"")</f>
        <v/>
      </c>
      <c r="C11" s="117">
        <f>IFERROR(IF(ISBLANK(INDEX(Backlog[Stream],MATCH($A11,Backlog[Requirement ID],0))),"",INDEX(Backlog[Stream],MATCH($A11,Backlog[Requirement ID],0))),"")</f>
        <v/>
      </c>
      <c r="D11" s="117">
        <f>IFERROR(IF(ISBLANK(INDEX(Backlog[Priority],MATCH($A11,Backlog[Requirement ID],0))),"",INDEX(Backlog[Priority],MATCH($A11,Backlog[Requirement ID],0))),"")</f>
        <v/>
      </c>
      <c r="E11" s="117">
        <f>IFERROR(IF(ISBLANK(INDEX(Backlog[Status],MATCH($A11,Backlog[Requirement ID],0))),"",INDEX(Backlog[Status],MATCH($A11,Backlog[Requirement ID],0))),"")</f>
        <v/>
      </c>
      <c r="F11" s="115" t="inlineStr">
        <is>
          <t>Sprint 10</t>
        </is>
      </c>
      <c r="G11" s="117">
        <f>IFERROR(IF(ISBLANK(INDEX(Backlog[HLE],MATCH($A11,Backlog[Requirement ID],0))),"",INDEX(Backlog[HLE],MATCH($A11,Backlog[Requirement ID],0))),"")</f>
        <v/>
      </c>
      <c r="H11" s="152">
        <f>IFERROR(VALUE(SUBSTITUTE($F11,"Sprint ","")),9999)</f>
        <v/>
      </c>
      <c r="I11" s="154" t="inlineStr">
        <is>
          <t>Sprint 9</t>
        </is>
      </c>
      <c r="J11" s="154">
        <f>SUMIFS(SprintPlanning[HLE],SprintPlanning[Sprint],I11)+SUMIFS('Q3 Backlog Report 2026'!$L:$L,'Q3 Backlog Report 2026'!$J:$J,I11)</f>
        <v/>
      </c>
    </row>
    <row r="12" ht="15" customHeight="1" s="93">
      <c r="A12" s="115">
        <f>Backlog!A12</f>
        <v/>
      </c>
      <c r="B12" s="117">
        <f>IFERROR(IF(ISBLANK(INDEX(Backlog[Requirement Name],MATCH($A12,Backlog[Requirement ID],0))),"",INDEX(Backlog[Requirement Name],MATCH($A12,Backlog[Requirement ID],0))),"")</f>
        <v/>
      </c>
      <c r="C12" s="117">
        <f>IFERROR(IF(ISBLANK(INDEX(Backlog[Stream],MATCH($A12,Backlog[Requirement ID],0))),"",INDEX(Backlog[Stream],MATCH($A12,Backlog[Requirement ID],0))),"")</f>
        <v/>
      </c>
      <c r="D12" s="117">
        <f>IFERROR(IF(ISBLANK(INDEX(Backlog[Priority],MATCH($A12,Backlog[Requirement ID],0))),"",INDEX(Backlog[Priority],MATCH($A12,Backlog[Requirement ID],0))),"")</f>
        <v/>
      </c>
      <c r="E12" s="117">
        <f>IFERROR(IF(ISBLANK(INDEX(Backlog[Status],MATCH($A12,Backlog[Requirement ID],0))),"",INDEX(Backlog[Status],MATCH($A12,Backlog[Requirement ID],0))),"")</f>
        <v/>
      </c>
      <c r="F12" s="115" t="inlineStr">
        <is>
          <t>Sprint 10</t>
        </is>
      </c>
      <c r="G12" s="117">
        <f>IFERROR(IF(ISBLANK(INDEX(Backlog[HLE],MATCH($A12,Backlog[Requirement ID],0))),"",INDEX(Backlog[HLE],MATCH($A12,Backlog[Requirement ID],0))),"")</f>
        <v/>
      </c>
      <c r="H12" s="152">
        <f>IFERROR(VALUE(SUBSTITUTE($F12,"Sprint ","")),9999)</f>
        <v/>
      </c>
      <c r="I12" s="154" t="inlineStr">
        <is>
          <t>Sprint 10</t>
        </is>
      </c>
      <c r="J12" s="154">
        <f>SUMIFS(SprintPlanning[HLE],SprintPlanning[Sprint],I12)+SUMIFS('Q3 Backlog Report 2026'!$L:$L,'Q3 Backlog Report 2026'!$J:$J,I12)</f>
        <v/>
      </c>
    </row>
    <row r="13" ht="15" customHeight="1" s="93">
      <c r="A13" s="115">
        <f>Backlog!A13</f>
        <v/>
      </c>
      <c r="B13" s="117">
        <f>IFERROR(IF(ISBLANK(INDEX(Backlog[Requirement Name],MATCH($A13,Backlog[Requirement ID],0))),"",INDEX(Backlog[Requirement Name],MATCH($A13,Backlog[Requirement ID],0))),"")</f>
        <v/>
      </c>
      <c r="C13" s="117">
        <f>IFERROR(IF(ISBLANK(INDEX(Backlog[Stream],MATCH($A13,Backlog[Requirement ID],0))),"",INDEX(Backlog[Stream],MATCH($A13,Backlog[Requirement ID],0))),"")</f>
        <v/>
      </c>
      <c r="D13" s="117">
        <f>IFERROR(IF(ISBLANK(INDEX(Backlog[Priority],MATCH($A13,Backlog[Requirement ID],0))),"",INDEX(Backlog[Priority],MATCH($A13,Backlog[Requirement ID],0))),"")</f>
        <v/>
      </c>
      <c r="E13" s="117">
        <f>IFERROR(IF(ISBLANK(INDEX(Backlog[Status],MATCH($A13,Backlog[Requirement ID],0))),"",INDEX(Backlog[Status],MATCH($A13,Backlog[Requirement ID],0))),"")</f>
        <v/>
      </c>
      <c r="F13" s="115" t="inlineStr">
        <is>
          <t>Sprint 10</t>
        </is>
      </c>
      <c r="G13" s="117">
        <f>IFERROR(IF(ISBLANK(INDEX(Backlog[HLE],MATCH($A13,Backlog[Requirement ID],0))),"",INDEX(Backlog[HLE],MATCH($A13,Backlog[Requirement ID],0))),"")</f>
        <v/>
      </c>
      <c r="H13" s="152">
        <f>IFERROR(VALUE(SUBSTITUTE($F13,"Sprint ","")),9999)</f>
        <v/>
      </c>
      <c r="I13" s="154" t="inlineStr">
        <is>
          <t>code</t>
        </is>
      </c>
      <c r="J13" s="154">
        <f>SUMIFS(SprintPlanning[HLE],SprintPlanning[Sprint],I13)+SUMIFS('Q3 Backlog Report 2026'!$L:$L,'Q3 Backlog Report 2026'!$J:$J,I13)</f>
        <v/>
      </c>
    </row>
    <row r="14" ht="15" customHeight="1" s="93">
      <c r="A14" s="115">
        <f>Backlog!A14</f>
        <v/>
      </c>
      <c r="B14" s="117">
        <f>IFERROR(IF(ISBLANK(INDEX(Backlog[Requirement Name],MATCH($A14,Backlog[Requirement ID],0))),"",INDEX(Backlog[Requirement Name],MATCH($A14,Backlog[Requirement ID],0))),"")</f>
        <v/>
      </c>
      <c r="C14" s="117">
        <f>IFERROR(IF(ISBLANK(INDEX(Backlog[Stream],MATCH($A14,Backlog[Requirement ID],0))),"",INDEX(Backlog[Stream],MATCH($A14,Backlog[Requirement ID],0))),"")</f>
        <v/>
      </c>
      <c r="D14" s="117">
        <f>IFERROR(IF(ISBLANK(INDEX(Backlog[Priority],MATCH($A14,Backlog[Requirement ID],0))),"",INDEX(Backlog[Priority],MATCH($A14,Backlog[Requirement ID],0))),"")</f>
        <v/>
      </c>
      <c r="E14" s="117">
        <f>IFERROR(IF(ISBLANK(INDEX(Backlog[Status],MATCH($A14,Backlog[Requirement ID],0))),"",INDEX(Backlog[Status],MATCH($A14,Backlog[Requirement ID],0))),"")</f>
        <v/>
      </c>
      <c r="F14" s="115" t="inlineStr">
        <is>
          <t>Sprint 11</t>
        </is>
      </c>
      <c r="G14" s="117">
        <f>IFERROR(IF(ISBLANK(INDEX(Backlog[HLE],MATCH($A14,Backlog[Requirement ID],0))),"",INDEX(Backlog[HLE],MATCH($A14,Backlog[Requirement ID],0))),"")</f>
        <v/>
      </c>
      <c r="H14" s="152">
        <f>IFERROR(VALUE(SUBSTITUTE($F14,"Sprint ","")),9999)</f>
        <v/>
      </c>
      <c r="I14" s="155" t="inlineStr">
        <is>
          <t>Sprint 12</t>
        </is>
      </c>
      <c r="J14" s="155">
        <f>SUMIFS(SprintPlanning[HLE],SprintPlanning[Sprint],I14)+SUMIFS('Q3 Backlog Report 2026'!$L:$L,'Q3 Backlog Report 2026'!$J:$J,I14)</f>
        <v/>
      </c>
    </row>
    <row r="15" ht="15" customHeight="1" s="93">
      <c r="A15" s="115">
        <f>Backlog!A15</f>
        <v/>
      </c>
      <c r="B15" s="117">
        <f>IFERROR(IF(ISBLANK(INDEX(Backlog[Requirement Name],MATCH($A15,Backlog[Requirement ID],0))),"",INDEX(Backlog[Requirement Name],MATCH($A15,Backlog[Requirement ID],0))),"")</f>
        <v/>
      </c>
      <c r="C15" s="117">
        <f>IFERROR(IF(ISBLANK(INDEX(Backlog[Stream],MATCH($A15,Backlog[Requirement ID],0))),"",INDEX(Backlog[Stream],MATCH($A15,Backlog[Requirement ID],0))),"")</f>
        <v/>
      </c>
      <c r="D15" s="117">
        <f>IFERROR(IF(ISBLANK(INDEX(Backlog[Priority],MATCH($A15,Backlog[Requirement ID],0))),"",INDEX(Backlog[Priority],MATCH($A15,Backlog[Requirement ID],0))),"")</f>
        <v/>
      </c>
      <c r="E15" s="117">
        <f>IFERROR(IF(ISBLANK(INDEX(Backlog[Status],MATCH($A15,Backlog[Requirement ID],0))),"",INDEX(Backlog[Status],MATCH($A15,Backlog[Requirement ID],0))),"")</f>
        <v/>
      </c>
      <c r="F15" s="115" t="inlineStr">
        <is>
          <t>To Plan</t>
        </is>
      </c>
      <c r="G15" s="117">
        <f>IFERROR(IF(ISBLANK(INDEX(Backlog[HLE],MATCH($A15,Backlog[Requirement ID],0))),"",INDEX(Backlog[HLE],MATCH($A15,Backlog[Requirement ID],0))),"")</f>
        <v/>
      </c>
      <c r="H15" s="152">
        <f>IFERROR(VALUE(SUBSTITUTE($F15,"Sprint ","")),9999)</f>
        <v/>
      </c>
      <c r="I15" s="155" t="inlineStr">
        <is>
          <t>Sprint 13</t>
        </is>
      </c>
      <c r="J15" s="155">
        <f>SUMIFS(SprintPlanning[HLE],SprintPlanning[Sprint],I15)+SUMIFS('Q4 Backlog Report 2026'!$L:$L,'Q4 Backlog Report 2026'!$J:$J,I15)</f>
        <v/>
      </c>
    </row>
    <row r="16" ht="15" customHeight="1" s="93">
      <c r="A16" s="115">
        <f>Backlog!A16</f>
        <v/>
      </c>
      <c r="B16" s="117">
        <f>IFERROR(IF(ISBLANK(INDEX(Backlog[Requirement Name],MATCH($A16,Backlog[Requirement ID],0))),"",INDEX(Backlog[Requirement Name],MATCH($A16,Backlog[Requirement ID],0))),"")</f>
        <v/>
      </c>
      <c r="C16" s="117">
        <f>IFERROR(IF(ISBLANK(INDEX(Backlog[Stream],MATCH($A16,Backlog[Requirement ID],0))),"",INDEX(Backlog[Stream],MATCH($A16,Backlog[Requirement ID],0))),"")</f>
        <v/>
      </c>
      <c r="D16" s="117">
        <f>IFERROR(IF(ISBLANK(INDEX(Backlog[Priority],MATCH($A16,Backlog[Requirement ID],0))),"",INDEX(Backlog[Priority],MATCH($A16,Backlog[Requirement ID],0))),"")</f>
        <v/>
      </c>
      <c r="E16" s="117">
        <f>IFERROR(IF(ISBLANK(INDEX(Backlog[Status],MATCH($A16,Backlog[Requirement ID],0))),"",INDEX(Backlog[Status],MATCH($A16,Backlog[Requirement ID],0))),"")</f>
        <v/>
      </c>
      <c r="F16" s="115" t="inlineStr">
        <is>
          <t>Sprint 12</t>
        </is>
      </c>
      <c r="G16" s="117">
        <f>IFERROR(IF(ISBLANK(INDEX(Backlog[HLE],MATCH($A16,Backlog[Requirement ID],0))),"",INDEX(Backlog[HLE],MATCH($A16,Backlog[Requirement ID],0))),"")</f>
        <v/>
      </c>
      <c r="H16" s="152">
        <f>IFERROR(VALUE(SUBSTITUTE($F16,"Sprint ","")),9999)</f>
        <v/>
      </c>
      <c r="I16" s="155" t="inlineStr">
        <is>
          <t>Sprint 14</t>
        </is>
      </c>
      <c r="J16" s="155">
        <f>SUMIFS(SprintPlanning[HLE],SprintPlanning[Sprint],I16)+SUMIFS('Q4 Backlog Report 2026'!$L:$L,'Q4 Backlog Report 2026'!$J:$J,I16)</f>
        <v/>
      </c>
    </row>
    <row r="17" ht="15" customHeight="1" s="93">
      <c r="A17" s="115">
        <f>Backlog!A17</f>
        <v/>
      </c>
      <c r="B17" s="117">
        <f>IFERROR(IF(ISBLANK(INDEX(Backlog[Requirement Name],MATCH($A17,Backlog[Requirement ID],0))),"",INDEX(Backlog[Requirement Name],MATCH($A17,Backlog[Requirement ID],0))),"")</f>
        <v/>
      </c>
      <c r="C17" s="117">
        <f>IFERROR(IF(ISBLANK(INDEX(Backlog[Stream],MATCH($A17,Backlog[Requirement ID],0))),"",INDEX(Backlog[Stream],MATCH($A17,Backlog[Requirement ID],0))),"")</f>
        <v/>
      </c>
      <c r="D17" s="117">
        <f>IFERROR(IF(ISBLANK(INDEX(Backlog[Priority],MATCH($A17,Backlog[Requirement ID],0))),"",INDEX(Backlog[Priority],MATCH($A17,Backlog[Requirement ID],0))),"")</f>
        <v/>
      </c>
      <c r="E17" s="117">
        <f>IFERROR(IF(ISBLANK(INDEX(Backlog[Status],MATCH($A17,Backlog[Requirement ID],0))),"",INDEX(Backlog[Status],MATCH($A17,Backlog[Requirement ID],0))),"")</f>
        <v/>
      </c>
      <c r="F17" s="115" t="inlineStr">
        <is>
          <t>Sprint 12</t>
        </is>
      </c>
      <c r="G17" s="117">
        <f>IFERROR(IF(ISBLANK(INDEX(Backlog[HLE],MATCH($A17,Backlog[Requirement ID],0))),"",INDEX(Backlog[HLE],MATCH($A17,Backlog[Requirement ID],0))),"")</f>
        <v/>
      </c>
      <c r="H17" s="152">
        <f>IFERROR(VALUE(SUBSTITUTE($F17,"Sprint ","")),9999)</f>
        <v/>
      </c>
      <c r="I17" s="155" t="inlineStr">
        <is>
          <t>Sprint 15</t>
        </is>
      </c>
      <c r="J17" s="155">
        <f>SUMIFS(SprintPlanning[HLE],SprintPlanning[Sprint],I17)+SUMIFS('Q4 Backlog Report 2026'!$L:$L,'Q4 Backlog Report 2026'!$J:$J,I17)</f>
        <v/>
      </c>
    </row>
    <row r="18" ht="15" customHeight="1" s="93">
      <c r="A18" s="115">
        <f>Backlog!A18</f>
        <v/>
      </c>
      <c r="B18" s="117">
        <f>IFERROR(IF(ISBLANK(INDEX(Backlog[Requirement Name],MATCH($A18,Backlog[Requirement ID],0))),"",INDEX(Backlog[Requirement Name],MATCH($A18,Backlog[Requirement ID],0))),"")</f>
        <v/>
      </c>
      <c r="C18" s="117">
        <f>IFERROR(IF(ISBLANK(INDEX(Backlog[Stream],MATCH($A18,Backlog[Requirement ID],0))),"",INDEX(Backlog[Stream],MATCH($A18,Backlog[Requirement ID],0))),"")</f>
        <v/>
      </c>
      <c r="D18" s="117">
        <f>IFERROR(IF(ISBLANK(INDEX(Backlog[Priority],MATCH($A18,Backlog[Requirement ID],0))),"",INDEX(Backlog[Priority],MATCH($A18,Backlog[Requirement ID],0))),"")</f>
        <v/>
      </c>
      <c r="E18" s="117">
        <f>IFERROR(IF(ISBLANK(INDEX(Backlog[Status],MATCH($A18,Backlog[Requirement ID],0))),"",INDEX(Backlog[Status],MATCH($A18,Backlog[Requirement ID],0))),"")</f>
        <v/>
      </c>
      <c r="F18" s="115" t="inlineStr">
        <is>
          <t>To Plan</t>
        </is>
      </c>
      <c r="G18" s="117">
        <f>IFERROR(IF(ISBLANK(INDEX(Backlog[HLE],MATCH($A18,Backlog[Requirement ID],0))),"",INDEX(Backlog[HLE],MATCH($A18,Backlog[Requirement ID],0))),"")</f>
        <v/>
      </c>
      <c r="H18" s="152">
        <f>IFERROR(VALUE(SUBSTITUTE($F18,"Sprint ","")),9999)</f>
        <v/>
      </c>
      <c r="I18" s="155" t="inlineStr">
        <is>
          <t>Sprint 16</t>
        </is>
      </c>
      <c r="J18" s="155">
        <f>SUMIFS(SprintPlanning[HLE],SprintPlanning[Sprint],I18)+SUMIFS('Q4 Backlog Report 2026'!$L:$L,'Q4 Backlog Report 2026'!$J:$J,I18)</f>
        <v/>
      </c>
    </row>
    <row r="19" ht="15" customHeight="1" s="93">
      <c r="A19" s="115">
        <f>Backlog!A19</f>
        <v/>
      </c>
      <c r="B19" s="117">
        <f>IFERROR(IF(ISBLANK(INDEX(Backlog[Requirement Name],MATCH($A19,Backlog[Requirement ID],0))),"",INDEX(Backlog[Requirement Name],MATCH($A19,Backlog[Requirement ID],0))),"")</f>
        <v/>
      </c>
      <c r="C19" s="117">
        <f>IFERROR(IF(ISBLANK(INDEX(Backlog[Stream],MATCH($A19,Backlog[Requirement ID],0))),"",INDEX(Backlog[Stream],MATCH($A19,Backlog[Requirement ID],0))),"")</f>
        <v/>
      </c>
      <c r="D19" s="117">
        <f>IFERROR(IF(ISBLANK(INDEX(Backlog[Priority],MATCH($A19,Backlog[Requirement ID],0))),"",INDEX(Backlog[Priority],MATCH($A19,Backlog[Requirement ID],0))),"")</f>
        <v/>
      </c>
      <c r="E19" s="117">
        <f>IFERROR(IF(ISBLANK(INDEX(Backlog[Status],MATCH($A19,Backlog[Requirement ID],0))),"",INDEX(Backlog[Status],MATCH($A19,Backlog[Requirement ID],0))),"")</f>
        <v/>
      </c>
      <c r="F19" s="115" t="inlineStr">
        <is>
          <t>To Plan</t>
        </is>
      </c>
      <c r="G19" s="117">
        <f>IFERROR(IF(ISBLANK(INDEX(Backlog[HLE],MATCH($A19,Backlog[Requirement ID],0))),"",INDEX(Backlog[HLE],MATCH($A19,Backlog[Requirement ID],0))),"")</f>
        <v/>
      </c>
      <c r="H19" s="117">
        <f>IFERROR(VALUE(SUBSTITUTE($F19,"Sprint ","")),9999)</f>
        <v/>
      </c>
    </row>
    <row r="20" ht="15" customHeight="1" s="93">
      <c r="A20" s="115">
        <f>Backlog!A20</f>
        <v/>
      </c>
      <c r="B20" s="117">
        <f>IFERROR(IF(ISBLANK(INDEX(Backlog[Requirement Name],MATCH($A20,Backlog[Requirement ID],0))),"",INDEX(Backlog[Requirement Name],MATCH($A20,Backlog[Requirement ID],0))),"")</f>
        <v/>
      </c>
      <c r="C20" s="117">
        <f>IFERROR(IF(ISBLANK(INDEX(Backlog[Stream],MATCH($A20,Backlog[Requirement ID],0))),"",INDEX(Backlog[Stream],MATCH($A20,Backlog[Requirement ID],0))),"")</f>
        <v/>
      </c>
      <c r="D20" s="117">
        <f>IFERROR(IF(ISBLANK(INDEX(Backlog[Priority],MATCH($A20,Backlog[Requirement ID],0))),"",INDEX(Backlog[Priority],MATCH($A20,Backlog[Requirement ID],0))),"")</f>
        <v/>
      </c>
      <c r="E20" s="117">
        <f>IFERROR(IF(ISBLANK(INDEX(Backlog[Status],MATCH($A20,Backlog[Requirement ID],0))),"",INDEX(Backlog[Status],MATCH($A20,Backlog[Requirement ID],0))),"")</f>
        <v/>
      </c>
      <c r="F20" s="115" t="inlineStr">
        <is>
          <t>Sprint 11</t>
        </is>
      </c>
      <c r="G20" s="117">
        <f>IFERROR(IF(ISBLANK(INDEX(Backlog[HLE],MATCH($A20,Backlog[Requirement ID],0))),"",INDEX(Backlog[HLE],MATCH($A20,Backlog[Requirement ID],0))),"")</f>
        <v/>
      </c>
      <c r="H20" s="117">
        <f>IFERROR(VALUE(SUBSTITUTE($F20,"Sprint ","")),9999)</f>
        <v/>
      </c>
    </row>
    <row r="21" ht="15" customHeight="1" s="93">
      <c r="A21" s="115">
        <f>Backlog!A21</f>
        <v/>
      </c>
      <c r="B21" s="117">
        <f>IFERROR(IF(ISBLANK(INDEX(Backlog[Requirement Name],MATCH($A21,Backlog[Requirement ID],0))),"",INDEX(Backlog[Requirement Name],MATCH($A21,Backlog[Requirement ID],0))),"")</f>
        <v/>
      </c>
      <c r="C21" s="117">
        <f>IFERROR(IF(ISBLANK(INDEX(Backlog[Stream],MATCH($A21,Backlog[Requirement ID],0))),"",INDEX(Backlog[Stream],MATCH($A21,Backlog[Requirement ID],0))),"")</f>
        <v/>
      </c>
      <c r="D21" s="117">
        <f>IFERROR(IF(ISBLANK(INDEX(Backlog[Priority],MATCH($A21,Backlog[Requirement ID],0))),"",INDEX(Backlog[Priority],MATCH($A21,Backlog[Requirement ID],0))),"")</f>
        <v/>
      </c>
      <c r="E21" s="117">
        <f>IFERROR(IF(ISBLANK(INDEX(Backlog[Status],MATCH($A21,Backlog[Requirement ID],0))),"",INDEX(Backlog[Status],MATCH($A21,Backlog[Requirement ID],0))),"")</f>
        <v/>
      </c>
      <c r="F21" s="115" t="inlineStr">
        <is>
          <t>Sprint 12</t>
        </is>
      </c>
      <c r="G21" s="117">
        <f>IFERROR(IF(ISBLANK(INDEX(Backlog[HLE],MATCH($A21,Backlog[Requirement ID],0))),"",INDEX(Backlog[HLE],MATCH($A21,Backlog[Requirement ID],0))),"")</f>
        <v/>
      </c>
      <c r="H21" s="117">
        <f>IFERROR(VALUE(SUBSTITUTE($F21,"Sprint ","")),9999)</f>
        <v/>
      </c>
    </row>
    <row r="22" ht="15" customHeight="1" s="93">
      <c r="A22" s="115">
        <f>Backlog!A22</f>
        <v/>
      </c>
      <c r="B22" s="117">
        <f>IFERROR(IF(ISBLANK(INDEX(Backlog[Requirement Name],MATCH($A22,Backlog[Requirement ID],0))),"",INDEX(Backlog[Requirement Name],MATCH($A22,Backlog[Requirement ID],0))),"")</f>
        <v/>
      </c>
      <c r="C22" s="117">
        <f>IFERROR(IF(ISBLANK(INDEX(Backlog[Stream],MATCH($A22,Backlog[Requirement ID],0))),"",INDEX(Backlog[Stream],MATCH($A22,Backlog[Requirement ID],0))),"")</f>
        <v/>
      </c>
      <c r="D22" s="117">
        <f>IFERROR(IF(ISBLANK(INDEX(Backlog[Priority],MATCH($A22,Backlog[Requirement ID],0))),"",INDEX(Backlog[Priority],MATCH($A22,Backlog[Requirement ID],0))),"")</f>
        <v/>
      </c>
      <c r="E22" s="117">
        <f>IFERROR(IF(ISBLANK(INDEX(Backlog[Status],MATCH($A22,Backlog[Requirement ID],0))),"",INDEX(Backlog[Status],MATCH($A22,Backlog[Requirement ID],0))),"")</f>
        <v/>
      </c>
      <c r="F22" s="115" t="inlineStr">
        <is>
          <t>Sprint 12</t>
        </is>
      </c>
      <c r="G22" s="117">
        <f>IFERROR(IF(ISBLANK(INDEX(Backlog[HLE],MATCH($A22,Backlog[Requirement ID],0))),"",INDEX(Backlog[HLE],MATCH($A22,Backlog[Requirement ID],0))),"")</f>
        <v/>
      </c>
      <c r="H22" s="117">
        <f>IFERROR(VALUE(SUBSTITUTE($F22,"Sprint ","")),9999)</f>
        <v/>
      </c>
    </row>
    <row r="23" ht="15" customHeight="1" s="93">
      <c r="A23" s="115">
        <f>Backlog!A23</f>
        <v/>
      </c>
      <c r="B23" s="117">
        <f>IFERROR(IF(ISBLANK(INDEX(Backlog[Requirement Name],MATCH($A23,Backlog[Requirement ID],0))),"",INDEX(Backlog[Requirement Name],MATCH($A23,Backlog[Requirement ID],0))),"")</f>
        <v/>
      </c>
      <c r="C23" s="117">
        <f>IFERROR(IF(ISBLANK(INDEX(Backlog[Stream],MATCH($A23,Backlog[Requirement ID],0))),"",INDEX(Backlog[Stream],MATCH($A23,Backlog[Requirement ID],0))),"")</f>
        <v/>
      </c>
      <c r="D23" s="117">
        <f>IFERROR(IF(ISBLANK(INDEX(Backlog[Priority],MATCH($A23,Backlog[Requirement ID],0))),"",INDEX(Backlog[Priority],MATCH($A23,Backlog[Requirement ID],0))),"")</f>
        <v/>
      </c>
      <c r="E23" s="117">
        <f>IFERROR(IF(ISBLANK(INDEX(Backlog[Status],MATCH($A23,Backlog[Requirement ID],0))),"",INDEX(Backlog[Status],MATCH($A23,Backlog[Requirement ID],0))),"")</f>
        <v/>
      </c>
      <c r="F23" s="115" t="inlineStr">
        <is>
          <t>Sprint 12</t>
        </is>
      </c>
      <c r="G23" s="117">
        <f>IFERROR(IF(ISBLANK(INDEX(Backlog[HLE],MATCH($A23,Backlog[Requirement ID],0))),"",INDEX(Backlog[HLE],MATCH($A23,Backlog[Requirement ID],0))),"")</f>
        <v/>
      </c>
      <c r="H23" s="117">
        <f>IFERROR(VALUE(SUBSTITUTE($F23,"Sprint ","")),9999)</f>
        <v/>
      </c>
    </row>
    <row r="24" ht="15" customHeight="1" s="93">
      <c r="A24" s="115">
        <f>Backlog!A24</f>
        <v/>
      </c>
      <c r="B24" s="117">
        <f>IFERROR(IF(ISBLANK(INDEX(Backlog[Requirement Name],MATCH($A24,Backlog[Requirement ID],0))),"",INDEX(Backlog[Requirement Name],MATCH($A24,Backlog[Requirement ID],0))),"")</f>
        <v/>
      </c>
      <c r="C24" s="117">
        <f>IFERROR(IF(ISBLANK(INDEX(Backlog[Stream],MATCH($A24,Backlog[Requirement ID],0))),"",INDEX(Backlog[Stream],MATCH($A24,Backlog[Requirement ID],0))),"")</f>
        <v/>
      </c>
      <c r="D24" s="117">
        <f>IFERROR(IF(ISBLANK(INDEX(Backlog[Priority],MATCH($A24,Backlog[Requirement ID],0))),"",INDEX(Backlog[Priority],MATCH($A24,Backlog[Requirement ID],0))),"")</f>
        <v/>
      </c>
      <c r="E24" s="117">
        <f>IFERROR(IF(ISBLANK(INDEX(Backlog[Status],MATCH($A24,Backlog[Requirement ID],0))),"",INDEX(Backlog[Status],MATCH($A24,Backlog[Requirement ID],0))),"")</f>
        <v/>
      </c>
      <c r="F24" s="115" t="inlineStr">
        <is>
          <t>Sprint 11</t>
        </is>
      </c>
      <c r="G24" s="117">
        <f>IFERROR(IF(ISBLANK(INDEX(Backlog[HLE],MATCH($A24,Backlog[Requirement ID],0))),"",INDEX(Backlog[HLE],MATCH($A24,Backlog[Requirement ID],0))),"")</f>
        <v/>
      </c>
      <c r="H24" s="117">
        <f>IFERROR(VALUE(SUBSTITUTE($F24,"Sprint ","")),9999)</f>
        <v/>
      </c>
    </row>
    <row r="25" ht="15" customHeight="1" s="93">
      <c r="A25" s="115">
        <f>Backlog!A25</f>
        <v/>
      </c>
      <c r="B25" s="117">
        <f>IFERROR(IF(ISBLANK(INDEX(Backlog[Requirement Name],MATCH($A25,Backlog[Requirement ID],0))),"",INDEX(Backlog[Requirement Name],MATCH($A25,Backlog[Requirement ID],0))),"")</f>
        <v/>
      </c>
      <c r="C25" s="117">
        <f>IFERROR(IF(ISBLANK(INDEX(Backlog[Stream],MATCH($A25,Backlog[Requirement ID],0))),"",INDEX(Backlog[Stream],MATCH($A25,Backlog[Requirement ID],0))),"")</f>
        <v/>
      </c>
      <c r="D25" s="117">
        <f>IFERROR(IF(ISBLANK(INDEX(Backlog[Priority],MATCH($A25,Backlog[Requirement ID],0))),"",INDEX(Backlog[Priority],MATCH($A25,Backlog[Requirement ID],0))),"")</f>
        <v/>
      </c>
      <c r="E25" s="117">
        <f>IFERROR(IF(ISBLANK(INDEX(Backlog[Status],MATCH($A25,Backlog[Requirement ID],0))),"",INDEX(Backlog[Status],MATCH($A25,Backlog[Requirement ID],0))),"")</f>
        <v/>
      </c>
      <c r="F25" s="115" t="inlineStr">
        <is>
          <t>Sprint 12</t>
        </is>
      </c>
      <c r="G25" s="117">
        <f>IFERROR(IF(ISBLANK(INDEX(Backlog[HLE],MATCH($A25,Backlog[Requirement ID],0))),"",INDEX(Backlog[HLE],MATCH($A25,Backlog[Requirement ID],0))),"")</f>
        <v/>
      </c>
      <c r="H25" s="117">
        <f>IFERROR(VALUE(SUBSTITUTE($F25,"Sprint ","")),9999)</f>
        <v/>
      </c>
    </row>
    <row r="26" ht="15" customHeight="1" s="93">
      <c r="A26" s="115">
        <f>Backlog!A26</f>
        <v/>
      </c>
      <c r="B26" s="117">
        <f>IFERROR(IF(ISBLANK(INDEX(Backlog[Requirement Name],MATCH($A26,Backlog[Requirement ID],0))),"",INDEX(Backlog[Requirement Name],MATCH($A26,Backlog[Requirement ID],0))),"")</f>
        <v/>
      </c>
      <c r="C26" s="117">
        <f>IFERROR(IF(ISBLANK(INDEX(Backlog[Stream],MATCH($A26,Backlog[Requirement ID],0))),"",INDEX(Backlog[Stream],MATCH($A26,Backlog[Requirement ID],0))),"")</f>
        <v/>
      </c>
      <c r="D26" s="117">
        <f>IFERROR(IF(ISBLANK(INDEX(Backlog[Priority],MATCH($A26,Backlog[Requirement ID],0))),"",INDEX(Backlog[Priority],MATCH($A26,Backlog[Requirement ID],0))),"")</f>
        <v/>
      </c>
      <c r="E26" s="117">
        <f>IFERROR(IF(ISBLANK(INDEX(Backlog[Status],MATCH($A26,Backlog[Requirement ID],0))),"",INDEX(Backlog[Status],MATCH($A26,Backlog[Requirement ID],0))),"")</f>
        <v/>
      </c>
      <c r="F26" s="115" t="inlineStr">
        <is>
          <t>Sprint 12</t>
        </is>
      </c>
      <c r="G26" s="117">
        <f>IFERROR(IF(ISBLANK(INDEX(Backlog[HLE],MATCH($A26,Backlog[Requirement ID],0))),"",INDEX(Backlog[HLE],MATCH($A26,Backlog[Requirement ID],0))),"")</f>
        <v/>
      </c>
      <c r="H26" s="117">
        <f>IFERROR(VALUE(SUBSTITUTE($F26,"Sprint ","")),9999)</f>
        <v/>
      </c>
    </row>
    <row r="27" ht="15" customHeight="1" s="93">
      <c r="A27" s="115">
        <f>Backlog!A27</f>
        <v/>
      </c>
      <c r="B27" s="117">
        <f>IFERROR(IF(ISBLANK(INDEX(Backlog[Requirement Name],MATCH($A27,Backlog[Requirement ID],0))),"",INDEX(Backlog[Requirement Name],MATCH($A27,Backlog[Requirement ID],0))),"")</f>
        <v/>
      </c>
      <c r="C27" s="117">
        <f>IFERROR(IF(ISBLANK(INDEX(Backlog[Stream],MATCH($A27,Backlog[Requirement ID],0))),"",INDEX(Backlog[Stream],MATCH($A27,Backlog[Requirement ID],0))),"")</f>
        <v/>
      </c>
      <c r="D27" s="117">
        <f>IFERROR(IF(ISBLANK(INDEX(Backlog[Priority],MATCH($A27,Backlog[Requirement ID],0))),"",INDEX(Backlog[Priority],MATCH($A27,Backlog[Requirement ID],0))),"")</f>
        <v/>
      </c>
      <c r="E27" s="117">
        <f>IFERROR(IF(ISBLANK(INDEX(Backlog[Status],MATCH($A27,Backlog[Requirement ID],0))),"",INDEX(Backlog[Status],MATCH($A27,Backlog[Requirement ID],0))),"")</f>
        <v/>
      </c>
      <c r="F27" s="115" t="inlineStr">
        <is>
          <t>Sprint 12</t>
        </is>
      </c>
      <c r="G27" s="117">
        <f>IFERROR(IF(ISBLANK(INDEX(Backlog[HLE],MATCH($A27,Backlog[Requirement ID],0))),"",INDEX(Backlog[HLE],MATCH($A27,Backlog[Requirement ID],0))),"")</f>
        <v/>
      </c>
      <c r="H27" s="117">
        <f>IFERROR(VALUE(SUBSTITUTE($F27,"Sprint ","")),9999)</f>
        <v/>
      </c>
    </row>
    <row r="28" ht="15" customHeight="1" s="93">
      <c r="A28" s="115">
        <f>Backlog!A28</f>
        <v/>
      </c>
      <c r="B28" s="117">
        <f>IFERROR(IF(ISBLANK(INDEX(Backlog[Requirement Name],MATCH($A28,Backlog[Requirement ID],0))),"",INDEX(Backlog[Requirement Name],MATCH($A28,Backlog[Requirement ID],0))),"")</f>
        <v/>
      </c>
      <c r="C28" s="117">
        <f>IFERROR(IF(ISBLANK(INDEX(Backlog[Stream],MATCH($A28,Backlog[Requirement ID],0))),"",INDEX(Backlog[Stream],MATCH($A28,Backlog[Requirement ID],0))),"")</f>
        <v/>
      </c>
      <c r="D28" s="117">
        <f>IFERROR(IF(ISBLANK(INDEX(Backlog[Priority],MATCH($A28,Backlog[Requirement ID],0))),"",INDEX(Backlog[Priority],MATCH($A28,Backlog[Requirement ID],0))),"")</f>
        <v/>
      </c>
      <c r="E28" s="117">
        <f>IFERROR(IF(ISBLANK(INDEX(Backlog[Status],MATCH($A28,Backlog[Requirement ID],0))),"",INDEX(Backlog[Status],MATCH($A28,Backlog[Requirement ID],0))),"")</f>
        <v/>
      </c>
      <c r="F28" s="115" t="inlineStr">
        <is>
          <t>Sprint 12</t>
        </is>
      </c>
      <c r="G28" s="117">
        <f>IFERROR(IF(ISBLANK(INDEX(Backlog[HLE],MATCH($A28,Backlog[Requirement ID],0))),"",INDEX(Backlog[HLE],MATCH($A28,Backlog[Requirement ID],0))),"")</f>
        <v/>
      </c>
      <c r="H28" s="117">
        <f>IFERROR(VALUE(SUBSTITUTE($F28,"Sprint ","")),9999)</f>
        <v/>
      </c>
    </row>
    <row r="29" ht="15" customHeight="1" s="93">
      <c r="A29" s="115">
        <f>Backlog!A29</f>
        <v/>
      </c>
      <c r="B29" s="117">
        <f>IFERROR(IF(ISBLANK(INDEX(Backlog[Requirement Name],MATCH($A29,Backlog[Requirement ID],0))),"",INDEX(Backlog[Requirement Name],MATCH($A29,Backlog[Requirement ID],0))),"")</f>
        <v/>
      </c>
      <c r="C29" s="117">
        <f>IFERROR(IF(ISBLANK(INDEX(Backlog[Stream],MATCH($A29,Backlog[Requirement ID],0))),"",INDEX(Backlog[Stream],MATCH($A29,Backlog[Requirement ID],0))),"")</f>
        <v/>
      </c>
      <c r="D29" s="117">
        <f>IFERROR(IF(ISBLANK(INDEX(Backlog[Priority],MATCH($A29,Backlog[Requirement ID],0))),"",INDEX(Backlog[Priority],MATCH($A29,Backlog[Requirement ID],0))),"")</f>
        <v/>
      </c>
      <c r="E29" s="117">
        <f>IFERROR(IF(ISBLANK(INDEX(Backlog[Status],MATCH($A29,Backlog[Requirement ID],0))),"",INDEX(Backlog[Status],MATCH($A29,Backlog[Requirement ID],0))),"")</f>
        <v/>
      </c>
      <c r="F29" s="115" t="inlineStr">
        <is>
          <t>Sprint 12</t>
        </is>
      </c>
      <c r="G29" s="117">
        <f>IFERROR(IF(ISBLANK(INDEX(Backlog[HLE],MATCH($A29,Backlog[Requirement ID],0))),"",INDEX(Backlog[HLE],MATCH($A29,Backlog[Requirement ID],0))),"")</f>
        <v/>
      </c>
      <c r="H29" s="117">
        <f>IFERROR(VALUE(SUBSTITUTE($F29,"Sprint ","")),9999)</f>
        <v/>
      </c>
    </row>
    <row r="30" ht="15" customHeight="1" s="93">
      <c r="A30" s="115">
        <f>Backlog!A30</f>
        <v/>
      </c>
      <c r="B30" s="117">
        <f>IFERROR(IF(ISBLANK(INDEX(Backlog[Requirement Name],MATCH($A30,Backlog[Requirement ID],0))),"",INDEX(Backlog[Requirement Name],MATCH($A30,Backlog[Requirement ID],0))),"")</f>
        <v/>
      </c>
      <c r="C30" s="117">
        <f>IFERROR(IF(ISBLANK(INDEX(Backlog[Stream],MATCH($A30,Backlog[Requirement ID],0))),"",INDEX(Backlog[Stream],MATCH($A30,Backlog[Requirement ID],0))),"")</f>
        <v/>
      </c>
      <c r="D30" s="117">
        <f>IFERROR(IF(ISBLANK(INDEX(Backlog[Priority],MATCH($A30,Backlog[Requirement ID],0))),"",INDEX(Backlog[Priority],MATCH($A30,Backlog[Requirement ID],0))),"")</f>
        <v/>
      </c>
      <c r="E30" s="117">
        <f>IFERROR(IF(ISBLANK(INDEX(Backlog[Status],MATCH($A30,Backlog[Requirement ID],0))),"",INDEX(Backlog[Status],MATCH($A30,Backlog[Requirement ID],0))),"")</f>
        <v/>
      </c>
      <c r="F30" s="115" t="inlineStr">
        <is>
          <t>Sprint 12</t>
        </is>
      </c>
      <c r="G30" s="117">
        <f>IFERROR(IF(ISBLANK(INDEX(Backlog[HLE],MATCH($A30,Backlog[Requirement ID],0))),"",INDEX(Backlog[HLE],MATCH($A30,Backlog[Requirement ID],0))),"")</f>
        <v/>
      </c>
      <c r="H30" s="117">
        <f>IFERROR(VALUE(SUBSTITUTE($F30,"Sprint ","")),9999)</f>
        <v/>
      </c>
    </row>
    <row r="31" ht="15" customHeight="1" s="93">
      <c r="A31" s="115">
        <f>Backlog!A31</f>
        <v/>
      </c>
      <c r="B31" s="117">
        <f>IFERROR(IF(ISBLANK(INDEX(Backlog[Requirement Name],MATCH($A31,Backlog[Requirement ID],0))),"",INDEX(Backlog[Requirement Name],MATCH($A31,Backlog[Requirement ID],0))),"")</f>
        <v/>
      </c>
      <c r="C31" s="117">
        <f>IFERROR(IF(ISBLANK(INDEX(Backlog[Stream],MATCH($A31,Backlog[Requirement ID],0))),"",INDEX(Backlog[Stream],MATCH($A31,Backlog[Requirement ID],0))),"")</f>
        <v/>
      </c>
      <c r="D31" s="117">
        <f>IFERROR(IF(ISBLANK(INDEX(Backlog[Priority],MATCH($A31,Backlog[Requirement ID],0))),"",INDEX(Backlog[Priority],MATCH($A31,Backlog[Requirement ID],0))),"")</f>
        <v/>
      </c>
      <c r="E31" s="117">
        <f>IFERROR(IF(ISBLANK(INDEX(Backlog[Status],MATCH($A31,Backlog[Requirement ID],0))),"",INDEX(Backlog[Status],MATCH($A31,Backlog[Requirement ID],0))),"")</f>
        <v/>
      </c>
      <c r="F31" s="115" t="inlineStr">
        <is>
          <t>Sprint 12</t>
        </is>
      </c>
      <c r="G31" s="117">
        <f>IFERROR(IF(ISBLANK(INDEX(Backlog[HLE],MATCH($A31,Backlog[Requirement ID],0))),"",INDEX(Backlog[HLE],MATCH($A31,Backlog[Requirement ID],0))),"")</f>
        <v/>
      </c>
      <c r="H31" s="117">
        <f>IFERROR(VALUE(SUBSTITUTE($F31,"Sprint ","")),9999)</f>
        <v/>
      </c>
    </row>
    <row r="32" ht="15" customHeight="1" s="93">
      <c r="A32" s="115">
        <f>Backlog!A32</f>
        <v/>
      </c>
      <c r="B32" s="117">
        <f>IFERROR(IF(ISBLANK(INDEX(Backlog[Requirement Name],MATCH($A32,Backlog[Requirement ID],0))),"",INDEX(Backlog[Requirement Name],MATCH($A32,Backlog[Requirement ID],0))),"")</f>
        <v/>
      </c>
      <c r="C32" s="117">
        <f>IFERROR(IF(ISBLANK(INDEX(Backlog[Stream],MATCH($A32,Backlog[Requirement ID],0))),"",INDEX(Backlog[Stream],MATCH($A32,Backlog[Requirement ID],0))),"")</f>
        <v/>
      </c>
      <c r="D32" s="117">
        <f>IFERROR(IF(ISBLANK(INDEX(Backlog[Priority],MATCH($A32,Backlog[Requirement ID],0))),"",INDEX(Backlog[Priority],MATCH($A32,Backlog[Requirement ID],0))),"")</f>
        <v/>
      </c>
      <c r="E32" s="117">
        <f>IFERROR(IF(ISBLANK(INDEX(Backlog[Status],MATCH($A32,Backlog[Requirement ID],0))),"",INDEX(Backlog[Status],MATCH($A32,Backlog[Requirement ID],0))),"")</f>
        <v/>
      </c>
      <c r="F32" s="115" t="inlineStr">
        <is>
          <t>Sprint 12</t>
        </is>
      </c>
      <c r="G32" s="117">
        <f>IFERROR(IF(ISBLANK(INDEX(Backlog[HLE],MATCH($A32,Backlog[Requirement ID],0))),"",INDEX(Backlog[HLE],MATCH($A32,Backlog[Requirement ID],0))),"")</f>
        <v/>
      </c>
      <c r="H32" s="117">
        <f>IFERROR(VALUE(SUBSTITUTE($F32,"Sprint ","")),9999)</f>
        <v/>
      </c>
    </row>
    <row r="33" ht="15" customHeight="1" s="93">
      <c r="A33" s="115">
        <f>Backlog!A33</f>
        <v/>
      </c>
      <c r="B33" s="117">
        <f>IFERROR(IF(ISBLANK(INDEX(Backlog[Requirement Name],MATCH($A33,Backlog[Requirement ID],0))),"",INDEX(Backlog[Requirement Name],MATCH($A33,Backlog[Requirement ID],0))),"")</f>
        <v/>
      </c>
      <c r="C33" s="117">
        <f>IFERROR(IF(ISBLANK(INDEX(Backlog[Stream],MATCH($A33,Backlog[Requirement ID],0))),"",INDEX(Backlog[Stream],MATCH($A33,Backlog[Requirement ID],0))),"")</f>
        <v/>
      </c>
      <c r="D33" s="117">
        <f>IFERROR(IF(ISBLANK(INDEX(Backlog[Priority],MATCH($A33,Backlog[Requirement ID],0))),"",INDEX(Backlog[Priority],MATCH($A33,Backlog[Requirement ID],0))),"")</f>
        <v/>
      </c>
      <c r="E33" s="117">
        <f>IFERROR(IF(ISBLANK(INDEX(Backlog[Status],MATCH($A33,Backlog[Requirement ID],0))),"",INDEX(Backlog[Status],MATCH($A33,Backlog[Requirement ID],0))),"")</f>
        <v/>
      </c>
      <c r="F33" s="115" t="inlineStr">
        <is>
          <t>To Plan</t>
        </is>
      </c>
      <c r="G33" s="117">
        <f>IFERROR(IF(ISBLANK(INDEX(Backlog[HLE],MATCH($A33,Backlog[Requirement ID],0))),"",INDEX(Backlog[HLE],MATCH($A33,Backlog[Requirement ID],0))),"")</f>
        <v/>
      </c>
      <c r="H33" s="117">
        <f>IFERROR(VALUE(SUBSTITUTE($F33,"Sprint ","")),9999)</f>
        <v/>
      </c>
    </row>
    <row r="34" ht="15" customHeight="1" s="93">
      <c r="A34" s="115">
        <f>Backlog!A34</f>
        <v/>
      </c>
      <c r="B34" s="117">
        <f>IFERROR(IF(ISBLANK(INDEX(Backlog[Requirement Name],MATCH($A34,Backlog[Requirement ID],0))),"",INDEX(Backlog[Requirement Name],MATCH($A34,Backlog[Requirement ID],0))),"")</f>
        <v/>
      </c>
      <c r="C34" s="117">
        <f>IFERROR(IF(ISBLANK(INDEX(Backlog[Stream],MATCH($A34,Backlog[Requirement ID],0))),"",INDEX(Backlog[Stream],MATCH($A34,Backlog[Requirement ID],0))),"")</f>
        <v/>
      </c>
      <c r="D34" s="117">
        <f>IFERROR(IF(ISBLANK(INDEX(Backlog[Priority],MATCH($A34,Backlog[Requirement ID],0))),"",INDEX(Backlog[Priority],MATCH($A34,Backlog[Requirement ID],0))),"")</f>
        <v/>
      </c>
      <c r="E34" s="117">
        <f>IFERROR(IF(ISBLANK(INDEX(Backlog[Status],MATCH($A34,Backlog[Requirement ID],0))),"",INDEX(Backlog[Status],MATCH($A34,Backlog[Requirement ID],0))),"")</f>
        <v/>
      </c>
      <c r="F34" s="115" t="inlineStr">
        <is>
          <t>To Plan</t>
        </is>
      </c>
      <c r="G34" s="117">
        <f>IFERROR(IF(ISBLANK(INDEX(Backlog[HLE],MATCH($A34,Backlog[Requirement ID],0))),"",INDEX(Backlog[HLE],MATCH($A34,Backlog[Requirement ID],0))),"")</f>
        <v/>
      </c>
      <c r="H34" s="117">
        <f>IFERROR(VALUE(SUBSTITUTE($F34,"Sprint ","")),9999)</f>
        <v/>
      </c>
    </row>
    <row r="35" ht="15" customHeight="1" s="93">
      <c r="A35" s="115">
        <f>Backlog!A35</f>
        <v/>
      </c>
      <c r="B35" s="117">
        <f>IFERROR(IF(ISBLANK(INDEX(Backlog[Requirement Name],MATCH($A35,Backlog[Requirement ID],0))),"",INDEX(Backlog[Requirement Name],MATCH($A35,Backlog[Requirement ID],0))),"")</f>
        <v/>
      </c>
      <c r="C35" s="117">
        <f>IFERROR(IF(ISBLANK(INDEX(Backlog[Stream],MATCH($A35,Backlog[Requirement ID],0))),"",INDEX(Backlog[Stream],MATCH($A35,Backlog[Requirement ID],0))),"")</f>
        <v/>
      </c>
      <c r="D35" s="117">
        <f>IFERROR(IF(ISBLANK(INDEX(Backlog[Priority],MATCH($A35,Backlog[Requirement ID],0))),"",INDEX(Backlog[Priority],MATCH($A35,Backlog[Requirement ID],0))),"")</f>
        <v/>
      </c>
      <c r="E35" s="117">
        <f>IFERROR(IF(ISBLANK(INDEX(Backlog[Status],MATCH($A35,Backlog[Requirement ID],0))),"",INDEX(Backlog[Status],MATCH($A35,Backlog[Requirement ID],0))),"")</f>
        <v/>
      </c>
      <c r="F35" s="115" t="inlineStr">
        <is>
          <t>To Plan</t>
        </is>
      </c>
      <c r="G35" s="117">
        <f>IFERROR(IF(ISBLANK(INDEX(Backlog[HLE],MATCH($A35,Backlog[Requirement ID],0))),"",INDEX(Backlog[HLE],MATCH($A35,Backlog[Requirement ID],0))),"")</f>
        <v/>
      </c>
      <c r="H35" s="117">
        <f>IFERROR(VALUE(SUBSTITUTE($F35,"Sprint ","")),9999)</f>
        <v/>
      </c>
    </row>
    <row r="36" ht="15" customHeight="1" s="93">
      <c r="A36" s="115">
        <f>Backlog!A36</f>
        <v/>
      </c>
      <c r="B36" s="117">
        <f>IFERROR(IF(ISBLANK(INDEX(Backlog[Requirement Name],MATCH($A36,Backlog[Requirement ID],0))),"",INDEX(Backlog[Requirement Name],MATCH($A36,Backlog[Requirement ID],0))),"")</f>
        <v/>
      </c>
      <c r="C36" s="117">
        <f>IFERROR(IF(ISBLANK(INDEX(Backlog[Stream],MATCH($A36,Backlog[Requirement ID],0))),"",INDEX(Backlog[Stream],MATCH($A36,Backlog[Requirement ID],0))),"")</f>
        <v/>
      </c>
      <c r="D36" s="117">
        <f>IFERROR(IF(ISBLANK(INDEX(Backlog[Priority],MATCH($A36,Backlog[Requirement ID],0))),"",INDEX(Backlog[Priority],MATCH($A36,Backlog[Requirement ID],0))),"")</f>
        <v/>
      </c>
      <c r="E36" s="117">
        <f>IFERROR(IF(ISBLANK(INDEX(Backlog[Status],MATCH($A36,Backlog[Requirement ID],0))),"",INDEX(Backlog[Status],MATCH($A36,Backlog[Requirement ID],0))),"")</f>
        <v/>
      </c>
      <c r="F36" s="115" t="inlineStr">
        <is>
          <t>To Plan</t>
        </is>
      </c>
      <c r="G36" s="117">
        <f>IFERROR(IF(ISBLANK(INDEX(Backlog[HLE],MATCH($A36,Backlog[Requirement ID],0))),"",INDEX(Backlog[HLE],MATCH($A36,Backlog[Requirement ID],0))),"")</f>
        <v/>
      </c>
      <c r="H36" s="117">
        <f>IFERROR(VALUE(SUBSTITUTE($F36,"Sprint ","")),9999)</f>
        <v/>
      </c>
    </row>
    <row r="37" ht="15" customHeight="1" s="93">
      <c r="A37" s="115">
        <f>Backlog!A37</f>
        <v/>
      </c>
      <c r="B37" s="117">
        <f>IFERROR(IF(ISBLANK(INDEX(Backlog[Requirement Name],MATCH($A37,Backlog[Requirement ID],0))),"",INDEX(Backlog[Requirement Name],MATCH($A37,Backlog[Requirement ID],0))),"")</f>
        <v/>
      </c>
      <c r="C37" s="117">
        <f>IFERROR(IF(ISBLANK(INDEX(Backlog[Stream],MATCH($A37,Backlog[Requirement ID],0))),"",INDEX(Backlog[Stream],MATCH($A37,Backlog[Requirement ID],0))),"")</f>
        <v/>
      </c>
      <c r="D37" s="117">
        <f>IFERROR(IF(ISBLANK(INDEX(Backlog[Priority],MATCH($A37,Backlog[Requirement ID],0))),"",INDEX(Backlog[Priority],MATCH($A37,Backlog[Requirement ID],0))),"")</f>
        <v/>
      </c>
      <c r="E37" s="117">
        <f>IFERROR(IF(ISBLANK(INDEX(Backlog[Status],MATCH($A37,Backlog[Requirement ID],0))),"",INDEX(Backlog[Status],MATCH($A37,Backlog[Requirement ID],0))),"")</f>
        <v/>
      </c>
      <c r="F37" s="115" t="inlineStr">
        <is>
          <t>To Plan</t>
        </is>
      </c>
      <c r="G37" s="117">
        <f>IFERROR(IF(ISBLANK(INDEX(Backlog[HLE],MATCH($A37,Backlog[Requirement ID],0))),"",INDEX(Backlog[HLE],MATCH($A37,Backlog[Requirement ID],0))),"")</f>
        <v/>
      </c>
      <c r="H37" s="117">
        <f>IFERROR(VALUE(SUBSTITUTE($F37,"Sprint ","")),9999)</f>
        <v/>
      </c>
    </row>
    <row r="38" ht="15" customHeight="1" s="93">
      <c r="A38" s="115">
        <f>Backlog!A38</f>
        <v/>
      </c>
      <c r="B38" s="117">
        <f>IFERROR(IF(ISBLANK(INDEX(Backlog[Requirement Name],MATCH($A38,Backlog[Requirement ID],0))),"",INDEX(Backlog[Requirement Name],MATCH($A38,Backlog[Requirement ID],0))),"")</f>
        <v/>
      </c>
      <c r="C38" s="117">
        <f>IFERROR(IF(ISBLANK(INDEX(Backlog[Stream],MATCH($A38,Backlog[Requirement ID],0))),"",INDEX(Backlog[Stream],MATCH($A38,Backlog[Requirement ID],0))),"")</f>
        <v/>
      </c>
      <c r="D38" s="117">
        <f>IFERROR(IF(ISBLANK(INDEX(Backlog[Priority],MATCH($A38,Backlog[Requirement ID],0))),"",INDEX(Backlog[Priority],MATCH($A38,Backlog[Requirement ID],0))),"")</f>
        <v/>
      </c>
      <c r="E38" s="117">
        <f>IFERROR(IF(ISBLANK(INDEX(Backlog[Status],MATCH($A38,Backlog[Requirement ID],0))),"",INDEX(Backlog[Status],MATCH($A38,Backlog[Requirement ID],0))),"")</f>
        <v/>
      </c>
      <c r="F38" s="115" t="inlineStr">
        <is>
          <t>To Plan</t>
        </is>
      </c>
      <c r="G38" s="117">
        <f>IFERROR(IF(ISBLANK(INDEX(Backlog[HLE],MATCH($A38,Backlog[Requirement ID],0))),"",INDEX(Backlog[HLE],MATCH($A38,Backlog[Requirement ID],0))),"")</f>
        <v/>
      </c>
      <c r="H38" s="117">
        <f>IFERROR(VALUE(SUBSTITUTE($F38,"Sprint ","")),9999)</f>
        <v/>
      </c>
    </row>
    <row r="39" ht="15" customHeight="1" s="93">
      <c r="A39" s="115">
        <f>Backlog!A39</f>
        <v/>
      </c>
      <c r="B39" s="117">
        <f>IFERROR(IF(ISBLANK(INDEX(Backlog[Requirement Name],MATCH($A39,Backlog[Requirement ID],0))),"",INDEX(Backlog[Requirement Name],MATCH($A39,Backlog[Requirement ID],0))),"")</f>
        <v/>
      </c>
      <c r="C39" s="117">
        <f>IFERROR(IF(ISBLANK(INDEX(Backlog[Stream],MATCH($A39,Backlog[Requirement ID],0))),"",INDEX(Backlog[Stream],MATCH($A39,Backlog[Requirement ID],0))),"")</f>
        <v/>
      </c>
      <c r="D39" s="117">
        <f>IFERROR(IF(ISBLANK(INDEX(Backlog[Priority],MATCH($A39,Backlog[Requirement ID],0))),"",INDEX(Backlog[Priority],MATCH($A39,Backlog[Requirement ID],0))),"")</f>
        <v/>
      </c>
      <c r="E39" s="117">
        <f>IFERROR(IF(ISBLANK(INDEX(Backlog[Status],MATCH($A39,Backlog[Requirement ID],0))),"",INDEX(Backlog[Status],MATCH($A39,Backlog[Requirement ID],0))),"")</f>
        <v/>
      </c>
      <c r="F39" s="115" t="inlineStr">
        <is>
          <t>To Plan</t>
        </is>
      </c>
      <c r="G39" s="117">
        <f>IFERROR(IF(ISBLANK(INDEX(Backlog[HLE],MATCH($A39,Backlog[Requirement ID],0))),"",INDEX(Backlog[HLE],MATCH($A39,Backlog[Requirement ID],0))),"")</f>
        <v/>
      </c>
      <c r="H39" s="117">
        <f>IFERROR(VALUE(SUBSTITUTE($F39,"Sprint ","")),9999)</f>
        <v/>
      </c>
    </row>
    <row r="40" ht="15" customHeight="1" s="93">
      <c r="A40" s="115">
        <f>Backlog!A40</f>
        <v/>
      </c>
      <c r="B40" s="117">
        <f>IFERROR(IF(ISBLANK(INDEX(Backlog[Requirement Name],MATCH($A40,Backlog[Requirement ID],0))),"",INDEX(Backlog[Requirement Name],MATCH($A40,Backlog[Requirement ID],0))),"")</f>
        <v/>
      </c>
      <c r="C40" s="117">
        <f>IFERROR(IF(ISBLANK(INDEX(Backlog[Stream],MATCH($A40,Backlog[Requirement ID],0))),"",INDEX(Backlog[Stream],MATCH($A40,Backlog[Requirement ID],0))),"")</f>
        <v/>
      </c>
      <c r="D40" s="117">
        <f>IFERROR(IF(ISBLANK(INDEX(Backlog[Priority],MATCH($A40,Backlog[Requirement ID],0))),"",INDEX(Backlog[Priority],MATCH($A40,Backlog[Requirement ID],0))),"")</f>
        <v/>
      </c>
      <c r="E40" s="117">
        <f>IFERROR(IF(ISBLANK(INDEX(Backlog[Status],MATCH($A40,Backlog[Requirement ID],0))),"",INDEX(Backlog[Status],MATCH($A40,Backlog[Requirement ID],0))),"")</f>
        <v/>
      </c>
      <c r="F40" s="115" t="inlineStr">
        <is>
          <t>To Plan</t>
        </is>
      </c>
      <c r="G40" s="117">
        <f>IFERROR(IF(ISBLANK(INDEX(Backlog[HLE],MATCH($A40,Backlog[Requirement ID],0))),"",INDEX(Backlog[HLE],MATCH($A40,Backlog[Requirement ID],0))),"")</f>
        <v/>
      </c>
      <c r="H40" s="117">
        <f>IFERROR(VALUE(SUBSTITUTE($F40,"Sprint ","")),9999)</f>
        <v/>
      </c>
    </row>
    <row r="41" ht="15" customHeight="1" s="93">
      <c r="A41" s="115">
        <f>Backlog!A41</f>
        <v/>
      </c>
      <c r="B41" s="117">
        <f>IFERROR(IF(ISBLANK(INDEX(Backlog[Requirement Name],MATCH($A41,Backlog[Requirement ID],0))),"",INDEX(Backlog[Requirement Name],MATCH($A41,Backlog[Requirement ID],0))),"")</f>
        <v/>
      </c>
      <c r="C41" s="117">
        <f>IFERROR(IF(ISBLANK(INDEX(Backlog[Stream],MATCH($A41,Backlog[Requirement ID],0))),"",INDEX(Backlog[Stream],MATCH($A41,Backlog[Requirement ID],0))),"")</f>
        <v/>
      </c>
      <c r="D41" s="117">
        <f>IFERROR(IF(ISBLANK(INDEX(Backlog[Priority],MATCH($A41,Backlog[Requirement ID],0))),"",INDEX(Backlog[Priority],MATCH($A41,Backlog[Requirement ID],0))),"")</f>
        <v/>
      </c>
      <c r="E41" s="117">
        <f>IFERROR(IF(ISBLANK(INDEX(Backlog[Status],MATCH($A41,Backlog[Requirement ID],0))),"",INDEX(Backlog[Status],MATCH($A41,Backlog[Requirement ID],0))),"")</f>
        <v/>
      </c>
      <c r="F41" s="115" t="inlineStr">
        <is>
          <t>To Plan</t>
        </is>
      </c>
      <c r="G41" s="117">
        <f>IFERROR(IF(ISBLANK(INDEX(Backlog[HLE],MATCH($A41,Backlog[Requirement ID],0))),"",INDEX(Backlog[HLE],MATCH($A41,Backlog[Requirement ID],0))),"")</f>
        <v/>
      </c>
      <c r="H41" s="117">
        <f>IFERROR(VALUE(SUBSTITUTE($F41,"Sprint ","")),9999)</f>
        <v/>
      </c>
    </row>
    <row r="42" ht="15" customHeight="1" s="93">
      <c r="A42" s="115">
        <f>Backlog!A42</f>
        <v/>
      </c>
      <c r="B42" s="117">
        <f>IFERROR(IF(ISBLANK(INDEX(Backlog[Requirement Name],MATCH($A42,Backlog[Requirement ID],0))),"",INDEX(Backlog[Requirement Name],MATCH($A42,Backlog[Requirement ID],0))),"")</f>
        <v/>
      </c>
      <c r="C42" s="117">
        <f>IFERROR(IF(ISBLANK(INDEX(Backlog[Stream],MATCH($A42,Backlog[Requirement ID],0))),"",INDEX(Backlog[Stream],MATCH($A42,Backlog[Requirement ID],0))),"")</f>
        <v/>
      </c>
      <c r="D42" s="117">
        <f>IFERROR(IF(ISBLANK(INDEX(Backlog[Priority],MATCH($A42,Backlog[Requirement ID],0))),"",INDEX(Backlog[Priority],MATCH($A42,Backlog[Requirement ID],0))),"")</f>
        <v/>
      </c>
      <c r="E42" s="117">
        <f>IFERROR(IF(ISBLANK(INDEX(Backlog[Status],MATCH($A42,Backlog[Requirement ID],0))),"",INDEX(Backlog[Status],MATCH($A42,Backlog[Requirement ID],0))),"")</f>
        <v/>
      </c>
      <c r="F42" s="115" t="inlineStr">
        <is>
          <t>To Plan</t>
        </is>
      </c>
      <c r="G42" s="117">
        <f>IFERROR(IF(ISBLANK(INDEX(Backlog[HLE],MATCH($A42,Backlog[Requirement ID],0))),"",INDEX(Backlog[HLE],MATCH($A42,Backlog[Requirement ID],0))),"")</f>
        <v/>
      </c>
      <c r="H42" s="117">
        <f>IFERROR(VALUE(SUBSTITUTE($F42,"Sprint ","")),9999)</f>
        <v/>
      </c>
    </row>
    <row r="43" ht="15" customHeight="1" s="93">
      <c r="A43" s="115">
        <f>Backlog!A43</f>
        <v/>
      </c>
      <c r="B43" s="117">
        <f>IFERROR(IF(ISBLANK(INDEX(Backlog[Requirement Name],MATCH($A43,Backlog[Requirement ID],0))),"",INDEX(Backlog[Requirement Name],MATCH($A43,Backlog[Requirement ID],0))),"")</f>
        <v/>
      </c>
      <c r="C43" s="117">
        <f>IFERROR(IF(ISBLANK(INDEX(Backlog[Stream],MATCH($A43,Backlog[Requirement ID],0))),"",INDEX(Backlog[Stream],MATCH($A43,Backlog[Requirement ID],0))),"")</f>
        <v/>
      </c>
      <c r="D43" s="117">
        <f>IFERROR(IF(ISBLANK(INDEX(Backlog[Priority],MATCH($A43,Backlog[Requirement ID],0))),"",INDEX(Backlog[Priority],MATCH($A43,Backlog[Requirement ID],0))),"")</f>
        <v/>
      </c>
      <c r="E43" s="117">
        <f>IFERROR(IF(ISBLANK(INDEX(Backlog[Status],MATCH($A43,Backlog[Requirement ID],0))),"",INDEX(Backlog[Status],MATCH($A43,Backlog[Requirement ID],0))),"")</f>
        <v/>
      </c>
      <c r="F43" s="115" t="inlineStr">
        <is>
          <t>To Plan</t>
        </is>
      </c>
      <c r="G43" s="117">
        <f>IFERROR(IF(ISBLANK(INDEX(Backlog[HLE],MATCH($A43,Backlog[Requirement ID],0))),"",INDEX(Backlog[HLE],MATCH($A43,Backlog[Requirement ID],0))),"")</f>
        <v/>
      </c>
      <c r="H43" s="117">
        <f>IFERROR(VALUE(SUBSTITUTE($F43,"Sprint ","")),9999)</f>
        <v/>
      </c>
    </row>
    <row r="44" ht="15" customHeight="1" s="93">
      <c r="A44" s="115">
        <f>Backlog!A44</f>
        <v/>
      </c>
      <c r="B44" s="117">
        <f>IFERROR(IF(ISBLANK(INDEX(Backlog[Requirement Name],MATCH($A44,Backlog[Requirement ID],0))),"",INDEX(Backlog[Requirement Name],MATCH($A44,Backlog[Requirement ID],0))),"")</f>
        <v/>
      </c>
      <c r="C44" s="117">
        <f>IFERROR(IF(ISBLANK(INDEX(Backlog[Stream],MATCH($A44,Backlog[Requirement ID],0))),"",INDEX(Backlog[Stream],MATCH($A44,Backlog[Requirement ID],0))),"")</f>
        <v/>
      </c>
      <c r="D44" s="117">
        <f>IFERROR(IF(ISBLANK(INDEX(Backlog[Priority],MATCH($A44,Backlog[Requirement ID],0))),"",INDEX(Backlog[Priority],MATCH($A44,Backlog[Requirement ID],0))),"")</f>
        <v/>
      </c>
      <c r="E44" s="117">
        <f>IFERROR(IF(ISBLANK(INDEX(Backlog[Status],MATCH($A44,Backlog[Requirement ID],0))),"",INDEX(Backlog[Status],MATCH($A44,Backlog[Requirement ID],0))),"")</f>
        <v/>
      </c>
      <c r="F44" s="115" t="inlineStr">
        <is>
          <t>To Plan</t>
        </is>
      </c>
      <c r="G44" s="117">
        <f>IFERROR(IF(ISBLANK(INDEX(Backlog[HLE],MATCH($A44,Backlog[Requirement ID],0))),"",INDEX(Backlog[HLE],MATCH($A44,Backlog[Requirement ID],0))),"")</f>
        <v/>
      </c>
      <c r="H44" s="117">
        <f>IFERROR(VALUE(SUBSTITUTE($F44,"Sprint ","")),9999)</f>
        <v/>
      </c>
    </row>
    <row r="45" ht="15" customHeight="1" s="93">
      <c r="A45" s="115">
        <f>Backlog!A45</f>
        <v/>
      </c>
      <c r="B45" s="117">
        <f>IFERROR(IF(ISBLANK(INDEX(Backlog[Requirement Name],MATCH($A45,Backlog[Requirement ID],0))),"",INDEX(Backlog[Requirement Name],MATCH($A45,Backlog[Requirement ID],0))),"")</f>
        <v/>
      </c>
      <c r="C45" s="117">
        <f>IFERROR(IF(ISBLANK(INDEX(Backlog[Stream],MATCH($A45,Backlog[Requirement ID],0))),"",INDEX(Backlog[Stream],MATCH($A45,Backlog[Requirement ID],0))),"")</f>
        <v/>
      </c>
      <c r="D45" s="117">
        <f>IFERROR(IF(ISBLANK(INDEX(Backlog[Priority],MATCH($A45,Backlog[Requirement ID],0))),"",INDEX(Backlog[Priority],MATCH($A45,Backlog[Requirement ID],0))),"")</f>
        <v/>
      </c>
      <c r="E45" s="117">
        <f>IFERROR(IF(ISBLANK(INDEX(Backlog[Status],MATCH($A45,Backlog[Requirement ID],0))),"",INDEX(Backlog[Status],MATCH($A45,Backlog[Requirement ID],0))),"")</f>
        <v/>
      </c>
      <c r="F45" s="115" t="n"/>
      <c r="G45" s="117">
        <f>IFERROR(IF(ISBLANK(INDEX(Backlog[HLE],MATCH($A45,Backlog[Requirement ID],0))),"",INDEX(Backlog[HLE],MATCH($A45,Backlog[Requirement ID],0))),"")</f>
        <v/>
      </c>
      <c r="H45" s="117">
        <f>IFERROR(VALUE(SUBSTITUTE($F45,"Sprint ","")),9999)</f>
        <v/>
      </c>
    </row>
    <row r="46" ht="15" customHeight="1" s="93">
      <c r="A46" s="115">
        <f>Backlog!A46</f>
        <v/>
      </c>
      <c r="B46" s="117">
        <f>IFERROR(IF(ISBLANK(INDEX(Backlog[Requirement Name],MATCH($A46,Backlog[Requirement ID],0))),"",INDEX(Backlog[Requirement Name],MATCH($A46,Backlog[Requirement ID],0))),"")</f>
        <v/>
      </c>
      <c r="C46" s="117">
        <f>IFERROR(IF(ISBLANK(INDEX(Backlog[Stream],MATCH($A46,Backlog[Requirement ID],0))),"",INDEX(Backlog[Stream],MATCH($A46,Backlog[Requirement ID],0))),"")</f>
        <v/>
      </c>
      <c r="D46" s="117">
        <f>IFERROR(IF(ISBLANK(INDEX(Backlog[Priority],MATCH($A46,Backlog[Requirement ID],0))),"",INDEX(Backlog[Priority],MATCH($A46,Backlog[Requirement ID],0))),"")</f>
        <v/>
      </c>
      <c r="E46" s="117">
        <f>IFERROR(IF(ISBLANK(INDEX(Backlog[Status],MATCH($A46,Backlog[Requirement ID],0))),"",INDEX(Backlog[Status],MATCH($A46,Backlog[Requirement ID],0))),"")</f>
        <v/>
      </c>
      <c r="F46" s="115" t="n"/>
      <c r="G46" s="117">
        <f>IFERROR(IF(ISBLANK(INDEX(Backlog[HLE],MATCH($A46,Backlog[Requirement ID],0))),"",INDEX(Backlog[HLE],MATCH($A46,Backlog[Requirement ID],0))),"")</f>
        <v/>
      </c>
      <c r="H46" s="117">
        <f>IFERROR(VALUE(SUBSTITUTE($F46,"Sprint ","")),9999)</f>
        <v/>
      </c>
    </row>
    <row r="47" ht="15" customHeight="1" s="93">
      <c r="A47" s="115">
        <f>Backlog!A47</f>
        <v/>
      </c>
      <c r="B47" s="117">
        <f>IFERROR(IF(ISBLANK(INDEX(Backlog[Requirement Name],MATCH($A47,Backlog[Requirement ID],0))),"",INDEX(Backlog[Requirement Name],MATCH($A47,Backlog[Requirement ID],0))),"")</f>
        <v/>
      </c>
      <c r="C47" s="117">
        <f>IFERROR(IF(ISBLANK(INDEX(Backlog[Stream],MATCH($A47,Backlog[Requirement ID],0))),"",INDEX(Backlog[Stream],MATCH($A47,Backlog[Requirement ID],0))),"")</f>
        <v/>
      </c>
      <c r="D47" s="117">
        <f>IFERROR(IF(ISBLANK(INDEX(Backlog[Priority],MATCH($A47,Backlog[Requirement ID],0))),"",INDEX(Backlog[Priority],MATCH($A47,Backlog[Requirement ID],0))),"")</f>
        <v/>
      </c>
      <c r="E47" s="117">
        <f>IFERROR(IF(ISBLANK(INDEX(Backlog[Status],MATCH($A47,Backlog[Requirement ID],0))),"",INDEX(Backlog[Status],MATCH($A47,Backlog[Requirement ID],0))),"")</f>
        <v/>
      </c>
      <c r="F47" s="115" t="inlineStr">
        <is>
          <t>To Plan</t>
        </is>
      </c>
      <c r="G47" s="117">
        <f>IFERROR(IF(ISBLANK(INDEX(Backlog[HLE],MATCH($A47,Backlog[Requirement ID],0))),"",INDEX(Backlog[HLE],MATCH($A47,Backlog[Requirement ID],0))),"")</f>
        <v/>
      </c>
      <c r="H47" s="117">
        <f>IFERROR(VALUE(SUBSTITUTE($F47,"Sprint ","")),9999)</f>
        <v/>
      </c>
    </row>
    <row r="48" ht="15" customHeight="1" s="93">
      <c r="A48" s="115">
        <f>Backlog!A48</f>
        <v/>
      </c>
      <c r="B48" s="117">
        <f>IFERROR(IF(ISBLANK(INDEX(Backlog[Requirement Name],MATCH($A48,Backlog[Requirement ID],0))),"",INDEX(Backlog[Requirement Name],MATCH($A48,Backlog[Requirement ID],0))),"")</f>
        <v/>
      </c>
      <c r="C48" s="117">
        <f>IFERROR(IF(ISBLANK(INDEX(Backlog[Stream],MATCH($A48,Backlog[Requirement ID],0))),"",INDEX(Backlog[Stream],MATCH($A48,Backlog[Requirement ID],0))),"")</f>
        <v/>
      </c>
      <c r="D48" s="117">
        <f>IFERROR(IF(ISBLANK(INDEX(Backlog[Priority],MATCH($A48,Backlog[Requirement ID],0))),"",INDEX(Backlog[Priority],MATCH($A48,Backlog[Requirement ID],0))),"")</f>
        <v/>
      </c>
      <c r="E48" s="117">
        <f>IFERROR(IF(ISBLANK(INDEX(Backlog[Status],MATCH($A48,Backlog[Requirement ID],0))),"",INDEX(Backlog[Status],MATCH($A48,Backlog[Requirement ID],0))),"")</f>
        <v/>
      </c>
      <c r="F48" s="115" t="inlineStr">
        <is>
          <t>To Plan</t>
        </is>
      </c>
      <c r="G48" s="117">
        <f>IFERROR(IF(ISBLANK(INDEX(Backlog[HLE],MATCH($A48,Backlog[Requirement ID],0))),"",INDEX(Backlog[HLE],MATCH($A48,Backlog[Requirement ID],0))),"")</f>
        <v/>
      </c>
      <c r="H48" s="117">
        <f>IFERROR(VALUE(SUBSTITUTE($F48,"Sprint ","")),9999)</f>
        <v/>
      </c>
    </row>
    <row r="49" ht="15" customHeight="1" s="93">
      <c r="A49" s="115">
        <f>Backlog!A49</f>
        <v/>
      </c>
      <c r="B49" s="117">
        <f>IFERROR(IF(ISBLANK(INDEX(Backlog[Requirement Name],MATCH($A49,Backlog[Requirement ID],0))),"",INDEX(Backlog[Requirement Name],MATCH($A49,Backlog[Requirement ID],0))),"")</f>
        <v/>
      </c>
      <c r="C49" s="117">
        <f>IFERROR(IF(ISBLANK(INDEX(Backlog[Stream],MATCH($A49,Backlog[Requirement ID],0))),"",INDEX(Backlog[Stream],MATCH($A49,Backlog[Requirement ID],0))),"")</f>
        <v/>
      </c>
      <c r="D49" s="117">
        <f>IFERROR(IF(ISBLANK(INDEX(Backlog[Priority],MATCH($A49,Backlog[Requirement ID],0))),"",INDEX(Backlog[Priority],MATCH($A49,Backlog[Requirement ID],0))),"")</f>
        <v/>
      </c>
      <c r="E49" s="117">
        <f>IFERROR(IF(ISBLANK(INDEX(Backlog[Status],MATCH($A49,Backlog[Requirement ID],0))),"",INDEX(Backlog[Status],MATCH($A49,Backlog[Requirement ID],0))),"")</f>
        <v/>
      </c>
      <c r="F49" s="115" t="inlineStr">
        <is>
          <t>To Plan</t>
        </is>
      </c>
      <c r="G49" s="117">
        <f>IFERROR(IF(ISBLANK(INDEX(Backlog[HLE],MATCH($A49,Backlog[Requirement ID],0))),"",INDEX(Backlog[HLE],MATCH($A49,Backlog[Requirement ID],0))),"")</f>
        <v/>
      </c>
      <c r="H49" s="117">
        <f>IFERROR(VALUE(SUBSTITUTE($F49,"Sprint ","")),9999)</f>
        <v/>
      </c>
    </row>
    <row r="50" ht="15" customHeight="1" s="93">
      <c r="A50" s="115">
        <f>Backlog!A50</f>
        <v/>
      </c>
      <c r="B50" s="117">
        <f>IFERROR(IF(ISBLANK(INDEX(Backlog[Requirement Name],MATCH($A50,Backlog[Requirement ID],0))),"",INDEX(Backlog[Requirement Name],MATCH($A50,Backlog[Requirement ID],0))),"")</f>
        <v/>
      </c>
      <c r="C50" s="117">
        <f>IFERROR(IF(ISBLANK(INDEX(Backlog[Stream],MATCH($A50,Backlog[Requirement ID],0))),"",INDEX(Backlog[Stream],MATCH($A50,Backlog[Requirement ID],0))),"")</f>
        <v/>
      </c>
      <c r="D50" s="117">
        <f>IFERROR(IF(ISBLANK(INDEX(Backlog[Priority],MATCH($A50,Backlog[Requirement ID],0))),"",INDEX(Backlog[Priority],MATCH($A50,Backlog[Requirement ID],0))),"")</f>
        <v/>
      </c>
      <c r="E50" s="117">
        <f>IFERROR(IF(ISBLANK(INDEX(Backlog[Status],MATCH($A50,Backlog[Requirement ID],0))),"",INDEX(Backlog[Status],MATCH($A50,Backlog[Requirement ID],0))),"")</f>
        <v/>
      </c>
      <c r="F50" s="115" t="inlineStr">
        <is>
          <t>To Plan</t>
        </is>
      </c>
      <c r="G50" s="117">
        <f>IFERROR(IF(ISBLANK(INDEX(Backlog[HLE],MATCH($A50,Backlog[Requirement ID],0))),"",INDEX(Backlog[HLE],MATCH($A50,Backlog[Requirement ID],0))),"")</f>
        <v/>
      </c>
      <c r="H50" s="117">
        <f>IFERROR(VALUE(SUBSTITUTE($F50,"Sprint ","")),9999)</f>
        <v/>
      </c>
    </row>
    <row r="51" ht="15" customHeight="1" s="93">
      <c r="A51" s="115">
        <f>Backlog!A51</f>
        <v/>
      </c>
      <c r="B51" s="117">
        <f>IFERROR(IF(ISBLANK(INDEX(Backlog[Requirement Name],MATCH($A51,Backlog[Requirement ID],0))),"",INDEX(Backlog[Requirement Name],MATCH($A51,Backlog[Requirement ID],0))),"")</f>
        <v/>
      </c>
      <c r="C51" s="117">
        <f>IFERROR(IF(ISBLANK(INDEX(Backlog[Stream],MATCH($A51,Backlog[Requirement ID],0))),"",INDEX(Backlog[Stream],MATCH($A51,Backlog[Requirement ID],0))),"")</f>
        <v/>
      </c>
      <c r="D51" s="117">
        <f>IFERROR(IF(ISBLANK(INDEX(Backlog[Priority],MATCH($A51,Backlog[Requirement ID],0))),"",INDEX(Backlog[Priority],MATCH($A51,Backlog[Requirement ID],0))),"")</f>
        <v/>
      </c>
      <c r="E51" s="117">
        <f>IFERROR(IF(ISBLANK(INDEX(Backlog[Status],MATCH($A51,Backlog[Requirement ID],0))),"",INDEX(Backlog[Status],MATCH($A51,Backlog[Requirement ID],0))),"")</f>
        <v/>
      </c>
      <c r="F51" s="115" t="inlineStr">
        <is>
          <t>Sprint 11</t>
        </is>
      </c>
      <c r="G51" s="117">
        <f>IFERROR(IF(ISBLANK(INDEX(Backlog[HLE],MATCH($A51,Backlog[Requirement ID],0))),"",INDEX(Backlog[HLE],MATCH($A51,Backlog[Requirement ID],0))),"")</f>
        <v/>
      </c>
      <c r="H51" s="117">
        <f>IFERROR(VALUE(SUBSTITUTE($F51,"Sprint ","")),9999)</f>
        <v/>
      </c>
    </row>
    <row r="52" ht="15" customHeight="1" s="93">
      <c r="A52" s="115">
        <f>Backlog!A52</f>
        <v/>
      </c>
      <c r="B52" s="117">
        <f>IFERROR(IF(ISBLANK(INDEX(Backlog[Requirement Name],MATCH($A52,Backlog[Requirement ID],0))),"",INDEX(Backlog[Requirement Name],MATCH($A52,Backlog[Requirement ID],0))),"")</f>
        <v/>
      </c>
      <c r="C52" s="117">
        <f>IFERROR(IF(ISBLANK(INDEX(Backlog[Stream],MATCH($A52,Backlog[Requirement ID],0))),"",INDEX(Backlog[Stream],MATCH($A52,Backlog[Requirement ID],0))),"")</f>
        <v/>
      </c>
      <c r="D52" s="117">
        <f>IFERROR(IF(ISBLANK(INDEX(Backlog[Priority],MATCH($A52,Backlog[Requirement ID],0))),"",INDEX(Backlog[Priority],MATCH($A52,Backlog[Requirement ID],0))),"")</f>
        <v/>
      </c>
      <c r="E52" s="117">
        <f>IFERROR(IF(ISBLANK(INDEX(Backlog[Status],MATCH($A52,Backlog[Requirement ID],0))),"",INDEX(Backlog[Status],MATCH($A52,Backlog[Requirement ID],0))),"")</f>
        <v/>
      </c>
      <c r="F52" s="115" t="inlineStr">
        <is>
          <t>To Plan</t>
        </is>
      </c>
      <c r="G52" s="117">
        <f>IFERROR(IF(ISBLANK(INDEX(Backlog[HLE],MATCH($A52,Backlog[Requirement ID],0))),"",INDEX(Backlog[HLE],MATCH($A52,Backlog[Requirement ID],0))),"")</f>
        <v/>
      </c>
      <c r="H52" s="117">
        <f>IFERROR(VALUE(SUBSTITUTE($F52,"Sprint ","")),9999)</f>
        <v/>
      </c>
    </row>
    <row r="53" ht="15" customHeight="1" s="93">
      <c r="A53" s="115">
        <f>Backlog!A53</f>
        <v/>
      </c>
      <c r="B53" s="117">
        <f>IFERROR(IF(ISBLANK(INDEX(Backlog[Requirement Name],MATCH($A53,Backlog[Requirement ID],0))),"",INDEX(Backlog[Requirement Name],MATCH($A53,Backlog[Requirement ID],0))),"")</f>
        <v/>
      </c>
      <c r="C53" s="117">
        <f>IFERROR(IF(ISBLANK(INDEX(Backlog[Stream],MATCH($A53,Backlog[Requirement ID],0))),"",INDEX(Backlog[Stream],MATCH($A53,Backlog[Requirement ID],0))),"")</f>
        <v/>
      </c>
      <c r="D53" s="117">
        <f>IFERROR(IF(ISBLANK(INDEX(Backlog[Priority],MATCH($A53,Backlog[Requirement ID],0))),"",INDEX(Backlog[Priority],MATCH($A53,Backlog[Requirement ID],0))),"")</f>
        <v/>
      </c>
      <c r="E53" s="117">
        <f>IFERROR(IF(ISBLANK(INDEX(Backlog[Status],MATCH($A53,Backlog[Requirement ID],0))),"",INDEX(Backlog[Status],MATCH($A53,Backlog[Requirement ID],0))),"")</f>
        <v/>
      </c>
      <c r="F53" s="115" t="inlineStr">
        <is>
          <t>To Plan</t>
        </is>
      </c>
      <c r="G53" s="117">
        <f>IFERROR(IF(ISBLANK(INDEX(Backlog[HLE],MATCH($A53,Backlog[Requirement ID],0))),"",INDEX(Backlog[HLE],MATCH($A53,Backlog[Requirement ID],0))),"")</f>
        <v/>
      </c>
      <c r="H53" s="117">
        <f>IFERROR(VALUE(SUBSTITUTE($F53,"Sprint ","")),9999)</f>
        <v/>
      </c>
    </row>
    <row r="54" ht="15" customHeight="1" s="93">
      <c r="A54" s="115">
        <f>Backlog!A54</f>
        <v/>
      </c>
      <c r="B54" s="117">
        <f>IFERROR(IF(ISBLANK(INDEX(Backlog[Requirement Name],MATCH($A54,Backlog[Requirement ID],0))),"",INDEX(Backlog[Requirement Name],MATCH($A54,Backlog[Requirement ID],0))),"")</f>
        <v/>
      </c>
      <c r="C54" s="117">
        <f>IFERROR(IF(ISBLANK(INDEX(Backlog[Stream],MATCH($A54,Backlog[Requirement ID],0))),"",INDEX(Backlog[Stream],MATCH($A54,Backlog[Requirement ID],0))),"")</f>
        <v/>
      </c>
      <c r="D54" s="117">
        <f>IFERROR(IF(ISBLANK(INDEX(Backlog[Priority],MATCH($A54,Backlog[Requirement ID],0))),"",INDEX(Backlog[Priority],MATCH($A54,Backlog[Requirement ID],0))),"")</f>
        <v/>
      </c>
      <c r="E54" s="117">
        <f>IFERROR(IF(ISBLANK(INDEX(Backlog[Status],MATCH($A54,Backlog[Requirement ID],0))),"",INDEX(Backlog[Status],MATCH($A54,Backlog[Requirement ID],0))),"")</f>
        <v/>
      </c>
      <c r="F54" s="115" t="inlineStr">
        <is>
          <t>To Plan</t>
        </is>
      </c>
      <c r="G54" s="117">
        <f>IFERROR(IF(ISBLANK(INDEX(Backlog[HLE],MATCH($A54,Backlog[Requirement ID],0))),"",INDEX(Backlog[HLE],MATCH($A54,Backlog[Requirement ID],0))),"")</f>
        <v/>
      </c>
      <c r="H54" s="117">
        <f>IFERROR(VALUE(SUBSTITUTE($F54,"Sprint ","")),9999)</f>
        <v/>
      </c>
    </row>
    <row r="55" ht="15" customHeight="1" s="93">
      <c r="A55" s="115">
        <f>Backlog!A55</f>
        <v/>
      </c>
      <c r="B55" s="117">
        <f>IFERROR(IF(ISBLANK(INDEX(Backlog[Requirement Name],MATCH($A55,Backlog[Requirement ID],0))),"",INDEX(Backlog[Requirement Name],MATCH($A55,Backlog[Requirement ID],0))),"")</f>
        <v/>
      </c>
      <c r="C55" s="117">
        <f>IFERROR(IF(ISBLANK(INDEX(Backlog[Stream],MATCH($A55,Backlog[Requirement ID],0))),"",INDEX(Backlog[Stream],MATCH($A55,Backlog[Requirement ID],0))),"")</f>
        <v/>
      </c>
      <c r="D55" s="117">
        <f>IFERROR(IF(ISBLANK(INDEX(Backlog[Priority],MATCH($A55,Backlog[Requirement ID],0))),"",INDEX(Backlog[Priority],MATCH($A55,Backlog[Requirement ID],0))),"")</f>
        <v/>
      </c>
      <c r="E55" s="117">
        <f>IFERROR(IF(ISBLANK(INDEX(Backlog[Status],MATCH($A55,Backlog[Requirement ID],0))),"",INDEX(Backlog[Status],MATCH($A55,Backlog[Requirement ID],0))),"")</f>
        <v/>
      </c>
      <c r="F55" s="115" t="inlineStr">
        <is>
          <t>To Plan</t>
        </is>
      </c>
      <c r="G55" s="117">
        <f>IFERROR(IF(ISBLANK(INDEX(Backlog[HLE],MATCH($A55,Backlog[Requirement ID],0))),"",INDEX(Backlog[HLE],MATCH($A55,Backlog[Requirement ID],0))),"")</f>
        <v/>
      </c>
      <c r="H55" s="117">
        <f>IFERROR(VALUE(SUBSTITUTE($F55,"Sprint ","")),9999)</f>
        <v/>
      </c>
    </row>
    <row r="56" ht="15" customHeight="1" s="93">
      <c r="A56" s="115">
        <f>Backlog!A56</f>
        <v/>
      </c>
      <c r="B56" s="117">
        <f>IFERROR(IF(ISBLANK(INDEX(Backlog[Requirement Name],MATCH($A56,Backlog[Requirement ID],0))),"",INDEX(Backlog[Requirement Name],MATCH($A56,Backlog[Requirement ID],0))),"")</f>
        <v/>
      </c>
      <c r="C56" s="117">
        <f>IFERROR(IF(ISBLANK(INDEX(Backlog[Stream],MATCH($A56,Backlog[Requirement ID],0))),"",INDEX(Backlog[Stream],MATCH($A56,Backlog[Requirement ID],0))),"")</f>
        <v/>
      </c>
      <c r="D56" s="117">
        <f>IFERROR(IF(ISBLANK(INDEX(Backlog[Priority],MATCH($A56,Backlog[Requirement ID],0))),"",INDEX(Backlog[Priority],MATCH($A56,Backlog[Requirement ID],0))),"")</f>
        <v/>
      </c>
      <c r="E56" s="117">
        <f>IFERROR(IF(ISBLANK(INDEX(Backlog[Status],MATCH($A56,Backlog[Requirement ID],0))),"",INDEX(Backlog[Status],MATCH($A56,Backlog[Requirement ID],0))),"")</f>
        <v/>
      </c>
      <c r="F56" s="115" t="inlineStr">
        <is>
          <t>To Plan</t>
        </is>
      </c>
      <c r="G56" s="117">
        <f>IFERROR(IF(ISBLANK(INDEX(Backlog[HLE],MATCH($A56,Backlog[Requirement ID],0))),"",INDEX(Backlog[HLE],MATCH($A56,Backlog[Requirement ID],0))),"")</f>
        <v/>
      </c>
      <c r="H56" s="117">
        <f>IFERROR(VALUE(SUBSTITUTE($F56,"Sprint ","")),9999)</f>
        <v/>
      </c>
    </row>
    <row r="57" ht="15" customHeight="1" s="93">
      <c r="A57" s="115">
        <f>Backlog!A57</f>
        <v/>
      </c>
      <c r="B57" s="117">
        <f>IFERROR(IF(ISBLANK(INDEX(Backlog[Requirement Name],MATCH($A57,Backlog[Requirement ID],0))),"",INDEX(Backlog[Requirement Name],MATCH($A57,Backlog[Requirement ID],0))),"")</f>
        <v/>
      </c>
      <c r="C57" s="117">
        <f>IFERROR(IF(ISBLANK(INDEX(Backlog[Stream],MATCH($A57,Backlog[Requirement ID],0))),"",INDEX(Backlog[Stream],MATCH($A57,Backlog[Requirement ID],0))),"")</f>
        <v/>
      </c>
      <c r="D57" s="117">
        <f>IFERROR(IF(ISBLANK(INDEX(Backlog[Priority],MATCH($A57,Backlog[Requirement ID],0))),"",INDEX(Backlog[Priority],MATCH($A57,Backlog[Requirement ID],0))),"")</f>
        <v/>
      </c>
      <c r="E57" s="117">
        <f>IFERROR(IF(ISBLANK(INDEX(Backlog[Status],MATCH($A57,Backlog[Requirement ID],0))),"",INDEX(Backlog[Status],MATCH($A57,Backlog[Requirement ID],0))),"")</f>
        <v/>
      </c>
      <c r="F57" s="115" t="inlineStr">
        <is>
          <t>To Plan</t>
        </is>
      </c>
      <c r="G57" s="117">
        <f>IFERROR(IF(ISBLANK(INDEX(Backlog[HLE],MATCH($A57,Backlog[Requirement ID],0))),"",INDEX(Backlog[HLE],MATCH($A57,Backlog[Requirement ID],0))),"")</f>
        <v/>
      </c>
      <c r="H57" s="117">
        <f>IFERROR(VALUE(SUBSTITUTE($F57,"Sprint ","")),9999)</f>
        <v/>
      </c>
    </row>
    <row r="58" ht="15" customHeight="1" s="93">
      <c r="A58" s="115">
        <f>Backlog!A58</f>
        <v/>
      </c>
      <c r="B58" s="117">
        <f>IFERROR(IF(ISBLANK(INDEX(Backlog[Requirement Name],MATCH($A58,Backlog[Requirement ID],0))),"",INDEX(Backlog[Requirement Name],MATCH($A58,Backlog[Requirement ID],0))),"")</f>
        <v/>
      </c>
      <c r="C58" s="117">
        <f>IFERROR(IF(ISBLANK(INDEX(Backlog[Stream],MATCH($A58,Backlog[Requirement ID],0))),"",INDEX(Backlog[Stream],MATCH($A58,Backlog[Requirement ID],0))),"")</f>
        <v/>
      </c>
      <c r="D58" s="117">
        <f>IFERROR(IF(ISBLANK(INDEX(Backlog[Priority],MATCH($A58,Backlog[Requirement ID],0))),"",INDEX(Backlog[Priority],MATCH($A58,Backlog[Requirement ID],0))),"")</f>
        <v/>
      </c>
      <c r="E58" s="117">
        <f>IFERROR(IF(ISBLANK(INDEX(Backlog[Status],MATCH($A58,Backlog[Requirement ID],0))),"",INDEX(Backlog[Status],MATCH($A58,Backlog[Requirement ID],0))),"")</f>
        <v/>
      </c>
      <c r="F58" s="115" t="inlineStr">
        <is>
          <t>To Plan</t>
        </is>
      </c>
      <c r="G58" s="117">
        <f>IFERROR(IF(ISBLANK(INDEX(Backlog[HLE],MATCH($A58,Backlog[Requirement ID],0))),"",INDEX(Backlog[HLE],MATCH($A58,Backlog[Requirement ID],0))),"")</f>
        <v/>
      </c>
      <c r="H58" s="117">
        <f>IFERROR(VALUE(SUBSTITUTE($F58,"Sprint ","")),9999)</f>
        <v/>
      </c>
    </row>
    <row r="59" ht="15" customHeight="1" s="93">
      <c r="A59" s="115">
        <f>Backlog!A59</f>
        <v/>
      </c>
      <c r="B59" s="117">
        <f>IFERROR(IF(ISBLANK(INDEX(Backlog[Requirement Name],MATCH($A59,Backlog[Requirement ID],0))),"",INDEX(Backlog[Requirement Name],MATCH($A59,Backlog[Requirement ID],0))),"")</f>
        <v/>
      </c>
      <c r="C59" s="117">
        <f>IFERROR(IF(ISBLANK(INDEX(Backlog[Stream],MATCH($A59,Backlog[Requirement ID],0))),"",INDEX(Backlog[Stream],MATCH($A59,Backlog[Requirement ID],0))),"")</f>
        <v/>
      </c>
      <c r="D59" s="117">
        <f>IFERROR(IF(ISBLANK(INDEX(Backlog[Priority],MATCH($A59,Backlog[Requirement ID],0))),"",INDEX(Backlog[Priority],MATCH($A59,Backlog[Requirement ID],0))),"")</f>
        <v/>
      </c>
      <c r="E59" s="117">
        <f>IFERROR(IF(ISBLANK(INDEX(Backlog[Status],MATCH($A59,Backlog[Requirement ID],0))),"",INDEX(Backlog[Status],MATCH($A59,Backlog[Requirement ID],0))),"")</f>
        <v/>
      </c>
      <c r="F59" s="115" t="inlineStr">
        <is>
          <t>To Plan</t>
        </is>
      </c>
      <c r="G59" s="117">
        <f>IFERROR(IF(ISBLANK(INDEX(Backlog[HLE],MATCH($A59,Backlog[Requirement ID],0))),"",INDEX(Backlog[HLE],MATCH($A59,Backlog[Requirement ID],0))),"")</f>
        <v/>
      </c>
      <c r="H59" s="117">
        <f>IFERROR(VALUE(SUBSTITUTE($F59,"Sprint ","")),9999)</f>
        <v/>
      </c>
    </row>
    <row r="60" ht="15" customHeight="1" s="93">
      <c r="A60" s="115">
        <f>Backlog!A60</f>
        <v/>
      </c>
      <c r="B60" s="137">
        <f>IFERROR(IF(ISBLANK(INDEX(Backlog[Requirement Name],MATCH($A60,Backlog[Requirement ID],0))),"",INDEX(Backlog[Requirement Name],MATCH($A60,Backlog[Requirement ID],0))),"")</f>
        <v/>
      </c>
      <c r="C60" s="117">
        <f>IFERROR(IF(ISBLANK(INDEX(Backlog[Stream],MATCH($A60,Backlog[Requirement ID],0))),"",INDEX(Backlog[Stream],MATCH($A60,Backlog[Requirement ID],0))),"")</f>
        <v/>
      </c>
      <c r="D60" s="117">
        <f>IFERROR(IF(ISBLANK(INDEX(Backlog[Priority],MATCH($A60,Backlog[Requirement ID],0))),"",INDEX(Backlog[Priority],MATCH($A60,Backlog[Requirement ID],0))),"")</f>
        <v/>
      </c>
      <c r="E60" s="117">
        <f>IFERROR(IF(ISBLANK(INDEX(Backlog[Status],MATCH($A60,Backlog[Requirement ID],0))),"",INDEX(Backlog[Status],MATCH($A60,Backlog[Requirement ID],0))),"")</f>
        <v/>
      </c>
      <c r="F60" s="115" t="inlineStr">
        <is>
          <t>To Plan</t>
        </is>
      </c>
      <c r="G60" s="117">
        <f>IFERROR(IF(ISBLANK(INDEX(Backlog[HLE],MATCH($A60,Backlog[Requirement ID],0))),"",INDEX(Backlog[HLE],MATCH($A60,Backlog[Requirement ID],0))),"")</f>
        <v/>
      </c>
      <c r="H60" s="117">
        <f>IFERROR(VALUE(SUBSTITUTE($F60,"Sprint ","")),9999)</f>
        <v/>
      </c>
    </row>
    <row r="61" ht="15" customHeight="1" s="93">
      <c r="A61" s="115">
        <f>Backlog!A61</f>
        <v/>
      </c>
      <c r="B61" s="117">
        <f>IFERROR(IF(ISBLANK(INDEX(Backlog[Requirement Name],MATCH($A61,Backlog[Requirement ID],0))),"",INDEX(Backlog[Requirement Name],MATCH($A61,Backlog[Requirement ID],0))),"")</f>
        <v/>
      </c>
      <c r="C61" s="117">
        <f>IFERROR(IF(ISBLANK(INDEX(Backlog[Stream],MATCH($A61,Backlog[Requirement ID],0))),"",INDEX(Backlog[Stream],MATCH($A61,Backlog[Requirement ID],0))),"")</f>
        <v/>
      </c>
      <c r="D61" s="117">
        <f>IFERROR(IF(ISBLANK(INDEX(Backlog[Priority],MATCH($A61,Backlog[Requirement ID],0))),"",INDEX(Backlog[Priority],MATCH($A61,Backlog[Requirement ID],0))),"")</f>
        <v/>
      </c>
      <c r="E61" s="117">
        <f>IFERROR(IF(ISBLANK(INDEX(Backlog[Status],MATCH($A61,Backlog[Requirement ID],0))),"",INDEX(Backlog[Status],MATCH($A61,Backlog[Requirement ID],0))),"")</f>
        <v/>
      </c>
      <c r="F61" s="115" t="inlineStr">
        <is>
          <t>To Plan</t>
        </is>
      </c>
      <c r="G61" s="117">
        <f>IFERROR(IF(ISBLANK(INDEX(Backlog[HLE],MATCH($A61,Backlog[Requirement ID],0))),"",INDEX(Backlog[HLE],MATCH($A61,Backlog[Requirement ID],0))),"")</f>
        <v/>
      </c>
      <c r="H61" s="117">
        <f>IFERROR(VALUE(SUBSTITUTE($F61,"Sprint ","")),9999)</f>
        <v/>
      </c>
    </row>
    <row r="62" ht="15" customHeight="1" s="93">
      <c r="A62" s="115">
        <f>Backlog!A62</f>
        <v/>
      </c>
      <c r="B62" s="117">
        <f>IFERROR(IF(ISBLANK(INDEX(Backlog[Requirement Name],MATCH($A62,Backlog[Requirement ID],0))),"",INDEX(Backlog[Requirement Name],MATCH($A62,Backlog[Requirement ID],0))),"")</f>
        <v/>
      </c>
      <c r="C62" s="117">
        <f>IFERROR(IF(ISBLANK(INDEX(Backlog[Stream],MATCH($A62,Backlog[Requirement ID],0))),"",INDEX(Backlog[Stream],MATCH($A62,Backlog[Requirement ID],0))),"")</f>
        <v/>
      </c>
      <c r="D62" s="117">
        <f>IFERROR(IF(ISBLANK(INDEX(Backlog[Priority],MATCH($A62,Backlog[Requirement ID],0))),"",INDEX(Backlog[Priority],MATCH($A62,Backlog[Requirement ID],0))),"")</f>
        <v/>
      </c>
      <c r="E62" s="117">
        <f>IFERROR(IF(ISBLANK(INDEX(Backlog[Status],MATCH($A62,Backlog[Requirement ID],0))),"",INDEX(Backlog[Status],MATCH($A62,Backlog[Requirement ID],0))),"")</f>
        <v/>
      </c>
      <c r="F62" s="115" t="inlineStr">
        <is>
          <t>To Plan</t>
        </is>
      </c>
      <c r="G62" s="117">
        <f>IFERROR(IF(ISBLANK(INDEX(Backlog[HLE],MATCH($A62,Backlog[Requirement ID],0))),"",INDEX(Backlog[HLE],MATCH($A62,Backlog[Requirement ID],0))),"")</f>
        <v/>
      </c>
      <c r="H62" s="117">
        <f>IFERROR(VALUE(SUBSTITUTE($F62,"Sprint ","")),9999)</f>
        <v/>
      </c>
    </row>
    <row r="63" ht="15" customHeight="1" s="93">
      <c r="A63" s="115">
        <f>Backlog!A63</f>
        <v/>
      </c>
      <c r="B63" s="117">
        <f>IFERROR(IF(ISBLANK(INDEX(Backlog[Requirement Name],MATCH($A63,Backlog[Requirement ID],0))),"",INDEX(Backlog[Requirement Name],MATCH($A63,Backlog[Requirement ID],0))),"")</f>
        <v/>
      </c>
      <c r="C63" s="117">
        <f>IFERROR(IF(ISBLANK(INDEX(Backlog[Stream],MATCH($A63,Backlog[Requirement ID],0))),"",INDEX(Backlog[Stream],MATCH($A63,Backlog[Requirement ID],0))),"")</f>
        <v/>
      </c>
      <c r="D63" s="117">
        <f>IFERROR(IF(ISBLANK(INDEX(Backlog[Priority],MATCH($A63,Backlog[Requirement ID],0))),"",INDEX(Backlog[Priority],MATCH($A63,Backlog[Requirement ID],0))),"")</f>
        <v/>
      </c>
      <c r="E63" s="117">
        <f>IFERROR(IF(ISBLANK(INDEX(Backlog[Status],MATCH($A63,Backlog[Requirement ID],0))),"",INDEX(Backlog[Status],MATCH($A63,Backlog[Requirement ID],0))),"")</f>
        <v/>
      </c>
      <c r="F63" s="115" t="inlineStr">
        <is>
          <t>To Plan</t>
        </is>
      </c>
      <c r="G63" s="117">
        <f>IFERROR(IF(ISBLANK(INDEX(Backlog[HLE],MATCH($A63,Backlog[Requirement ID],0))),"",INDEX(Backlog[HLE],MATCH($A63,Backlog[Requirement ID],0))),"")</f>
        <v/>
      </c>
      <c r="H63" s="117">
        <f>IFERROR(VALUE(SUBSTITUTE($F63,"Sprint ","")),9999)</f>
        <v/>
      </c>
    </row>
    <row r="64" ht="15" customHeight="1" s="93">
      <c r="A64" s="115">
        <f>Backlog!A64</f>
        <v/>
      </c>
      <c r="B64" s="117">
        <f>IFERROR(IF(ISBLANK(INDEX(Backlog[Requirement Name],MATCH($A64,Backlog[Requirement ID],0))),"",INDEX(Backlog[Requirement Name],MATCH($A64,Backlog[Requirement ID],0))),"")</f>
        <v/>
      </c>
      <c r="C64" s="117">
        <f>IFERROR(IF(ISBLANK(INDEX(Backlog[Stream],MATCH($A64,Backlog[Requirement ID],0))),"",INDEX(Backlog[Stream],MATCH($A64,Backlog[Requirement ID],0))),"")</f>
        <v/>
      </c>
      <c r="D64" s="117">
        <f>IFERROR(IF(ISBLANK(INDEX(Backlog[Priority],MATCH($A64,Backlog[Requirement ID],0))),"",INDEX(Backlog[Priority],MATCH($A64,Backlog[Requirement ID],0))),"")</f>
        <v/>
      </c>
      <c r="E64" s="117">
        <f>IFERROR(IF(ISBLANK(INDEX(Backlog[Status],MATCH($A64,Backlog[Requirement ID],0))),"",INDEX(Backlog[Status],MATCH($A64,Backlog[Requirement ID],0))),"")</f>
        <v/>
      </c>
      <c r="F64" s="115" t="inlineStr">
        <is>
          <t>To Plan</t>
        </is>
      </c>
      <c r="G64" s="117">
        <f>IFERROR(IF(ISBLANK(INDEX(Backlog[HLE],MATCH($A64,Backlog[Requirement ID],0))),"",INDEX(Backlog[HLE],MATCH($A64,Backlog[Requirement ID],0))),"")</f>
        <v/>
      </c>
      <c r="H64" s="117">
        <f>IFERROR(VALUE(SUBSTITUTE($F64,"Sprint ","")),9999)</f>
        <v/>
      </c>
    </row>
    <row r="65" ht="15" customHeight="1" s="93">
      <c r="A65" s="115">
        <f>Backlog!A65</f>
        <v/>
      </c>
      <c r="B65" s="117">
        <f>IFERROR(IF(ISBLANK(INDEX(Backlog[Requirement Name],MATCH($A65,Backlog[Requirement ID],0))),"",INDEX(Backlog[Requirement Name],MATCH($A65,Backlog[Requirement ID],0))),"")</f>
        <v/>
      </c>
      <c r="C65" s="117">
        <f>IFERROR(IF(ISBLANK(INDEX(Backlog[Stream],MATCH($A65,Backlog[Requirement ID],0))),"",INDEX(Backlog[Stream],MATCH($A65,Backlog[Requirement ID],0))),"")</f>
        <v/>
      </c>
      <c r="D65" s="117">
        <f>IFERROR(IF(ISBLANK(INDEX(Backlog[Priority],MATCH($A65,Backlog[Requirement ID],0))),"",INDEX(Backlog[Priority],MATCH($A65,Backlog[Requirement ID],0))),"")</f>
        <v/>
      </c>
      <c r="E65" s="117">
        <f>IFERROR(IF(ISBLANK(INDEX(Backlog[Status],MATCH($A65,Backlog[Requirement ID],0))),"",INDEX(Backlog[Status],MATCH($A65,Backlog[Requirement ID],0))),"")</f>
        <v/>
      </c>
      <c r="F65" s="115" t="inlineStr">
        <is>
          <t>To Plan</t>
        </is>
      </c>
      <c r="G65" s="117">
        <f>IFERROR(IF(ISBLANK(INDEX(Backlog[HLE],MATCH($A65,Backlog[Requirement ID],0))),"",INDEX(Backlog[HLE],MATCH($A65,Backlog[Requirement ID],0))),"")</f>
        <v/>
      </c>
      <c r="H65" s="117">
        <f>IFERROR(VALUE(SUBSTITUTE($F65,"Sprint ","")),9999)</f>
        <v/>
      </c>
    </row>
    <row r="66" ht="15" customHeight="1" s="93">
      <c r="A66" s="115">
        <f>Backlog!A66</f>
        <v/>
      </c>
      <c r="B66" s="117">
        <f>IFERROR(IF(ISBLANK(INDEX(Backlog[Requirement Name],MATCH($A66,Backlog[Requirement ID],0))),"",INDEX(Backlog[Requirement Name],MATCH($A66,Backlog[Requirement ID],0))),"")</f>
        <v/>
      </c>
      <c r="C66" s="117">
        <f>IFERROR(IF(ISBLANK(INDEX(Backlog[Stream],MATCH($A66,Backlog[Requirement ID],0))),"",INDEX(Backlog[Stream],MATCH($A66,Backlog[Requirement ID],0))),"")</f>
        <v/>
      </c>
      <c r="D66" s="117">
        <f>IFERROR(IF(ISBLANK(INDEX(Backlog[Priority],MATCH($A66,Backlog[Requirement ID],0))),"",INDEX(Backlog[Priority],MATCH($A66,Backlog[Requirement ID],0))),"")</f>
        <v/>
      </c>
      <c r="E66" s="117">
        <f>IFERROR(IF(ISBLANK(INDEX(Backlog[Status],MATCH($A66,Backlog[Requirement ID],0))),"",INDEX(Backlog[Status],MATCH($A66,Backlog[Requirement ID],0))),"")</f>
        <v/>
      </c>
      <c r="F66" s="115" t="inlineStr">
        <is>
          <t>To Plan</t>
        </is>
      </c>
      <c r="G66" s="117">
        <f>IFERROR(IF(ISBLANK(INDEX(Backlog[HLE],MATCH($A66,Backlog[Requirement ID],0))),"",INDEX(Backlog[HLE],MATCH($A66,Backlog[Requirement ID],0))),"")</f>
        <v/>
      </c>
      <c r="H66" s="117">
        <f>IFERROR(VALUE(SUBSTITUTE($F66,"Sprint ","")),9999)</f>
        <v/>
      </c>
    </row>
    <row r="67" ht="15" customHeight="1" s="93">
      <c r="A67" s="115">
        <f>Backlog!A67</f>
        <v/>
      </c>
      <c r="B67" s="117">
        <f>IFERROR(IF(ISBLANK(INDEX(Backlog[Requirement Name],MATCH($A67,Backlog[Requirement ID],0))),"",INDEX(Backlog[Requirement Name],MATCH($A67,Backlog[Requirement ID],0))),"")</f>
        <v/>
      </c>
      <c r="C67" s="117">
        <f>IFERROR(IF(ISBLANK(INDEX(Backlog[Stream],MATCH($A67,Backlog[Requirement ID],0))),"",INDEX(Backlog[Stream],MATCH($A67,Backlog[Requirement ID],0))),"")</f>
        <v/>
      </c>
      <c r="D67" s="117">
        <f>IFERROR(IF(ISBLANK(INDEX(Backlog[Priority],MATCH($A67,Backlog[Requirement ID],0))),"",INDEX(Backlog[Priority],MATCH($A67,Backlog[Requirement ID],0))),"")</f>
        <v/>
      </c>
      <c r="E67" s="117">
        <f>IFERROR(IF(ISBLANK(INDEX(Backlog[Status],MATCH($A67,Backlog[Requirement ID],0))),"",INDEX(Backlog[Status],MATCH($A67,Backlog[Requirement ID],0))),"")</f>
        <v/>
      </c>
      <c r="F67" s="115" t="inlineStr">
        <is>
          <t>To Plan</t>
        </is>
      </c>
      <c r="G67" s="117">
        <f>IFERROR(IF(ISBLANK(INDEX(Backlog[HLE],MATCH($A67,Backlog[Requirement ID],0))),"",INDEX(Backlog[HLE],MATCH($A67,Backlog[Requirement ID],0))),"")</f>
        <v/>
      </c>
      <c r="H67" s="117">
        <f>IFERROR(VALUE(SUBSTITUTE($F67,"Sprint ","")),9999)</f>
        <v/>
      </c>
    </row>
    <row r="68" ht="15" customHeight="1" s="93">
      <c r="A68" s="115">
        <f>Backlog!A68</f>
        <v/>
      </c>
      <c r="B68" s="117">
        <f>IFERROR(IF(ISBLANK(INDEX(Backlog[Requirement Name],MATCH($A68,Backlog[Requirement ID],0))),"",INDEX(Backlog[Requirement Name],MATCH($A68,Backlog[Requirement ID],0))),"")</f>
        <v/>
      </c>
      <c r="C68" s="117">
        <f>IFERROR(IF(ISBLANK(INDEX(Backlog[Stream],MATCH($A68,Backlog[Requirement ID],0))),"",INDEX(Backlog[Stream],MATCH($A68,Backlog[Requirement ID],0))),"")</f>
        <v/>
      </c>
      <c r="D68" s="117">
        <f>IFERROR(IF(ISBLANK(INDEX(Backlog[Priority],MATCH($A68,Backlog[Requirement ID],0))),"",INDEX(Backlog[Priority],MATCH($A68,Backlog[Requirement ID],0))),"")</f>
        <v/>
      </c>
      <c r="E68" s="117">
        <f>IFERROR(IF(ISBLANK(INDEX(Backlog[Status],MATCH($A68,Backlog[Requirement ID],0))),"",INDEX(Backlog[Status],MATCH($A68,Backlog[Requirement ID],0))),"")</f>
        <v/>
      </c>
      <c r="F68" s="115" t="inlineStr">
        <is>
          <t>To Plan</t>
        </is>
      </c>
      <c r="G68" s="117">
        <f>IFERROR(IF(ISBLANK(INDEX(Backlog[HLE],MATCH($A68,Backlog[Requirement ID],0))),"",INDEX(Backlog[HLE],MATCH($A68,Backlog[Requirement ID],0))),"")</f>
        <v/>
      </c>
      <c r="H68" s="117">
        <f>IFERROR(VALUE(SUBSTITUTE($F68,"Sprint ","")),9999)</f>
        <v/>
      </c>
    </row>
    <row r="69" ht="15" customHeight="1" s="93">
      <c r="A69" s="115">
        <f>Backlog!A69</f>
        <v/>
      </c>
      <c r="B69" s="117">
        <f>IFERROR(IF(ISBLANK(INDEX(Backlog[Requirement Name],MATCH($A69,Backlog[Requirement ID],0))),"",INDEX(Backlog[Requirement Name],MATCH($A69,Backlog[Requirement ID],0))),"")</f>
        <v/>
      </c>
      <c r="C69" s="117">
        <f>IFERROR(IF(ISBLANK(INDEX(Backlog[Stream],MATCH($A69,Backlog[Requirement ID],0))),"",INDEX(Backlog[Stream],MATCH($A69,Backlog[Requirement ID],0))),"")</f>
        <v/>
      </c>
      <c r="D69" s="117">
        <f>IFERROR(IF(ISBLANK(INDEX(Backlog[Priority],MATCH($A69,Backlog[Requirement ID],0))),"",INDEX(Backlog[Priority],MATCH($A69,Backlog[Requirement ID],0))),"")</f>
        <v/>
      </c>
      <c r="E69" s="117">
        <f>IFERROR(IF(ISBLANK(INDEX(Backlog[Status],MATCH($A69,Backlog[Requirement ID],0))),"",INDEX(Backlog[Status],MATCH($A69,Backlog[Requirement ID],0))),"")</f>
        <v/>
      </c>
      <c r="F69" s="115" t="inlineStr">
        <is>
          <t>To Plan</t>
        </is>
      </c>
      <c r="G69" s="117">
        <f>IFERROR(IF(ISBLANK(INDEX(Backlog[HLE],MATCH($A69,Backlog[Requirement ID],0))),"",INDEX(Backlog[HLE],MATCH($A69,Backlog[Requirement ID],0))),"")</f>
        <v/>
      </c>
      <c r="H69" s="117">
        <f>IFERROR(VALUE(SUBSTITUTE($F69,"Sprint ","")),9999)</f>
        <v/>
      </c>
    </row>
    <row r="70" ht="15" customHeight="1" s="93">
      <c r="A70" s="115">
        <f>Backlog!A70</f>
        <v/>
      </c>
      <c r="B70" s="117">
        <f>IFERROR(IF(ISBLANK(INDEX(Backlog[Requirement Name],MATCH($A70,Backlog[Requirement ID],0))),"",INDEX(Backlog[Requirement Name],MATCH($A70,Backlog[Requirement ID],0))),"")</f>
        <v/>
      </c>
      <c r="C70" s="117">
        <f>IFERROR(IF(ISBLANK(INDEX(Backlog[Stream],MATCH($A70,Backlog[Requirement ID],0))),"",INDEX(Backlog[Stream],MATCH($A70,Backlog[Requirement ID],0))),"")</f>
        <v/>
      </c>
      <c r="D70" s="117">
        <f>IFERROR(IF(ISBLANK(INDEX(Backlog[Priority],MATCH($A70,Backlog[Requirement ID],0))),"",INDEX(Backlog[Priority],MATCH($A70,Backlog[Requirement ID],0))),"")</f>
        <v/>
      </c>
      <c r="E70" s="117">
        <f>IFERROR(IF(ISBLANK(INDEX(Backlog[Status],MATCH($A70,Backlog[Requirement ID],0))),"",INDEX(Backlog[Status],MATCH($A70,Backlog[Requirement ID],0))),"")</f>
        <v/>
      </c>
      <c r="F70" s="115" t="inlineStr">
        <is>
          <t>To Plan</t>
        </is>
      </c>
      <c r="G70" s="117">
        <f>IFERROR(IF(ISBLANK(INDEX(Backlog[HLE],MATCH($A70,Backlog[Requirement ID],0))),"",INDEX(Backlog[HLE],MATCH($A70,Backlog[Requirement ID],0))),"")</f>
        <v/>
      </c>
      <c r="H70" s="117">
        <f>IFERROR(VALUE(SUBSTITUTE($F70,"Sprint ","")),9999)</f>
        <v/>
      </c>
    </row>
    <row r="71" ht="15" customHeight="1" s="93">
      <c r="A71" s="115">
        <f>Backlog!A71</f>
        <v/>
      </c>
      <c r="B71" s="117">
        <f>IFERROR(IF(ISBLANK(INDEX(Backlog[Requirement Name],MATCH($A71,Backlog[Requirement ID],0))),"",INDEX(Backlog[Requirement Name],MATCH($A71,Backlog[Requirement ID],0))),"")</f>
        <v/>
      </c>
      <c r="C71" s="117">
        <f>IFERROR(IF(ISBLANK(INDEX(Backlog[Stream],MATCH($A71,Backlog[Requirement ID],0))),"",INDEX(Backlog[Stream],MATCH($A71,Backlog[Requirement ID],0))),"")</f>
        <v/>
      </c>
      <c r="D71" s="117">
        <f>IFERROR(IF(ISBLANK(INDEX(Backlog[Priority],MATCH($A71,Backlog[Requirement ID],0))),"",INDEX(Backlog[Priority],MATCH($A71,Backlog[Requirement ID],0))),"")</f>
        <v/>
      </c>
      <c r="E71" s="117">
        <f>IFERROR(IF(ISBLANK(INDEX(Backlog[Status],MATCH($A71,Backlog[Requirement ID],0))),"",INDEX(Backlog[Status],MATCH($A71,Backlog[Requirement ID],0))),"")</f>
        <v/>
      </c>
      <c r="F71" s="115" t="inlineStr">
        <is>
          <t>To Plan</t>
        </is>
      </c>
      <c r="G71" s="117">
        <f>IFERROR(IF(ISBLANK(INDEX(Backlog[HLE],MATCH($A71,Backlog[Requirement ID],0))),"",INDEX(Backlog[HLE],MATCH($A71,Backlog[Requirement ID],0))),"")</f>
        <v/>
      </c>
      <c r="H71" s="117">
        <f>IFERROR(VALUE(SUBSTITUTE($F71,"Sprint ","")),9999)</f>
        <v/>
      </c>
    </row>
    <row r="72" ht="15" customHeight="1" s="93">
      <c r="A72" s="115">
        <f>Backlog!A72</f>
        <v/>
      </c>
      <c r="B72" s="117">
        <f>IFERROR(IF(ISBLANK(INDEX(Backlog[Requirement Name],MATCH($A72,Backlog[Requirement ID],0))),"",INDEX(Backlog[Requirement Name],MATCH($A72,Backlog[Requirement ID],0))),"")</f>
        <v/>
      </c>
      <c r="C72" s="117">
        <f>IFERROR(IF(ISBLANK(INDEX(Backlog[Stream],MATCH($A72,Backlog[Requirement ID],0))),"",INDEX(Backlog[Stream],MATCH($A72,Backlog[Requirement ID],0))),"")</f>
        <v/>
      </c>
      <c r="D72" s="117">
        <f>IFERROR(IF(ISBLANK(INDEX(Backlog[Priority],MATCH($A72,Backlog[Requirement ID],0))),"",INDEX(Backlog[Priority],MATCH($A72,Backlog[Requirement ID],0))),"")</f>
        <v/>
      </c>
      <c r="E72" s="117">
        <f>IFERROR(IF(ISBLANK(INDEX(Backlog[Status],MATCH($A72,Backlog[Requirement ID],0))),"",INDEX(Backlog[Status],MATCH($A72,Backlog[Requirement ID],0))),"")</f>
        <v/>
      </c>
      <c r="F72" s="115" t="inlineStr">
        <is>
          <t>To Plan</t>
        </is>
      </c>
      <c r="G72" s="117">
        <f>IFERROR(IF(ISBLANK(INDEX(Backlog[HLE],MATCH($A72,Backlog[Requirement ID],0))),"",INDEX(Backlog[HLE],MATCH($A72,Backlog[Requirement ID],0))),"")</f>
        <v/>
      </c>
      <c r="H72" s="117">
        <f>IFERROR(VALUE(SUBSTITUTE($F72,"Sprint ","")),9999)</f>
        <v/>
      </c>
    </row>
    <row r="73" ht="15" customHeight="1" s="93">
      <c r="A73" s="115">
        <f>Backlog!A73</f>
        <v/>
      </c>
      <c r="B73" s="117">
        <f>IFERROR(IF(ISBLANK(INDEX(Backlog[Requirement Name],MATCH($A73,Backlog[Requirement ID],0))),"",INDEX(Backlog[Requirement Name],MATCH($A73,Backlog[Requirement ID],0))),"")</f>
        <v/>
      </c>
      <c r="C73" s="117">
        <f>IFERROR(IF(ISBLANK(INDEX(Backlog[Stream],MATCH($A73,Backlog[Requirement ID],0))),"",INDEX(Backlog[Stream],MATCH($A73,Backlog[Requirement ID],0))),"")</f>
        <v/>
      </c>
      <c r="D73" s="117">
        <f>IFERROR(IF(ISBLANK(INDEX(Backlog[Priority],MATCH($A73,Backlog[Requirement ID],0))),"",INDEX(Backlog[Priority],MATCH($A73,Backlog[Requirement ID],0))),"")</f>
        <v/>
      </c>
      <c r="E73" s="117">
        <f>IFERROR(IF(ISBLANK(INDEX(Backlog[Status],MATCH($A73,Backlog[Requirement ID],0))),"",INDEX(Backlog[Status],MATCH($A73,Backlog[Requirement ID],0))),"")</f>
        <v/>
      </c>
      <c r="F73" s="115" t="inlineStr">
        <is>
          <t>To Plan</t>
        </is>
      </c>
      <c r="G73" s="117">
        <f>IFERROR(IF(ISBLANK(INDEX(Backlog[HLE],MATCH($A73,Backlog[Requirement ID],0))),"",INDEX(Backlog[HLE],MATCH($A73,Backlog[Requirement ID],0))),"")</f>
        <v/>
      </c>
      <c r="H73" s="117">
        <f>IFERROR(VALUE(SUBSTITUTE($F73,"Sprint ","")),9999)</f>
        <v/>
      </c>
    </row>
    <row r="74" ht="15" customHeight="1" s="93">
      <c r="A74" s="115">
        <f>Backlog!A74</f>
        <v/>
      </c>
      <c r="B74" s="117">
        <f>IFERROR(IF(ISBLANK(INDEX(Backlog[Requirement Name],MATCH($A74,Backlog[Requirement ID],0))),"",INDEX(Backlog[Requirement Name],MATCH($A74,Backlog[Requirement ID],0))),"")</f>
        <v/>
      </c>
      <c r="C74" s="117">
        <f>IFERROR(IF(ISBLANK(INDEX(Backlog[Stream],MATCH($A74,Backlog[Requirement ID],0))),"",INDEX(Backlog[Stream],MATCH($A74,Backlog[Requirement ID],0))),"")</f>
        <v/>
      </c>
      <c r="D74" s="117">
        <f>IFERROR(IF(ISBLANK(INDEX(Backlog[Priority],MATCH($A74,Backlog[Requirement ID],0))),"",INDEX(Backlog[Priority],MATCH($A74,Backlog[Requirement ID],0))),"")</f>
        <v/>
      </c>
      <c r="E74" s="117">
        <f>IFERROR(IF(ISBLANK(INDEX(Backlog[Status],MATCH($A74,Backlog[Requirement ID],0))),"",INDEX(Backlog[Status],MATCH($A74,Backlog[Requirement ID],0))),"")</f>
        <v/>
      </c>
      <c r="F74" s="115" t="inlineStr">
        <is>
          <t>To Plan</t>
        </is>
      </c>
      <c r="G74" s="117">
        <f>IFERROR(IF(ISBLANK(INDEX(Backlog[HLE],MATCH($A74,Backlog[Requirement ID],0))),"",INDEX(Backlog[HLE],MATCH($A74,Backlog[Requirement ID],0))),"")</f>
        <v/>
      </c>
      <c r="H74" s="117">
        <f>IFERROR(VALUE(SUBSTITUTE($F74,"Sprint ","")),9999)</f>
        <v/>
      </c>
    </row>
    <row r="75" ht="15" customHeight="1" s="93">
      <c r="A75" s="115">
        <f>Backlog!A75</f>
        <v/>
      </c>
      <c r="B75" s="117">
        <f>IFERROR(IF(ISBLANK(INDEX(Backlog[Requirement Name],MATCH($A75,Backlog[Requirement ID],0))),"",INDEX(Backlog[Requirement Name],MATCH($A75,Backlog[Requirement ID],0))),"")</f>
        <v/>
      </c>
      <c r="C75" s="117">
        <f>IFERROR(IF(ISBLANK(INDEX(Backlog[Stream],MATCH($A75,Backlog[Requirement ID],0))),"",INDEX(Backlog[Stream],MATCH($A75,Backlog[Requirement ID],0))),"")</f>
        <v/>
      </c>
      <c r="D75" s="117">
        <f>IFERROR(IF(ISBLANK(INDEX(Backlog[Priority],MATCH($A75,Backlog[Requirement ID],0))),"",INDEX(Backlog[Priority],MATCH($A75,Backlog[Requirement ID],0))),"")</f>
        <v/>
      </c>
      <c r="E75" s="117">
        <f>IFERROR(IF(ISBLANK(INDEX(Backlog[Status],MATCH($A75,Backlog[Requirement ID],0))),"",INDEX(Backlog[Status],MATCH($A75,Backlog[Requirement ID],0))),"")</f>
        <v/>
      </c>
      <c r="F75" s="115" t="n"/>
      <c r="G75" s="117">
        <f>IFERROR(IF(ISBLANK(INDEX(Backlog[HLE],MATCH($A75,Backlog[Requirement ID],0))),"",INDEX(Backlog[HLE],MATCH($A75,Backlog[Requirement ID],0))),"")</f>
        <v/>
      </c>
      <c r="H75" s="117">
        <f>IFERROR(VALUE(SUBSTITUTE($F75,"Sprint ","")),9999)</f>
        <v/>
      </c>
    </row>
    <row r="76" ht="15" customHeight="1" s="93">
      <c r="A76" s="115">
        <f>Backlog!A76</f>
        <v/>
      </c>
      <c r="B76" s="117">
        <f>IFERROR(IF(ISBLANK(INDEX(Backlog[Requirement Name],MATCH($A76,Backlog[Requirement ID],0))),"",INDEX(Backlog[Requirement Name],MATCH($A76,Backlog[Requirement ID],0))),"")</f>
        <v/>
      </c>
      <c r="C76" s="117">
        <f>IFERROR(IF(ISBLANK(INDEX(Backlog[Stream],MATCH($A76,Backlog[Requirement ID],0))),"",INDEX(Backlog[Stream],MATCH($A76,Backlog[Requirement ID],0))),"")</f>
        <v/>
      </c>
      <c r="D76" s="117">
        <f>IFERROR(IF(ISBLANK(INDEX(Backlog[Priority],MATCH($A76,Backlog[Requirement ID],0))),"",INDEX(Backlog[Priority],MATCH($A76,Backlog[Requirement ID],0))),"")</f>
        <v/>
      </c>
      <c r="E76" s="117">
        <f>IFERROR(IF(ISBLANK(INDEX(Backlog[Status],MATCH($A76,Backlog[Requirement ID],0))),"",INDEX(Backlog[Status],MATCH($A76,Backlog[Requirement ID],0))),"")</f>
        <v/>
      </c>
      <c r="F76" s="115" t="inlineStr">
        <is>
          <t>To Plan</t>
        </is>
      </c>
      <c r="G76" s="117">
        <f>IFERROR(IF(ISBLANK(INDEX(Backlog[HLE],MATCH($A76,Backlog[Requirement ID],0))),"",INDEX(Backlog[HLE],MATCH($A76,Backlog[Requirement ID],0))),"")</f>
        <v/>
      </c>
      <c r="H76" s="117">
        <f>IFERROR(VALUE(SUBSTITUTE($F76,"Sprint ","")),9999)</f>
        <v/>
      </c>
    </row>
    <row r="77" ht="15" customHeight="1" s="93">
      <c r="A77" s="115">
        <f>Backlog!A77</f>
        <v/>
      </c>
      <c r="B77" s="117">
        <f>IFERROR(IF(ISBLANK(INDEX(Backlog[Requirement Name],MATCH($A77,Backlog[Requirement ID],0))),"",INDEX(Backlog[Requirement Name],MATCH($A77,Backlog[Requirement ID],0))),"")</f>
        <v/>
      </c>
      <c r="C77" s="117">
        <f>IFERROR(IF(ISBLANK(INDEX(Backlog[Stream],MATCH($A77,Backlog[Requirement ID],0))),"",INDEX(Backlog[Stream],MATCH($A77,Backlog[Requirement ID],0))),"")</f>
        <v/>
      </c>
      <c r="D77" s="117">
        <f>IFERROR(IF(ISBLANK(INDEX(Backlog[Priority],MATCH($A77,Backlog[Requirement ID],0))),"",INDEX(Backlog[Priority],MATCH($A77,Backlog[Requirement ID],0))),"")</f>
        <v/>
      </c>
      <c r="E77" s="117">
        <f>IFERROR(IF(ISBLANK(INDEX(Backlog[Status],MATCH($A77,Backlog[Requirement ID],0))),"",INDEX(Backlog[Status],MATCH($A77,Backlog[Requirement ID],0))),"")</f>
        <v/>
      </c>
      <c r="F77" s="115" t="inlineStr">
        <is>
          <t>To Plan</t>
        </is>
      </c>
      <c r="G77" s="117">
        <f>IFERROR(IF(ISBLANK(INDEX(Backlog[HLE],MATCH($A77,Backlog[Requirement ID],0))),"",INDEX(Backlog[HLE],MATCH($A77,Backlog[Requirement ID],0))),"")</f>
        <v/>
      </c>
      <c r="H77" s="117">
        <f>IFERROR(VALUE(SUBSTITUTE($F77,"Sprint ","")),9999)</f>
        <v/>
      </c>
    </row>
    <row r="78" ht="15" customHeight="1" s="93">
      <c r="A78" s="115">
        <f>Backlog!A78</f>
        <v/>
      </c>
      <c r="B78" s="117">
        <f>IFERROR(IF(ISBLANK(INDEX(Backlog[Requirement Name],MATCH($A78,Backlog[Requirement ID],0))),"",INDEX(Backlog[Requirement Name],MATCH($A78,Backlog[Requirement ID],0))),"")</f>
        <v/>
      </c>
      <c r="C78" s="117">
        <f>IFERROR(IF(ISBLANK(INDEX(Backlog[Stream],MATCH($A78,Backlog[Requirement ID],0))),"",INDEX(Backlog[Stream],MATCH($A78,Backlog[Requirement ID],0))),"")</f>
        <v/>
      </c>
      <c r="D78" s="117">
        <f>IFERROR(IF(ISBLANK(INDEX(Backlog[Priority],MATCH($A78,Backlog[Requirement ID],0))),"",INDEX(Backlog[Priority],MATCH($A78,Backlog[Requirement ID],0))),"")</f>
        <v/>
      </c>
      <c r="E78" s="117">
        <f>IFERROR(IF(ISBLANK(INDEX(Backlog[Status],MATCH($A78,Backlog[Requirement ID],0))),"",INDEX(Backlog[Status],MATCH($A78,Backlog[Requirement ID],0))),"")</f>
        <v/>
      </c>
      <c r="F78" s="115" t="inlineStr">
        <is>
          <t>To Plan</t>
        </is>
      </c>
      <c r="G78" s="117">
        <f>IFERROR(IF(ISBLANK(INDEX(Backlog[HLE],MATCH($A78,Backlog[Requirement ID],0))),"",INDEX(Backlog[HLE],MATCH($A78,Backlog[Requirement ID],0))),"")</f>
        <v/>
      </c>
      <c r="H78" s="117">
        <f>IFERROR(VALUE(SUBSTITUTE($F78,"Sprint ","")),9999)</f>
        <v/>
      </c>
    </row>
    <row r="79" ht="15" customHeight="1" s="93">
      <c r="A79" s="115">
        <f>Backlog!A79</f>
        <v/>
      </c>
      <c r="B79" s="117">
        <f>IFERROR(IF(ISBLANK(INDEX(Backlog[Requirement Name],MATCH($A79,Backlog[Requirement ID],0))),"",INDEX(Backlog[Requirement Name],MATCH($A79,Backlog[Requirement ID],0))),"")</f>
        <v/>
      </c>
      <c r="C79" s="117">
        <f>IFERROR(IF(ISBLANK(INDEX(Backlog[Stream],MATCH($A79,Backlog[Requirement ID],0))),"",INDEX(Backlog[Stream],MATCH($A79,Backlog[Requirement ID],0))),"")</f>
        <v/>
      </c>
      <c r="D79" s="117">
        <f>IFERROR(IF(ISBLANK(INDEX(Backlog[Priority],MATCH($A79,Backlog[Requirement ID],0))),"",INDEX(Backlog[Priority],MATCH($A79,Backlog[Requirement ID],0))),"")</f>
        <v/>
      </c>
      <c r="E79" s="117">
        <f>IFERROR(IF(ISBLANK(INDEX(Backlog[Status],MATCH($A79,Backlog[Requirement ID],0))),"",INDEX(Backlog[Status],MATCH($A79,Backlog[Requirement ID],0))),"")</f>
        <v/>
      </c>
      <c r="F79" s="115" t="inlineStr">
        <is>
          <t>To Plan</t>
        </is>
      </c>
      <c r="G79" s="117">
        <f>IFERROR(IF(ISBLANK(INDEX(Backlog[HLE],MATCH($A79,Backlog[Requirement ID],0))),"",INDEX(Backlog[HLE],MATCH($A79,Backlog[Requirement ID],0))),"")</f>
        <v/>
      </c>
      <c r="H79" s="117">
        <f>IFERROR(VALUE(SUBSTITUTE($F79,"Sprint ","")),9999)</f>
        <v/>
      </c>
    </row>
    <row r="80" ht="15" customHeight="1" s="93">
      <c r="A80" s="115">
        <f>Backlog!A80</f>
        <v/>
      </c>
      <c r="B80" s="117">
        <f>IFERROR(IF(ISBLANK(INDEX(Backlog[Requirement Name],MATCH($A80,Backlog[Requirement ID],0))),"",INDEX(Backlog[Requirement Name],MATCH($A80,Backlog[Requirement ID],0))),"")</f>
        <v/>
      </c>
      <c r="C80" s="117">
        <f>IFERROR(IF(ISBLANK(INDEX(Backlog[Stream],MATCH($A80,Backlog[Requirement ID],0))),"",INDEX(Backlog[Stream],MATCH($A80,Backlog[Requirement ID],0))),"")</f>
        <v/>
      </c>
      <c r="D80" s="117">
        <f>IFERROR(IF(ISBLANK(INDEX(Backlog[Priority],MATCH($A80,Backlog[Requirement ID],0))),"",INDEX(Backlog[Priority],MATCH($A80,Backlog[Requirement ID],0))),"")</f>
        <v/>
      </c>
      <c r="E80" s="117">
        <f>IFERROR(IF(ISBLANK(INDEX(Backlog[Status],MATCH($A80,Backlog[Requirement ID],0))),"",INDEX(Backlog[Status],MATCH($A80,Backlog[Requirement ID],0))),"")</f>
        <v/>
      </c>
      <c r="F80" s="115" t="inlineStr">
        <is>
          <t>To Plan</t>
        </is>
      </c>
      <c r="G80" s="117">
        <f>IFERROR(IF(ISBLANK(INDEX(Backlog[HLE],MATCH($A80,Backlog[Requirement ID],0))),"",INDEX(Backlog[HLE],MATCH($A80,Backlog[Requirement ID],0))),"")</f>
        <v/>
      </c>
      <c r="H80" s="117">
        <f>IFERROR(VALUE(SUBSTITUTE($F80,"Sprint ","")),9999)</f>
        <v/>
      </c>
    </row>
    <row r="81" ht="15" customHeight="1" s="93">
      <c r="A81" s="115">
        <f>Backlog!A81</f>
        <v/>
      </c>
      <c r="B81" s="117">
        <f>IFERROR(IF(ISBLANK(INDEX(Backlog[Requirement Name],MATCH($A81,Backlog[Requirement ID],0))),"",INDEX(Backlog[Requirement Name],MATCH($A81,Backlog[Requirement ID],0))),"")</f>
        <v/>
      </c>
      <c r="C81" s="117">
        <f>IFERROR(IF(ISBLANK(INDEX(Backlog[Stream],MATCH($A81,Backlog[Requirement ID],0))),"",INDEX(Backlog[Stream],MATCH($A81,Backlog[Requirement ID],0))),"")</f>
        <v/>
      </c>
      <c r="D81" s="117">
        <f>IFERROR(IF(ISBLANK(INDEX(Backlog[Priority],MATCH($A81,Backlog[Requirement ID],0))),"",INDEX(Backlog[Priority],MATCH($A81,Backlog[Requirement ID],0))),"")</f>
        <v/>
      </c>
      <c r="E81" s="117">
        <f>IFERROR(IF(ISBLANK(INDEX(Backlog[Status],MATCH($A81,Backlog[Requirement ID],0))),"",INDEX(Backlog[Status],MATCH($A81,Backlog[Requirement ID],0))),"")</f>
        <v/>
      </c>
      <c r="F81" s="115" t="inlineStr">
        <is>
          <t>To Plan</t>
        </is>
      </c>
      <c r="G81" s="117">
        <f>IFERROR(IF(ISBLANK(INDEX(Backlog[HLE],MATCH($A81,Backlog[Requirement ID],0))),"",INDEX(Backlog[HLE],MATCH($A81,Backlog[Requirement ID],0))),"")</f>
        <v/>
      </c>
      <c r="H81" s="117">
        <f>IFERROR(VALUE(SUBSTITUTE($F81,"Sprint ","")),9999)</f>
        <v/>
      </c>
    </row>
    <row r="82" ht="15" customHeight="1" s="93">
      <c r="A82" s="115">
        <f>Backlog!A82</f>
        <v/>
      </c>
      <c r="B82" s="117">
        <f>IFERROR(IF(ISBLANK(INDEX(Backlog[Requirement Name],MATCH($A82,Backlog[Requirement ID],0))),"",INDEX(Backlog[Requirement Name],MATCH($A82,Backlog[Requirement ID],0))),"")</f>
        <v/>
      </c>
      <c r="C82" s="117">
        <f>IFERROR(IF(ISBLANK(INDEX(Backlog[Stream],MATCH($A82,Backlog[Requirement ID],0))),"",INDEX(Backlog[Stream],MATCH($A82,Backlog[Requirement ID],0))),"")</f>
        <v/>
      </c>
      <c r="D82" s="117">
        <f>IFERROR(IF(ISBLANK(INDEX(Backlog[Priority],MATCH($A82,Backlog[Requirement ID],0))),"",INDEX(Backlog[Priority],MATCH($A82,Backlog[Requirement ID],0))),"")</f>
        <v/>
      </c>
      <c r="E82" s="117">
        <f>IFERROR(IF(ISBLANK(INDEX(Backlog[Status],MATCH($A82,Backlog[Requirement ID],0))),"",INDEX(Backlog[Status],MATCH($A82,Backlog[Requirement ID],0))),"")</f>
        <v/>
      </c>
      <c r="F82" s="115" t="inlineStr">
        <is>
          <t>To Plan</t>
        </is>
      </c>
      <c r="G82" s="117">
        <f>IFERROR(IF(ISBLANK(INDEX(Backlog[HLE],MATCH($A82,Backlog[Requirement ID],0))),"",INDEX(Backlog[HLE],MATCH($A82,Backlog[Requirement ID],0))),"")</f>
        <v/>
      </c>
      <c r="H82" s="117">
        <f>IFERROR(VALUE(SUBSTITUTE($F82,"Sprint ","")),9999)</f>
        <v/>
      </c>
    </row>
    <row r="83" ht="15" customHeight="1" s="93">
      <c r="A83" s="115">
        <f>Backlog!A83</f>
        <v/>
      </c>
      <c r="B83" s="117">
        <f>IFERROR(IF(ISBLANK(INDEX(Backlog[Requirement Name],MATCH($A83,Backlog[Requirement ID],0))),"",INDEX(Backlog[Requirement Name],MATCH($A83,Backlog[Requirement ID],0))),"")</f>
        <v/>
      </c>
      <c r="C83" s="117">
        <f>IFERROR(IF(ISBLANK(INDEX(Backlog[Stream],MATCH($A83,Backlog[Requirement ID],0))),"",INDEX(Backlog[Stream],MATCH($A83,Backlog[Requirement ID],0))),"")</f>
        <v/>
      </c>
      <c r="D83" s="117">
        <f>IFERROR(IF(ISBLANK(INDEX(Backlog[Priority],MATCH($A83,Backlog[Requirement ID],0))),"",INDEX(Backlog[Priority],MATCH($A83,Backlog[Requirement ID],0))),"")</f>
        <v/>
      </c>
      <c r="E83" s="117">
        <f>IFERROR(IF(ISBLANK(INDEX(Backlog[Status],MATCH($A83,Backlog[Requirement ID],0))),"",INDEX(Backlog[Status],MATCH($A83,Backlog[Requirement ID],0))),"")</f>
        <v/>
      </c>
      <c r="F83" s="115" t="inlineStr">
        <is>
          <t>To Plan</t>
        </is>
      </c>
      <c r="G83" s="117">
        <f>IFERROR(IF(ISBLANK(INDEX(Backlog[HLE],MATCH($A83,Backlog[Requirement ID],0))),"",INDEX(Backlog[HLE],MATCH($A83,Backlog[Requirement ID],0))),"")</f>
        <v/>
      </c>
      <c r="H83" s="117">
        <f>IFERROR(VALUE(SUBSTITUTE($F83,"Sprint ","")),9999)</f>
        <v/>
      </c>
    </row>
    <row r="84" ht="15" customHeight="1" s="93">
      <c r="A84" s="115">
        <f>Backlog!A84</f>
        <v/>
      </c>
      <c r="B84" s="117">
        <f>IFERROR(IF(ISBLANK(INDEX(Backlog[Requirement Name],MATCH($A84,Backlog[Requirement ID],0))),"",INDEX(Backlog[Requirement Name],MATCH($A84,Backlog[Requirement ID],0))),"")</f>
        <v/>
      </c>
      <c r="C84" s="117">
        <f>IFERROR(IF(ISBLANK(INDEX(Backlog[Stream],MATCH($A84,Backlog[Requirement ID],0))),"",INDEX(Backlog[Stream],MATCH($A84,Backlog[Requirement ID],0))),"")</f>
        <v/>
      </c>
      <c r="D84" s="117">
        <f>IFERROR(IF(ISBLANK(INDEX(Backlog[Priority],MATCH($A84,Backlog[Requirement ID],0))),"",INDEX(Backlog[Priority],MATCH($A84,Backlog[Requirement ID],0))),"")</f>
        <v/>
      </c>
      <c r="E84" s="117">
        <f>IFERROR(IF(ISBLANK(INDEX(Backlog[Status],MATCH($A84,Backlog[Requirement ID],0))),"",INDEX(Backlog[Status],MATCH($A84,Backlog[Requirement ID],0))),"")</f>
        <v/>
      </c>
      <c r="F84" s="115" t="inlineStr">
        <is>
          <t>To Plan</t>
        </is>
      </c>
      <c r="G84" s="117">
        <f>IFERROR(IF(ISBLANK(INDEX(Backlog[HLE],MATCH($A84,Backlog[Requirement ID],0))),"",INDEX(Backlog[HLE],MATCH($A84,Backlog[Requirement ID],0))),"")</f>
        <v/>
      </c>
      <c r="H84" s="117">
        <f>IFERROR(VALUE(SUBSTITUTE($F84,"Sprint ","")),9999)</f>
        <v/>
      </c>
    </row>
    <row r="85" ht="15" customHeight="1" s="93">
      <c r="A85" s="92">
        <f>Backlog!A85</f>
        <v/>
      </c>
      <c r="B85" s="92">
        <f>IFERROR(IF(ISBLANK(INDEX(Backlog[Requirement Name],MATCH($A85,Backlog[Requirement ID],0))),"",INDEX(Backlog[Requirement Name],MATCH($A85,Backlog[Requirement ID],0))),"")</f>
        <v/>
      </c>
      <c r="C85" s="92">
        <f>IFERROR(IF(ISBLANK(INDEX(Backlog[Stream],MATCH($A85,Backlog[Requirement ID],0))),"",INDEX(Backlog[Stream],MATCH($A85,Backlog[Requirement ID],0))),"")</f>
        <v/>
      </c>
      <c r="D85" s="92">
        <f>IFERROR(IF(ISBLANK(INDEX(Backlog[Priority],MATCH($A85,Backlog[Requirement ID],0))),"",INDEX(Backlog[Priority],MATCH($A85,Backlog[Requirement ID],0))),"")</f>
        <v/>
      </c>
      <c r="E85" s="92">
        <f>IFERROR(IF(ISBLANK(INDEX(Backlog[Status],MATCH($A85,Backlog[Requirement ID],0))),"",INDEX(Backlog[Status],MATCH($A85,Backlog[Requirement ID],0))),"")</f>
        <v/>
      </c>
      <c r="F85" s="92" t="inlineStr">
        <is>
          <t>To Plan</t>
        </is>
      </c>
      <c r="G85" s="92">
        <f>IFERROR(IF(ISBLANK(INDEX(Backlog[HLE],MATCH($A85,Backlog[Requirement ID],0))),"",INDEX(Backlog[HLE],MATCH($A85,Backlog[Requirement ID],0))),"")</f>
        <v/>
      </c>
      <c r="H85" s="92">
        <f>IFERROR(VALUE(SUBSTITUTE($F85,"Sprint ","")),9999)</f>
        <v/>
      </c>
    </row>
    <row r="86" ht="15" customHeight="1" s="93">
      <c r="A86" s="92">
        <f>Backlog!A86</f>
        <v/>
      </c>
      <c r="B86" s="92">
        <f>IFERROR(IF(ISBLANK(INDEX(Backlog[Requirement Name],MATCH($A86,Backlog[Requirement ID],0))),"",INDEX(Backlog[Requirement Name],MATCH($A86,Backlog[Requirement ID],0))),"")</f>
        <v/>
      </c>
      <c r="C86" s="92">
        <f>IFERROR(IF(ISBLANK(INDEX(Backlog[Stream],MATCH($A86,Backlog[Requirement ID],0))),"",INDEX(Backlog[Stream],MATCH($A86,Backlog[Requirement ID],0))),"")</f>
        <v/>
      </c>
      <c r="D86" s="92">
        <f>IFERROR(IF(ISBLANK(INDEX(Backlog[Priority],MATCH($A86,Backlog[Requirement ID],0))),"",INDEX(Backlog[Priority],MATCH($A86,Backlog[Requirement ID],0))),"")</f>
        <v/>
      </c>
      <c r="E86" s="92">
        <f>IFERROR(IF(ISBLANK(INDEX(Backlog[Status],MATCH($A86,Backlog[Requirement ID],0))),"",INDEX(Backlog[Status],MATCH($A86,Backlog[Requirement ID],0))),"")</f>
        <v/>
      </c>
      <c r="F86" s="92" t="inlineStr">
        <is>
          <t>To Plan</t>
        </is>
      </c>
      <c r="G86" s="92">
        <f>IFERROR(IF(ISBLANK(INDEX(Backlog[HLE],MATCH($A86,Backlog[Requirement ID],0))),"",INDEX(Backlog[HLE],MATCH($A86,Backlog[Requirement ID],0))),"")</f>
        <v/>
      </c>
      <c r="H86" s="92">
        <f>IFERROR(VALUE(SUBSTITUTE($F86,"Sprint ","")),9999)</f>
        <v/>
      </c>
    </row>
    <row r="87" ht="15" customHeight="1" s="93">
      <c r="A87" s="92">
        <f>Backlog!A87</f>
        <v/>
      </c>
      <c r="B87" s="92">
        <f>IFERROR(IF(ISBLANK(INDEX(Backlog[Requirement Name],MATCH($A87,Backlog[Requirement ID],0))),"",INDEX(Backlog[Requirement Name],MATCH($A87,Backlog[Requirement ID],0))),"")</f>
        <v/>
      </c>
      <c r="C87" s="92">
        <f>IFERROR(IF(ISBLANK(INDEX(Backlog[Stream],MATCH($A87,Backlog[Requirement ID],0))),"",INDEX(Backlog[Stream],MATCH($A87,Backlog[Requirement ID],0))),"")</f>
        <v/>
      </c>
      <c r="D87" s="92">
        <f>IFERROR(IF(ISBLANK(INDEX(Backlog[Priority],MATCH($A87,Backlog[Requirement ID],0))),"",INDEX(Backlog[Priority],MATCH($A87,Backlog[Requirement ID],0))),"")</f>
        <v/>
      </c>
      <c r="E87" s="92">
        <f>IFERROR(IF(ISBLANK(INDEX(Backlog[Status],MATCH($A87,Backlog[Requirement ID],0))),"",INDEX(Backlog[Status],MATCH($A87,Backlog[Requirement ID],0))),"")</f>
        <v/>
      </c>
      <c r="F87" s="92" t="inlineStr">
        <is>
          <t>To Plan</t>
        </is>
      </c>
      <c r="G87" s="92">
        <f>IFERROR(IF(ISBLANK(INDEX(Backlog[HLE],MATCH($A87,Backlog[Requirement ID],0))),"",INDEX(Backlog[HLE],MATCH($A87,Backlog[Requirement ID],0))),"")</f>
        <v/>
      </c>
      <c r="H87" s="92">
        <f>IFERROR(VALUE(SUBSTITUTE($F87,"Sprint ","")),9999)</f>
        <v/>
      </c>
    </row>
    <row r="88" ht="15" customHeight="1" s="93">
      <c r="A88" s="92">
        <f>Backlog!A88</f>
        <v/>
      </c>
      <c r="B88" s="92">
        <f>IFERROR(IF(ISBLANK(INDEX(Backlog[Requirement Name],MATCH($A88,Backlog[Requirement ID],0))),"",INDEX(Backlog[Requirement Name],MATCH($A88,Backlog[Requirement ID],0))),"")</f>
        <v/>
      </c>
      <c r="C88" s="92">
        <f>IFERROR(IF(ISBLANK(INDEX(Backlog[Stream],MATCH($A88,Backlog[Requirement ID],0))),"",INDEX(Backlog[Stream],MATCH($A88,Backlog[Requirement ID],0))),"")</f>
        <v/>
      </c>
      <c r="D88" s="92">
        <f>IFERROR(IF(ISBLANK(INDEX(Backlog[Priority],MATCH($A88,Backlog[Requirement ID],0))),"",INDEX(Backlog[Priority],MATCH($A88,Backlog[Requirement ID],0))),"")</f>
        <v/>
      </c>
      <c r="E88" s="92">
        <f>IFERROR(IF(ISBLANK(INDEX(Backlog[Status],MATCH($A88,Backlog[Requirement ID],0))),"",INDEX(Backlog[Status],MATCH($A88,Backlog[Requirement ID],0))),"")</f>
        <v/>
      </c>
      <c r="F88" s="92" t="inlineStr">
        <is>
          <t>To Plan</t>
        </is>
      </c>
      <c r="G88" s="92">
        <f>IFERROR(IF(ISBLANK(INDEX(Backlog[HLE],MATCH($A88,Backlog[Requirement ID],0))),"",INDEX(Backlog[HLE],MATCH($A88,Backlog[Requirement ID],0))),"")</f>
        <v/>
      </c>
      <c r="H88" s="92">
        <f>IFERROR(VALUE(SUBSTITUTE($F88,"Sprint ","")),9999)</f>
        <v/>
      </c>
    </row>
    <row r="89" ht="15" customHeight="1" s="93">
      <c r="A89" s="92">
        <f>Backlog!A89</f>
        <v/>
      </c>
      <c r="B89" s="92">
        <f>IFERROR(IF(ISBLANK(INDEX(Backlog[Requirement Name],MATCH($A89,Backlog[Requirement ID],0))),"",INDEX(Backlog[Requirement Name],MATCH($A89,Backlog[Requirement ID],0))),"")</f>
        <v/>
      </c>
      <c r="C89" s="92">
        <f>IFERROR(IF(ISBLANK(INDEX(Backlog[Stream],MATCH($A89,Backlog[Requirement ID],0))),"",INDEX(Backlog[Stream],MATCH($A89,Backlog[Requirement ID],0))),"")</f>
        <v/>
      </c>
      <c r="D89" s="92">
        <f>IFERROR(IF(ISBLANK(INDEX(Backlog[Priority],MATCH($A89,Backlog[Requirement ID],0))),"",INDEX(Backlog[Priority],MATCH($A89,Backlog[Requirement ID],0))),"")</f>
        <v/>
      </c>
      <c r="E89" s="92">
        <f>IFERROR(IF(ISBLANK(INDEX(Backlog[Status],MATCH($A89,Backlog[Requirement ID],0))),"",INDEX(Backlog[Status],MATCH($A89,Backlog[Requirement ID],0))),"")</f>
        <v/>
      </c>
      <c r="F89" s="92" t="inlineStr">
        <is>
          <t>To Plan</t>
        </is>
      </c>
      <c r="G89" s="92">
        <f>IFERROR(IF(ISBLANK(INDEX(Backlog[HLE],MATCH($A89,Backlog[Requirement ID],0))),"",INDEX(Backlog[HLE],MATCH($A89,Backlog[Requirement ID],0))),"")</f>
        <v/>
      </c>
      <c r="H89" s="92">
        <f>IFERROR(VALUE(SUBSTITUTE($F89,"Sprint ","")),9999)</f>
        <v/>
      </c>
    </row>
    <row r="90" ht="15" customHeight="1" s="93">
      <c r="A90" s="92">
        <f>Backlog!A90</f>
        <v/>
      </c>
      <c r="B90" s="92">
        <f>IFERROR(IF(ISBLANK(INDEX(Backlog[Requirement Name],MATCH($A90,Backlog[Requirement ID],0))),"",INDEX(Backlog[Requirement Name],MATCH($A90,Backlog[Requirement ID],0))),"")</f>
        <v/>
      </c>
      <c r="C90" s="92">
        <f>IFERROR(IF(ISBLANK(INDEX(Backlog[Stream],MATCH($A90,Backlog[Requirement ID],0))),"",INDEX(Backlog[Stream],MATCH($A90,Backlog[Requirement ID],0))),"")</f>
        <v/>
      </c>
      <c r="D90" s="92">
        <f>IFERROR(IF(ISBLANK(INDEX(Backlog[Priority],MATCH($A90,Backlog[Requirement ID],0))),"",INDEX(Backlog[Priority],MATCH($A90,Backlog[Requirement ID],0))),"")</f>
        <v/>
      </c>
      <c r="E90" s="92">
        <f>IFERROR(IF(ISBLANK(INDEX(Backlog[Status],MATCH($A90,Backlog[Requirement ID],0))),"",INDEX(Backlog[Status],MATCH($A90,Backlog[Requirement ID],0))),"")</f>
        <v/>
      </c>
      <c r="F90" s="92" t="inlineStr">
        <is>
          <t>To Plan</t>
        </is>
      </c>
      <c r="G90" s="92">
        <f>IFERROR(IF(ISBLANK(INDEX(Backlog[HLE],MATCH($A90,Backlog[Requirement ID],0))),"",INDEX(Backlog[HLE],MATCH($A90,Backlog[Requirement ID],0))),"")</f>
        <v/>
      </c>
      <c r="H90" s="92">
        <f>IFERROR(VALUE(SUBSTITUTE($F90,"Sprint ","")),9999)</f>
        <v/>
      </c>
    </row>
    <row r="91" ht="15" customHeight="1" s="93">
      <c r="A91" s="92">
        <f>Backlog!A91</f>
        <v/>
      </c>
      <c r="B91" s="92">
        <f>IFERROR(IF(ISBLANK(INDEX(Backlog[Requirement Name],MATCH($A91,Backlog[Requirement ID],0))),"",INDEX(Backlog[Requirement Name],MATCH($A91,Backlog[Requirement ID],0))),"")</f>
        <v/>
      </c>
      <c r="C91" s="92">
        <f>IFERROR(IF(ISBLANK(INDEX(Backlog[Stream],MATCH($A91,Backlog[Requirement ID],0))),"",INDEX(Backlog[Stream],MATCH($A91,Backlog[Requirement ID],0))),"")</f>
        <v/>
      </c>
      <c r="D91" s="92">
        <f>IFERROR(IF(ISBLANK(INDEX(Backlog[Priority],MATCH($A91,Backlog[Requirement ID],0))),"",INDEX(Backlog[Priority],MATCH($A91,Backlog[Requirement ID],0))),"")</f>
        <v/>
      </c>
      <c r="E91" s="92">
        <f>IFERROR(IF(ISBLANK(INDEX(Backlog[Status],MATCH($A91,Backlog[Requirement ID],0))),"",INDEX(Backlog[Status],MATCH($A91,Backlog[Requirement ID],0))),"")</f>
        <v/>
      </c>
      <c r="F91" s="92" t="inlineStr">
        <is>
          <t>To Plan</t>
        </is>
      </c>
      <c r="G91" s="92">
        <f>IFERROR(IF(ISBLANK(INDEX(Backlog[HLE],MATCH($A91,Backlog[Requirement ID],0))),"",INDEX(Backlog[HLE],MATCH($A91,Backlog[Requirement ID],0))),"")</f>
        <v/>
      </c>
      <c r="H91" s="92">
        <f>IFERROR(VALUE(SUBSTITUTE($F91,"Sprint ","")),9999)</f>
        <v/>
      </c>
    </row>
    <row r="92" ht="15" customHeight="1" s="93">
      <c r="A92" s="92">
        <f>Backlog!A92</f>
        <v/>
      </c>
      <c r="B92" s="92">
        <f>IFERROR(IF(ISBLANK(INDEX(Backlog[Requirement Name],MATCH($A92,Backlog[Requirement ID],0))),"",INDEX(Backlog[Requirement Name],MATCH($A92,Backlog[Requirement ID],0))),"")</f>
        <v/>
      </c>
      <c r="C92" s="92">
        <f>IFERROR(IF(ISBLANK(INDEX(Backlog[Stream],MATCH($A92,Backlog[Requirement ID],0))),"",INDEX(Backlog[Stream],MATCH($A92,Backlog[Requirement ID],0))),"")</f>
        <v/>
      </c>
      <c r="D92" s="92">
        <f>IFERROR(IF(ISBLANK(INDEX(Backlog[Priority],MATCH($A92,Backlog[Requirement ID],0))),"",INDEX(Backlog[Priority],MATCH($A92,Backlog[Requirement ID],0))),"")</f>
        <v/>
      </c>
      <c r="E92" s="92">
        <f>IFERROR(IF(ISBLANK(INDEX(Backlog[Status],MATCH($A92,Backlog[Requirement ID],0))),"",INDEX(Backlog[Status],MATCH($A92,Backlog[Requirement ID],0))),"")</f>
        <v/>
      </c>
      <c r="F92" s="92" t="inlineStr">
        <is>
          <t>To Plan</t>
        </is>
      </c>
      <c r="G92" s="92">
        <f>IFERROR(IF(ISBLANK(INDEX(Backlog[HLE],MATCH($A92,Backlog[Requirement ID],0))),"",INDEX(Backlog[HLE],MATCH($A92,Backlog[Requirement ID],0))),"")</f>
        <v/>
      </c>
      <c r="H92" s="92">
        <f>IFERROR(VALUE(SUBSTITUTE($F92,"Sprint ","")),9999)</f>
        <v/>
      </c>
    </row>
    <row r="93" ht="15" customHeight="1" s="93">
      <c r="A93" s="92">
        <f>Backlog!A93</f>
        <v/>
      </c>
      <c r="B93" s="92">
        <f>IFERROR(IF(ISBLANK(INDEX(Backlog[Requirement Name],MATCH($A93,Backlog[Requirement ID],0))),"",INDEX(Backlog[Requirement Name],MATCH($A93,Backlog[Requirement ID],0))),"")</f>
        <v/>
      </c>
      <c r="C93" s="92">
        <f>IFERROR(IF(ISBLANK(INDEX(Backlog[Stream],MATCH($A93,Backlog[Requirement ID],0))),"",INDEX(Backlog[Stream],MATCH($A93,Backlog[Requirement ID],0))),"")</f>
        <v/>
      </c>
      <c r="D93" s="92">
        <f>IFERROR(IF(ISBLANK(INDEX(Backlog[Priority],MATCH($A93,Backlog[Requirement ID],0))),"",INDEX(Backlog[Priority],MATCH($A93,Backlog[Requirement ID],0))),"")</f>
        <v/>
      </c>
      <c r="E93" s="92">
        <f>IFERROR(IF(ISBLANK(INDEX(Backlog[Status],MATCH($A93,Backlog[Requirement ID],0))),"",INDEX(Backlog[Status],MATCH($A93,Backlog[Requirement ID],0))),"")</f>
        <v/>
      </c>
      <c r="F93" s="92" t="inlineStr">
        <is>
          <t>To Plan</t>
        </is>
      </c>
      <c r="G93" s="92">
        <f>IFERROR(IF(ISBLANK(INDEX(Backlog[HLE],MATCH($A93,Backlog[Requirement ID],0))),"",INDEX(Backlog[HLE],MATCH($A93,Backlog[Requirement ID],0))),"")</f>
        <v/>
      </c>
      <c r="H93" s="92">
        <f>IFERROR(VALUE(SUBSTITUTE($F93,"Sprint ","")),9999)</f>
        <v/>
      </c>
    </row>
    <row r="94" ht="15" customHeight="1" s="93">
      <c r="A94" s="92">
        <f>Backlog!A94</f>
        <v/>
      </c>
      <c r="B94" s="92">
        <f>IFERROR(IF(ISBLANK(INDEX(Backlog[Requirement Name],MATCH($A94,Backlog[Requirement ID],0))),"",INDEX(Backlog[Requirement Name],MATCH($A94,Backlog[Requirement ID],0))),"")</f>
        <v/>
      </c>
      <c r="C94" s="92">
        <f>IFERROR(IF(ISBLANK(INDEX(Backlog[Stream],MATCH($A94,Backlog[Requirement ID],0))),"",INDEX(Backlog[Stream],MATCH($A94,Backlog[Requirement ID],0))),"")</f>
        <v/>
      </c>
      <c r="D94" s="92">
        <f>IFERROR(IF(ISBLANK(INDEX(Backlog[Priority],MATCH($A94,Backlog[Requirement ID],0))),"",INDEX(Backlog[Priority],MATCH($A94,Backlog[Requirement ID],0))),"")</f>
        <v/>
      </c>
      <c r="E94" s="92">
        <f>IFERROR(IF(ISBLANK(INDEX(Backlog[Status],MATCH($A94,Backlog[Requirement ID],0))),"",INDEX(Backlog[Status],MATCH($A94,Backlog[Requirement ID],0))),"")</f>
        <v/>
      </c>
      <c r="F94" s="92" t="inlineStr">
        <is>
          <t>Sprint 11</t>
        </is>
      </c>
      <c r="G94" s="92">
        <f>IFERROR(IF(ISBLANK(INDEX(Backlog[HLE],MATCH($A94,Backlog[Requirement ID],0))),"",INDEX(Backlog[HLE],MATCH($A94,Backlog[Requirement ID],0))),"")</f>
        <v/>
      </c>
      <c r="H94" s="92">
        <f>IFERROR(VALUE(SUBSTITUTE($F94,"Sprint ","")),9999)</f>
        <v/>
      </c>
    </row>
    <row r="95" ht="15" customHeight="1" s="93">
      <c r="A95" s="92">
        <f>Backlog!A95</f>
        <v/>
      </c>
      <c r="B95" s="92">
        <f>IFERROR(IF(ISBLANK(INDEX(Backlog[Requirement Name],MATCH($A95,Backlog[Requirement ID],0))),"",INDEX(Backlog[Requirement Name],MATCH($A95,Backlog[Requirement ID],0))),"")</f>
        <v/>
      </c>
      <c r="C95" s="92">
        <f>IFERROR(IF(ISBLANK(INDEX(Backlog[Stream],MATCH($A95,Backlog[Requirement ID],0))),"",INDEX(Backlog[Stream],MATCH($A95,Backlog[Requirement ID],0))),"")</f>
        <v/>
      </c>
      <c r="D95" s="92">
        <f>IFERROR(IF(ISBLANK(INDEX(Backlog[Priority],MATCH($A95,Backlog[Requirement ID],0))),"",INDEX(Backlog[Priority],MATCH($A95,Backlog[Requirement ID],0))),"")</f>
        <v/>
      </c>
      <c r="E95" s="92">
        <f>IFERROR(IF(ISBLANK(INDEX(Backlog[Status],MATCH($A95,Backlog[Requirement ID],0))),"",INDEX(Backlog[Status],MATCH($A95,Backlog[Requirement ID],0))),"")</f>
        <v/>
      </c>
      <c r="F95" s="92" t="inlineStr">
        <is>
          <t>Sprint 11</t>
        </is>
      </c>
      <c r="G95" s="92">
        <f>IFERROR(IF(ISBLANK(INDEX(Backlog[HLE],MATCH($A95,Backlog[Requirement ID],0))),"",INDEX(Backlog[HLE],MATCH($A95,Backlog[Requirement ID],0))),"")</f>
        <v/>
      </c>
      <c r="H95" s="92">
        <f>IFERROR(VALUE(SUBSTITUTE($F95,"Sprint ","")),9999)</f>
        <v/>
      </c>
    </row>
    <row r="96" ht="15" customHeight="1" s="93">
      <c r="A96" s="92">
        <f>Backlog!A96</f>
        <v/>
      </c>
      <c r="B96" s="92">
        <f>IFERROR(IF(ISBLANK(INDEX(Backlog[Requirement Name],MATCH($A96,Backlog[Requirement ID],0))),"",INDEX(Backlog[Requirement Name],MATCH($A96,Backlog[Requirement ID],0))),"")</f>
        <v/>
      </c>
      <c r="C96" s="92">
        <f>IFERROR(IF(ISBLANK(INDEX(Backlog[Stream],MATCH($A96,Backlog[Requirement ID],0))),"",INDEX(Backlog[Stream],MATCH($A96,Backlog[Requirement ID],0))),"")</f>
        <v/>
      </c>
      <c r="D96" s="92">
        <f>IFERROR(IF(ISBLANK(INDEX(Backlog[Priority],MATCH($A96,Backlog[Requirement ID],0))),"",INDEX(Backlog[Priority],MATCH($A96,Backlog[Requirement ID],0))),"")</f>
        <v/>
      </c>
      <c r="E96" s="92">
        <f>IFERROR(IF(ISBLANK(INDEX(Backlog[Status],MATCH($A96,Backlog[Requirement ID],0))),"",INDEX(Backlog[Status],MATCH($A96,Backlog[Requirement ID],0))),"")</f>
        <v/>
      </c>
      <c r="F96" s="92" t="inlineStr">
        <is>
          <t>To Plan</t>
        </is>
      </c>
      <c r="G96" s="92">
        <f>IFERROR(IF(ISBLANK(INDEX(Backlog[HLE],MATCH($A96,Backlog[Requirement ID],0))),"",INDEX(Backlog[HLE],MATCH($A96,Backlog[Requirement ID],0))),"")</f>
        <v/>
      </c>
      <c r="H96" s="92">
        <f>IFERROR(VALUE(SUBSTITUTE($F96,"Sprint ","")),9999)</f>
        <v/>
      </c>
    </row>
    <row r="97" ht="15" customHeight="1" s="93">
      <c r="A97" s="92">
        <f>Backlog!A97</f>
        <v/>
      </c>
      <c r="B97" s="92">
        <f>IFERROR(IF(ISBLANK(INDEX(Backlog[Requirement Name],MATCH($A97,Backlog[Requirement ID],0))),"",INDEX(Backlog[Requirement Name],MATCH($A97,Backlog[Requirement ID],0))),"")</f>
        <v/>
      </c>
      <c r="C97" s="92">
        <f>IFERROR(IF(ISBLANK(INDEX(Backlog[Stream],MATCH($A97,Backlog[Requirement ID],0))),"",INDEX(Backlog[Stream],MATCH($A97,Backlog[Requirement ID],0))),"")</f>
        <v/>
      </c>
      <c r="D97" s="92">
        <f>IFERROR(IF(ISBLANK(INDEX(Backlog[Priority],MATCH($A97,Backlog[Requirement ID],0))),"",INDEX(Backlog[Priority],MATCH($A97,Backlog[Requirement ID],0))),"")</f>
        <v/>
      </c>
      <c r="E97" s="92">
        <f>IFERROR(IF(ISBLANK(INDEX(Backlog[Status],MATCH($A97,Backlog[Requirement ID],0))),"",INDEX(Backlog[Status],MATCH($A97,Backlog[Requirement ID],0))),"")</f>
        <v/>
      </c>
      <c r="F97" s="92" t="inlineStr">
        <is>
          <t>Sprint 11</t>
        </is>
      </c>
      <c r="G97" s="92">
        <f>IFERROR(IF(ISBLANK(INDEX(Backlog[HLE],MATCH($A97,Backlog[Requirement ID],0))),"",INDEX(Backlog[HLE],MATCH($A97,Backlog[Requirement ID],0))),"")</f>
        <v/>
      </c>
      <c r="H97" s="92">
        <f>IFERROR(VALUE(SUBSTITUTE($F97,"Sprint ","")),9999)</f>
        <v/>
      </c>
    </row>
    <row r="98" ht="15" customHeight="1" s="93">
      <c r="A98" s="92">
        <f>Backlog!A98</f>
        <v/>
      </c>
      <c r="B98" s="92">
        <f>IFERROR(IF(ISBLANK(INDEX(Backlog[Requirement Name],MATCH($A98,Backlog[Requirement ID],0))),"",INDEX(Backlog[Requirement Name],MATCH($A98,Backlog[Requirement ID],0))),"")</f>
        <v/>
      </c>
      <c r="C98" s="92">
        <f>IFERROR(IF(ISBLANK(INDEX(Backlog[Stream],MATCH($A98,Backlog[Requirement ID],0))),"",INDEX(Backlog[Stream],MATCH($A98,Backlog[Requirement ID],0))),"")</f>
        <v/>
      </c>
      <c r="D98" s="92">
        <f>IFERROR(IF(ISBLANK(INDEX(Backlog[Priority],MATCH($A98,Backlog[Requirement ID],0))),"",INDEX(Backlog[Priority],MATCH($A98,Backlog[Requirement ID],0))),"")</f>
        <v/>
      </c>
      <c r="E98" s="92">
        <f>IFERROR(IF(ISBLANK(INDEX(Backlog[Status],MATCH($A98,Backlog[Requirement ID],0))),"",INDEX(Backlog[Status],MATCH($A98,Backlog[Requirement ID],0))),"")</f>
        <v/>
      </c>
      <c r="F98" s="92" t="inlineStr">
        <is>
          <t>Sprint 11</t>
        </is>
      </c>
      <c r="G98" s="92">
        <f>IFERROR(IF(ISBLANK(INDEX(Backlog[HLE],MATCH($A98,Backlog[Requirement ID],0))),"",INDEX(Backlog[HLE],MATCH($A98,Backlog[Requirement ID],0))),"")</f>
        <v/>
      </c>
      <c r="H98" s="92">
        <f>IFERROR(VALUE(SUBSTITUTE($F98,"Sprint ","")),9999)</f>
        <v/>
      </c>
    </row>
    <row r="99" ht="15" customHeight="1" s="93">
      <c r="A99" s="92">
        <f>Backlog!A99</f>
        <v/>
      </c>
      <c r="B99" s="92">
        <f>IFERROR(IF(ISBLANK(INDEX(Backlog[Requirement Name],MATCH($A99,Backlog[Requirement ID],0))),"",INDEX(Backlog[Requirement Name],MATCH($A99,Backlog[Requirement ID],0))),"")</f>
        <v/>
      </c>
      <c r="C99" s="92">
        <f>IFERROR(IF(ISBLANK(INDEX(Backlog[Stream],MATCH($A99,Backlog[Requirement ID],0))),"",INDEX(Backlog[Stream],MATCH($A99,Backlog[Requirement ID],0))),"")</f>
        <v/>
      </c>
      <c r="D99" s="92">
        <f>IFERROR(IF(ISBLANK(INDEX(Backlog[Priority],MATCH($A99,Backlog[Requirement ID],0))),"",INDEX(Backlog[Priority],MATCH($A99,Backlog[Requirement ID],0))),"")</f>
        <v/>
      </c>
      <c r="E99" s="92">
        <f>IFERROR(IF(ISBLANK(INDEX(Backlog[Status],MATCH($A99,Backlog[Requirement ID],0))),"",INDEX(Backlog[Status],MATCH($A99,Backlog[Requirement ID],0))),"")</f>
        <v/>
      </c>
      <c r="F99" s="92" t="inlineStr">
        <is>
          <t>Sprint 11</t>
        </is>
      </c>
      <c r="G99" s="92">
        <f>IFERROR(IF(ISBLANK(INDEX(Backlog[HLE],MATCH($A99,Backlog[Requirement ID],0))),"",INDEX(Backlog[HLE],MATCH($A99,Backlog[Requirement ID],0))),"")</f>
        <v/>
      </c>
      <c r="H99" s="92">
        <f>IFERROR(VALUE(SUBSTITUTE($F99,"Sprint ","")),9999)</f>
        <v/>
      </c>
    </row>
    <row r="100" ht="15" customHeight="1" s="93">
      <c r="A100" s="92">
        <f>Backlog!A100</f>
        <v/>
      </c>
      <c r="B100" s="92">
        <f>IFERROR(IF(ISBLANK(INDEX(Backlog[Requirement Name],MATCH($A100,Backlog[Requirement ID],0))),"",INDEX(Backlog[Requirement Name],MATCH($A100,Backlog[Requirement ID],0))),"")</f>
        <v/>
      </c>
      <c r="C100" s="92">
        <f>IFERROR(IF(ISBLANK(INDEX(Backlog[Stream],MATCH($A100,Backlog[Requirement ID],0))),"",INDEX(Backlog[Stream],MATCH($A100,Backlog[Requirement ID],0))),"")</f>
        <v/>
      </c>
      <c r="D100" s="92">
        <f>IFERROR(IF(ISBLANK(INDEX(Backlog[Priority],MATCH($A100,Backlog[Requirement ID],0))),"",INDEX(Backlog[Priority],MATCH($A100,Backlog[Requirement ID],0))),"")</f>
        <v/>
      </c>
      <c r="E100" s="92">
        <f>IFERROR(IF(ISBLANK(INDEX(Backlog[Status],MATCH($A100,Backlog[Requirement ID],0))),"",INDEX(Backlog[Status],MATCH($A100,Backlog[Requirement ID],0))),"")</f>
        <v/>
      </c>
      <c r="F100" s="92" t="inlineStr">
        <is>
          <t>Sprint 11</t>
        </is>
      </c>
      <c r="G100" s="92">
        <f>IFERROR(IF(ISBLANK(INDEX(Backlog[HLE],MATCH($A100,Backlog[Requirement ID],0))),"",INDEX(Backlog[HLE],MATCH($A100,Backlog[Requirement ID],0))),"")</f>
        <v/>
      </c>
      <c r="H100" s="92">
        <f>IFERROR(VALUE(SUBSTITUTE($F100,"Sprint ","")),9999)</f>
        <v/>
      </c>
    </row>
    <row r="101" ht="15" customHeight="1" s="93">
      <c r="A101" s="92">
        <f>Backlog!A101</f>
        <v/>
      </c>
      <c r="B101" s="92">
        <f>IFERROR(IF(ISBLANK(INDEX(Backlog[Requirement Name],MATCH($A101,Backlog[Requirement ID],0))),"",INDEX(Backlog[Requirement Name],MATCH($A101,Backlog[Requirement ID],0))),"")</f>
        <v/>
      </c>
      <c r="C101" s="92">
        <f>IFERROR(IF(ISBLANK(INDEX(Backlog[Stream],MATCH($A101,Backlog[Requirement ID],0))),"",INDEX(Backlog[Stream],MATCH($A101,Backlog[Requirement ID],0))),"")</f>
        <v/>
      </c>
      <c r="D101" s="92">
        <f>IFERROR(IF(ISBLANK(INDEX(Backlog[Priority],MATCH($A101,Backlog[Requirement ID],0))),"",INDEX(Backlog[Priority],MATCH($A101,Backlog[Requirement ID],0))),"")</f>
        <v/>
      </c>
      <c r="E101" s="92">
        <f>IFERROR(IF(ISBLANK(INDEX(Backlog[Status],MATCH($A101,Backlog[Requirement ID],0))),"",INDEX(Backlog[Status],MATCH($A101,Backlog[Requirement ID],0))),"")</f>
        <v/>
      </c>
      <c r="F101" s="92" t="inlineStr">
        <is>
          <t>Sprint 11</t>
        </is>
      </c>
      <c r="G101" s="92">
        <f>IFERROR(IF(ISBLANK(INDEX(Backlog[HLE],MATCH($A101,Backlog[Requirement ID],0))),"",INDEX(Backlog[HLE],MATCH($A101,Backlog[Requirement ID],0))),"")</f>
        <v/>
      </c>
      <c r="H101" s="92">
        <f>IFERROR(VALUE(SUBSTITUTE($F101,"Sprint ","")),9999)</f>
        <v/>
      </c>
    </row>
    <row r="102" ht="15" customHeight="1" s="93">
      <c r="A102" s="92">
        <f>Backlog!A102</f>
        <v/>
      </c>
      <c r="B102" s="92">
        <f>IFERROR(IF(ISBLANK(INDEX(Backlog[Requirement Name],MATCH($A102,Backlog[Requirement ID],0))),"",INDEX(Backlog[Requirement Name],MATCH($A102,Backlog[Requirement ID],0))),"")</f>
        <v/>
      </c>
      <c r="C102" s="92">
        <f>IFERROR(IF(ISBLANK(INDEX(Backlog[Stream],MATCH($A102,Backlog[Requirement ID],0))),"",INDEX(Backlog[Stream],MATCH($A102,Backlog[Requirement ID],0))),"")</f>
        <v/>
      </c>
      <c r="D102" s="92">
        <f>IFERROR(IF(ISBLANK(INDEX(Backlog[Priority],MATCH($A102,Backlog[Requirement ID],0))),"",INDEX(Backlog[Priority],MATCH($A102,Backlog[Requirement ID],0))),"")</f>
        <v/>
      </c>
      <c r="E102" s="92">
        <f>IFERROR(IF(ISBLANK(INDEX(Backlog[Status],MATCH($A102,Backlog[Requirement ID],0))),"",INDEX(Backlog[Status],MATCH($A102,Backlog[Requirement ID],0))),"")</f>
        <v/>
      </c>
      <c r="F102" s="92" t="n"/>
      <c r="G102" s="92">
        <f>IFERROR(IF(ISBLANK(INDEX(Backlog[HLE],MATCH($A102,Backlog[Requirement ID],0))),"",INDEX(Backlog[HLE],MATCH($A102,Backlog[Requirement ID],0))),"")</f>
        <v/>
      </c>
      <c r="H102" s="92">
        <f>IFERROR(VALUE(SUBSTITUTE($F102,"Sprint ","")),9999)</f>
        <v/>
      </c>
    </row>
    <row r="103" ht="15" customHeight="1" s="93">
      <c r="A103" s="92">
        <f>Backlog!A103</f>
        <v/>
      </c>
      <c r="B103" s="92">
        <f>IFERROR(IF(ISBLANK(INDEX(Backlog[Requirement Name],MATCH($A103,Backlog[Requirement ID],0))),"",INDEX(Backlog[Requirement Name],MATCH($A103,Backlog[Requirement ID],0))),"")</f>
        <v/>
      </c>
      <c r="C103" s="92">
        <f>IFERROR(IF(ISBLANK(INDEX(Backlog[Stream],MATCH($A103,Backlog[Requirement ID],0))),"",INDEX(Backlog[Stream],MATCH($A103,Backlog[Requirement ID],0))),"")</f>
        <v/>
      </c>
      <c r="D103" s="92">
        <f>IFERROR(IF(ISBLANK(INDEX(Backlog[Priority],MATCH($A103,Backlog[Requirement ID],0))),"",INDEX(Backlog[Priority],MATCH($A103,Backlog[Requirement ID],0))),"")</f>
        <v/>
      </c>
      <c r="E103" s="92">
        <f>IFERROR(IF(ISBLANK(INDEX(Backlog[Status],MATCH($A103,Backlog[Requirement ID],0))),"",INDEX(Backlog[Status],MATCH($A103,Backlog[Requirement ID],0))),"")</f>
        <v/>
      </c>
      <c r="F103" s="92" t="n"/>
      <c r="G103" s="92">
        <f>IFERROR(IF(ISBLANK(INDEX(Backlog[HLE],MATCH($A103,Backlog[Requirement ID],0))),"",INDEX(Backlog[HLE],MATCH($A103,Backlog[Requirement ID],0))),"")</f>
        <v/>
      </c>
      <c r="H103" s="92">
        <f>IFERROR(VALUE(SUBSTITUTE($F103,"Sprint ","")),9999)</f>
        <v/>
      </c>
    </row>
    <row r="104" ht="15" customHeight="1" s="93">
      <c r="A104" s="92">
        <f>Backlog!A104</f>
        <v/>
      </c>
      <c r="B104" s="92">
        <f>IFERROR(IF(ISBLANK(INDEX(Backlog[Requirement Name],MATCH($A104,Backlog[Requirement ID],0))),"",INDEX(Backlog[Requirement Name],MATCH($A104,Backlog[Requirement ID],0))),"")</f>
        <v/>
      </c>
      <c r="C104" s="92">
        <f>IFERROR(IF(ISBLANK(INDEX(Backlog[Stream],MATCH($A104,Backlog[Requirement ID],0))),"",INDEX(Backlog[Stream],MATCH($A104,Backlog[Requirement ID],0))),"")</f>
        <v/>
      </c>
      <c r="D104" s="92">
        <f>IFERROR(IF(ISBLANK(INDEX(Backlog[Priority],MATCH($A104,Backlog[Requirement ID],0))),"",INDEX(Backlog[Priority],MATCH($A104,Backlog[Requirement ID],0))),"")</f>
        <v/>
      </c>
      <c r="E104" s="92">
        <f>IFERROR(IF(ISBLANK(INDEX(Backlog[Status],MATCH($A104,Backlog[Requirement ID],0))),"",INDEX(Backlog[Status],MATCH($A104,Backlog[Requirement ID],0))),"")</f>
        <v/>
      </c>
      <c r="F104" s="92" t="n"/>
      <c r="G104" s="92">
        <f>IFERROR(IF(ISBLANK(INDEX(Backlog[HLE],MATCH($A104,Backlog[Requirement ID],0))),"",INDEX(Backlog[HLE],MATCH($A104,Backlog[Requirement ID],0))),"")</f>
        <v/>
      </c>
      <c r="H104" s="92">
        <f>IFERROR(VALUE(SUBSTITUTE($F104,"Sprint ","")),9999)</f>
        <v/>
      </c>
    </row>
    <row r="105" ht="15" customHeight="1" s="93">
      <c r="A105" s="92">
        <f>Backlog!A105</f>
        <v/>
      </c>
      <c r="B105" s="92">
        <f>IFERROR(IF(ISBLANK(INDEX(Backlog[Requirement Name],MATCH($A105,Backlog[Requirement ID],0))),"",INDEX(Backlog[Requirement Name],MATCH($A105,Backlog[Requirement ID],0))),"")</f>
        <v/>
      </c>
      <c r="C105" s="92">
        <f>IFERROR(IF(ISBLANK(INDEX(Backlog[Stream],MATCH($A105,Backlog[Requirement ID],0))),"",INDEX(Backlog[Stream],MATCH($A105,Backlog[Requirement ID],0))),"")</f>
        <v/>
      </c>
      <c r="D105" s="92">
        <f>IFERROR(IF(ISBLANK(INDEX(Backlog[Priority],MATCH($A105,Backlog[Requirement ID],0))),"",INDEX(Backlog[Priority],MATCH($A105,Backlog[Requirement ID],0))),"")</f>
        <v/>
      </c>
      <c r="E105" s="92">
        <f>IFERROR(IF(ISBLANK(INDEX(Backlog[Status],MATCH($A105,Backlog[Requirement ID],0))),"",INDEX(Backlog[Status],MATCH($A105,Backlog[Requirement ID],0))),"")</f>
        <v/>
      </c>
      <c r="F105" s="92" t="n"/>
      <c r="G105" s="92">
        <f>IFERROR(IF(ISBLANK(INDEX(Backlog[HLE],MATCH($A105,Backlog[Requirement ID],0))),"",INDEX(Backlog[HLE],MATCH($A105,Backlog[Requirement ID],0))),"")</f>
        <v/>
      </c>
      <c r="H105" s="92">
        <f>IFERROR(VALUE(SUBSTITUTE($F105,"Sprint ","")),9999)</f>
        <v/>
      </c>
    </row>
    <row r="106" ht="15" customHeight="1" s="93">
      <c r="A106" s="92">
        <f>Backlog!A106</f>
        <v/>
      </c>
      <c r="B106" s="92">
        <f>IFERROR(IF(ISBLANK(INDEX(Backlog[Requirement Name],MATCH($A106,Backlog[Requirement ID],0))),"",INDEX(Backlog[Requirement Name],MATCH($A106,Backlog[Requirement ID],0))),"")</f>
        <v/>
      </c>
      <c r="C106" s="92">
        <f>IFERROR(IF(ISBLANK(INDEX(Backlog[Stream],MATCH($A106,Backlog[Requirement ID],0))),"",INDEX(Backlog[Stream],MATCH($A106,Backlog[Requirement ID],0))),"")</f>
        <v/>
      </c>
      <c r="D106" s="92">
        <f>IFERROR(IF(ISBLANK(INDEX(Backlog[Priority],MATCH($A106,Backlog[Requirement ID],0))),"",INDEX(Backlog[Priority],MATCH($A106,Backlog[Requirement ID],0))),"")</f>
        <v/>
      </c>
      <c r="E106" s="92">
        <f>IFERROR(IF(ISBLANK(INDEX(Backlog[Status],MATCH($A106,Backlog[Requirement ID],0))),"",INDEX(Backlog[Status],MATCH($A106,Backlog[Requirement ID],0))),"")</f>
        <v/>
      </c>
      <c r="F106" s="92" t="n"/>
      <c r="G106" s="92">
        <f>IFERROR(IF(ISBLANK(INDEX(Backlog[HLE],MATCH($A106,Backlog[Requirement ID],0))),"",INDEX(Backlog[HLE],MATCH($A106,Backlog[Requirement ID],0))),"")</f>
        <v/>
      </c>
      <c r="H106" s="92">
        <f>IFERROR(VALUE(SUBSTITUTE($F106,"Sprint ","")),9999)</f>
        <v/>
      </c>
    </row>
    <row r="107" ht="15" customHeight="1" s="93">
      <c r="A107" s="92">
        <f>Backlog!A107</f>
        <v/>
      </c>
      <c r="B107" s="92">
        <f>IFERROR(IF(ISBLANK(INDEX(Backlog[Requirement Name],MATCH($A107,Backlog[Requirement ID],0))),"",INDEX(Backlog[Requirement Name],MATCH($A107,Backlog[Requirement ID],0))),"")</f>
        <v/>
      </c>
      <c r="C107" s="92">
        <f>IFERROR(IF(ISBLANK(INDEX(Backlog[Stream],MATCH($A107,Backlog[Requirement ID],0))),"",INDEX(Backlog[Stream],MATCH($A107,Backlog[Requirement ID],0))),"")</f>
        <v/>
      </c>
      <c r="D107" s="92">
        <f>IFERROR(IF(ISBLANK(INDEX(Backlog[Priority],MATCH($A107,Backlog[Requirement ID],0))),"",INDEX(Backlog[Priority],MATCH($A107,Backlog[Requirement ID],0))),"")</f>
        <v/>
      </c>
      <c r="E107" s="92">
        <f>IFERROR(IF(ISBLANK(INDEX(Backlog[Status],MATCH($A107,Backlog[Requirement ID],0))),"",INDEX(Backlog[Status],MATCH($A107,Backlog[Requirement ID],0))),"")</f>
        <v/>
      </c>
      <c r="F107" s="92" t="inlineStr">
        <is>
          <t>Sprint 12</t>
        </is>
      </c>
      <c r="G107" s="92">
        <f>IFERROR(IF(ISBLANK(INDEX(Backlog[HLE],MATCH($A107,Backlog[Requirement ID],0))),"",INDEX(Backlog[HLE],MATCH($A107,Backlog[Requirement ID],0))),"")</f>
        <v/>
      </c>
      <c r="H107" s="92">
        <f>IFERROR(VALUE(SUBSTITUTE($F107,"Sprint ","")),9999)</f>
        <v/>
      </c>
    </row>
    <row r="108" ht="15" customHeight="1" s="93">
      <c r="A108" s="92">
        <f>Backlog!A109</f>
        <v/>
      </c>
      <c r="B108" s="92">
        <f>IFERROR(IF(ISBLANK(INDEX(Backlog[Requirement Name],MATCH($A109,Backlog[Requirement ID],0))),"",INDEX(Backlog[Requirement Name],MATCH($A109,Backlog[Requirement ID],0))),"")</f>
        <v/>
      </c>
      <c r="C108" s="92">
        <f>IFERROR(IF(ISBLANK(INDEX(Backlog[Stream],MATCH($A109,Backlog[Requirement ID],0))),"",INDEX(Backlog[Stream],MATCH($A109,Backlog[Requirement ID],0))),"")</f>
        <v/>
      </c>
      <c r="D108" s="92">
        <f>IFERROR(IF(ISBLANK(INDEX(Backlog[Priority],MATCH($A109,Backlog[Requirement ID],0))),"",INDEX(Backlog[Priority],MATCH($A109,Backlog[Requirement ID],0))),"")</f>
        <v/>
      </c>
      <c r="E108" s="92">
        <f>IFERROR(IF(ISBLANK(INDEX(Backlog[Status],MATCH($A109,Backlog[Requirement ID],0))),"",INDEX(Backlog[Status],MATCH($A109,Backlog[Requirement ID],0))),"")</f>
        <v/>
      </c>
      <c r="F108" s="92" t="inlineStr">
        <is>
          <t>Sprint 11</t>
        </is>
      </c>
      <c r="G108" s="92">
        <f>IFERROR(IF(ISBLANK(INDEX(Backlog[HLE],MATCH($A109,Backlog[Requirement ID],0))),"",INDEX(Backlog[HLE],MATCH($A109,Backlog[Requirement ID],0))),"")</f>
        <v/>
      </c>
      <c r="H108" s="92">
        <f>IFERROR(VALUE(SUBSTITUTE($F109,"Sprint ","")),9999)</f>
        <v/>
      </c>
    </row>
    <row r="109" ht="15" customHeight="1" s="93">
      <c r="A109" s="92">
        <f>Backlog!A110</f>
        <v/>
      </c>
      <c r="B109" s="92">
        <f>IFERROR(IF(ISBLANK(INDEX(Backlog[Requirement Name],MATCH($A110,Backlog[Requirement ID],0))),"",INDEX(Backlog[Requirement Name],MATCH($A110,Backlog[Requirement ID],0))),"")</f>
        <v/>
      </c>
      <c r="C109" s="92">
        <f>IFERROR(IF(ISBLANK(INDEX(Backlog[Stream],MATCH($A110,Backlog[Requirement ID],0))),"",INDEX(Backlog[Stream],MATCH($A110,Backlog[Requirement ID],0))),"")</f>
        <v/>
      </c>
      <c r="D109" s="92">
        <f>IFERROR(IF(ISBLANK(INDEX(Backlog[Priority],MATCH($A110,Backlog[Requirement ID],0))),"",INDEX(Backlog[Priority],MATCH($A110,Backlog[Requirement ID],0))),"")</f>
        <v/>
      </c>
      <c r="E109" s="92">
        <f>IFERROR(IF(ISBLANK(INDEX(Backlog[Status],MATCH($A110,Backlog[Requirement ID],0))),"",INDEX(Backlog[Status],MATCH($A110,Backlog[Requirement ID],0))),"")</f>
        <v/>
      </c>
      <c r="F109" s="92" t="n"/>
      <c r="G109" s="92">
        <f>IFERROR(IF(ISBLANK(INDEX(Backlog[HLE],MATCH($A110,Backlog[Requirement ID],0))),"",INDEX(Backlog[HLE],MATCH($A110,Backlog[Requirement ID],0))),"")</f>
        <v/>
      </c>
      <c r="H109" s="92">
        <f>IFERROR(VALUE(SUBSTITUTE($F110,"Sprint ","")),9999)</f>
        <v/>
      </c>
    </row>
    <row r="110" ht="15" customHeight="1" s="93">
      <c r="A110" s="92">
        <f>Backlog!A111</f>
        <v/>
      </c>
      <c r="B110" s="92">
        <f>IFERROR(IF(ISBLANK(INDEX(Backlog[Requirement Name],MATCH($A111,Backlog[Requirement ID],0))),"",INDEX(Backlog[Requirement Name],MATCH($A111,Backlog[Requirement ID],0))),"")</f>
        <v/>
      </c>
      <c r="C110" s="92">
        <f>IFERROR(IF(ISBLANK(INDEX(Backlog[Stream],MATCH($A111,Backlog[Requirement ID],0))),"",INDEX(Backlog[Stream],MATCH($A111,Backlog[Requirement ID],0))),"")</f>
        <v/>
      </c>
      <c r="D110" s="92">
        <f>IFERROR(IF(ISBLANK(INDEX(Backlog[Priority],MATCH($A111,Backlog[Requirement ID],0))),"",INDEX(Backlog[Priority],MATCH($A111,Backlog[Requirement ID],0))),"")</f>
        <v/>
      </c>
      <c r="E110" s="92">
        <f>IFERROR(IF(ISBLANK(INDEX(Backlog[Status],MATCH($A111,Backlog[Requirement ID],0))),"",INDEX(Backlog[Status],MATCH($A111,Backlog[Requirement ID],0))),"")</f>
        <v/>
      </c>
      <c r="F110" s="92" t="n"/>
      <c r="G110" s="92">
        <f>IFERROR(IF(ISBLANK(INDEX(Backlog[HLE],MATCH($A111,Backlog[Requirement ID],0))),"",INDEX(Backlog[HLE],MATCH($A111,Backlog[Requirement ID],0))),"")</f>
        <v/>
      </c>
      <c r="H110" s="92">
        <f>IFERROR(VALUE(SUBSTITUTE($F111,"Sprint ","")),9999)</f>
        <v/>
      </c>
    </row>
    <row r="111" ht="15" customHeight="1" s="93">
      <c r="A111" s="92">
        <f>Backlog!A112</f>
        <v/>
      </c>
      <c r="B111" s="92">
        <f>IFERROR(IF(ISBLANK(INDEX(Backlog[Requirement Name],MATCH($A112,Backlog[Requirement ID],0))),"",INDEX(Backlog[Requirement Name],MATCH($A112,Backlog[Requirement ID],0))),"")</f>
        <v/>
      </c>
      <c r="C111" s="92">
        <f>IFERROR(IF(ISBLANK(INDEX(Backlog[Stream],MATCH($A112,Backlog[Requirement ID],0))),"",INDEX(Backlog[Stream],MATCH($A112,Backlog[Requirement ID],0))),"")</f>
        <v/>
      </c>
      <c r="D111" s="92">
        <f>IFERROR(IF(ISBLANK(INDEX(Backlog[Priority],MATCH($A112,Backlog[Requirement ID],0))),"",INDEX(Backlog[Priority],MATCH($A112,Backlog[Requirement ID],0))),"")</f>
        <v/>
      </c>
      <c r="E111" s="92">
        <f>IFERROR(IF(ISBLANK(INDEX(Backlog[Status],MATCH($A112,Backlog[Requirement ID],0))),"",INDEX(Backlog[Status],MATCH($A112,Backlog[Requirement ID],0))),"")</f>
        <v/>
      </c>
      <c r="F111" s="92" t="n"/>
      <c r="G111" s="92">
        <f>IFERROR(IF(ISBLANK(INDEX(Backlog[HLE],MATCH($A112,Backlog[Requirement ID],0))),"",INDEX(Backlog[HLE],MATCH($A112,Backlog[Requirement ID],0))),"")</f>
        <v/>
      </c>
      <c r="H111" s="92">
        <f>IFERROR(VALUE(SUBSTITUTE($F112,"Sprint ","")),9999)</f>
        <v/>
      </c>
    </row>
    <row r="112" ht="15" customHeight="1" s="93">
      <c r="A112" s="92">
        <f>Backlog!A113</f>
        <v/>
      </c>
      <c r="B112" s="92">
        <f>IFERROR(IF(ISBLANK(INDEX(Backlog[Requirement Name],MATCH($A113,Backlog[Requirement ID],0))),"",INDEX(Backlog[Requirement Name],MATCH($A113,Backlog[Requirement ID],0))),"")</f>
        <v/>
      </c>
      <c r="C112" s="92">
        <f>IFERROR(IF(ISBLANK(INDEX(Backlog[Stream],MATCH($A113,Backlog[Requirement ID],0))),"",INDEX(Backlog[Stream],MATCH($A113,Backlog[Requirement ID],0))),"")</f>
        <v/>
      </c>
      <c r="D112" s="92">
        <f>IFERROR(IF(ISBLANK(INDEX(Backlog[Priority],MATCH($A113,Backlog[Requirement ID],0))),"",INDEX(Backlog[Priority],MATCH($A113,Backlog[Requirement ID],0))),"")</f>
        <v/>
      </c>
      <c r="E112" s="92">
        <f>IFERROR(IF(ISBLANK(INDEX(Backlog[Status],MATCH($A113,Backlog[Requirement ID],0))),"",INDEX(Backlog[Status],MATCH($A113,Backlog[Requirement ID],0))),"")</f>
        <v/>
      </c>
      <c r="F112" s="92" t="n"/>
      <c r="G112" s="92">
        <f>IFERROR(IF(ISBLANK(INDEX(Backlog[HLE],MATCH($A113,Backlog[Requirement ID],0))),"",INDEX(Backlog[HLE],MATCH($A113,Backlog[Requirement ID],0))),"")</f>
        <v/>
      </c>
      <c r="H112" s="92">
        <f>IFERROR(VALUE(SUBSTITUTE($F113,"Sprint ","")),9999)</f>
        <v/>
      </c>
    </row>
    <row r="113" ht="15" customHeight="1" s="93">
      <c r="A113" s="92">
        <f>Backlog!A114</f>
        <v/>
      </c>
      <c r="B113" s="92">
        <f>IFERROR(IF(ISBLANK(INDEX(Backlog[Requirement Name],MATCH($A114,Backlog[Requirement ID],0))),"",INDEX(Backlog[Requirement Name],MATCH($A114,Backlog[Requirement ID],0))),"")</f>
        <v/>
      </c>
      <c r="C113" s="92">
        <f>IFERROR(IF(ISBLANK(INDEX(Backlog[Stream],MATCH($A114,Backlog[Requirement ID],0))),"",INDEX(Backlog[Stream],MATCH($A114,Backlog[Requirement ID],0))),"")</f>
        <v/>
      </c>
      <c r="D113" s="92">
        <f>IFERROR(IF(ISBLANK(INDEX(Backlog[Priority],MATCH($A114,Backlog[Requirement ID],0))),"",INDEX(Backlog[Priority],MATCH($A114,Backlog[Requirement ID],0))),"")</f>
        <v/>
      </c>
      <c r="E113" s="92">
        <f>IFERROR(IF(ISBLANK(INDEX(Backlog[Status],MATCH($A114,Backlog[Requirement ID],0))),"",INDEX(Backlog[Status],MATCH($A114,Backlog[Requirement ID],0))),"")</f>
        <v/>
      </c>
      <c r="F113" s="92" t="n"/>
      <c r="G113" s="92">
        <f>IFERROR(IF(ISBLANK(INDEX(Backlog[HLE],MATCH($A114,Backlog[Requirement ID],0))),"",INDEX(Backlog[HLE],MATCH($A114,Backlog[Requirement ID],0))),"")</f>
        <v/>
      </c>
      <c r="H113" s="92">
        <f>IFERROR(VALUE(SUBSTITUTE($F114,"Sprint ","")),9999)</f>
        <v/>
      </c>
    </row>
    <row r="114" ht="15" customHeight="1" s="93">
      <c r="A114" s="92">
        <f>Backlog!A115</f>
        <v/>
      </c>
      <c r="B114" s="92">
        <f>IFERROR(IF(ISBLANK(INDEX(Backlog[Requirement Name],MATCH($A115,Backlog[Requirement ID],0))),"",INDEX(Backlog[Requirement Name],MATCH($A115,Backlog[Requirement ID],0))),"")</f>
        <v/>
      </c>
      <c r="C114" s="92">
        <f>IFERROR(IF(ISBLANK(INDEX(Backlog[Stream],MATCH($A115,Backlog[Requirement ID],0))),"",INDEX(Backlog[Stream],MATCH($A115,Backlog[Requirement ID],0))),"")</f>
        <v/>
      </c>
      <c r="D114" s="92">
        <f>IFERROR(IF(ISBLANK(INDEX(Backlog[Priority],MATCH($A115,Backlog[Requirement ID],0))),"",INDEX(Backlog[Priority],MATCH($A115,Backlog[Requirement ID],0))),"")</f>
        <v/>
      </c>
      <c r="E114" s="92">
        <f>IFERROR(IF(ISBLANK(INDEX(Backlog[Status],MATCH($A115,Backlog[Requirement ID],0))),"",INDEX(Backlog[Status],MATCH($A115,Backlog[Requirement ID],0))),"")</f>
        <v/>
      </c>
      <c r="F114" s="92" t="n"/>
      <c r="G114" s="92">
        <f>IFERROR(IF(ISBLANK(INDEX(Backlog[HLE],MATCH($A115,Backlog[Requirement ID],0))),"",INDEX(Backlog[HLE],MATCH($A115,Backlog[Requirement ID],0))),"")</f>
        <v/>
      </c>
      <c r="H114" s="92">
        <f>IFERROR(VALUE(SUBSTITUTE($F115,"Sprint ","")),9999)</f>
        <v/>
      </c>
    </row>
    <row r="115" ht="15" customHeight="1" s="93">
      <c r="A115" s="92">
        <f>Backlog!A116</f>
        <v/>
      </c>
      <c r="B115" s="92">
        <f>IFERROR(IF(ISBLANK(INDEX(Backlog[Requirement Name],MATCH($A116,Backlog[Requirement ID],0))),"",INDEX(Backlog[Requirement Name],MATCH($A116,Backlog[Requirement ID],0))),"")</f>
        <v/>
      </c>
      <c r="C115" s="92">
        <f>IFERROR(IF(ISBLANK(INDEX(Backlog[Stream],MATCH($A116,Backlog[Requirement ID],0))),"",INDEX(Backlog[Stream],MATCH($A116,Backlog[Requirement ID],0))),"")</f>
        <v/>
      </c>
      <c r="D115" s="92">
        <f>IFERROR(IF(ISBLANK(INDEX(Backlog[Priority],MATCH($A116,Backlog[Requirement ID],0))),"",INDEX(Backlog[Priority],MATCH($A116,Backlog[Requirement ID],0))),"")</f>
        <v/>
      </c>
      <c r="E115" s="92">
        <f>IFERROR(IF(ISBLANK(INDEX(Backlog[Status],MATCH($A116,Backlog[Requirement ID],0))),"",INDEX(Backlog[Status],MATCH($A116,Backlog[Requirement ID],0))),"")</f>
        <v/>
      </c>
      <c r="F115" s="92" t="n"/>
      <c r="G115" s="92">
        <f>IFERROR(IF(ISBLANK(INDEX(Backlog[HLE],MATCH($A116,Backlog[Requirement ID],0))),"",INDEX(Backlog[HLE],MATCH($A116,Backlog[Requirement ID],0))),"")</f>
        <v/>
      </c>
      <c r="H115" s="92">
        <f>IFERROR(VALUE(SUBSTITUTE($F116,"Sprint ","")),9999)</f>
        <v/>
      </c>
    </row>
    <row r="116" ht="15" customHeight="1" s="93">
      <c r="A116" s="92">
        <f>Backlog!A117</f>
        <v/>
      </c>
      <c r="B116" s="92">
        <f>IFERROR(IF(ISBLANK(INDEX(Backlog[Requirement Name],MATCH($A117,Backlog[Requirement ID],0))),"",INDEX(Backlog[Requirement Name],MATCH($A117,Backlog[Requirement ID],0))),"")</f>
        <v/>
      </c>
      <c r="C116" s="92">
        <f>IFERROR(IF(ISBLANK(INDEX(Backlog[Stream],MATCH($A117,Backlog[Requirement ID],0))),"",INDEX(Backlog[Stream],MATCH($A117,Backlog[Requirement ID],0))),"")</f>
        <v/>
      </c>
      <c r="D116" s="92">
        <f>IFERROR(IF(ISBLANK(INDEX(Backlog[Priority],MATCH($A117,Backlog[Requirement ID],0))),"",INDEX(Backlog[Priority],MATCH($A117,Backlog[Requirement ID],0))),"")</f>
        <v/>
      </c>
      <c r="E116" s="92">
        <f>IFERROR(IF(ISBLANK(INDEX(Backlog[Status],MATCH($A117,Backlog[Requirement ID],0))),"",INDEX(Backlog[Status],MATCH($A117,Backlog[Requirement ID],0))),"")</f>
        <v/>
      </c>
      <c r="F116" s="92" t="n"/>
      <c r="G116" s="92">
        <f>IFERROR(IF(ISBLANK(INDEX(Backlog[HLE],MATCH($A117,Backlog[Requirement ID],0))),"",INDEX(Backlog[HLE],MATCH($A117,Backlog[Requirement ID],0))),"")</f>
        <v/>
      </c>
      <c r="H116" s="92">
        <f>IFERROR(VALUE(SUBSTITUTE($F117,"Sprint ","")),9999)</f>
        <v/>
      </c>
    </row>
    <row r="117" ht="15" customHeight="1" s="93">
      <c r="A117" s="92">
        <f>Backlog!A118</f>
        <v/>
      </c>
      <c r="B117" s="92">
        <f>IFERROR(IF(ISBLANK(INDEX(Backlog[Requirement Name],MATCH($A118,Backlog[Requirement ID],0))),"",INDEX(Backlog[Requirement Name],MATCH($A118,Backlog[Requirement ID],0))),"")</f>
        <v/>
      </c>
      <c r="C117" s="92">
        <f>IFERROR(IF(ISBLANK(INDEX(Backlog[Stream],MATCH($A118,Backlog[Requirement ID],0))),"",INDEX(Backlog[Stream],MATCH($A118,Backlog[Requirement ID],0))),"")</f>
        <v/>
      </c>
      <c r="D117" s="92">
        <f>IFERROR(IF(ISBLANK(INDEX(Backlog[Priority],MATCH($A118,Backlog[Requirement ID],0))),"",INDEX(Backlog[Priority],MATCH($A118,Backlog[Requirement ID],0))),"")</f>
        <v/>
      </c>
      <c r="E117" s="92">
        <f>IFERROR(IF(ISBLANK(INDEX(Backlog[Status],MATCH($A118,Backlog[Requirement ID],0))),"",INDEX(Backlog[Status],MATCH($A118,Backlog[Requirement ID],0))),"")</f>
        <v/>
      </c>
      <c r="F117" s="92" t="n"/>
      <c r="G117" s="92">
        <f>IFERROR(IF(ISBLANK(INDEX(Backlog[HLE],MATCH($A118,Backlog[Requirement ID],0))),"",INDEX(Backlog[HLE],MATCH($A118,Backlog[Requirement ID],0))),"")</f>
        <v/>
      </c>
      <c r="H117" s="92">
        <f>IFERROR(VALUE(SUBSTITUTE($F118,"Sprint ","")),9999)</f>
        <v/>
      </c>
    </row>
    <row r="118" ht="15" customHeight="1" s="93">
      <c r="A118" s="92">
        <f>Backlog!A119</f>
        <v/>
      </c>
      <c r="B118" s="92">
        <f>IFERROR(IF(ISBLANK(INDEX(Backlog[Requirement Name],MATCH($A119,Backlog[Requirement ID],0))),"",INDEX(Backlog[Requirement Name],MATCH($A119,Backlog[Requirement ID],0))),"")</f>
        <v/>
      </c>
      <c r="C118" s="92">
        <f>IFERROR(IF(ISBLANK(INDEX(Backlog[Stream],MATCH($A119,Backlog[Requirement ID],0))),"",INDEX(Backlog[Stream],MATCH($A119,Backlog[Requirement ID],0))),"")</f>
        <v/>
      </c>
      <c r="D118" s="92">
        <f>IFERROR(IF(ISBLANK(INDEX(Backlog[Priority],MATCH($A119,Backlog[Requirement ID],0))),"",INDEX(Backlog[Priority],MATCH($A119,Backlog[Requirement ID],0))),"")</f>
        <v/>
      </c>
      <c r="E118" s="92">
        <f>IFERROR(IF(ISBLANK(INDEX(Backlog[Status],MATCH($A119,Backlog[Requirement ID],0))),"",INDEX(Backlog[Status],MATCH($A119,Backlog[Requirement ID],0))),"")</f>
        <v/>
      </c>
      <c r="F118" s="92" t="n"/>
      <c r="G118" s="92">
        <f>IFERROR(IF(ISBLANK(INDEX(Backlog[HLE],MATCH($A119,Backlog[Requirement ID],0))),"",INDEX(Backlog[HLE],MATCH($A119,Backlog[Requirement ID],0))),"")</f>
        <v/>
      </c>
      <c r="H118" s="92">
        <f>IFERROR(VALUE(SUBSTITUTE($F119,"Sprint ","")),9999)</f>
        <v/>
      </c>
    </row>
    <row r="119" ht="15" customHeight="1" s="93">
      <c r="A119" s="92">
        <f>Backlog!A120</f>
        <v/>
      </c>
      <c r="B119" s="92">
        <f>IFERROR(IF(ISBLANK(INDEX(Backlog[Requirement Name],MATCH($A120,Backlog[Requirement ID],0))),"",INDEX(Backlog[Requirement Name],MATCH($A120,Backlog[Requirement ID],0))),"")</f>
        <v/>
      </c>
      <c r="C119" s="92">
        <f>IFERROR(IF(ISBLANK(INDEX(Backlog[Stream],MATCH($A120,Backlog[Requirement ID],0))),"",INDEX(Backlog[Stream],MATCH($A120,Backlog[Requirement ID],0))),"")</f>
        <v/>
      </c>
      <c r="D119" s="92">
        <f>IFERROR(IF(ISBLANK(INDEX(Backlog[Priority],MATCH($A120,Backlog[Requirement ID],0))),"",INDEX(Backlog[Priority],MATCH($A120,Backlog[Requirement ID],0))),"")</f>
        <v/>
      </c>
      <c r="E119" s="92">
        <f>IFERROR(IF(ISBLANK(INDEX(Backlog[Status],MATCH($A120,Backlog[Requirement ID],0))),"",INDEX(Backlog[Status],MATCH($A120,Backlog[Requirement ID],0))),"")</f>
        <v/>
      </c>
      <c r="F119" s="92" t="n"/>
      <c r="G119" s="92">
        <f>IFERROR(IF(ISBLANK(INDEX(Backlog[HLE],MATCH($A120,Backlog[Requirement ID],0))),"",INDEX(Backlog[HLE],MATCH($A120,Backlog[Requirement ID],0))),"")</f>
        <v/>
      </c>
      <c r="H119" s="92">
        <f>IFERROR(VALUE(SUBSTITUTE($F120,"Sprint ","")),9999)</f>
        <v/>
      </c>
    </row>
    <row r="120" ht="15" customHeight="1" s="93">
      <c r="A120" s="92">
        <f>Backlog!A121</f>
        <v/>
      </c>
      <c r="B120" s="92">
        <f>IFERROR(IF(ISBLANK(INDEX(Backlog[Requirement Name],MATCH($A121,Backlog[Requirement ID],0))),"",INDEX(Backlog[Requirement Name],MATCH($A121,Backlog[Requirement ID],0))),"")</f>
        <v/>
      </c>
      <c r="C120" s="92">
        <f>IFERROR(IF(ISBLANK(INDEX(Backlog[Stream],MATCH($A121,Backlog[Requirement ID],0))),"",INDEX(Backlog[Stream],MATCH($A121,Backlog[Requirement ID],0))),"")</f>
        <v/>
      </c>
      <c r="D120" s="92">
        <f>IFERROR(IF(ISBLANK(INDEX(Backlog[Priority],MATCH($A121,Backlog[Requirement ID],0))),"",INDEX(Backlog[Priority],MATCH($A121,Backlog[Requirement ID],0))),"")</f>
        <v/>
      </c>
      <c r="E120" s="92">
        <f>IFERROR(IF(ISBLANK(INDEX(Backlog[Status],MATCH($A121,Backlog[Requirement ID],0))),"",INDEX(Backlog[Status],MATCH($A121,Backlog[Requirement ID],0))),"")</f>
        <v/>
      </c>
      <c r="F120" s="92" t="n"/>
      <c r="G120" s="92">
        <f>IFERROR(IF(ISBLANK(INDEX(Backlog[HLE],MATCH($A121,Backlog[Requirement ID],0))),"",INDEX(Backlog[HLE],MATCH($A121,Backlog[Requirement ID],0))),"")</f>
        <v/>
      </c>
      <c r="H120" s="92">
        <f>IFERROR(VALUE(SUBSTITUTE($F121,"Sprint ","")),9999)</f>
        <v/>
      </c>
    </row>
    <row r="121" ht="15" customHeight="1" s="93">
      <c r="A121" s="92">
        <f>Backlog!A122</f>
        <v/>
      </c>
      <c r="B121" s="92">
        <f>IFERROR(IF(ISBLANK(INDEX(Backlog[Requirement Name],MATCH($A122,Backlog[Requirement ID],0))),"",INDEX(Backlog[Requirement Name],MATCH($A122,Backlog[Requirement ID],0))),"")</f>
        <v/>
      </c>
      <c r="C121" s="92">
        <f>IFERROR(IF(ISBLANK(INDEX(Backlog[Stream],MATCH($A122,Backlog[Requirement ID],0))),"",INDEX(Backlog[Stream],MATCH($A122,Backlog[Requirement ID],0))),"")</f>
        <v/>
      </c>
      <c r="D121" s="92">
        <f>IFERROR(IF(ISBLANK(INDEX(Backlog[Priority],MATCH($A122,Backlog[Requirement ID],0))),"",INDEX(Backlog[Priority],MATCH($A122,Backlog[Requirement ID],0))),"")</f>
        <v/>
      </c>
      <c r="E121" s="92">
        <f>IFERROR(IF(ISBLANK(INDEX(Backlog[Status],MATCH($A122,Backlog[Requirement ID],0))),"",INDEX(Backlog[Status],MATCH($A122,Backlog[Requirement ID],0))),"")</f>
        <v/>
      </c>
      <c r="F121" s="92" t="n"/>
      <c r="G121" s="92">
        <f>IFERROR(IF(ISBLANK(INDEX(Backlog[HLE],MATCH($A122,Backlog[Requirement ID],0))),"",INDEX(Backlog[HLE],MATCH($A122,Backlog[Requirement ID],0))),"")</f>
        <v/>
      </c>
      <c r="H121" s="92">
        <f>IFERROR(VALUE(SUBSTITUTE($F122,"Sprint ","")),9999)</f>
        <v/>
      </c>
    </row>
    <row r="122" ht="15" customHeight="1" s="93">
      <c r="A122" s="92">
        <f>Backlog!A123</f>
        <v/>
      </c>
      <c r="B122" s="92">
        <f>IFERROR(IF(ISBLANK(INDEX(Backlog[Requirement Name],MATCH($A123,Backlog[Requirement ID],0))),"",INDEX(Backlog[Requirement Name],MATCH($A123,Backlog[Requirement ID],0))),"")</f>
        <v/>
      </c>
      <c r="C122" s="92">
        <f>IFERROR(IF(ISBLANK(INDEX(Backlog[Stream],MATCH($A123,Backlog[Requirement ID],0))),"",INDEX(Backlog[Stream],MATCH($A123,Backlog[Requirement ID],0))),"")</f>
        <v/>
      </c>
      <c r="D122" s="92">
        <f>IFERROR(IF(ISBLANK(INDEX(Backlog[Priority],MATCH($A123,Backlog[Requirement ID],0))),"",INDEX(Backlog[Priority],MATCH($A123,Backlog[Requirement ID],0))),"")</f>
        <v/>
      </c>
      <c r="E122" s="92">
        <f>IFERROR(IF(ISBLANK(INDEX(Backlog[Status],MATCH($A123,Backlog[Requirement ID],0))),"",INDEX(Backlog[Status],MATCH($A123,Backlog[Requirement ID],0))),"")</f>
        <v/>
      </c>
      <c r="F122" s="92" t="n"/>
      <c r="G122" s="92">
        <f>IFERROR(IF(ISBLANK(INDEX(Backlog[HLE],MATCH($A123,Backlog[Requirement ID],0))),"",INDEX(Backlog[HLE],MATCH($A123,Backlog[Requirement ID],0))),"")</f>
        <v/>
      </c>
      <c r="H122" s="92">
        <f>IFERROR(VALUE(SUBSTITUTE($F123,"Sprint ","")),9999)</f>
        <v/>
      </c>
    </row>
    <row r="123" ht="15" customHeight="1" s="93">
      <c r="A123" s="92">
        <f>Backlog!A124</f>
        <v/>
      </c>
      <c r="B123" s="92">
        <f>IFERROR(IF(ISBLANK(INDEX(Backlog[Requirement Name],MATCH($A124,Backlog[Requirement ID],0))),"",INDEX(Backlog[Requirement Name],MATCH($A124,Backlog[Requirement ID],0))),"")</f>
        <v/>
      </c>
      <c r="C123" s="92">
        <f>IFERROR(IF(ISBLANK(INDEX(Backlog[Stream],MATCH($A124,Backlog[Requirement ID],0))),"",INDEX(Backlog[Stream],MATCH($A124,Backlog[Requirement ID],0))),"")</f>
        <v/>
      </c>
      <c r="D123" s="92">
        <f>IFERROR(IF(ISBLANK(INDEX(Backlog[Priority],MATCH($A124,Backlog[Requirement ID],0))),"",INDEX(Backlog[Priority],MATCH($A124,Backlog[Requirement ID],0))),"")</f>
        <v/>
      </c>
      <c r="E123" s="92">
        <f>IFERROR(IF(ISBLANK(INDEX(Backlog[Status],MATCH($A124,Backlog[Requirement ID],0))),"",INDEX(Backlog[Status],MATCH($A124,Backlog[Requirement ID],0))),"")</f>
        <v/>
      </c>
      <c r="F123" s="92" t="n"/>
      <c r="G123" s="92">
        <f>IFERROR(IF(ISBLANK(INDEX(Backlog[HLE],MATCH($A124,Backlog[Requirement ID],0))),"",INDEX(Backlog[HLE],MATCH($A124,Backlog[Requirement ID],0))),"")</f>
        <v/>
      </c>
      <c r="H123" s="92">
        <f>IFERROR(VALUE(SUBSTITUTE($F124,"Sprint ","")),9999)</f>
        <v/>
      </c>
    </row>
    <row r="124" ht="15" customHeight="1" s="93">
      <c r="A124" s="92">
        <f>Backlog!A125</f>
        <v/>
      </c>
      <c r="B124" s="92">
        <f>IFERROR(IF(ISBLANK(INDEX(Backlog[Requirement Name],MATCH($A125,Backlog[Requirement ID],0))),"",INDEX(Backlog[Requirement Name],MATCH($A125,Backlog[Requirement ID],0))),"")</f>
        <v/>
      </c>
      <c r="C124" s="92">
        <f>IFERROR(IF(ISBLANK(INDEX(Backlog[Stream],MATCH($A125,Backlog[Requirement ID],0))),"",INDEX(Backlog[Stream],MATCH($A125,Backlog[Requirement ID],0))),"")</f>
        <v/>
      </c>
      <c r="D124" s="92">
        <f>IFERROR(IF(ISBLANK(INDEX(Backlog[Priority],MATCH($A125,Backlog[Requirement ID],0))),"",INDEX(Backlog[Priority],MATCH($A125,Backlog[Requirement ID],0))),"")</f>
        <v/>
      </c>
      <c r="E124" s="92">
        <f>IFERROR(IF(ISBLANK(INDEX(Backlog[Status],MATCH($A125,Backlog[Requirement ID],0))),"",INDEX(Backlog[Status],MATCH($A125,Backlog[Requirement ID],0))),"")</f>
        <v/>
      </c>
      <c r="F124" s="92" t="n"/>
      <c r="G124" s="92">
        <f>IFERROR(IF(ISBLANK(INDEX(Backlog[HLE],MATCH($A125,Backlog[Requirement ID],0))),"",INDEX(Backlog[HLE],MATCH($A125,Backlog[Requirement ID],0))),"")</f>
        <v/>
      </c>
      <c r="H124" s="92">
        <f>IFERROR(VALUE(SUBSTITUTE($F125,"Sprint ","")),9999)</f>
        <v/>
      </c>
    </row>
    <row r="125" ht="15" customHeight="1" s="93">
      <c r="A125" s="92">
        <f>Backlog!A126</f>
        <v/>
      </c>
      <c r="B125" s="92">
        <f>IFERROR(IF(ISBLANK(INDEX(Backlog[Requirement Name],MATCH($A126,Backlog[Requirement ID],0))),"",INDEX(Backlog[Requirement Name],MATCH($A126,Backlog[Requirement ID],0))),"")</f>
        <v/>
      </c>
      <c r="C125" s="92">
        <f>IFERROR(IF(ISBLANK(INDEX(Backlog[Stream],MATCH($A126,Backlog[Requirement ID],0))),"",INDEX(Backlog[Stream],MATCH($A126,Backlog[Requirement ID],0))),"")</f>
        <v/>
      </c>
      <c r="D125" s="92">
        <f>IFERROR(IF(ISBLANK(INDEX(Backlog[Priority],MATCH($A126,Backlog[Requirement ID],0))),"",INDEX(Backlog[Priority],MATCH($A126,Backlog[Requirement ID],0))),"")</f>
        <v/>
      </c>
      <c r="E125" s="92">
        <f>IFERROR(IF(ISBLANK(INDEX(Backlog[Status],MATCH($A126,Backlog[Requirement ID],0))),"",INDEX(Backlog[Status],MATCH($A126,Backlog[Requirement ID],0))),"")</f>
        <v/>
      </c>
      <c r="F125" s="92" t="n"/>
      <c r="G125" s="92">
        <f>IFERROR(IF(ISBLANK(INDEX(Backlog[HLE],MATCH($A126,Backlog[Requirement ID],0))),"",INDEX(Backlog[HLE],MATCH($A126,Backlog[Requirement ID],0))),"")</f>
        <v/>
      </c>
      <c r="H125" s="92">
        <f>IFERROR(VALUE(SUBSTITUTE($F126,"Sprint ","")),9999)</f>
        <v/>
      </c>
    </row>
    <row r="126" ht="15" customHeight="1" s="93">
      <c r="A126" s="92">
        <f>Backlog!A127</f>
        <v/>
      </c>
      <c r="B126" s="92">
        <f>IFERROR(IF(ISBLANK(INDEX(Backlog[Requirement Name],MATCH($A127,Backlog[Requirement ID],0))),"",INDEX(Backlog[Requirement Name],MATCH($A127,Backlog[Requirement ID],0))),"")</f>
        <v/>
      </c>
      <c r="C126" s="92">
        <f>IFERROR(IF(ISBLANK(INDEX(Backlog[Stream],MATCH($A127,Backlog[Requirement ID],0))),"",INDEX(Backlog[Stream],MATCH($A127,Backlog[Requirement ID],0))),"")</f>
        <v/>
      </c>
      <c r="D126" s="92">
        <f>IFERROR(IF(ISBLANK(INDEX(Backlog[Priority],MATCH($A127,Backlog[Requirement ID],0))),"",INDEX(Backlog[Priority],MATCH($A127,Backlog[Requirement ID],0))),"")</f>
        <v/>
      </c>
      <c r="E126" s="92">
        <f>IFERROR(IF(ISBLANK(INDEX(Backlog[Status],MATCH($A127,Backlog[Requirement ID],0))),"",INDEX(Backlog[Status],MATCH($A127,Backlog[Requirement ID],0))),"")</f>
        <v/>
      </c>
      <c r="F126" s="92" t="n"/>
      <c r="G126" s="92">
        <f>IFERROR(IF(ISBLANK(INDEX(Backlog[HLE],MATCH($A127,Backlog[Requirement ID],0))),"",INDEX(Backlog[HLE],MATCH($A127,Backlog[Requirement ID],0))),"")</f>
        <v/>
      </c>
      <c r="H126" s="92">
        <f>IFERROR(VALUE(SUBSTITUTE($F127,"Sprint ","")),9999)</f>
        <v/>
      </c>
    </row>
    <row r="127" ht="15" customHeight="1" s="93">
      <c r="A127" s="92">
        <f>Backlog!A128</f>
        <v/>
      </c>
      <c r="B127" s="92">
        <f>IFERROR(IF(ISBLANK(INDEX(Backlog[Requirement Name],MATCH($A128,Backlog[Requirement ID],0))),"",INDEX(Backlog[Requirement Name],MATCH($A128,Backlog[Requirement ID],0))),"")</f>
        <v/>
      </c>
      <c r="C127" s="92">
        <f>IFERROR(IF(ISBLANK(INDEX(Backlog[Stream],MATCH($A128,Backlog[Requirement ID],0))),"",INDEX(Backlog[Stream],MATCH($A128,Backlog[Requirement ID],0))),"")</f>
        <v/>
      </c>
      <c r="D127" s="92">
        <f>IFERROR(IF(ISBLANK(INDEX(Backlog[Priority],MATCH($A128,Backlog[Requirement ID],0))),"",INDEX(Backlog[Priority],MATCH($A128,Backlog[Requirement ID],0))),"")</f>
        <v/>
      </c>
      <c r="E127" s="92">
        <f>IFERROR(IF(ISBLANK(INDEX(Backlog[Status],MATCH($A128,Backlog[Requirement ID],0))),"",INDEX(Backlog[Status],MATCH($A128,Backlog[Requirement ID],0))),"")</f>
        <v/>
      </c>
      <c r="F127" s="92" t="n"/>
      <c r="G127" s="92">
        <f>IFERROR(IF(ISBLANK(INDEX(Backlog[HLE],MATCH($A128,Backlog[Requirement ID],0))),"",INDEX(Backlog[HLE],MATCH($A128,Backlog[Requirement ID],0))),"")</f>
        <v/>
      </c>
      <c r="H127" s="92">
        <f>IFERROR(VALUE(SUBSTITUTE($F128,"Sprint ","")),9999)</f>
        <v/>
      </c>
    </row>
    <row r="128" ht="15" customHeight="1" s="93">
      <c r="A128" s="92">
        <f>Backlog!A129</f>
        <v/>
      </c>
      <c r="B128" s="92">
        <f>IFERROR(IF(ISBLANK(INDEX(Backlog[Requirement Name],MATCH($A129,Backlog[Requirement ID],0))),"",INDEX(Backlog[Requirement Name],MATCH($A129,Backlog[Requirement ID],0))),"")</f>
        <v/>
      </c>
      <c r="C128" s="92">
        <f>IFERROR(IF(ISBLANK(INDEX(Backlog[Stream],MATCH($A129,Backlog[Requirement ID],0))),"",INDEX(Backlog[Stream],MATCH($A129,Backlog[Requirement ID],0))),"")</f>
        <v/>
      </c>
      <c r="D128" s="92">
        <f>IFERROR(IF(ISBLANK(INDEX(Backlog[Priority],MATCH($A129,Backlog[Requirement ID],0))),"",INDEX(Backlog[Priority],MATCH($A129,Backlog[Requirement ID],0))),"")</f>
        <v/>
      </c>
      <c r="E128" s="92">
        <f>IFERROR(IF(ISBLANK(INDEX(Backlog[Status],MATCH($A129,Backlog[Requirement ID],0))),"",INDEX(Backlog[Status],MATCH($A129,Backlog[Requirement ID],0))),"")</f>
        <v/>
      </c>
      <c r="F128" s="92" t="n"/>
      <c r="G128" s="92">
        <f>IFERROR(IF(ISBLANK(INDEX(Backlog[HLE],MATCH($A129,Backlog[Requirement ID],0))),"",INDEX(Backlog[HLE],MATCH($A129,Backlog[Requirement ID],0))),"")</f>
        <v/>
      </c>
      <c r="H128" s="92">
        <f>IFERROR(VALUE(SUBSTITUTE($F129,"Sprint ","")),9999)</f>
        <v/>
      </c>
    </row>
    <row r="129" ht="15" customHeight="1" s="93">
      <c r="A129" s="92">
        <f>Backlog!A130</f>
        <v/>
      </c>
      <c r="B129" s="92">
        <f>IFERROR(IF(ISBLANK(INDEX(Backlog[Requirement Name],MATCH($A130,Backlog[Requirement ID],0))),"",INDEX(Backlog[Requirement Name],MATCH($A130,Backlog[Requirement ID],0))),"")</f>
        <v/>
      </c>
      <c r="C129" s="92">
        <f>IFERROR(IF(ISBLANK(INDEX(Backlog[Stream],MATCH($A130,Backlog[Requirement ID],0))),"",INDEX(Backlog[Stream],MATCH($A130,Backlog[Requirement ID],0))),"")</f>
        <v/>
      </c>
      <c r="D129" s="92">
        <f>IFERROR(IF(ISBLANK(INDEX(Backlog[Priority],MATCH($A130,Backlog[Requirement ID],0))),"",INDEX(Backlog[Priority],MATCH($A130,Backlog[Requirement ID],0))),"")</f>
        <v/>
      </c>
      <c r="E129" s="92">
        <f>IFERROR(IF(ISBLANK(INDEX(Backlog[Status],MATCH($A130,Backlog[Requirement ID],0))),"",INDEX(Backlog[Status],MATCH($A130,Backlog[Requirement ID],0))),"")</f>
        <v/>
      </c>
      <c r="F129" s="92" t="n"/>
      <c r="G129" s="92">
        <f>IFERROR(IF(ISBLANK(INDEX(Backlog[HLE],MATCH($A130,Backlog[Requirement ID],0))),"",INDEX(Backlog[HLE],MATCH($A130,Backlog[Requirement ID],0))),"")</f>
        <v/>
      </c>
      <c r="H129" s="92">
        <f>IFERROR(VALUE(SUBSTITUTE($F130,"Sprint ","")),9999)</f>
        <v/>
      </c>
    </row>
    <row r="130" ht="15" customHeight="1" s="93">
      <c r="A130" s="92">
        <f>Backlog!A131</f>
        <v/>
      </c>
      <c r="B130" s="92">
        <f>IFERROR(IF(ISBLANK(INDEX(Backlog[Requirement Name],MATCH($A131,Backlog[Requirement ID],0))),"",INDEX(Backlog[Requirement Name],MATCH($A131,Backlog[Requirement ID],0))),"")</f>
        <v/>
      </c>
      <c r="C130" s="92">
        <f>IFERROR(IF(ISBLANK(INDEX(Backlog[Stream],MATCH($A131,Backlog[Requirement ID],0))),"",INDEX(Backlog[Stream],MATCH($A131,Backlog[Requirement ID],0))),"")</f>
        <v/>
      </c>
      <c r="D130" s="92">
        <f>IFERROR(IF(ISBLANK(INDEX(Backlog[Priority],MATCH($A131,Backlog[Requirement ID],0))),"",INDEX(Backlog[Priority],MATCH($A131,Backlog[Requirement ID],0))),"")</f>
        <v/>
      </c>
      <c r="E130" s="92">
        <f>IFERROR(IF(ISBLANK(INDEX(Backlog[Status],MATCH($A131,Backlog[Requirement ID],0))),"",INDEX(Backlog[Status],MATCH($A131,Backlog[Requirement ID],0))),"")</f>
        <v/>
      </c>
      <c r="F130" s="92" t="n"/>
      <c r="G130" s="92">
        <f>IFERROR(IF(ISBLANK(INDEX(Backlog[HLE],MATCH($A131,Backlog[Requirement ID],0))),"",INDEX(Backlog[HLE],MATCH($A131,Backlog[Requirement ID],0))),"")</f>
        <v/>
      </c>
      <c r="H130" s="92">
        <f>IFERROR(VALUE(SUBSTITUTE($F131,"Sprint ","")),9999)</f>
        <v/>
      </c>
    </row>
    <row r="131" ht="15" customHeight="1" s="93">
      <c r="A131" s="92">
        <f>Backlog!A132</f>
        <v/>
      </c>
      <c r="B131" s="92">
        <f>IFERROR(IF(ISBLANK(INDEX(Backlog[Requirement Name],MATCH($A132,Backlog[Requirement ID],0))),"",INDEX(Backlog[Requirement Name],MATCH($A132,Backlog[Requirement ID],0))),"")</f>
        <v/>
      </c>
      <c r="C131" s="92">
        <f>IFERROR(IF(ISBLANK(INDEX(Backlog[Stream],MATCH($A132,Backlog[Requirement ID],0))),"",INDEX(Backlog[Stream],MATCH($A132,Backlog[Requirement ID],0))),"")</f>
        <v/>
      </c>
      <c r="D131" s="92">
        <f>IFERROR(IF(ISBLANK(INDEX(Backlog[Priority],MATCH($A132,Backlog[Requirement ID],0))),"",INDEX(Backlog[Priority],MATCH($A132,Backlog[Requirement ID],0))),"")</f>
        <v/>
      </c>
      <c r="E131" s="92">
        <f>IFERROR(IF(ISBLANK(INDEX(Backlog[Status],MATCH($A132,Backlog[Requirement ID],0))),"",INDEX(Backlog[Status],MATCH($A132,Backlog[Requirement ID],0))),"")</f>
        <v/>
      </c>
      <c r="F131" s="92" t="n"/>
      <c r="G131" s="92">
        <f>IFERROR(IF(ISBLANK(INDEX(Backlog[HLE],MATCH($A132,Backlog[Requirement ID],0))),"",INDEX(Backlog[HLE],MATCH($A132,Backlog[Requirement ID],0))),"")</f>
        <v/>
      </c>
      <c r="H131" s="92">
        <f>IFERROR(VALUE(SUBSTITUTE($F132,"Sprint ","")),9999)</f>
        <v/>
      </c>
    </row>
    <row r="132" ht="15" customHeight="1" s="93">
      <c r="A132" s="92">
        <f>Backlog!A133</f>
        <v/>
      </c>
      <c r="B132" s="92">
        <f>IFERROR(IF(ISBLANK(INDEX(Backlog[Requirement Name],MATCH($A133,Backlog[Requirement ID],0))),"",INDEX(Backlog[Requirement Name],MATCH($A133,Backlog[Requirement ID],0))),"")</f>
        <v/>
      </c>
      <c r="C132" s="92">
        <f>IFERROR(IF(ISBLANK(INDEX(Backlog[Stream],MATCH($A133,Backlog[Requirement ID],0))),"",INDEX(Backlog[Stream],MATCH($A133,Backlog[Requirement ID],0))),"")</f>
        <v/>
      </c>
      <c r="D132" s="92">
        <f>IFERROR(IF(ISBLANK(INDEX(Backlog[Priority],MATCH($A133,Backlog[Requirement ID],0))),"",INDEX(Backlog[Priority],MATCH($A133,Backlog[Requirement ID],0))),"")</f>
        <v/>
      </c>
      <c r="E132" s="92">
        <f>IFERROR(IF(ISBLANK(INDEX(Backlog[Status],MATCH($A133,Backlog[Requirement ID],0))),"",INDEX(Backlog[Status],MATCH($A133,Backlog[Requirement ID],0))),"")</f>
        <v/>
      </c>
      <c r="F132" s="92" t="n"/>
      <c r="G132" s="92">
        <f>IFERROR(IF(ISBLANK(INDEX(Backlog[HLE],MATCH($A133,Backlog[Requirement ID],0))),"",INDEX(Backlog[HLE],MATCH($A133,Backlog[Requirement ID],0))),"")</f>
        <v/>
      </c>
      <c r="H132" s="92">
        <f>IFERROR(VALUE(SUBSTITUTE($F133,"Sprint ","")),9999)</f>
        <v/>
      </c>
    </row>
    <row r="133" ht="15" customHeight="1" s="93">
      <c r="A133" s="92">
        <f>Backlog!A134</f>
        <v/>
      </c>
      <c r="B133" s="92">
        <f>IFERROR(IF(ISBLANK(INDEX(Backlog[Requirement Name],MATCH($A134,Backlog[Requirement ID],0))),"",INDEX(Backlog[Requirement Name],MATCH($A134,Backlog[Requirement ID],0))),"")</f>
        <v/>
      </c>
      <c r="C133" s="92">
        <f>IFERROR(IF(ISBLANK(INDEX(Backlog[Stream],MATCH($A134,Backlog[Requirement ID],0))),"",INDEX(Backlog[Stream],MATCH($A134,Backlog[Requirement ID],0))),"")</f>
        <v/>
      </c>
      <c r="D133" s="92">
        <f>IFERROR(IF(ISBLANK(INDEX(Backlog[Priority],MATCH($A134,Backlog[Requirement ID],0))),"",INDEX(Backlog[Priority],MATCH($A134,Backlog[Requirement ID],0))),"")</f>
        <v/>
      </c>
      <c r="E133" s="92">
        <f>IFERROR(IF(ISBLANK(INDEX(Backlog[Status],MATCH($A134,Backlog[Requirement ID],0))),"",INDEX(Backlog[Status],MATCH($A134,Backlog[Requirement ID],0))),"")</f>
        <v/>
      </c>
      <c r="F133" s="92" t="n"/>
      <c r="G133" s="92">
        <f>IFERROR(IF(ISBLANK(INDEX(Backlog[HLE],MATCH($A134,Backlog[Requirement ID],0))),"",INDEX(Backlog[HLE],MATCH($A134,Backlog[Requirement ID],0))),"")</f>
        <v/>
      </c>
      <c r="H133" s="92">
        <f>IFERROR(VALUE(SUBSTITUTE($F134,"Sprint ","")),9999)</f>
        <v/>
      </c>
    </row>
    <row r="134" ht="15" customHeight="1" s="93">
      <c r="A134" s="92">
        <f>Backlog!A135</f>
        <v/>
      </c>
      <c r="B134" s="92">
        <f>IFERROR(IF(ISBLANK(INDEX(Backlog[Requirement Name],MATCH($A135,Backlog[Requirement ID],0))),"",INDEX(Backlog[Requirement Name],MATCH($A135,Backlog[Requirement ID],0))),"")</f>
        <v/>
      </c>
      <c r="C134" s="92">
        <f>IFERROR(IF(ISBLANK(INDEX(Backlog[Stream],MATCH($A135,Backlog[Requirement ID],0))),"",INDEX(Backlog[Stream],MATCH($A135,Backlog[Requirement ID],0))),"")</f>
        <v/>
      </c>
      <c r="D134" s="92">
        <f>IFERROR(IF(ISBLANK(INDEX(Backlog[Priority],MATCH($A135,Backlog[Requirement ID],0))),"",INDEX(Backlog[Priority],MATCH($A135,Backlog[Requirement ID],0))),"")</f>
        <v/>
      </c>
      <c r="E134" s="92">
        <f>IFERROR(IF(ISBLANK(INDEX(Backlog[Status],MATCH($A135,Backlog[Requirement ID],0))),"",INDEX(Backlog[Status],MATCH($A135,Backlog[Requirement ID],0))),"")</f>
        <v/>
      </c>
      <c r="F134" s="92" t="n"/>
      <c r="G134" s="92">
        <f>IFERROR(IF(ISBLANK(INDEX(Backlog[HLE],MATCH($A135,Backlog[Requirement ID],0))),"",INDEX(Backlog[HLE],MATCH($A135,Backlog[Requirement ID],0))),"")</f>
        <v/>
      </c>
      <c r="H134" s="92">
        <f>IFERROR(VALUE(SUBSTITUTE($F135,"Sprint ","")),9999)</f>
        <v/>
      </c>
    </row>
    <row r="135" ht="23.25" customHeight="1" s="93">
      <c r="A135" s="92">
        <f>Backlog!A136</f>
        <v/>
      </c>
      <c r="B135" s="92">
        <f>IFERROR(IF(ISBLANK(INDEX(Backlog[Requirement Name],MATCH($A136,Backlog[Requirement ID],0))),"",INDEX(Backlog[Requirement Name],MATCH($A136,Backlog[Requirement ID],0))),"")</f>
        <v/>
      </c>
      <c r="C135" s="92">
        <f>IFERROR(IF(ISBLANK(INDEX(Backlog[Stream],MATCH($A136,Backlog[Requirement ID],0))),"",INDEX(Backlog[Stream],MATCH($A136,Backlog[Requirement ID],0))),"")</f>
        <v/>
      </c>
      <c r="D135" s="92">
        <f>IFERROR(IF(ISBLANK(INDEX(Backlog[Priority],MATCH($A136,Backlog[Requirement ID],0))),"",INDEX(Backlog[Priority],MATCH($A136,Backlog[Requirement ID],0))),"")</f>
        <v/>
      </c>
      <c r="E135" s="92">
        <f>IFERROR(IF(ISBLANK(INDEX(Backlog[Status],MATCH($A136,Backlog[Requirement ID],0))),"",INDEX(Backlog[Status],MATCH($A136,Backlog[Requirement ID],0))),"")</f>
        <v/>
      </c>
      <c r="F135" s="92" t="n"/>
      <c r="G135" s="92">
        <f>IFERROR(IF(ISBLANK(INDEX(Backlog[HLE],MATCH($A136,Backlog[Requirement ID],0))),"",INDEX(Backlog[HLE],MATCH($A136,Backlog[Requirement ID],0))),"")</f>
        <v/>
      </c>
      <c r="H135" s="92">
        <f>IFERROR(VALUE(SUBSTITUTE($F136,"Sprint ","")),9999)</f>
        <v/>
      </c>
    </row>
    <row r="136" ht="15" customHeight="1" s="93">
      <c r="A136" s="92">
        <f>Backlog!A137</f>
        <v/>
      </c>
      <c r="B136" s="92">
        <f>IFERROR(IF(ISBLANK(INDEX(Backlog[Requirement Name],MATCH($A137,Backlog[Requirement ID],0))),"",INDEX(Backlog[Requirement Name],MATCH($A137,Backlog[Requirement ID],0))),"")</f>
        <v/>
      </c>
      <c r="C136" s="92">
        <f>IFERROR(IF(ISBLANK(INDEX(Backlog[Stream],MATCH($A137,Backlog[Requirement ID],0))),"",INDEX(Backlog[Stream],MATCH($A137,Backlog[Requirement ID],0))),"")</f>
        <v/>
      </c>
      <c r="D136" s="92">
        <f>IFERROR(IF(ISBLANK(INDEX(Backlog[Priority],MATCH($A137,Backlog[Requirement ID],0))),"",INDEX(Backlog[Priority],MATCH($A137,Backlog[Requirement ID],0))),"")</f>
        <v/>
      </c>
      <c r="E136" s="92">
        <f>IFERROR(IF(ISBLANK(INDEX(Backlog[Status],MATCH($A137,Backlog[Requirement ID],0))),"",INDEX(Backlog[Status],MATCH($A137,Backlog[Requirement ID],0))),"")</f>
        <v/>
      </c>
      <c r="F136" s="92" t="n"/>
      <c r="G136" s="92">
        <f>IFERROR(IF(ISBLANK(INDEX(Backlog[HLE],MATCH($A137,Backlog[Requirement ID],0))),"",INDEX(Backlog[HLE],MATCH($A137,Backlog[Requirement ID],0))),"")</f>
        <v/>
      </c>
      <c r="H136" s="92">
        <f>IFERROR(VALUE(SUBSTITUTE($F137,"Sprint ","")),9999)</f>
        <v/>
      </c>
    </row>
    <row r="137" ht="15" customHeight="1" s="93">
      <c r="A137" s="92">
        <f>Backlog!A138</f>
        <v/>
      </c>
      <c r="B137" s="92">
        <f>IFERROR(IF(ISBLANK(INDEX(Backlog[Requirement Name],MATCH($A138,Backlog[Requirement ID],0))),"",INDEX(Backlog[Requirement Name],MATCH($A138,Backlog[Requirement ID],0))),"")</f>
        <v/>
      </c>
      <c r="C137" s="92">
        <f>IFERROR(IF(ISBLANK(INDEX(Backlog[Stream],MATCH($A138,Backlog[Requirement ID],0))),"",INDEX(Backlog[Stream],MATCH($A138,Backlog[Requirement ID],0))),"")</f>
        <v/>
      </c>
      <c r="D137" s="92">
        <f>IFERROR(IF(ISBLANK(INDEX(Backlog[Priority],MATCH($A138,Backlog[Requirement ID],0))),"",INDEX(Backlog[Priority],MATCH($A138,Backlog[Requirement ID],0))),"")</f>
        <v/>
      </c>
      <c r="E137" s="92">
        <f>IFERROR(IF(ISBLANK(INDEX(Backlog[Status],MATCH($A138,Backlog[Requirement ID],0))),"",INDEX(Backlog[Status],MATCH($A138,Backlog[Requirement ID],0))),"")</f>
        <v/>
      </c>
      <c r="F137" s="92" t="n"/>
      <c r="G137" s="92">
        <f>IFERROR(IF(ISBLANK(INDEX(Backlog[HLE],MATCH($A138,Backlog[Requirement ID],0))),"",INDEX(Backlog[HLE],MATCH($A138,Backlog[Requirement ID],0))),"")</f>
        <v/>
      </c>
      <c r="H137" s="92">
        <f>IFERROR(VALUE(SUBSTITUTE($F138,"Sprint ","")),9999)</f>
        <v/>
      </c>
    </row>
    <row r="138" ht="15" customHeight="1" s="93">
      <c r="A138" s="92">
        <f>Backlog!A139</f>
        <v/>
      </c>
      <c r="B138" s="92">
        <f>IFERROR(IF(ISBLANK(INDEX(Backlog[Requirement Name],MATCH($A139,Backlog[Requirement ID],0))),"",INDEX(Backlog[Requirement Name],MATCH($A139,Backlog[Requirement ID],0))),"")</f>
        <v/>
      </c>
      <c r="C138" s="92">
        <f>IFERROR(IF(ISBLANK(INDEX(Backlog[Stream],MATCH($A139,Backlog[Requirement ID],0))),"",INDEX(Backlog[Stream],MATCH($A139,Backlog[Requirement ID],0))),"")</f>
        <v/>
      </c>
      <c r="D138" s="92">
        <f>IFERROR(IF(ISBLANK(INDEX(Backlog[Priority],MATCH($A139,Backlog[Requirement ID],0))),"",INDEX(Backlog[Priority],MATCH($A139,Backlog[Requirement ID],0))),"")</f>
        <v/>
      </c>
      <c r="E138" s="92">
        <f>IFERROR(IF(ISBLANK(INDEX(Backlog[Status],MATCH($A139,Backlog[Requirement ID],0))),"",INDEX(Backlog[Status],MATCH($A139,Backlog[Requirement ID],0))),"")</f>
        <v/>
      </c>
      <c r="F138" s="92" t="n"/>
      <c r="G138" s="92">
        <f>IFERROR(IF(ISBLANK(INDEX(Backlog[HLE],MATCH($A139,Backlog[Requirement ID],0))),"",INDEX(Backlog[HLE],MATCH($A139,Backlog[Requirement ID],0))),"")</f>
        <v/>
      </c>
      <c r="H138" s="92">
        <f>IFERROR(VALUE(SUBSTITUTE($F139,"Sprint ","")),9999)</f>
        <v/>
      </c>
    </row>
    <row r="139" ht="15" customHeight="1" s="93">
      <c r="A139" s="92">
        <f>Backlog!A140</f>
        <v/>
      </c>
      <c r="B139" s="92">
        <f>IFERROR(IF(ISBLANK(INDEX(Backlog[Requirement Name],MATCH($A140,Backlog[Requirement ID],0))),"",INDEX(Backlog[Requirement Name],MATCH($A140,Backlog[Requirement ID],0))),"")</f>
        <v/>
      </c>
      <c r="C139" s="92">
        <f>IFERROR(IF(ISBLANK(INDEX(Backlog[Stream],MATCH($A140,Backlog[Requirement ID],0))),"",INDEX(Backlog[Stream],MATCH($A140,Backlog[Requirement ID],0))),"")</f>
        <v/>
      </c>
      <c r="D139" s="92">
        <f>IFERROR(IF(ISBLANK(INDEX(Backlog[Priority],MATCH($A140,Backlog[Requirement ID],0))),"",INDEX(Backlog[Priority],MATCH($A140,Backlog[Requirement ID],0))),"")</f>
        <v/>
      </c>
      <c r="E139" s="92">
        <f>IFERROR(IF(ISBLANK(INDEX(Backlog[Status],MATCH($A140,Backlog[Requirement ID],0))),"",INDEX(Backlog[Status],MATCH($A140,Backlog[Requirement ID],0))),"")</f>
        <v/>
      </c>
      <c r="F139" s="92" t="n"/>
      <c r="G139" s="92">
        <f>IFERROR(IF(ISBLANK(INDEX(Backlog[HLE],MATCH($A140,Backlog[Requirement ID],0))),"",INDEX(Backlog[HLE],MATCH($A140,Backlog[Requirement ID],0))),"")</f>
        <v/>
      </c>
      <c r="H139" s="92">
        <f>IFERROR(VALUE(SUBSTITUTE($F140,"Sprint ","")),9999)</f>
        <v/>
      </c>
    </row>
    <row r="140" ht="15" customHeight="1" s="93">
      <c r="A140" s="92">
        <f>Backlog!A141</f>
        <v/>
      </c>
      <c r="B140" s="92">
        <f>IFERROR(IF(ISBLANK(INDEX(Backlog[Requirement Name],MATCH($A141,Backlog[Requirement ID],0))),"",INDEX(Backlog[Requirement Name],MATCH($A141,Backlog[Requirement ID],0))),"")</f>
        <v/>
      </c>
      <c r="C140" s="92">
        <f>IFERROR(IF(ISBLANK(INDEX(Backlog[Stream],MATCH($A141,Backlog[Requirement ID],0))),"",INDEX(Backlog[Stream],MATCH($A141,Backlog[Requirement ID],0))),"")</f>
        <v/>
      </c>
      <c r="D140" s="92">
        <f>IFERROR(IF(ISBLANK(INDEX(Backlog[Priority],MATCH($A141,Backlog[Requirement ID],0))),"",INDEX(Backlog[Priority],MATCH($A141,Backlog[Requirement ID],0))),"")</f>
        <v/>
      </c>
      <c r="E140" s="92">
        <f>IFERROR(IF(ISBLANK(INDEX(Backlog[Status],MATCH($A141,Backlog[Requirement ID],0))),"",INDEX(Backlog[Status],MATCH($A141,Backlog[Requirement ID],0))),"")</f>
        <v/>
      </c>
      <c r="F140" s="92" t="n"/>
      <c r="G140" s="92">
        <f>IFERROR(IF(ISBLANK(INDEX(Backlog[HLE],MATCH($A141,Backlog[Requirement ID],0))),"",INDEX(Backlog[HLE],MATCH($A141,Backlog[Requirement ID],0))),"")</f>
        <v/>
      </c>
      <c r="H140" s="92">
        <f>IFERROR(VALUE(SUBSTITUTE($F141,"Sprint ","")),9999)</f>
        <v/>
      </c>
    </row>
    <row r="141" ht="15" customHeight="1" s="93">
      <c r="A141" s="92">
        <f>Backlog!A142</f>
        <v/>
      </c>
      <c r="B141" s="92">
        <f>IFERROR(IF(ISBLANK(INDEX(Backlog[Requirement Name],MATCH($A142,Backlog[Requirement ID],0))),"",INDEX(Backlog[Requirement Name],MATCH($A142,Backlog[Requirement ID],0))),"")</f>
        <v/>
      </c>
      <c r="C141" s="92">
        <f>IFERROR(IF(ISBLANK(INDEX(Backlog[Stream],MATCH($A142,Backlog[Requirement ID],0))),"",INDEX(Backlog[Stream],MATCH($A142,Backlog[Requirement ID],0))),"")</f>
        <v/>
      </c>
      <c r="D141" s="92">
        <f>IFERROR(IF(ISBLANK(INDEX(Backlog[Priority],MATCH($A142,Backlog[Requirement ID],0))),"",INDEX(Backlog[Priority],MATCH($A142,Backlog[Requirement ID],0))),"")</f>
        <v/>
      </c>
      <c r="E141" s="92">
        <f>IFERROR(IF(ISBLANK(INDEX(Backlog[Status],MATCH($A142,Backlog[Requirement ID],0))),"",INDEX(Backlog[Status],MATCH($A142,Backlog[Requirement ID],0))),"")</f>
        <v/>
      </c>
      <c r="F141" s="92" t="n"/>
      <c r="G141" s="92">
        <f>IFERROR(IF(ISBLANK(INDEX(Backlog[HLE],MATCH($A142,Backlog[Requirement ID],0))),"",INDEX(Backlog[HLE],MATCH($A142,Backlog[Requirement ID],0))),"")</f>
        <v/>
      </c>
      <c r="H141" s="92">
        <f>IFERROR(VALUE(SUBSTITUTE($F142,"Sprint ","")),9999)</f>
        <v/>
      </c>
    </row>
    <row r="142" ht="15" customHeight="1" s="93">
      <c r="A142" s="92">
        <f>Backlog!A143</f>
        <v/>
      </c>
      <c r="B142" s="92">
        <f>IFERROR(IF(ISBLANK(INDEX(Backlog[Requirement Name],MATCH($A143,Backlog[Requirement ID],0))),"",INDEX(Backlog[Requirement Name],MATCH($A143,Backlog[Requirement ID],0))),"")</f>
        <v/>
      </c>
      <c r="C142" s="92">
        <f>IFERROR(IF(ISBLANK(INDEX(Backlog[Stream],MATCH($A143,Backlog[Requirement ID],0))),"",INDEX(Backlog[Stream],MATCH($A143,Backlog[Requirement ID],0))),"")</f>
        <v/>
      </c>
      <c r="D142" s="92">
        <f>IFERROR(IF(ISBLANK(INDEX(Backlog[Priority],MATCH($A143,Backlog[Requirement ID],0))),"",INDEX(Backlog[Priority],MATCH($A143,Backlog[Requirement ID],0))),"")</f>
        <v/>
      </c>
      <c r="E142" s="92">
        <f>IFERROR(IF(ISBLANK(INDEX(Backlog[Status],MATCH($A143,Backlog[Requirement ID],0))),"",INDEX(Backlog[Status],MATCH($A143,Backlog[Requirement ID],0))),"")</f>
        <v/>
      </c>
      <c r="F142" s="92" t="n"/>
      <c r="G142" s="92">
        <f>IFERROR(IF(ISBLANK(INDEX(Backlog[HLE],MATCH($A143,Backlog[Requirement ID],0))),"",INDEX(Backlog[HLE],MATCH($A143,Backlog[Requirement ID],0))),"")</f>
        <v/>
      </c>
      <c r="H142" s="92">
        <f>IFERROR(VALUE(SUBSTITUTE($F143,"Sprint ","")),9999)</f>
        <v/>
      </c>
    </row>
    <row r="143" ht="15" customHeight="1" s="93">
      <c r="A143" s="92">
        <f>Backlog!A144</f>
        <v/>
      </c>
      <c r="B143" s="92">
        <f>IFERROR(IF(ISBLANK(INDEX(Backlog[Requirement Name],MATCH($A144,Backlog[Requirement ID],0))),"",INDEX(Backlog[Requirement Name],MATCH($A144,Backlog[Requirement ID],0))),"")</f>
        <v/>
      </c>
      <c r="C143" s="92">
        <f>IFERROR(IF(ISBLANK(INDEX(Backlog[Stream],MATCH($A144,Backlog[Requirement ID],0))),"",INDEX(Backlog[Stream],MATCH($A144,Backlog[Requirement ID],0))),"")</f>
        <v/>
      </c>
      <c r="D143" s="92">
        <f>IFERROR(IF(ISBLANK(INDEX(Backlog[Priority],MATCH($A144,Backlog[Requirement ID],0))),"",INDEX(Backlog[Priority],MATCH($A144,Backlog[Requirement ID],0))),"")</f>
        <v/>
      </c>
      <c r="E143" s="92">
        <f>IFERROR(IF(ISBLANK(INDEX(Backlog[Status],MATCH($A144,Backlog[Requirement ID],0))),"",INDEX(Backlog[Status],MATCH($A144,Backlog[Requirement ID],0))),"")</f>
        <v/>
      </c>
      <c r="F143" s="92" t="n"/>
      <c r="G143" s="92">
        <f>IFERROR(IF(ISBLANK(INDEX(Backlog[HLE],MATCH($A144,Backlog[Requirement ID],0))),"",INDEX(Backlog[HLE],MATCH($A144,Backlog[Requirement ID],0))),"")</f>
        <v/>
      </c>
      <c r="H143" s="92">
        <f>IFERROR(VALUE(SUBSTITUTE($F144,"Sprint ","")),9999)</f>
        <v/>
      </c>
    </row>
    <row r="144" ht="15" customHeight="1" s="93">
      <c r="A144" s="92">
        <f>Backlog!A145</f>
        <v/>
      </c>
      <c r="B144" s="92">
        <f>IFERROR(IF(ISBLANK(INDEX(Backlog[Requirement Name],MATCH($A145,Backlog[Requirement ID],0))),"",INDEX(Backlog[Requirement Name],MATCH($A145,Backlog[Requirement ID],0))),"")</f>
        <v/>
      </c>
      <c r="C144" s="92">
        <f>IFERROR(IF(ISBLANK(INDEX(Backlog[Stream],MATCH($A145,Backlog[Requirement ID],0))),"",INDEX(Backlog[Stream],MATCH($A145,Backlog[Requirement ID],0))),"")</f>
        <v/>
      </c>
      <c r="D144" s="92">
        <f>IFERROR(IF(ISBLANK(INDEX(Backlog[Priority],MATCH($A145,Backlog[Requirement ID],0))),"",INDEX(Backlog[Priority],MATCH($A145,Backlog[Requirement ID],0))),"")</f>
        <v/>
      </c>
      <c r="E144" s="92">
        <f>IFERROR(IF(ISBLANK(INDEX(Backlog[Status],MATCH($A145,Backlog[Requirement ID],0))),"",INDEX(Backlog[Status],MATCH($A145,Backlog[Requirement ID],0))),"")</f>
        <v/>
      </c>
      <c r="F144" s="92" t="n"/>
      <c r="G144" s="92">
        <f>IFERROR(IF(ISBLANK(INDEX(Backlog[HLE],MATCH($A145,Backlog[Requirement ID],0))),"",INDEX(Backlog[HLE],MATCH($A145,Backlog[Requirement ID],0))),"")</f>
        <v/>
      </c>
      <c r="H144" s="92">
        <f>IFERROR(VALUE(SUBSTITUTE($F145,"Sprint ","")),9999)</f>
        <v/>
      </c>
    </row>
    <row r="145" ht="15" customHeight="1" s="93">
      <c r="A145" s="92">
        <f>Backlog!A146</f>
        <v/>
      </c>
      <c r="B145" s="92">
        <f>IFERROR(IF(ISBLANK(INDEX(Backlog[Requirement Name],MATCH($A146,Backlog[Requirement ID],0))),"",INDEX(Backlog[Requirement Name],MATCH($A146,Backlog[Requirement ID],0))),"")</f>
        <v/>
      </c>
      <c r="C145" s="92">
        <f>IFERROR(IF(ISBLANK(INDEX(Backlog[Stream],MATCH($A146,Backlog[Requirement ID],0))),"",INDEX(Backlog[Stream],MATCH($A146,Backlog[Requirement ID],0))),"")</f>
        <v/>
      </c>
      <c r="D145" s="92">
        <f>IFERROR(IF(ISBLANK(INDEX(Backlog[Priority],MATCH($A146,Backlog[Requirement ID],0))),"",INDEX(Backlog[Priority],MATCH($A146,Backlog[Requirement ID],0))),"")</f>
        <v/>
      </c>
      <c r="E145" s="92">
        <f>IFERROR(IF(ISBLANK(INDEX(Backlog[Status],MATCH($A146,Backlog[Requirement ID],0))),"",INDEX(Backlog[Status],MATCH($A146,Backlog[Requirement ID],0))),"")</f>
        <v/>
      </c>
      <c r="F145" s="92" t="n"/>
      <c r="G145" s="92">
        <f>IFERROR(IF(ISBLANK(INDEX(Backlog[HLE],MATCH($A146,Backlog[Requirement ID],0))),"",INDEX(Backlog[HLE],MATCH($A146,Backlog[Requirement ID],0))),"")</f>
        <v/>
      </c>
      <c r="H145" s="92">
        <f>IFERROR(VALUE(SUBSTITUTE($F146,"Sprint ","")),9999)</f>
        <v/>
      </c>
    </row>
    <row r="146" ht="15" customHeight="1" s="93">
      <c r="A146" s="92">
        <f>Backlog!A147</f>
        <v/>
      </c>
      <c r="B146" s="92">
        <f>IFERROR(IF(ISBLANK(INDEX(Backlog[Requirement Name],MATCH($A147,Backlog[Requirement ID],0))),"",INDEX(Backlog[Requirement Name],MATCH($A147,Backlog[Requirement ID],0))),"")</f>
        <v/>
      </c>
      <c r="C146" s="92">
        <f>IFERROR(IF(ISBLANK(INDEX(Backlog[Stream],MATCH($A147,Backlog[Requirement ID],0))),"",INDEX(Backlog[Stream],MATCH($A147,Backlog[Requirement ID],0))),"")</f>
        <v/>
      </c>
      <c r="D146" s="92">
        <f>IFERROR(IF(ISBLANK(INDEX(Backlog[Priority],MATCH($A147,Backlog[Requirement ID],0))),"",INDEX(Backlog[Priority],MATCH($A147,Backlog[Requirement ID],0))),"")</f>
        <v/>
      </c>
      <c r="E146" s="92">
        <f>IFERROR(IF(ISBLANK(INDEX(Backlog[Status],MATCH($A147,Backlog[Requirement ID],0))),"",INDEX(Backlog[Status],MATCH($A147,Backlog[Requirement ID],0))),"")</f>
        <v/>
      </c>
      <c r="F146" s="92" t="n"/>
      <c r="G146" s="92">
        <f>IFERROR(IF(ISBLANK(INDEX(Backlog[HLE],MATCH($A147,Backlog[Requirement ID],0))),"",INDEX(Backlog[HLE],MATCH($A147,Backlog[Requirement ID],0))),"")</f>
        <v/>
      </c>
      <c r="H146" s="92">
        <f>IFERROR(VALUE(SUBSTITUTE($F147,"Sprint ","")),9999)</f>
        <v/>
      </c>
    </row>
    <row r="147" ht="15" customHeight="1" s="93">
      <c r="A147" s="92">
        <f>Backlog!A148</f>
        <v/>
      </c>
      <c r="B147" s="92">
        <f>IFERROR(IF(ISBLANK(INDEX(Backlog[Requirement Name],MATCH($A148,Backlog[Requirement ID],0))),"",INDEX(Backlog[Requirement Name],MATCH($A148,Backlog[Requirement ID],0))),"")</f>
        <v/>
      </c>
      <c r="C147" s="92">
        <f>IFERROR(IF(ISBLANK(INDEX(Backlog[Stream],MATCH($A148,Backlog[Requirement ID],0))),"",INDEX(Backlog[Stream],MATCH($A148,Backlog[Requirement ID],0))),"")</f>
        <v/>
      </c>
      <c r="D147" s="92">
        <f>IFERROR(IF(ISBLANK(INDEX(Backlog[Priority],MATCH($A148,Backlog[Requirement ID],0))),"",INDEX(Backlog[Priority],MATCH($A148,Backlog[Requirement ID],0))),"")</f>
        <v/>
      </c>
      <c r="E147" s="92">
        <f>IFERROR(IF(ISBLANK(INDEX(Backlog[Status],MATCH($A148,Backlog[Requirement ID],0))),"",INDEX(Backlog[Status],MATCH($A148,Backlog[Requirement ID],0))),"")</f>
        <v/>
      </c>
      <c r="F147" s="92" t="n"/>
      <c r="G147" s="92">
        <f>IFERROR(IF(ISBLANK(INDEX(Backlog[HLE],MATCH($A148,Backlog[Requirement ID],0))),"",INDEX(Backlog[HLE],MATCH($A148,Backlog[Requirement ID],0))),"")</f>
        <v/>
      </c>
      <c r="H147" s="92">
        <f>IFERROR(VALUE(SUBSTITUTE($F148,"Sprint ","")),9999)</f>
        <v/>
      </c>
    </row>
    <row r="148" ht="15" customHeight="1" s="93">
      <c r="A148" s="92">
        <f>Backlog!A149</f>
        <v/>
      </c>
      <c r="B148" s="92">
        <f>IFERROR(IF(ISBLANK(INDEX(Backlog[Requirement Name],MATCH($A149,Backlog[Requirement ID],0))),"",INDEX(Backlog[Requirement Name],MATCH($A149,Backlog[Requirement ID],0))),"")</f>
        <v/>
      </c>
      <c r="C148" s="92">
        <f>IFERROR(IF(ISBLANK(INDEX(Backlog[Stream],MATCH($A149,Backlog[Requirement ID],0))),"",INDEX(Backlog[Stream],MATCH($A149,Backlog[Requirement ID],0))),"")</f>
        <v/>
      </c>
      <c r="D148" s="92">
        <f>IFERROR(IF(ISBLANK(INDEX(Backlog[Priority],MATCH($A149,Backlog[Requirement ID],0))),"",INDEX(Backlog[Priority],MATCH($A149,Backlog[Requirement ID],0))),"")</f>
        <v/>
      </c>
      <c r="E148" s="92">
        <f>IFERROR(IF(ISBLANK(INDEX(Backlog[Status],MATCH($A149,Backlog[Requirement ID],0))),"",INDEX(Backlog[Status],MATCH($A149,Backlog[Requirement ID],0))),"")</f>
        <v/>
      </c>
      <c r="F148" s="92" t="n"/>
      <c r="G148" s="92">
        <f>IFERROR(IF(ISBLANK(INDEX(Backlog[HLE],MATCH($A149,Backlog[Requirement ID],0))),"",INDEX(Backlog[HLE],MATCH($A149,Backlog[Requirement ID],0))),"")</f>
        <v/>
      </c>
      <c r="H148" s="92">
        <f>IFERROR(VALUE(SUBSTITUTE($F149,"Sprint ","")),9999)</f>
        <v/>
      </c>
    </row>
    <row r="149" ht="15" customHeight="1" s="93">
      <c r="A149" s="92">
        <f>Backlog!A150</f>
        <v/>
      </c>
      <c r="B149" s="92">
        <f>IFERROR(IF(ISBLANK(INDEX(Backlog[Requirement Name],MATCH($A150,Backlog[Requirement ID],0))),"",INDEX(Backlog[Requirement Name],MATCH($A150,Backlog[Requirement ID],0))),"")</f>
        <v/>
      </c>
      <c r="C149" s="92">
        <f>IFERROR(IF(ISBLANK(INDEX(Backlog[Stream],MATCH($A150,Backlog[Requirement ID],0))),"",INDEX(Backlog[Stream],MATCH($A150,Backlog[Requirement ID],0))),"")</f>
        <v/>
      </c>
      <c r="D149" s="92">
        <f>IFERROR(IF(ISBLANK(INDEX(Backlog[Priority],MATCH($A150,Backlog[Requirement ID],0))),"",INDEX(Backlog[Priority],MATCH($A150,Backlog[Requirement ID],0))),"")</f>
        <v/>
      </c>
      <c r="E149" s="92">
        <f>IFERROR(IF(ISBLANK(INDEX(Backlog[Status],MATCH($A150,Backlog[Requirement ID],0))),"",INDEX(Backlog[Status],MATCH($A150,Backlog[Requirement ID],0))),"")</f>
        <v/>
      </c>
      <c r="F149" s="92" t="n"/>
      <c r="G149" s="92">
        <f>IFERROR(IF(ISBLANK(INDEX(Backlog[HLE],MATCH($A150,Backlog[Requirement ID],0))),"",INDEX(Backlog[HLE],MATCH($A150,Backlog[Requirement ID],0))),"")</f>
        <v/>
      </c>
      <c r="H149" s="92">
        <f>IFERROR(VALUE(SUBSTITUTE($F150,"Sprint ","")),9999)</f>
        <v/>
      </c>
    </row>
    <row r="150" ht="15" customHeight="1" s="93">
      <c r="A150" s="92">
        <f>Backlog!A151</f>
        <v/>
      </c>
      <c r="B150" s="92">
        <f>IFERROR(IF(ISBLANK(INDEX(Backlog[Requirement Name],MATCH($A151,Backlog[Requirement ID],0))),"",INDEX(Backlog[Requirement Name],MATCH($A151,Backlog[Requirement ID],0))),"")</f>
        <v/>
      </c>
      <c r="C150" s="92">
        <f>IFERROR(IF(ISBLANK(INDEX(Backlog[Stream],MATCH($A151,Backlog[Requirement ID],0))),"",INDEX(Backlog[Stream],MATCH($A151,Backlog[Requirement ID],0))),"")</f>
        <v/>
      </c>
      <c r="D150" s="92">
        <f>IFERROR(IF(ISBLANK(INDEX(Backlog[Priority],MATCH($A151,Backlog[Requirement ID],0))),"",INDEX(Backlog[Priority],MATCH($A151,Backlog[Requirement ID],0))),"")</f>
        <v/>
      </c>
      <c r="E150" s="92">
        <f>IFERROR(IF(ISBLANK(INDEX(Backlog[Status],MATCH($A151,Backlog[Requirement ID],0))),"",INDEX(Backlog[Status],MATCH($A151,Backlog[Requirement ID],0))),"")</f>
        <v/>
      </c>
      <c r="F150" s="92" t="n"/>
      <c r="G150" s="92">
        <f>IFERROR(IF(ISBLANK(INDEX(Backlog[HLE],MATCH($A151,Backlog[Requirement ID],0))),"",INDEX(Backlog[HLE],MATCH($A151,Backlog[Requirement ID],0))),"")</f>
        <v/>
      </c>
      <c r="H150" s="92">
        <f>IFERROR(VALUE(SUBSTITUTE($F151,"Sprint ","")),9999)</f>
        <v/>
      </c>
    </row>
    <row r="151" ht="15" customHeight="1" s="93">
      <c r="A151" s="92">
        <f>Backlog!A152</f>
        <v/>
      </c>
      <c r="B151" s="92">
        <f>IFERROR(IF(ISBLANK(INDEX(Backlog[Requirement Name],MATCH($A152,Backlog[Requirement ID],0))),"",INDEX(Backlog[Requirement Name],MATCH($A152,Backlog[Requirement ID],0))),"")</f>
        <v/>
      </c>
      <c r="C151" s="92">
        <f>IFERROR(IF(ISBLANK(INDEX(Backlog[Stream],MATCH($A152,Backlog[Requirement ID],0))),"",INDEX(Backlog[Stream],MATCH($A152,Backlog[Requirement ID],0))),"")</f>
        <v/>
      </c>
      <c r="D151" s="92">
        <f>IFERROR(IF(ISBLANK(INDEX(Backlog[Priority],MATCH($A152,Backlog[Requirement ID],0))),"",INDEX(Backlog[Priority],MATCH($A152,Backlog[Requirement ID],0))),"")</f>
        <v/>
      </c>
      <c r="E151" s="92">
        <f>IFERROR(IF(ISBLANK(INDEX(Backlog[Status],MATCH($A152,Backlog[Requirement ID],0))),"",INDEX(Backlog[Status],MATCH($A152,Backlog[Requirement ID],0))),"")</f>
        <v/>
      </c>
      <c r="F151" s="92" t="n"/>
      <c r="G151" s="92">
        <f>IFERROR(IF(ISBLANK(INDEX(Backlog[HLE],MATCH($A152,Backlog[Requirement ID],0))),"",INDEX(Backlog[HLE],MATCH($A152,Backlog[Requirement ID],0))),"")</f>
        <v/>
      </c>
      <c r="H151" s="92">
        <f>IFERROR(VALUE(SUBSTITUTE($F152,"Sprint ","")),9999)</f>
        <v/>
      </c>
    </row>
    <row r="152" ht="15" customHeight="1" s="93">
      <c r="A152" s="92">
        <f>Backlog!A153</f>
        <v/>
      </c>
      <c r="B152" s="92">
        <f>IFERROR(IF(ISBLANK(INDEX(Backlog[Requirement Name],MATCH($A153,Backlog[Requirement ID],0))),"",INDEX(Backlog[Requirement Name],MATCH($A153,Backlog[Requirement ID],0))),"")</f>
        <v/>
      </c>
      <c r="C152" s="92">
        <f>IFERROR(IF(ISBLANK(INDEX(Backlog[Stream],MATCH($A153,Backlog[Requirement ID],0))),"",INDEX(Backlog[Stream],MATCH($A153,Backlog[Requirement ID],0))),"")</f>
        <v/>
      </c>
      <c r="D152" s="92">
        <f>IFERROR(IF(ISBLANK(INDEX(Backlog[Priority],MATCH($A153,Backlog[Requirement ID],0))),"",INDEX(Backlog[Priority],MATCH($A153,Backlog[Requirement ID],0))),"")</f>
        <v/>
      </c>
      <c r="E152" s="92">
        <f>IFERROR(IF(ISBLANK(INDEX(Backlog[Status],MATCH($A153,Backlog[Requirement ID],0))),"",INDEX(Backlog[Status],MATCH($A153,Backlog[Requirement ID],0))),"")</f>
        <v/>
      </c>
      <c r="F152" s="92" t="n"/>
      <c r="G152" s="92">
        <f>IFERROR(IF(ISBLANK(INDEX(Backlog[HLE],MATCH($A153,Backlog[Requirement ID],0))),"",INDEX(Backlog[HLE],MATCH($A153,Backlog[Requirement ID],0))),"")</f>
        <v/>
      </c>
      <c r="H152" s="92">
        <f>IFERROR(VALUE(SUBSTITUTE($F153,"Sprint ","")),9999)</f>
        <v/>
      </c>
    </row>
    <row r="153" ht="15" customHeight="1" s="93">
      <c r="A153" s="92">
        <f>Backlog!A154</f>
        <v/>
      </c>
      <c r="B153" s="92">
        <f>IFERROR(IF(ISBLANK(INDEX(Backlog[Requirement Name],MATCH($A154,Backlog[Requirement ID],0))),"",INDEX(Backlog[Requirement Name],MATCH($A154,Backlog[Requirement ID],0))),"")</f>
        <v/>
      </c>
      <c r="C153" s="92">
        <f>IFERROR(IF(ISBLANK(INDEX(Backlog[Stream],MATCH($A154,Backlog[Requirement ID],0))),"",INDEX(Backlog[Stream],MATCH($A154,Backlog[Requirement ID],0))),"")</f>
        <v/>
      </c>
      <c r="D153" s="92">
        <f>IFERROR(IF(ISBLANK(INDEX(Backlog[Priority],MATCH($A154,Backlog[Requirement ID],0))),"",INDEX(Backlog[Priority],MATCH($A154,Backlog[Requirement ID],0))),"")</f>
        <v/>
      </c>
      <c r="E153" s="92">
        <f>IFERROR(IF(ISBLANK(INDEX(Backlog[Status],MATCH($A154,Backlog[Requirement ID],0))),"",INDEX(Backlog[Status],MATCH($A154,Backlog[Requirement ID],0))),"")</f>
        <v/>
      </c>
      <c r="F153" s="92" t="n"/>
      <c r="G153" s="92">
        <f>IFERROR(IF(ISBLANK(INDEX(Backlog[HLE],MATCH($A154,Backlog[Requirement ID],0))),"",INDEX(Backlog[HLE],MATCH($A154,Backlog[Requirement ID],0))),"")</f>
        <v/>
      </c>
      <c r="H153" s="92">
        <f>IFERROR(VALUE(SUBSTITUTE($F154,"Sprint ","")),9999)</f>
        <v/>
      </c>
    </row>
    <row r="154" ht="15" customHeight="1" s="93">
      <c r="A154" s="92">
        <f>Backlog!A155</f>
        <v/>
      </c>
      <c r="B154" s="92">
        <f>IFERROR(IF(ISBLANK(INDEX(Backlog[Requirement Name],MATCH($A155,Backlog[Requirement ID],0))),"",INDEX(Backlog[Requirement Name],MATCH($A155,Backlog[Requirement ID],0))),"")</f>
        <v/>
      </c>
      <c r="C154" s="92">
        <f>IFERROR(IF(ISBLANK(INDEX(Backlog[Stream],MATCH($A155,Backlog[Requirement ID],0))),"",INDEX(Backlog[Stream],MATCH($A155,Backlog[Requirement ID],0))),"")</f>
        <v/>
      </c>
      <c r="D154" s="92">
        <f>IFERROR(IF(ISBLANK(INDEX(Backlog[Priority],MATCH($A155,Backlog[Requirement ID],0))),"",INDEX(Backlog[Priority],MATCH($A155,Backlog[Requirement ID],0))),"")</f>
        <v/>
      </c>
      <c r="E154" s="92">
        <f>IFERROR(IF(ISBLANK(INDEX(Backlog[Status],MATCH($A155,Backlog[Requirement ID],0))),"",INDEX(Backlog[Status],MATCH($A155,Backlog[Requirement ID],0))),"")</f>
        <v/>
      </c>
      <c r="F154" s="92" t="n"/>
      <c r="G154" s="92">
        <f>IFERROR(IF(ISBLANK(INDEX(Backlog[HLE],MATCH($A155,Backlog[Requirement ID],0))),"",INDEX(Backlog[HLE],MATCH($A155,Backlog[Requirement ID],0))),"")</f>
        <v/>
      </c>
      <c r="H154" s="92">
        <f>IFERROR(VALUE(SUBSTITUTE($F155,"Sprint ","")),9999)</f>
        <v/>
      </c>
    </row>
    <row r="155" ht="15" customHeight="1" s="93">
      <c r="A155" s="92">
        <f>Backlog!A156</f>
        <v/>
      </c>
      <c r="B155" s="92">
        <f>IFERROR(IF(ISBLANK(INDEX(Backlog[Requirement Name],MATCH($A156,Backlog[Requirement ID],0))),"",INDEX(Backlog[Requirement Name],MATCH($A156,Backlog[Requirement ID],0))),"")</f>
        <v/>
      </c>
      <c r="C155" s="92">
        <f>IFERROR(IF(ISBLANK(INDEX(Backlog[Stream],MATCH($A156,Backlog[Requirement ID],0))),"",INDEX(Backlog[Stream],MATCH($A156,Backlog[Requirement ID],0))),"")</f>
        <v/>
      </c>
      <c r="D155" s="92">
        <f>IFERROR(IF(ISBLANK(INDEX(Backlog[Priority],MATCH($A156,Backlog[Requirement ID],0))),"",INDEX(Backlog[Priority],MATCH($A156,Backlog[Requirement ID],0))),"")</f>
        <v/>
      </c>
      <c r="E155" s="92">
        <f>IFERROR(IF(ISBLANK(INDEX(Backlog[Status],MATCH($A156,Backlog[Requirement ID],0))),"",INDEX(Backlog[Status],MATCH($A156,Backlog[Requirement ID],0))),"")</f>
        <v/>
      </c>
      <c r="F155" s="92" t="n"/>
      <c r="G155" s="92">
        <f>IFERROR(IF(ISBLANK(INDEX(Backlog[HLE],MATCH($A156,Backlog[Requirement ID],0))),"",INDEX(Backlog[HLE],MATCH($A156,Backlog[Requirement ID],0))),"")</f>
        <v/>
      </c>
      <c r="H155" s="92">
        <f>IFERROR(VALUE(SUBSTITUTE($F156,"Sprint ","")),9999)</f>
        <v/>
      </c>
    </row>
    <row r="156" ht="15" customHeight="1" s="93">
      <c r="A156" s="92">
        <f>Backlog!A157</f>
        <v/>
      </c>
      <c r="B156" s="92">
        <f>IFERROR(IF(ISBLANK(INDEX(Backlog[Requirement Name],MATCH($A157,Backlog[Requirement ID],0))),"",INDEX(Backlog[Requirement Name],MATCH($A157,Backlog[Requirement ID],0))),"")</f>
        <v/>
      </c>
      <c r="C156" s="92">
        <f>IFERROR(IF(ISBLANK(INDEX(Backlog[Stream],MATCH($A157,Backlog[Requirement ID],0))),"",INDEX(Backlog[Stream],MATCH($A157,Backlog[Requirement ID],0))),"")</f>
        <v/>
      </c>
      <c r="D156" s="92">
        <f>IFERROR(IF(ISBLANK(INDEX(Backlog[Priority],MATCH($A157,Backlog[Requirement ID],0))),"",INDEX(Backlog[Priority],MATCH($A157,Backlog[Requirement ID],0))),"")</f>
        <v/>
      </c>
      <c r="E156" s="92">
        <f>IFERROR(IF(ISBLANK(INDEX(Backlog[Status],MATCH($A157,Backlog[Requirement ID],0))),"",INDEX(Backlog[Status],MATCH($A157,Backlog[Requirement ID],0))),"")</f>
        <v/>
      </c>
      <c r="F156" s="92" t="n"/>
      <c r="G156" s="92">
        <f>IFERROR(IF(ISBLANK(INDEX(Backlog[HLE],MATCH($A157,Backlog[Requirement ID],0))),"",INDEX(Backlog[HLE],MATCH($A157,Backlog[Requirement ID],0))),"")</f>
        <v/>
      </c>
      <c r="H156" s="92">
        <f>IFERROR(VALUE(SUBSTITUTE($F157,"Sprint ","")),9999)</f>
        <v/>
      </c>
    </row>
    <row r="157" ht="15" customHeight="1" s="93">
      <c r="A157" s="92">
        <f>Backlog!A158</f>
        <v/>
      </c>
      <c r="B157" s="92">
        <f>IFERROR(IF(ISBLANK(INDEX(Backlog[Requirement Name],MATCH($A158,Backlog[Requirement ID],0))),"",INDEX(Backlog[Requirement Name],MATCH($A158,Backlog[Requirement ID],0))),"")</f>
        <v/>
      </c>
      <c r="C157" s="92">
        <f>IFERROR(IF(ISBLANK(INDEX(Backlog[Stream],MATCH($A158,Backlog[Requirement ID],0))),"",INDEX(Backlog[Stream],MATCH($A158,Backlog[Requirement ID],0))),"")</f>
        <v/>
      </c>
      <c r="D157" s="92">
        <f>IFERROR(IF(ISBLANK(INDEX(Backlog[Priority],MATCH($A158,Backlog[Requirement ID],0))),"",INDEX(Backlog[Priority],MATCH($A158,Backlog[Requirement ID],0))),"")</f>
        <v/>
      </c>
      <c r="E157" s="92">
        <f>IFERROR(IF(ISBLANK(INDEX(Backlog[Status],MATCH($A158,Backlog[Requirement ID],0))),"",INDEX(Backlog[Status],MATCH($A158,Backlog[Requirement ID],0))),"")</f>
        <v/>
      </c>
      <c r="F157" s="92" t="n"/>
      <c r="G157" s="92">
        <f>IFERROR(IF(ISBLANK(INDEX(Backlog[HLE],MATCH($A158,Backlog[Requirement ID],0))),"",INDEX(Backlog[HLE],MATCH($A158,Backlog[Requirement ID],0))),"")</f>
        <v/>
      </c>
      <c r="H157" s="92">
        <f>IFERROR(VALUE(SUBSTITUTE($F158,"Sprint ","")),9999)</f>
        <v/>
      </c>
    </row>
    <row r="158" ht="15" customHeight="1" s="93">
      <c r="A158" s="92">
        <f>Backlog!A159</f>
        <v/>
      </c>
      <c r="B158" s="92">
        <f>IFERROR(IF(ISBLANK(INDEX(Backlog[Requirement Name],MATCH($A159,Backlog[Requirement ID],0))),"",INDEX(Backlog[Requirement Name],MATCH($A159,Backlog[Requirement ID],0))),"")</f>
        <v/>
      </c>
      <c r="C158" s="92">
        <f>IFERROR(IF(ISBLANK(INDEX(Backlog[Stream],MATCH($A159,Backlog[Requirement ID],0))),"",INDEX(Backlog[Stream],MATCH($A159,Backlog[Requirement ID],0))),"")</f>
        <v/>
      </c>
      <c r="D158" s="92">
        <f>IFERROR(IF(ISBLANK(INDEX(Backlog[Priority],MATCH($A159,Backlog[Requirement ID],0))),"",INDEX(Backlog[Priority],MATCH($A159,Backlog[Requirement ID],0))),"")</f>
        <v/>
      </c>
      <c r="E158" s="92">
        <f>IFERROR(IF(ISBLANK(INDEX(Backlog[Status],MATCH($A159,Backlog[Requirement ID],0))),"",INDEX(Backlog[Status],MATCH($A159,Backlog[Requirement ID],0))),"")</f>
        <v/>
      </c>
      <c r="F158" s="92" t="n"/>
      <c r="G158" s="92">
        <f>IFERROR(IF(ISBLANK(INDEX(Backlog[HLE],MATCH($A159,Backlog[Requirement ID],0))),"",INDEX(Backlog[HLE],MATCH($A159,Backlog[Requirement ID],0))),"")</f>
        <v/>
      </c>
      <c r="H158" s="92">
        <f>IFERROR(VALUE(SUBSTITUTE($F159,"Sprint ","")),9999)</f>
        <v/>
      </c>
    </row>
    <row r="159" ht="15" customHeight="1" s="93">
      <c r="A159" s="92">
        <f>Backlog!A160</f>
        <v/>
      </c>
      <c r="B159" s="92">
        <f>IFERROR(IF(ISBLANK(INDEX(Backlog[Requirement Name],MATCH($A160,Backlog[Requirement ID],0))),"",INDEX(Backlog[Requirement Name],MATCH($A160,Backlog[Requirement ID],0))),"")</f>
        <v/>
      </c>
      <c r="C159" s="92">
        <f>IFERROR(IF(ISBLANK(INDEX(Backlog[Stream],MATCH($A160,Backlog[Requirement ID],0))),"",INDEX(Backlog[Stream],MATCH($A160,Backlog[Requirement ID],0))),"")</f>
        <v/>
      </c>
      <c r="D159" s="92">
        <f>IFERROR(IF(ISBLANK(INDEX(Backlog[Priority],MATCH($A160,Backlog[Requirement ID],0))),"",INDEX(Backlog[Priority],MATCH($A160,Backlog[Requirement ID],0))),"")</f>
        <v/>
      </c>
      <c r="E159" s="92">
        <f>IFERROR(IF(ISBLANK(INDEX(Backlog[Status],MATCH($A160,Backlog[Requirement ID],0))),"",INDEX(Backlog[Status],MATCH($A160,Backlog[Requirement ID],0))),"")</f>
        <v/>
      </c>
      <c r="F159" s="92" t="n"/>
      <c r="G159" s="92">
        <f>IFERROR(IF(ISBLANK(INDEX(Backlog[HLE],MATCH($A160,Backlog[Requirement ID],0))),"",INDEX(Backlog[HLE],MATCH($A160,Backlog[Requirement ID],0))),"")</f>
        <v/>
      </c>
      <c r="H159" s="92">
        <f>IFERROR(VALUE(SUBSTITUTE($F160,"Sprint ","")),9999)</f>
        <v/>
      </c>
    </row>
    <row r="160" ht="15" customHeight="1" s="93">
      <c r="A160" s="92">
        <f>Backlog!A161</f>
        <v/>
      </c>
      <c r="B160" s="92">
        <f>IFERROR(IF(ISBLANK(INDEX(Backlog[Requirement Name],MATCH($A161,Backlog[Requirement ID],0))),"",INDEX(Backlog[Requirement Name],MATCH($A161,Backlog[Requirement ID],0))),"")</f>
        <v/>
      </c>
      <c r="C160" s="92">
        <f>IFERROR(IF(ISBLANK(INDEX(Backlog[Stream],MATCH($A161,Backlog[Requirement ID],0))),"",INDEX(Backlog[Stream],MATCH($A161,Backlog[Requirement ID],0))),"")</f>
        <v/>
      </c>
      <c r="D160" s="92">
        <f>IFERROR(IF(ISBLANK(INDEX(Backlog[Priority],MATCH($A161,Backlog[Requirement ID],0))),"",INDEX(Backlog[Priority],MATCH($A161,Backlog[Requirement ID],0))),"")</f>
        <v/>
      </c>
      <c r="E160" s="92">
        <f>IFERROR(IF(ISBLANK(INDEX(Backlog[Status],MATCH($A161,Backlog[Requirement ID],0))),"",INDEX(Backlog[Status],MATCH($A161,Backlog[Requirement ID],0))),"")</f>
        <v/>
      </c>
      <c r="F160" s="92" t="n"/>
      <c r="G160" s="92">
        <f>IFERROR(IF(ISBLANK(INDEX(Backlog[HLE],MATCH($A161,Backlog[Requirement ID],0))),"",INDEX(Backlog[HLE],MATCH($A161,Backlog[Requirement ID],0))),"")</f>
        <v/>
      </c>
      <c r="H160" s="92">
        <f>IFERROR(VALUE(SUBSTITUTE($F161,"Sprint ","")),9999)</f>
        <v/>
      </c>
    </row>
    <row r="161" ht="15" customHeight="1" s="93">
      <c r="A161" s="92">
        <f>Backlog!A162</f>
        <v/>
      </c>
      <c r="B161" s="92">
        <f>IFERROR(IF(ISBLANK(INDEX(Backlog[Requirement Name],MATCH($A162,Backlog[Requirement ID],0))),"",INDEX(Backlog[Requirement Name],MATCH($A162,Backlog[Requirement ID],0))),"")</f>
        <v/>
      </c>
      <c r="C161" s="92">
        <f>IFERROR(IF(ISBLANK(INDEX(Backlog[Stream],MATCH($A162,Backlog[Requirement ID],0))),"",INDEX(Backlog[Stream],MATCH($A162,Backlog[Requirement ID],0))),"")</f>
        <v/>
      </c>
      <c r="D161" s="92">
        <f>IFERROR(IF(ISBLANK(INDEX(Backlog[Priority],MATCH($A162,Backlog[Requirement ID],0))),"",INDEX(Backlog[Priority],MATCH($A162,Backlog[Requirement ID],0))),"")</f>
        <v/>
      </c>
      <c r="E161" s="92">
        <f>IFERROR(IF(ISBLANK(INDEX(Backlog[Status],MATCH($A162,Backlog[Requirement ID],0))),"",INDEX(Backlog[Status],MATCH($A162,Backlog[Requirement ID],0))),"")</f>
        <v/>
      </c>
      <c r="F161" s="92" t="n"/>
      <c r="G161" s="92">
        <f>IFERROR(IF(ISBLANK(INDEX(Backlog[HLE],MATCH($A162,Backlog[Requirement ID],0))),"",INDEX(Backlog[HLE],MATCH($A162,Backlog[Requirement ID],0))),"")</f>
        <v/>
      </c>
      <c r="H161" s="92">
        <f>IFERROR(VALUE(SUBSTITUTE($F162,"Sprint ","")),9999)</f>
        <v/>
      </c>
    </row>
    <row r="162" ht="15" customHeight="1" s="93">
      <c r="A162" s="92">
        <f>Backlog!A163</f>
        <v/>
      </c>
      <c r="B162" s="92">
        <f>IFERROR(IF(ISBLANK(INDEX(Backlog[Requirement Name],MATCH($A163,Backlog[Requirement ID],0))),"",INDEX(Backlog[Requirement Name],MATCH($A163,Backlog[Requirement ID],0))),"")</f>
        <v/>
      </c>
      <c r="C162" s="92">
        <f>IFERROR(IF(ISBLANK(INDEX(Backlog[Stream],MATCH($A163,Backlog[Requirement ID],0))),"",INDEX(Backlog[Stream],MATCH($A163,Backlog[Requirement ID],0))),"")</f>
        <v/>
      </c>
      <c r="D162" s="92">
        <f>IFERROR(IF(ISBLANK(INDEX(Backlog[Priority],MATCH($A163,Backlog[Requirement ID],0))),"",INDEX(Backlog[Priority],MATCH($A163,Backlog[Requirement ID],0))),"")</f>
        <v/>
      </c>
      <c r="E162" s="92">
        <f>IFERROR(IF(ISBLANK(INDEX(Backlog[Status],MATCH($A163,Backlog[Requirement ID],0))),"",INDEX(Backlog[Status],MATCH($A163,Backlog[Requirement ID],0))),"")</f>
        <v/>
      </c>
      <c r="F162" s="92" t="n"/>
      <c r="G162" s="92">
        <f>IFERROR(IF(ISBLANK(INDEX(Backlog[HLE],MATCH($A163,Backlog[Requirement ID],0))),"",INDEX(Backlog[HLE],MATCH($A163,Backlog[Requirement ID],0))),"")</f>
        <v/>
      </c>
      <c r="H162" s="92">
        <f>IFERROR(VALUE(SUBSTITUTE($F163,"Sprint ","")),9999)</f>
        <v/>
      </c>
    </row>
    <row r="163" ht="15" customHeight="1" s="93">
      <c r="A163" s="92">
        <f>Backlog!A164</f>
        <v/>
      </c>
      <c r="B163" s="92">
        <f>IFERROR(IF(ISBLANK(INDEX(Backlog[Requirement Name],MATCH($A164,Backlog[Requirement ID],0))),"",INDEX(Backlog[Requirement Name],MATCH($A164,Backlog[Requirement ID],0))),"")</f>
        <v/>
      </c>
      <c r="C163" s="92">
        <f>IFERROR(IF(ISBLANK(INDEX(Backlog[Stream],MATCH($A164,Backlog[Requirement ID],0))),"",INDEX(Backlog[Stream],MATCH($A164,Backlog[Requirement ID],0))),"")</f>
        <v/>
      </c>
      <c r="D163" s="92">
        <f>IFERROR(IF(ISBLANK(INDEX(Backlog[Priority],MATCH($A164,Backlog[Requirement ID],0))),"",INDEX(Backlog[Priority],MATCH($A164,Backlog[Requirement ID],0))),"")</f>
        <v/>
      </c>
      <c r="E163" s="92">
        <f>IFERROR(IF(ISBLANK(INDEX(Backlog[Status],MATCH($A164,Backlog[Requirement ID],0))),"",INDEX(Backlog[Status],MATCH($A164,Backlog[Requirement ID],0))),"")</f>
        <v/>
      </c>
      <c r="F163" s="92" t="n"/>
      <c r="G163" s="92">
        <f>IFERROR(IF(ISBLANK(INDEX(Backlog[HLE],MATCH($A164,Backlog[Requirement ID],0))),"",INDEX(Backlog[HLE],MATCH($A164,Backlog[Requirement ID],0))),"")</f>
        <v/>
      </c>
      <c r="H163" s="92">
        <f>IFERROR(VALUE(SUBSTITUTE($F164,"Sprint ","")),9999)</f>
        <v/>
      </c>
    </row>
    <row r="164" ht="15" customHeight="1" s="93">
      <c r="A164" s="92">
        <f>Backlog!A165</f>
        <v/>
      </c>
      <c r="B164" s="92">
        <f>IFERROR(IF(ISBLANK(INDEX(Backlog[Requirement Name],MATCH($A165,Backlog[Requirement ID],0))),"",INDEX(Backlog[Requirement Name],MATCH($A165,Backlog[Requirement ID],0))),"")</f>
        <v/>
      </c>
      <c r="C164" s="92">
        <f>IFERROR(IF(ISBLANK(INDEX(Backlog[Stream],MATCH($A165,Backlog[Requirement ID],0))),"",INDEX(Backlog[Stream],MATCH($A165,Backlog[Requirement ID],0))),"")</f>
        <v/>
      </c>
      <c r="D164" s="92">
        <f>IFERROR(IF(ISBLANK(INDEX(Backlog[Priority],MATCH($A165,Backlog[Requirement ID],0))),"",INDEX(Backlog[Priority],MATCH($A165,Backlog[Requirement ID],0))),"")</f>
        <v/>
      </c>
      <c r="E164" s="92">
        <f>IFERROR(IF(ISBLANK(INDEX(Backlog[Status],MATCH($A165,Backlog[Requirement ID],0))),"",INDEX(Backlog[Status],MATCH($A165,Backlog[Requirement ID],0))),"")</f>
        <v/>
      </c>
      <c r="F164" s="92" t="n"/>
      <c r="G164" s="92">
        <f>IFERROR(IF(ISBLANK(INDEX(Backlog[HLE],MATCH($A165,Backlog[Requirement ID],0))),"",INDEX(Backlog[HLE],MATCH($A165,Backlog[Requirement ID],0))),"")</f>
        <v/>
      </c>
      <c r="H164" s="92">
        <f>IFERROR(VALUE(SUBSTITUTE($F165,"Sprint ","")),9999)</f>
        <v/>
      </c>
    </row>
    <row r="165" ht="15" customHeight="1" s="93">
      <c r="A165" s="92">
        <f>Backlog!A166</f>
        <v/>
      </c>
      <c r="B165" s="92">
        <f>IFERROR(IF(ISBLANK(INDEX(Backlog[Requirement Name],MATCH($A166,Backlog[Requirement ID],0))),"",INDEX(Backlog[Requirement Name],MATCH($A166,Backlog[Requirement ID],0))),"")</f>
        <v/>
      </c>
      <c r="C165" s="92">
        <f>IFERROR(IF(ISBLANK(INDEX(Backlog[Stream],MATCH($A166,Backlog[Requirement ID],0))),"",INDEX(Backlog[Stream],MATCH($A166,Backlog[Requirement ID],0))),"")</f>
        <v/>
      </c>
      <c r="D165" s="92">
        <f>IFERROR(IF(ISBLANK(INDEX(Backlog[Priority],MATCH($A166,Backlog[Requirement ID],0))),"",INDEX(Backlog[Priority],MATCH($A166,Backlog[Requirement ID],0))),"")</f>
        <v/>
      </c>
      <c r="E165" s="92">
        <f>IFERROR(IF(ISBLANK(INDEX(Backlog[Status],MATCH($A166,Backlog[Requirement ID],0))),"",INDEX(Backlog[Status],MATCH($A166,Backlog[Requirement ID],0))),"")</f>
        <v/>
      </c>
      <c r="F165" s="92" t="n"/>
      <c r="G165" s="92">
        <f>IFERROR(IF(ISBLANK(INDEX(Backlog[HLE],MATCH($A166,Backlog[Requirement ID],0))),"",INDEX(Backlog[HLE],MATCH($A166,Backlog[Requirement ID],0))),"")</f>
        <v/>
      </c>
      <c r="H165" s="92">
        <f>IFERROR(VALUE(SUBSTITUTE($F166,"Sprint ","")),9999)</f>
        <v/>
      </c>
    </row>
    <row r="166" ht="15" customHeight="1" s="93">
      <c r="A166" s="92">
        <f>Backlog!A167</f>
        <v/>
      </c>
      <c r="B166" s="92">
        <f>IFERROR(IF(ISBLANK(INDEX(Backlog[Requirement Name],MATCH($A167,Backlog[Requirement ID],0))),"",INDEX(Backlog[Requirement Name],MATCH($A167,Backlog[Requirement ID],0))),"")</f>
        <v/>
      </c>
      <c r="C166" s="92">
        <f>IFERROR(IF(ISBLANK(INDEX(Backlog[Stream],MATCH($A167,Backlog[Requirement ID],0))),"",INDEX(Backlog[Stream],MATCH($A167,Backlog[Requirement ID],0))),"")</f>
        <v/>
      </c>
      <c r="D166" s="92">
        <f>IFERROR(IF(ISBLANK(INDEX(Backlog[Priority],MATCH($A167,Backlog[Requirement ID],0))),"",INDEX(Backlog[Priority],MATCH($A167,Backlog[Requirement ID],0))),"")</f>
        <v/>
      </c>
      <c r="E166" s="92">
        <f>IFERROR(IF(ISBLANK(INDEX(Backlog[Status],MATCH($A167,Backlog[Requirement ID],0))),"",INDEX(Backlog[Status],MATCH($A167,Backlog[Requirement ID],0))),"")</f>
        <v/>
      </c>
      <c r="F166" s="92" t="n"/>
      <c r="G166" s="92">
        <f>IFERROR(IF(ISBLANK(INDEX(Backlog[HLE],MATCH($A167,Backlog[Requirement ID],0))),"",INDEX(Backlog[HLE],MATCH($A167,Backlog[Requirement ID],0))),"")</f>
        <v/>
      </c>
      <c r="H166" s="92">
        <f>IFERROR(VALUE(SUBSTITUTE($F167,"Sprint ","")),9999)</f>
        <v/>
      </c>
    </row>
    <row r="167" ht="15" customHeight="1" s="93">
      <c r="A167" s="92">
        <f>Backlog!A168</f>
        <v/>
      </c>
      <c r="B167" s="92">
        <f>IFERROR(IF(ISBLANK(INDEX(Backlog[Requirement Name],MATCH($A168,Backlog[Requirement ID],0))),"",INDEX(Backlog[Requirement Name],MATCH($A168,Backlog[Requirement ID],0))),"")</f>
        <v/>
      </c>
      <c r="C167" s="92">
        <f>IFERROR(IF(ISBLANK(INDEX(Backlog[Stream],MATCH($A168,Backlog[Requirement ID],0))),"",INDEX(Backlog[Stream],MATCH($A168,Backlog[Requirement ID],0))),"")</f>
        <v/>
      </c>
      <c r="D167" s="92">
        <f>IFERROR(IF(ISBLANK(INDEX(Backlog[Priority],MATCH($A168,Backlog[Requirement ID],0))),"",INDEX(Backlog[Priority],MATCH($A168,Backlog[Requirement ID],0))),"")</f>
        <v/>
      </c>
      <c r="E167" s="92">
        <f>IFERROR(IF(ISBLANK(INDEX(Backlog[Status],MATCH($A168,Backlog[Requirement ID],0))),"",INDEX(Backlog[Status],MATCH($A168,Backlog[Requirement ID],0))),"")</f>
        <v/>
      </c>
      <c r="F167" s="92" t="n"/>
      <c r="G167" s="92">
        <f>IFERROR(IF(ISBLANK(INDEX(Backlog[HLE],MATCH($A168,Backlog[Requirement ID],0))),"",INDEX(Backlog[HLE],MATCH($A168,Backlog[Requirement ID],0))),"")</f>
        <v/>
      </c>
      <c r="H167" s="92">
        <f>IFERROR(VALUE(SUBSTITUTE($F168,"Sprint ","")),9999)</f>
        <v/>
      </c>
    </row>
    <row r="168" ht="15" customHeight="1" s="93">
      <c r="A168" s="92">
        <f>Backlog!A169</f>
        <v/>
      </c>
      <c r="B168" s="92">
        <f>IFERROR(IF(ISBLANK(INDEX(Backlog[Requirement Name],MATCH($A169,Backlog[Requirement ID],0))),"",INDEX(Backlog[Requirement Name],MATCH($A169,Backlog[Requirement ID],0))),"")</f>
        <v/>
      </c>
      <c r="C168" s="92">
        <f>IFERROR(IF(ISBLANK(INDEX(Backlog[Stream],MATCH($A169,Backlog[Requirement ID],0))),"",INDEX(Backlog[Stream],MATCH($A169,Backlog[Requirement ID],0))),"")</f>
        <v/>
      </c>
      <c r="D168" s="92">
        <f>IFERROR(IF(ISBLANK(INDEX(Backlog[Priority],MATCH($A169,Backlog[Requirement ID],0))),"",INDEX(Backlog[Priority],MATCH($A169,Backlog[Requirement ID],0))),"")</f>
        <v/>
      </c>
      <c r="E168" s="92">
        <f>IFERROR(IF(ISBLANK(INDEX(Backlog[Status],MATCH($A169,Backlog[Requirement ID],0))),"",INDEX(Backlog[Status],MATCH($A169,Backlog[Requirement ID],0))),"")</f>
        <v/>
      </c>
      <c r="F168" s="92" t="n"/>
      <c r="G168" s="92">
        <f>IFERROR(IF(ISBLANK(INDEX(Backlog[HLE],MATCH($A169,Backlog[Requirement ID],0))),"",INDEX(Backlog[HLE],MATCH($A169,Backlog[Requirement ID],0))),"")</f>
        <v/>
      </c>
      <c r="H168" s="92">
        <f>IFERROR(VALUE(SUBSTITUTE($F169,"Sprint ","")),9999)</f>
        <v/>
      </c>
    </row>
    <row r="169" ht="15" customHeight="1" s="93">
      <c r="A169" s="92">
        <f>Backlog!A170</f>
        <v/>
      </c>
      <c r="B169" s="92">
        <f>IFERROR(IF(ISBLANK(INDEX(Backlog[Requirement Name],MATCH($A170,Backlog[Requirement ID],0))),"",INDEX(Backlog[Requirement Name],MATCH($A170,Backlog[Requirement ID],0))),"")</f>
        <v/>
      </c>
      <c r="C169" s="92">
        <f>IFERROR(IF(ISBLANK(INDEX(Backlog[Stream],MATCH($A170,Backlog[Requirement ID],0))),"",INDEX(Backlog[Stream],MATCH($A170,Backlog[Requirement ID],0))),"")</f>
        <v/>
      </c>
      <c r="D169" s="92">
        <f>IFERROR(IF(ISBLANK(INDEX(Backlog[Priority],MATCH($A170,Backlog[Requirement ID],0))),"",INDEX(Backlog[Priority],MATCH($A170,Backlog[Requirement ID],0))),"")</f>
        <v/>
      </c>
      <c r="E169" s="92">
        <f>IFERROR(IF(ISBLANK(INDEX(Backlog[Status],MATCH($A170,Backlog[Requirement ID],0))),"",INDEX(Backlog[Status],MATCH($A170,Backlog[Requirement ID],0))),"")</f>
        <v/>
      </c>
      <c r="F169" s="92" t="n"/>
      <c r="G169" s="92">
        <f>IFERROR(IF(ISBLANK(INDEX(Backlog[HLE],MATCH($A170,Backlog[Requirement ID],0))),"",INDEX(Backlog[HLE],MATCH($A170,Backlog[Requirement ID],0))),"")</f>
        <v/>
      </c>
      <c r="H169" s="92">
        <f>IFERROR(VALUE(SUBSTITUTE($F170,"Sprint ","")),9999)</f>
        <v/>
      </c>
    </row>
    <row r="170" ht="15" customHeight="1" s="93">
      <c r="A170" s="92">
        <f>Backlog!A171</f>
        <v/>
      </c>
      <c r="B170" s="92">
        <f>IFERROR(IF(ISBLANK(INDEX(Backlog[Requirement Name],MATCH($A171,Backlog[Requirement ID],0))),"",INDEX(Backlog[Requirement Name],MATCH($A171,Backlog[Requirement ID],0))),"")</f>
        <v/>
      </c>
      <c r="C170" s="92">
        <f>IFERROR(IF(ISBLANK(INDEX(Backlog[Stream],MATCH($A171,Backlog[Requirement ID],0))),"",INDEX(Backlog[Stream],MATCH($A171,Backlog[Requirement ID],0))),"")</f>
        <v/>
      </c>
      <c r="D170" s="92">
        <f>IFERROR(IF(ISBLANK(INDEX(Backlog[Priority],MATCH($A171,Backlog[Requirement ID],0))),"",INDEX(Backlog[Priority],MATCH($A171,Backlog[Requirement ID],0))),"")</f>
        <v/>
      </c>
      <c r="E170" s="92">
        <f>IFERROR(IF(ISBLANK(INDEX(Backlog[Status],MATCH($A171,Backlog[Requirement ID],0))),"",INDEX(Backlog[Status],MATCH($A171,Backlog[Requirement ID],0))),"")</f>
        <v/>
      </c>
      <c r="F170" s="92" t="n"/>
      <c r="G170" s="92">
        <f>IFERROR(IF(ISBLANK(INDEX(Backlog[HLE],MATCH($A171,Backlog[Requirement ID],0))),"",INDEX(Backlog[HLE],MATCH($A171,Backlog[Requirement ID],0))),"")</f>
        <v/>
      </c>
      <c r="H170" s="92">
        <f>IFERROR(VALUE(SUBSTITUTE($F171,"Sprint ","")),9999)</f>
        <v/>
      </c>
    </row>
    <row r="171" ht="15" customHeight="1" s="93">
      <c r="A171" s="92">
        <f>Backlog!A172</f>
        <v/>
      </c>
      <c r="B171" s="92">
        <f>IFERROR(IF(ISBLANK(INDEX(Backlog[Requirement Name],MATCH($A172,Backlog[Requirement ID],0))),"",INDEX(Backlog[Requirement Name],MATCH($A172,Backlog[Requirement ID],0))),"")</f>
        <v/>
      </c>
      <c r="C171" s="92">
        <f>IFERROR(IF(ISBLANK(INDEX(Backlog[Stream],MATCH($A172,Backlog[Requirement ID],0))),"",INDEX(Backlog[Stream],MATCH($A172,Backlog[Requirement ID],0))),"")</f>
        <v/>
      </c>
      <c r="D171" s="92">
        <f>IFERROR(IF(ISBLANK(INDEX(Backlog[Priority],MATCH($A172,Backlog[Requirement ID],0))),"",INDEX(Backlog[Priority],MATCH($A172,Backlog[Requirement ID],0))),"")</f>
        <v/>
      </c>
      <c r="E171" s="92">
        <f>IFERROR(IF(ISBLANK(INDEX(Backlog[Status],MATCH($A172,Backlog[Requirement ID],0))),"",INDEX(Backlog[Status],MATCH($A172,Backlog[Requirement ID],0))),"")</f>
        <v/>
      </c>
      <c r="F171" s="92" t="n"/>
      <c r="G171" s="92">
        <f>IFERROR(IF(ISBLANK(INDEX(Backlog[HLE],MATCH($A172,Backlog[Requirement ID],0))),"",INDEX(Backlog[HLE],MATCH($A172,Backlog[Requirement ID],0))),"")</f>
        <v/>
      </c>
      <c r="H171" s="92">
        <f>IFERROR(VALUE(SUBSTITUTE($F172,"Sprint ","")),9999)</f>
        <v/>
      </c>
    </row>
    <row r="172" ht="15" customHeight="1" s="93">
      <c r="A172" s="92">
        <f>Backlog!A173</f>
        <v/>
      </c>
      <c r="B172" s="92">
        <f>IFERROR(IF(ISBLANK(INDEX(Backlog[Requirement Name],MATCH($A173,Backlog[Requirement ID],0))),"",INDEX(Backlog[Requirement Name],MATCH($A173,Backlog[Requirement ID],0))),"")</f>
        <v/>
      </c>
      <c r="C172" s="92">
        <f>IFERROR(IF(ISBLANK(INDEX(Backlog[Stream],MATCH($A173,Backlog[Requirement ID],0))),"",INDEX(Backlog[Stream],MATCH($A173,Backlog[Requirement ID],0))),"")</f>
        <v/>
      </c>
      <c r="D172" s="92">
        <f>IFERROR(IF(ISBLANK(INDEX(Backlog[Priority],MATCH($A173,Backlog[Requirement ID],0))),"",INDEX(Backlog[Priority],MATCH($A173,Backlog[Requirement ID],0))),"")</f>
        <v/>
      </c>
      <c r="E172" s="92">
        <f>IFERROR(IF(ISBLANK(INDEX(Backlog[Status],MATCH($A173,Backlog[Requirement ID],0))),"",INDEX(Backlog[Status],MATCH($A173,Backlog[Requirement ID],0))),"")</f>
        <v/>
      </c>
      <c r="F172" s="92" t="n"/>
      <c r="G172" s="92">
        <f>IFERROR(IF(ISBLANK(INDEX(Backlog[HLE],MATCH($A173,Backlog[Requirement ID],0))),"",INDEX(Backlog[HLE],MATCH($A173,Backlog[Requirement ID],0))),"")</f>
        <v/>
      </c>
      <c r="H172" s="92">
        <f>IFERROR(VALUE(SUBSTITUTE($F173,"Sprint ","")),9999)</f>
        <v/>
      </c>
    </row>
    <row r="173" ht="15" customHeight="1" s="93">
      <c r="A173" s="92">
        <f>Backlog!A174</f>
        <v/>
      </c>
      <c r="B173" s="92">
        <f>IFERROR(IF(ISBLANK(INDEX(Backlog[Requirement Name],MATCH($A174,Backlog[Requirement ID],0))),"",INDEX(Backlog[Requirement Name],MATCH($A174,Backlog[Requirement ID],0))),"")</f>
        <v/>
      </c>
      <c r="C173" s="92">
        <f>IFERROR(IF(ISBLANK(INDEX(Backlog[Stream],MATCH($A174,Backlog[Requirement ID],0))),"",INDEX(Backlog[Stream],MATCH($A174,Backlog[Requirement ID],0))),"")</f>
        <v/>
      </c>
      <c r="D173" s="92">
        <f>IFERROR(IF(ISBLANK(INDEX(Backlog[Priority],MATCH($A174,Backlog[Requirement ID],0))),"",INDEX(Backlog[Priority],MATCH($A174,Backlog[Requirement ID],0))),"")</f>
        <v/>
      </c>
      <c r="E173" s="92">
        <f>IFERROR(IF(ISBLANK(INDEX(Backlog[Status],MATCH($A174,Backlog[Requirement ID],0))),"",INDEX(Backlog[Status],MATCH($A174,Backlog[Requirement ID],0))),"")</f>
        <v/>
      </c>
      <c r="F173" s="92" t="n"/>
      <c r="G173" s="92">
        <f>IFERROR(IF(ISBLANK(INDEX(Backlog[HLE],MATCH($A174,Backlog[Requirement ID],0))),"",INDEX(Backlog[HLE],MATCH($A174,Backlog[Requirement ID],0))),"")</f>
        <v/>
      </c>
      <c r="H173" s="92">
        <f>IFERROR(VALUE(SUBSTITUTE($F174,"Sprint ","")),9999)</f>
        <v/>
      </c>
    </row>
    <row r="174" ht="15" customHeight="1" s="93">
      <c r="A174" s="92">
        <f>Backlog!A175</f>
        <v/>
      </c>
      <c r="B174" s="92">
        <f>IFERROR(IF(ISBLANK(INDEX(Backlog[Requirement Name],MATCH($A175,Backlog[Requirement ID],0))),"",INDEX(Backlog[Requirement Name],MATCH($A175,Backlog[Requirement ID],0))),"")</f>
        <v/>
      </c>
      <c r="C174" s="92">
        <f>IFERROR(IF(ISBLANK(INDEX(Backlog[Stream],MATCH($A175,Backlog[Requirement ID],0))),"",INDEX(Backlog[Stream],MATCH($A175,Backlog[Requirement ID],0))),"")</f>
        <v/>
      </c>
      <c r="D174" s="92">
        <f>IFERROR(IF(ISBLANK(INDEX(Backlog[Priority],MATCH($A175,Backlog[Requirement ID],0))),"",INDEX(Backlog[Priority],MATCH($A175,Backlog[Requirement ID],0))),"")</f>
        <v/>
      </c>
      <c r="E174" s="92">
        <f>IFERROR(IF(ISBLANK(INDEX(Backlog[Status],MATCH($A175,Backlog[Requirement ID],0))),"",INDEX(Backlog[Status],MATCH($A175,Backlog[Requirement ID],0))),"")</f>
        <v/>
      </c>
      <c r="F174" s="92" t="n"/>
      <c r="G174" s="92">
        <f>IFERROR(IF(ISBLANK(INDEX(Backlog[HLE],MATCH($A175,Backlog[Requirement ID],0))),"",INDEX(Backlog[HLE],MATCH($A175,Backlog[Requirement ID],0))),"")</f>
        <v/>
      </c>
      <c r="H174" s="92">
        <f>IFERROR(VALUE(SUBSTITUTE($F175,"Sprint ","")),9999)</f>
        <v/>
      </c>
    </row>
    <row r="175" ht="15" customHeight="1" s="93">
      <c r="A175" s="92">
        <f>Backlog!A176</f>
        <v/>
      </c>
      <c r="B175" s="92">
        <f>IFERROR(IF(ISBLANK(INDEX(Backlog[Requirement Name],MATCH($A176,Backlog[Requirement ID],0))),"",INDEX(Backlog[Requirement Name],MATCH($A176,Backlog[Requirement ID],0))),"")</f>
        <v/>
      </c>
      <c r="C175" s="92">
        <f>IFERROR(IF(ISBLANK(INDEX(Backlog[Stream],MATCH($A176,Backlog[Requirement ID],0))),"",INDEX(Backlog[Stream],MATCH($A176,Backlog[Requirement ID],0))),"")</f>
        <v/>
      </c>
      <c r="D175" s="92">
        <f>IFERROR(IF(ISBLANK(INDEX(Backlog[Priority],MATCH($A176,Backlog[Requirement ID],0))),"",INDEX(Backlog[Priority],MATCH($A176,Backlog[Requirement ID],0))),"")</f>
        <v/>
      </c>
      <c r="E175" s="92">
        <f>IFERROR(IF(ISBLANK(INDEX(Backlog[Status],MATCH($A176,Backlog[Requirement ID],0))),"",INDEX(Backlog[Status],MATCH($A176,Backlog[Requirement ID],0))),"")</f>
        <v/>
      </c>
      <c r="F175" s="92" t="n"/>
      <c r="G175" s="92">
        <f>IFERROR(IF(ISBLANK(INDEX(Backlog[HLE],MATCH($A176,Backlog[Requirement ID],0))),"",INDEX(Backlog[HLE],MATCH($A176,Backlog[Requirement ID],0))),"")</f>
        <v/>
      </c>
      <c r="H175" s="92">
        <f>IFERROR(VALUE(SUBSTITUTE($F176,"Sprint ","")),9999)</f>
        <v/>
      </c>
    </row>
    <row r="176" ht="15" customHeight="1" s="93">
      <c r="A176" s="92">
        <f>Backlog!A177</f>
        <v/>
      </c>
      <c r="B176" s="92">
        <f>IFERROR(IF(ISBLANK(INDEX(Backlog[Requirement Name],MATCH($A177,Backlog[Requirement ID],0))),"",INDEX(Backlog[Requirement Name],MATCH($A177,Backlog[Requirement ID],0))),"")</f>
        <v/>
      </c>
      <c r="C176" s="92">
        <f>IFERROR(IF(ISBLANK(INDEX(Backlog[Stream],MATCH($A177,Backlog[Requirement ID],0))),"",INDEX(Backlog[Stream],MATCH($A177,Backlog[Requirement ID],0))),"")</f>
        <v/>
      </c>
      <c r="D176" s="92">
        <f>IFERROR(IF(ISBLANK(INDEX(Backlog[Priority],MATCH($A177,Backlog[Requirement ID],0))),"",INDEX(Backlog[Priority],MATCH($A177,Backlog[Requirement ID],0))),"")</f>
        <v/>
      </c>
      <c r="E176" s="92">
        <f>IFERROR(IF(ISBLANK(INDEX(Backlog[Status],MATCH($A177,Backlog[Requirement ID],0))),"",INDEX(Backlog[Status],MATCH($A177,Backlog[Requirement ID],0))),"")</f>
        <v/>
      </c>
      <c r="F176" s="92" t="n"/>
      <c r="G176" s="92">
        <f>IFERROR(IF(ISBLANK(INDEX(Backlog[HLE],MATCH($A177,Backlog[Requirement ID],0))),"",INDEX(Backlog[HLE],MATCH($A177,Backlog[Requirement ID],0))),"")</f>
        <v/>
      </c>
      <c r="H176" s="92">
        <f>IFERROR(VALUE(SUBSTITUTE($F177,"Sprint ","")),9999)</f>
        <v/>
      </c>
    </row>
    <row r="177" ht="15" customHeight="1" s="93">
      <c r="A177" s="92">
        <f>Backlog!A178</f>
        <v/>
      </c>
      <c r="B177" s="92">
        <f>IFERROR(IF(ISBLANK(INDEX(Backlog[Requirement Name],MATCH($A178,Backlog[Requirement ID],0))),"",INDEX(Backlog[Requirement Name],MATCH($A178,Backlog[Requirement ID],0))),"")</f>
        <v/>
      </c>
      <c r="C177" s="92">
        <f>IFERROR(IF(ISBLANK(INDEX(Backlog[Stream],MATCH($A178,Backlog[Requirement ID],0))),"",INDEX(Backlog[Stream],MATCH($A178,Backlog[Requirement ID],0))),"")</f>
        <v/>
      </c>
      <c r="D177" s="92">
        <f>IFERROR(IF(ISBLANK(INDEX(Backlog[Priority],MATCH($A178,Backlog[Requirement ID],0))),"",INDEX(Backlog[Priority],MATCH($A178,Backlog[Requirement ID],0))),"")</f>
        <v/>
      </c>
      <c r="E177" s="92">
        <f>IFERROR(IF(ISBLANK(INDEX(Backlog[Status],MATCH($A178,Backlog[Requirement ID],0))),"",INDEX(Backlog[Status],MATCH($A178,Backlog[Requirement ID],0))),"")</f>
        <v/>
      </c>
      <c r="F177" s="92" t="n"/>
      <c r="G177" s="92">
        <f>IFERROR(IF(ISBLANK(INDEX(Backlog[HLE],MATCH($A178,Backlog[Requirement ID],0))),"",INDEX(Backlog[HLE],MATCH($A178,Backlog[Requirement ID],0))),"")</f>
        <v/>
      </c>
      <c r="H177" s="92">
        <f>IFERROR(VALUE(SUBSTITUTE($F178,"Sprint ","")),9999)</f>
        <v/>
      </c>
    </row>
    <row r="178" ht="15" customHeight="1" s="93">
      <c r="A178" s="92">
        <f>Backlog!A179</f>
        <v/>
      </c>
      <c r="B178" s="92">
        <f>IFERROR(IF(ISBLANK(INDEX(Backlog[Requirement Name],MATCH($A179,Backlog[Requirement ID],0))),"",INDEX(Backlog[Requirement Name],MATCH($A179,Backlog[Requirement ID],0))),"")</f>
        <v/>
      </c>
      <c r="C178" s="92">
        <f>IFERROR(IF(ISBLANK(INDEX(Backlog[Stream],MATCH($A179,Backlog[Requirement ID],0))),"",INDEX(Backlog[Stream],MATCH($A179,Backlog[Requirement ID],0))),"")</f>
        <v/>
      </c>
      <c r="D178" s="92">
        <f>IFERROR(IF(ISBLANK(INDEX(Backlog[Priority],MATCH($A179,Backlog[Requirement ID],0))),"",INDEX(Backlog[Priority],MATCH($A179,Backlog[Requirement ID],0))),"")</f>
        <v/>
      </c>
      <c r="E178" s="92">
        <f>IFERROR(IF(ISBLANK(INDEX(Backlog[Status],MATCH($A179,Backlog[Requirement ID],0))),"",INDEX(Backlog[Status],MATCH($A179,Backlog[Requirement ID],0))),"")</f>
        <v/>
      </c>
      <c r="F178" s="92" t="n"/>
      <c r="G178" s="92">
        <f>IFERROR(IF(ISBLANK(INDEX(Backlog[HLE],MATCH($A179,Backlog[Requirement ID],0))),"",INDEX(Backlog[HLE],MATCH($A179,Backlog[Requirement ID],0))),"")</f>
        <v/>
      </c>
      <c r="H178" s="92">
        <f>IFERROR(VALUE(SUBSTITUTE($F179,"Sprint ","")),9999)</f>
        <v/>
      </c>
    </row>
    <row r="179" ht="15" customHeight="1" s="93">
      <c r="A179" s="92">
        <f>Backlog!A180</f>
        <v/>
      </c>
      <c r="B179" s="92">
        <f>IFERROR(IF(ISBLANK(INDEX(Backlog[Requirement Name],MATCH($A180,Backlog[Requirement ID],0))),"",INDEX(Backlog[Requirement Name],MATCH($A180,Backlog[Requirement ID],0))),"")</f>
        <v/>
      </c>
      <c r="C179" s="92">
        <f>IFERROR(IF(ISBLANK(INDEX(Backlog[Stream],MATCH($A180,Backlog[Requirement ID],0))),"",INDEX(Backlog[Stream],MATCH($A180,Backlog[Requirement ID],0))),"")</f>
        <v/>
      </c>
      <c r="D179" s="92">
        <f>IFERROR(IF(ISBLANK(INDEX(Backlog[Priority],MATCH($A180,Backlog[Requirement ID],0))),"",INDEX(Backlog[Priority],MATCH($A180,Backlog[Requirement ID],0))),"")</f>
        <v/>
      </c>
      <c r="E179" s="92">
        <f>IFERROR(IF(ISBLANK(INDEX(Backlog[Status],MATCH($A180,Backlog[Requirement ID],0))),"",INDEX(Backlog[Status],MATCH($A180,Backlog[Requirement ID],0))),"")</f>
        <v/>
      </c>
      <c r="F179" s="92" t="n"/>
      <c r="G179" s="92">
        <f>IFERROR(IF(ISBLANK(INDEX(Backlog[HLE],MATCH($A180,Backlog[Requirement ID],0))),"",INDEX(Backlog[HLE],MATCH($A180,Backlog[Requirement ID],0))),"")</f>
        <v/>
      </c>
      <c r="H179" s="92">
        <f>IFERROR(VALUE(SUBSTITUTE($F180,"Sprint ","")),9999)</f>
        <v/>
      </c>
    </row>
    <row r="180" ht="15" customHeight="1" s="93">
      <c r="A180" s="92">
        <f>Backlog!A181</f>
        <v/>
      </c>
      <c r="B180" s="92">
        <f>IFERROR(IF(ISBLANK(INDEX(Backlog[Requirement Name],MATCH($A181,Backlog[Requirement ID],0))),"",INDEX(Backlog[Requirement Name],MATCH($A181,Backlog[Requirement ID],0))),"")</f>
        <v/>
      </c>
      <c r="C180" s="92">
        <f>IFERROR(IF(ISBLANK(INDEX(Backlog[Stream],MATCH($A181,Backlog[Requirement ID],0))),"",INDEX(Backlog[Stream],MATCH($A181,Backlog[Requirement ID],0))),"")</f>
        <v/>
      </c>
      <c r="D180" s="92">
        <f>IFERROR(IF(ISBLANK(INDEX(Backlog[Priority],MATCH($A181,Backlog[Requirement ID],0))),"",INDEX(Backlog[Priority],MATCH($A181,Backlog[Requirement ID],0))),"")</f>
        <v/>
      </c>
      <c r="E180" s="92">
        <f>IFERROR(IF(ISBLANK(INDEX(Backlog[Status],MATCH($A181,Backlog[Requirement ID],0))),"",INDEX(Backlog[Status],MATCH($A181,Backlog[Requirement ID],0))),"")</f>
        <v/>
      </c>
      <c r="F180" s="92" t="n"/>
      <c r="G180" s="92">
        <f>IFERROR(IF(ISBLANK(INDEX(Backlog[HLE],MATCH($A181,Backlog[Requirement ID],0))),"",INDEX(Backlog[HLE],MATCH($A181,Backlog[Requirement ID],0))),"")</f>
        <v/>
      </c>
      <c r="H180" s="92">
        <f>IFERROR(VALUE(SUBSTITUTE($F181,"Sprint ","")),9999)</f>
        <v/>
      </c>
    </row>
    <row r="181" ht="15" customHeight="1" s="93">
      <c r="A181" s="92">
        <f>Backlog!A182</f>
        <v/>
      </c>
      <c r="B181" s="92">
        <f>IFERROR(IF(ISBLANK(INDEX(Backlog[Requirement Name],MATCH($A182,Backlog[Requirement ID],0))),"",INDEX(Backlog[Requirement Name],MATCH($A182,Backlog[Requirement ID],0))),"")</f>
        <v/>
      </c>
      <c r="C181" s="92">
        <f>IFERROR(IF(ISBLANK(INDEX(Backlog[Stream],MATCH($A182,Backlog[Requirement ID],0))),"",INDEX(Backlog[Stream],MATCH($A182,Backlog[Requirement ID],0))),"")</f>
        <v/>
      </c>
      <c r="D181" s="92">
        <f>IFERROR(IF(ISBLANK(INDEX(Backlog[Priority],MATCH($A182,Backlog[Requirement ID],0))),"",INDEX(Backlog[Priority],MATCH($A182,Backlog[Requirement ID],0))),"")</f>
        <v/>
      </c>
      <c r="E181" s="92">
        <f>IFERROR(IF(ISBLANK(INDEX(Backlog[Status],MATCH($A182,Backlog[Requirement ID],0))),"",INDEX(Backlog[Status],MATCH($A182,Backlog[Requirement ID],0))),"")</f>
        <v/>
      </c>
      <c r="F181" s="92" t="n"/>
      <c r="G181" s="92">
        <f>IFERROR(IF(ISBLANK(INDEX(Backlog[HLE],MATCH($A182,Backlog[Requirement ID],0))),"",INDEX(Backlog[HLE],MATCH($A182,Backlog[Requirement ID],0))),"")</f>
        <v/>
      </c>
      <c r="H181" s="92">
        <f>IFERROR(VALUE(SUBSTITUTE($F182,"Sprint ","")),9999)</f>
        <v/>
      </c>
    </row>
    <row r="182" ht="15" customHeight="1" s="93">
      <c r="A182" s="92">
        <f>Backlog!A183</f>
        <v/>
      </c>
      <c r="B182" s="92">
        <f>IFERROR(IF(ISBLANK(INDEX(Backlog[Requirement Name],MATCH($A183,Backlog[Requirement ID],0))),"",INDEX(Backlog[Requirement Name],MATCH($A183,Backlog[Requirement ID],0))),"")</f>
        <v/>
      </c>
      <c r="C182" s="92">
        <f>IFERROR(IF(ISBLANK(INDEX(Backlog[Stream],MATCH($A183,Backlog[Requirement ID],0))),"",INDEX(Backlog[Stream],MATCH($A183,Backlog[Requirement ID],0))),"")</f>
        <v/>
      </c>
      <c r="D182" s="92">
        <f>IFERROR(IF(ISBLANK(INDEX(Backlog[Priority],MATCH($A183,Backlog[Requirement ID],0))),"",INDEX(Backlog[Priority],MATCH($A183,Backlog[Requirement ID],0))),"")</f>
        <v/>
      </c>
      <c r="E182" s="92">
        <f>IFERROR(IF(ISBLANK(INDEX(Backlog[Status],MATCH($A183,Backlog[Requirement ID],0))),"",INDEX(Backlog[Status],MATCH($A183,Backlog[Requirement ID],0))),"")</f>
        <v/>
      </c>
      <c r="F182" s="92" t="n"/>
      <c r="G182" s="92">
        <f>IFERROR(IF(ISBLANK(INDEX(Backlog[HLE],MATCH($A183,Backlog[Requirement ID],0))),"",INDEX(Backlog[HLE],MATCH($A183,Backlog[Requirement ID],0))),"")</f>
        <v/>
      </c>
      <c r="H182" s="92">
        <f>IFERROR(VALUE(SUBSTITUTE($F183,"Sprint ","")),9999)</f>
        <v/>
      </c>
    </row>
    <row r="183" ht="15" customHeight="1" s="93">
      <c r="A183" s="92">
        <f>Backlog!A184</f>
        <v/>
      </c>
      <c r="B183" s="92">
        <f>IFERROR(IF(ISBLANK(INDEX(Backlog[Requirement Name],MATCH($A184,Backlog[Requirement ID],0))),"",INDEX(Backlog[Requirement Name],MATCH($A184,Backlog[Requirement ID],0))),"")</f>
        <v/>
      </c>
      <c r="C183" s="92">
        <f>IFERROR(IF(ISBLANK(INDEX(Backlog[Stream],MATCH($A184,Backlog[Requirement ID],0))),"",INDEX(Backlog[Stream],MATCH($A184,Backlog[Requirement ID],0))),"")</f>
        <v/>
      </c>
      <c r="D183" s="92">
        <f>IFERROR(IF(ISBLANK(INDEX(Backlog[Priority],MATCH($A184,Backlog[Requirement ID],0))),"",INDEX(Backlog[Priority],MATCH($A184,Backlog[Requirement ID],0))),"")</f>
        <v/>
      </c>
      <c r="E183" s="92">
        <f>IFERROR(IF(ISBLANK(INDEX(Backlog[Status],MATCH($A184,Backlog[Requirement ID],0))),"",INDEX(Backlog[Status],MATCH($A184,Backlog[Requirement ID],0))),"")</f>
        <v/>
      </c>
      <c r="F183" s="92" t="n"/>
      <c r="G183" s="92">
        <f>IFERROR(IF(ISBLANK(INDEX(Backlog[HLE],MATCH($A184,Backlog[Requirement ID],0))),"",INDEX(Backlog[HLE],MATCH($A184,Backlog[Requirement ID],0))),"")</f>
        <v/>
      </c>
      <c r="H183" s="92">
        <f>IFERROR(VALUE(SUBSTITUTE($F184,"Sprint ","")),9999)</f>
        <v/>
      </c>
    </row>
    <row r="184" ht="15" customHeight="1" s="93">
      <c r="A184" s="92">
        <f>Backlog!A185</f>
        <v/>
      </c>
      <c r="B184" s="92">
        <f>IFERROR(IF(ISBLANK(INDEX(Backlog[Requirement Name],MATCH($A185,Backlog[Requirement ID],0))),"",INDEX(Backlog[Requirement Name],MATCH($A185,Backlog[Requirement ID],0))),"")</f>
        <v/>
      </c>
      <c r="C184" s="92">
        <f>IFERROR(IF(ISBLANK(INDEX(Backlog[Stream],MATCH($A185,Backlog[Requirement ID],0))),"",INDEX(Backlog[Stream],MATCH($A185,Backlog[Requirement ID],0))),"")</f>
        <v/>
      </c>
      <c r="D184" s="92">
        <f>IFERROR(IF(ISBLANK(INDEX(Backlog[Priority],MATCH($A185,Backlog[Requirement ID],0))),"",INDEX(Backlog[Priority],MATCH($A185,Backlog[Requirement ID],0))),"")</f>
        <v/>
      </c>
      <c r="E184" s="92">
        <f>IFERROR(IF(ISBLANK(INDEX(Backlog[Status],MATCH($A185,Backlog[Requirement ID],0))),"",INDEX(Backlog[Status],MATCH($A185,Backlog[Requirement ID],0))),"")</f>
        <v/>
      </c>
      <c r="F184" s="92" t="n"/>
      <c r="G184" s="92">
        <f>IFERROR(IF(ISBLANK(INDEX(Backlog[HLE],MATCH($A185,Backlog[Requirement ID],0))),"",INDEX(Backlog[HLE],MATCH($A185,Backlog[Requirement ID],0))),"")</f>
        <v/>
      </c>
      <c r="H184" s="92">
        <f>IFERROR(VALUE(SUBSTITUTE($F185,"Sprint ","")),9999)</f>
        <v/>
      </c>
    </row>
    <row r="185" ht="15" customHeight="1" s="93">
      <c r="A185" s="92">
        <f>Backlog!A186</f>
        <v/>
      </c>
      <c r="B185" s="92">
        <f>IFERROR(IF(ISBLANK(INDEX(Backlog[Requirement Name],MATCH($A186,Backlog[Requirement ID],0))),"",INDEX(Backlog[Requirement Name],MATCH($A186,Backlog[Requirement ID],0))),"")</f>
        <v/>
      </c>
      <c r="C185" s="92">
        <f>IFERROR(IF(ISBLANK(INDEX(Backlog[Stream],MATCH($A186,Backlog[Requirement ID],0))),"",INDEX(Backlog[Stream],MATCH($A186,Backlog[Requirement ID],0))),"")</f>
        <v/>
      </c>
      <c r="D185" s="92">
        <f>IFERROR(IF(ISBLANK(INDEX(Backlog[Priority],MATCH($A186,Backlog[Requirement ID],0))),"",INDEX(Backlog[Priority],MATCH($A186,Backlog[Requirement ID],0))),"")</f>
        <v/>
      </c>
      <c r="E185" s="92">
        <f>IFERROR(IF(ISBLANK(INDEX(Backlog[Status],MATCH($A186,Backlog[Requirement ID],0))),"",INDEX(Backlog[Status],MATCH($A186,Backlog[Requirement ID],0))),"")</f>
        <v/>
      </c>
      <c r="F185" s="92" t="n"/>
      <c r="G185" s="92">
        <f>IFERROR(IF(ISBLANK(INDEX(Backlog[HLE],MATCH($A186,Backlog[Requirement ID],0))),"",INDEX(Backlog[HLE],MATCH($A186,Backlog[Requirement ID],0))),"")</f>
        <v/>
      </c>
      <c r="H185" s="92">
        <f>IFERROR(VALUE(SUBSTITUTE($F186,"Sprint ","")),9999)</f>
        <v/>
      </c>
    </row>
    <row r="186" ht="15" customHeight="1" s="93">
      <c r="A186" s="92">
        <f>Backlog!A187</f>
        <v/>
      </c>
      <c r="B186" s="92">
        <f>IFERROR(IF(ISBLANK(INDEX(Backlog[Requirement Name],MATCH($A187,Backlog[Requirement ID],0))),"",INDEX(Backlog[Requirement Name],MATCH($A187,Backlog[Requirement ID],0))),"")</f>
        <v/>
      </c>
      <c r="C186" s="92">
        <f>IFERROR(IF(ISBLANK(INDEX(Backlog[Stream],MATCH($A187,Backlog[Requirement ID],0))),"",INDEX(Backlog[Stream],MATCH($A187,Backlog[Requirement ID],0))),"")</f>
        <v/>
      </c>
      <c r="D186" s="92">
        <f>IFERROR(IF(ISBLANK(INDEX(Backlog[Priority],MATCH($A187,Backlog[Requirement ID],0))),"",INDEX(Backlog[Priority],MATCH($A187,Backlog[Requirement ID],0))),"")</f>
        <v/>
      </c>
      <c r="E186" s="92">
        <f>IFERROR(IF(ISBLANK(INDEX(Backlog[Status],MATCH($A187,Backlog[Requirement ID],0))),"",INDEX(Backlog[Status],MATCH($A187,Backlog[Requirement ID],0))),"")</f>
        <v/>
      </c>
      <c r="F186" s="92" t="n"/>
      <c r="G186" s="92">
        <f>IFERROR(IF(ISBLANK(INDEX(Backlog[HLE],MATCH($A187,Backlog[Requirement ID],0))),"",INDEX(Backlog[HLE],MATCH($A187,Backlog[Requirement ID],0))),"")</f>
        <v/>
      </c>
      <c r="H186" s="92">
        <f>IFERROR(VALUE(SUBSTITUTE($F187,"Sprint ","")),9999)</f>
        <v/>
      </c>
    </row>
    <row r="187" ht="15" customHeight="1" s="93">
      <c r="A187" s="92">
        <f>Backlog!A188</f>
        <v/>
      </c>
      <c r="B187" s="92">
        <f>IFERROR(IF(ISBLANK(INDEX(Backlog[Requirement Name],MATCH($A188,Backlog[Requirement ID],0))),"",INDEX(Backlog[Requirement Name],MATCH($A188,Backlog[Requirement ID],0))),"")</f>
        <v/>
      </c>
      <c r="C187" s="92">
        <f>IFERROR(IF(ISBLANK(INDEX(Backlog[Stream],MATCH($A188,Backlog[Requirement ID],0))),"",INDEX(Backlog[Stream],MATCH($A188,Backlog[Requirement ID],0))),"")</f>
        <v/>
      </c>
      <c r="D187" s="92">
        <f>IFERROR(IF(ISBLANK(INDEX(Backlog[Priority],MATCH($A188,Backlog[Requirement ID],0))),"",INDEX(Backlog[Priority],MATCH($A188,Backlog[Requirement ID],0))),"")</f>
        <v/>
      </c>
      <c r="E187" s="92">
        <f>IFERROR(IF(ISBLANK(INDEX(Backlog[Status],MATCH($A188,Backlog[Requirement ID],0))),"",INDEX(Backlog[Status],MATCH($A188,Backlog[Requirement ID],0))),"")</f>
        <v/>
      </c>
      <c r="F187" s="92" t="n"/>
      <c r="G187" s="92">
        <f>IFERROR(IF(ISBLANK(INDEX(Backlog[HLE],MATCH($A188,Backlog[Requirement ID],0))),"",INDEX(Backlog[HLE],MATCH($A188,Backlog[Requirement ID],0))),"")</f>
        <v/>
      </c>
      <c r="H187" s="92">
        <f>IFERROR(VALUE(SUBSTITUTE($F188,"Sprint ","")),9999)</f>
        <v/>
      </c>
    </row>
    <row r="188" ht="15" customHeight="1" s="93">
      <c r="A188" s="92">
        <f>Backlog!A189</f>
        <v/>
      </c>
      <c r="B188" s="92">
        <f>IFERROR(IF(ISBLANK(INDEX(Backlog[Requirement Name],MATCH($A189,Backlog[Requirement ID],0))),"",INDEX(Backlog[Requirement Name],MATCH($A189,Backlog[Requirement ID],0))),"")</f>
        <v/>
      </c>
      <c r="C188" s="92">
        <f>IFERROR(IF(ISBLANK(INDEX(Backlog[Stream],MATCH($A189,Backlog[Requirement ID],0))),"",INDEX(Backlog[Stream],MATCH($A189,Backlog[Requirement ID],0))),"")</f>
        <v/>
      </c>
      <c r="D188" s="92">
        <f>IFERROR(IF(ISBLANK(INDEX(Backlog[Priority],MATCH($A189,Backlog[Requirement ID],0))),"",INDEX(Backlog[Priority],MATCH($A189,Backlog[Requirement ID],0))),"")</f>
        <v/>
      </c>
      <c r="E188" s="92">
        <f>IFERROR(IF(ISBLANK(INDEX(Backlog[Status],MATCH($A189,Backlog[Requirement ID],0))),"",INDEX(Backlog[Status],MATCH($A189,Backlog[Requirement ID],0))),"")</f>
        <v/>
      </c>
      <c r="F188" s="92" t="n"/>
      <c r="G188" s="92">
        <f>IFERROR(IF(ISBLANK(INDEX(Backlog[HLE],MATCH($A189,Backlog[Requirement ID],0))),"",INDEX(Backlog[HLE],MATCH($A189,Backlog[Requirement ID],0))),"")</f>
        <v/>
      </c>
      <c r="H188" s="92">
        <f>IFERROR(VALUE(SUBSTITUTE($F189,"Sprint ","")),9999)</f>
        <v/>
      </c>
    </row>
    <row r="189" ht="15" customHeight="1" s="93">
      <c r="A189" s="92">
        <f>Backlog!A190</f>
        <v/>
      </c>
      <c r="B189" s="92">
        <f>IFERROR(IF(ISBLANK(INDEX(Backlog[Requirement Name],MATCH($A190,Backlog[Requirement ID],0))),"",INDEX(Backlog[Requirement Name],MATCH($A190,Backlog[Requirement ID],0))),"")</f>
        <v/>
      </c>
      <c r="C189" s="92">
        <f>IFERROR(IF(ISBLANK(INDEX(Backlog[Stream],MATCH($A190,Backlog[Requirement ID],0))),"",INDEX(Backlog[Stream],MATCH($A190,Backlog[Requirement ID],0))),"")</f>
        <v/>
      </c>
      <c r="D189" s="92">
        <f>IFERROR(IF(ISBLANK(INDEX(Backlog[Priority],MATCH($A190,Backlog[Requirement ID],0))),"",INDEX(Backlog[Priority],MATCH($A190,Backlog[Requirement ID],0))),"")</f>
        <v/>
      </c>
      <c r="E189" s="92">
        <f>IFERROR(IF(ISBLANK(INDEX(Backlog[Status],MATCH($A190,Backlog[Requirement ID],0))),"",INDEX(Backlog[Status],MATCH($A190,Backlog[Requirement ID],0))),"")</f>
        <v/>
      </c>
      <c r="F189" s="92" t="n"/>
      <c r="G189" s="92">
        <f>IFERROR(IF(ISBLANK(INDEX(Backlog[HLE],MATCH($A190,Backlog[Requirement ID],0))),"",INDEX(Backlog[HLE],MATCH($A190,Backlog[Requirement ID],0))),"")</f>
        <v/>
      </c>
      <c r="H189" s="92">
        <f>IFERROR(VALUE(SUBSTITUTE($F190,"Sprint ","")),9999)</f>
        <v/>
      </c>
    </row>
    <row r="190" ht="15" customHeight="1" s="93">
      <c r="A190" s="92">
        <f>Backlog!A191</f>
        <v/>
      </c>
      <c r="B190" s="92">
        <f>IFERROR(IF(ISBLANK(INDEX(Backlog[Requirement Name],MATCH($A191,Backlog[Requirement ID],0))),"",INDEX(Backlog[Requirement Name],MATCH($A191,Backlog[Requirement ID],0))),"")</f>
        <v/>
      </c>
      <c r="C190" s="92">
        <f>IFERROR(IF(ISBLANK(INDEX(Backlog[Stream],MATCH($A191,Backlog[Requirement ID],0))),"",INDEX(Backlog[Stream],MATCH($A191,Backlog[Requirement ID],0))),"")</f>
        <v/>
      </c>
      <c r="D190" s="92">
        <f>IFERROR(IF(ISBLANK(INDEX(Backlog[Priority],MATCH($A191,Backlog[Requirement ID],0))),"",INDEX(Backlog[Priority],MATCH($A191,Backlog[Requirement ID],0))),"")</f>
        <v/>
      </c>
      <c r="E190" s="92">
        <f>IFERROR(IF(ISBLANK(INDEX(Backlog[Status],MATCH($A191,Backlog[Requirement ID],0))),"",INDEX(Backlog[Status],MATCH($A191,Backlog[Requirement ID],0))),"")</f>
        <v/>
      </c>
      <c r="F190" s="92" t="n"/>
      <c r="G190" s="92">
        <f>IFERROR(IF(ISBLANK(INDEX(Backlog[HLE],MATCH($A191,Backlog[Requirement ID],0))),"",INDEX(Backlog[HLE],MATCH($A191,Backlog[Requirement ID],0))),"")</f>
        <v/>
      </c>
      <c r="H190" s="92">
        <f>IFERROR(VALUE(SUBSTITUTE($F191,"Sprint ","")),9999)</f>
        <v/>
      </c>
    </row>
    <row r="191" ht="15" customHeight="1" s="93">
      <c r="A191" s="92">
        <f>Backlog!A192</f>
        <v/>
      </c>
      <c r="B191" s="92">
        <f>IFERROR(IF(ISBLANK(INDEX(Backlog[Requirement Name],MATCH($A192,Backlog[Requirement ID],0))),"",INDEX(Backlog[Requirement Name],MATCH($A192,Backlog[Requirement ID],0))),"")</f>
        <v/>
      </c>
      <c r="C191" s="92">
        <f>IFERROR(IF(ISBLANK(INDEX(Backlog[Stream],MATCH($A192,Backlog[Requirement ID],0))),"",INDEX(Backlog[Stream],MATCH($A192,Backlog[Requirement ID],0))),"")</f>
        <v/>
      </c>
      <c r="D191" s="92">
        <f>IFERROR(IF(ISBLANK(INDEX(Backlog[Priority],MATCH($A192,Backlog[Requirement ID],0))),"",INDEX(Backlog[Priority],MATCH($A192,Backlog[Requirement ID],0))),"")</f>
        <v/>
      </c>
      <c r="E191" s="92">
        <f>IFERROR(IF(ISBLANK(INDEX(Backlog[Status],MATCH($A192,Backlog[Requirement ID],0))),"",INDEX(Backlog[Status],MATCH($A192,Backlog[Requirement ID],0))),"")</f>
        <v/>
      </c>
      <c r="F191" s="92" t="n"/>
      <c r="G191" s="92">
        <f>IFERROR(IF(ISBLANK(INDEX(Backlog[HLE],MATCH($A192,Backlog[Requirement ID],0))),"",INDEX(Backlog[HLE],MATCH($A192,Backlog[Requirement ID],0))),"")</f>
        <v/>
      </c>
      <c r="H191" s="92">
        <f>IFERROR(VALUE(SUBSTITUTE($F192,"Sprint ","")),9999)</f>
        <v/>
      </c>
    </row>
    <row r="192" ht="15" customHeight="1" s="93">
      <c r="A192" s="92">
        <f>Backlog!A193</f>
        <v/>
      </c>
      <c r="B192" s="92">
        <f>IFERROR(IF(ISBLANK(INDEX(Backlog[Requirement Name],MATCH($A193,Backlog[Requirement ID],0))),"",INDEX(Backlog[Requirement Name],MATCH($A193,Backlog[Requirement ID],0))),"")</f>
        <v/>
      </c>
      <c r="C192" s="92">
        <f>IFERROR(IF(ISBLANK(INDEX(Backlog[Stream],MATCH($A193,Backlog[Requirement ID],0))),"",INDEX(Backlog[Stream],MATCH($A193,Backlog[Requirement ID],0))),"")</f>
        <v/>
      </c>
      <c r="D192" s="92">
        <f>IFERROR(IF(ISBLANK(INDEX(Backlog[Priority],MATCH($A193,Backlog[Requirement ID],0))),"",INDEX(Backlog[Priority],MATCH($A193,Backlog[Requirement ID],0))),"")</f>
        <v/>
      </c>
      <c r="E192" s="92">
        <f>IFERROR(IF(ISBLANK(INDEX(Backlog[Status],MATCH($A193,Backlog[Requirement ID],0))),"",INDEX(Backlog[Status],MATCH($A193,Backlog[Requirement ID],0))),"")</f>
        <v/>
      </c>
      <c r="F192" s="92" t="n"/>
      <c r="G192" s="92">
        <f>IFERROR(IF(ISBLANK(INDEX(Backlog[HLE],MATCH($A193,Backlog[Requirement ID],0))),"",INDEX(Backlog[HLE],MATCH($A193,Backlog[Requirement ID],0))),"")</f>
        <v/>
      </c>
      <c r="H192" s="92">
        <f>IFERROR(VALUE(SUBSTITUTE($F193,"Sprint ","")),9999)</f>
        <v/>
      </c>
    </row>
    <row r="193" ht="15" customHeight="1" s="93">
      <c r="A193" s="92">
        <f>Backlog!A194</f>
        <v/>
      </c>
      <c r="B193" s="92">
        <f>IFERROR(IF(ISBLANK(INDEX(Backlog[Requirement Name],MATCH($A194,Backlog[Requirement ID],0))),"",INDEX(Backlog[Requirement Name],MATCH($A194,Backlog[Requirement ID],0))),"")</f>
        <v/>
      </c>
      <c r="C193" s="92">
        <f>IFERROR(IF(ISBLANK(INDEX(Backlog[Stream],MATCH($A194,Backlog[Requirement ID],0))),"",INDEX(Backlog[Stream],MATCH($A194,Backlog[Requirement ID],0))),"")</f>
        <v/>
      </c>
      <c r="D193" s="92">
        <f>IFERROR(IF(ISBLANK(INDEX(Backlog[Priority],MATCH($A194,Backlog[Requirement ID],0))),"",INDEX(Backlog[Priority],MATCH($A194,Backlog[Requirement ID],0))),"")</f>
        <v/>
      </c>
      <c r="E193" s="92">
        <f>IFERROR(IF(ISBLANK(INDEX(Backlog[Status],MATCH($A194,Backlog[Requirement ID],0))),"",INDEX(Backlog[Status],MATCH($A194,Backlog[Requirement ID],0))),"")</f>
        <v/>
      </c>
      <c r="F193" s="92" t="n"/>
      <c r="G193" s="92">
        <f>IFERROR(IF(ISBLANK(INDEX(Backlog[HLE],MATCH($A194,Backlog[Requirement ID],0))),"",INDEX(Backlog[HLE],MATCH($A194,Backlog[Requirement ID],0))),"")</f>
        <v/>
      </c>
      <c r="H193" s="92">
        <f>IFERROR(VALUE(SUBSTITUTE($F194,"Sprint ","")),9999)</f>
        <v/>
      </c>
    </row>
    <row r="194" ht="15" customHeight="1" s="93">
      <c r="A194" s="92">
        <f>Backlog!A195</f>
        <v/>
      </c>
      <c r="B194" s="92">
        <f>IFERROR(IF(ISBLANK(INDEX(Backlog[Requirement Name],MATCH($A195,Backlog[Requirement ID],0))),"",INDEX(Backlog[Requirement Name],MATCH($A195,Backlog[Requirement ID],0))),"")</f>
        <v/>
      </c>
      <c r="C194" s="92">
        <f>IFERROR(IF(ISBLANK(INDEX(Backlog[Stream],MATCH($A195,Backlog[Requirement ID],0))),"",INDEX(Backlog[Stream],MATCH($A195,Backlog[Requirement ID],0))),"")</f>
        <v/>
      </c>
      <c r="D194" s="92">
        <f>IFERROR(IF(ISBLANK(INDEX(Backlog[Priority],MATCH($A195,Backlog[Requirement ID],0))),"",INDEX(Backlog[Priority],MATCH($A195,Backlog[Requirement ID],0))),"")</f>
        <v/>
      </c>
      <c r="E194" s="92">
        <f>IFERROR(IF(ISBLANK(INDEX(Backlog[Status],MATCH($A195,Backlog[Requirement ID],0))),"",INDEX(Backlog[Status],MATCH($A195,Backlog[Requirement ID],0))),"")</f>
        <v/>
      </c>
      <c r="F194" s="92" t="n"/>
      <c r="G194" s="92">
        <f>IFERROR(IF(ISBLANK(INDEX(Backlog[HLE],MATCH($A195,Backlog[Requirement ID],0))),"",INDEX(Backlog[HLE],MATCH($A195,Backlog[Requirement ID],0))),"")</f>
        <v/>
      </c>
      <c r="H194" s="92">
        <f>IFERROR(VALUE(SUBSTITUTE($F195,"Sprint ","")),9999)</f>
        <v/>
      </c>
    </row>
    <row r="195" ht="15" customHeight="1" s="93">
      <c r="A195" s="92">
        <f>Backlog!A196</f>
        <v/>
      </c>
      <c r="B195" s="92">
        <f>IFERROR(IF(ISBLANK(INDEX(Backlog[Requirement Name],MATCH($A196,Backlog[Requirement ID],0))),"",INDEX(Backlog[Requirement Name],MATCH($A196,Backlog[Requirement ID],0))),"")</f>
        <v/>
      </c>
      <c r="C195" s="92">
        <f>IFERROR(IF(ISBLANK(INDEX(Backlog[Stream],MATCH($A196,Backlog[Requirement ID],0))),"",INDEX(Backlog[Stream],MATCH($A196,Backlog[Requirement ID],0))),"")</f>
        <v/>
      </c>
      <c r="D195" s="92">
        <f>IFERROR(IF(ISBLANK(INDEX(Backlog[Priority],MATCH($A196,Backlog[Requirement ID],0))),"",INDEX(Backlog[Priority],MATCH($A196,Backlog[Requirement ID],0))),"")</f>
        <v/>
      </c>
      <c r="E195" s="92">
        <f>IFERROR(IF(ISBLANK(INDEX(Backlog[Status],MATCH($A196,Backlog[Requirement ID],0))),"",INDEX(Backlog[Status],MATCH($A196,Backlog[Requirement ID],0))),"")</f>
        <v/>
      </c>
      <c r="F195" s="92" t="n"/>
      <c r="G195" s="92">
        <f>IFERROR(IF(ISBLANK(INDEX(Backlog[HLE],MATCH($A196,Backlog[Requirement ID],0))),"",INDEX(Backlog[HLE],MATCH($A196,Backlog[Requirement ID],0))),"")</f>
        <v/>
      </c>
      <c r="H195" s="92">
        <f>IFERROR(VALUE(SUBSTITUTE($F196,"Sprint ","")),9999)</f>
        <v/>
      </c>
    </row>
    <row r="196" ht="15" customHeight="1" s="93">
      <c r="A196" s="92">
        <f>Backlog!A197</f>
        <v/>
      </c>
      <c r="B196" s="92">
        <f>IFERROR(IF(ISBLANK(INDEX(Backlog[Requirement Name],MATCH($A197,Backlog[Requirement ID],0))),"",INDEX(Backlog[Requirement Name],MATCH($A197,Backlog[Requirement ID],0))),"")</f>
        <v/>
      </c>
      <c r="C196" s="92">
        <f>IFERROR(IF(ISBLANK(INDEX(Backlog[Stream],MATCH($A197,Backlog[Requirement ID],0))),"",INDEX(Backlog[Stream],MATCH($A197,Backlog[Requirement ID],0))),"")</f>
        <v/>
      </c>
      <c r="D196" s="92">
        <f>IFERROR(IF(ISBLANK(INDEX(Backlog[Priority],MATCH($A197,Backlog[Requirement ID],0))),"",INDEX(Backlog[Priority],MATCH($A197,Backlog[Requirement ID],0))),"")</f>
        <v/>
      </c>
      <c r="E196" s="92">
        <f>IFERROR(IF(ISBLANK(INDEX(Backlog[Status],MATCH($A197,Backlog[Requirement ID],0))),"",INDEX(Backlog[Status],MATCH($A197,Backlog[Requirement ID],0))),"")</f>
        <v/>
      </c>
      <c r="F196" s="92" t="n"/>
      <c r="G196" s="92">
        <f>IFERROR(IF(ISBLANK(INDEX(Backlog[HLE],MATCH($A197,Backlog[Requirement ID],0))),"",INDEX(Backlog[HLE],MATCH($A197,Backlog[Requirement ID],0))),"")</f>
        <v/>
      </c>
      <c r="H196" s="92">
        <f>IFERROR(VALUE(SUBSTITUTE($F197,"Sprint ","")),9999)</f>
        <v/>
      </c>
    </row>
    <row r="197" ht="15" customHeight="1" s="93">
      <c r="A197" s="92">
        <f>Backlog!A198</f>
        <v/>
      </c>
      <c r="B197" s="92">
        <f>IFERROR(IF(ISBLANK(INDEX(Backlog[Requirement Name],MATCH($A198,Backlog[Requirement ID],0))),"",INDEX(Backlog[Requirement Name],MATCH($A198,Backlog[Requirement ID],0))),"")</f>
        <v/>
      </c>
      <c r="C197" s="92">
        <f>IFERROR(IF(ISBLANK(INDEX(Backlog[Stream],MATCH($A198,Backlog[Requirement ID],0))),"",INDEX(Backlog[Stream],MATCH($A198,Backlog[Requirement ID],0))),"")</f>
        <v/>
      </c>
      <c r="D197" s="92">
        <f>IFERROR(IF(ISBLANK(INDEX(Backlog[Priority],MATCH($A198,Backlog[Requirement ID],0))),"",INDEX(Backlog[Priority],MATCH($A198,Backlog[Requirement ID],0))),"")</f>
        <v/>
      </c>
      <c r="E197" s="92">
        <f>IFERROR(IF(ISBLANK(INDEX(Backlog[Status],MATCH($A198,Backlog[Requirement ID],0))),"",INDEX(Backlog[Status],MATCH($A198,Backlog[Requirement ID],0))),"")</f>
        <v/>
      </c>
      <c r="F197" s="92" t="n"/>
      <c r="G197" s="92">
        <f>IFERROR(IF(ISBLANK(INDEX(Backlog[HLE],MATCH($A198,Backlog[Requirement ID],0))),"",INDEX(Backlog[HLE],MATCH($A198,Backlog[Requirement ID],0))),"")</f>
        <v/>
      </c>
      <c r="H197" s="92">
        <f>IFERROR(VALUE(SUBSTITUTE($F198,"Sprint ","")),9999)</f>
        <v/>
      </c>
    </row>
    <row r="198" ht="15" customHeight="1" s="93">
      <c r="A198" s="92">
        <f>Backlog!A199</f>
        <v/>
      </c>
      <c r="B198" s="92">
        <f>IFERROR(IF(ISBLANK(INDEX(Backlog[Requirement Name],MATCH($A199,Backlog[Requirement ID],0))),"",INDEX(Backlog[Requirement Name],MATCH($A199,Backlog[Requirement ID],0))),"")</f>
        <v/>
      </c>
      <c r="C198" s="92">
        <f>IFERROR(IF(ISBLANK(INDEX(Backlog[Stream],MATCH($A199,Backlog[Requirement ID],0))),"",INDEX(Backlog[Stream],MATCH($A199,Backlog[Requirement ID],0))),"")</f>
        <v/>
      </c>
      <c r="D198" s="92">
        <f>IFERROR(IF(ISBLANK(INDEX(Backlog[Priority],MATCH($A199,Backlog[Requirement ID],0))),"",INDEX(Backlog[Priority],MATCH($A199,Backlog[Requirement ID],0))),"")</f>
        <v/>
      </c>
      <c r="E198" s="92">
        <f>IFERROR(IF(ISBLANK(INDEX(Backlog[Status],MATCH($A199,Backlog[Requirement ID],0))),"",INDEX(Backlog[Status],MATCH($A199,Backlog[Requirement ID],0))),"")</f>
        <v/>
      </c>
      <c r="F198" s="92" t="n"/>
      <c r="G198" s="92">
        <f>IFERROR(IF(ISBLANK(INDEX(Backlog[HLE],MATCH($A199,Backlog[Requirement ID],0))),"",INDEX(Backlog[HLE],MATCH($A199,Backlog[Requirement ID],0))),"")</f>
        <v/>
      </c>
      <c r="H198" s="92">
        <f>IFERROR(VALUE(SUBSTITUTE($F199,"Sprint ","")),9999)</f>
        <v/>
      </c>
    </row>
    <row r="199" ht="15" customHeight="1" s="93">
      <c r="A199" s="92">
        <f>Backlog!A200</f>
        <v/>
      </c>
      <c r="B199" s="92">
        <f>IFERROR(IF(ISBLANK(INDEX(Backlog[Requirement Name],MATCH($A200,Backlog[Requirement ID],0))),"",INDEX(Backlog[Requirement Name],MATCH($A200,Backlog[Requirement ID],0))),"")</f>
        <v/>
      </c>
      <c r="C199" s="92">
        <f>IFERROR(IF(ISBLANK(INDEX(Backlog[Stream],MATCH($A200,Backlog[Requirement ID],0))),"",INDEX(Backlog[Stream],MATCH($A200,Backlog[Requirement ID],0))),"")</f>
        <v/>
      </c>
      <c r="D199" s="92">
        <f>IFERROR(IF(ISBLANK(INDEX(Backlog[Priority],MATCH($A200,Backlog[Requirement ID],0))),"",INDEX(Backlog[Priority],MATCH($A200,Backlog[Requirement ID],0))),"")</f>
        <v/>
      </c>
      <c r="E199" s="92">
        <f>IFERROR(IF(ISBLANK(INDEX(Backlog[Status],MATCH($A200,Backlog[Requirement ID],0))),"",INDEX(Backlog[Status],MATCH($A200,Backlog[Requirement ID],0))),"")</f>
        <v/>
      </c>
      <c r="F199" s="92" t="n"/>
      <c r="G199" s="92">
        <f>IFERROR(IF(ISBLANK(INDEX(Backlog[HLE],MATCH($A200,Backlog[Requirement ID],0))),"",INDEX(Backlog[HLE],MATCH($A200,Backlog[Requirement ID],0))),"")</f>
        <v/>
      </c>
      <c r="H199" s="92">
        <f>IFERROR(VALUE(SUBSTITUTE($F200,"Sprint ","")),9999)</f>
        <v/>
      </c>
    </row>
    <row r="200" ht="15" customHeight="1" s="93">
      <c r="A200" s="92">
        <f>Backlog!A201</f>
        <v/>
      </c>
      <c r="B200" s="92">
        <f>IFERROR(IF(ISBLANK(INDEX(Backlog[Requirement Name],MATCH($A201,Backlog[Requirement ID],0))),"",INDEX(Backlog[Requirement Name],MATCH($A201,Backlog[Requirement ID],0))),"")</f>
        <v/>
      </c>
      <c r="C200" s="92">
        <f>IFERROR(IF(ISBLANK(INDEX(Backlog[Stream],MATCH($A201,Backlog[Requirement ID],0))),"",INDEX(Backlog[Stream],MATCH($A201,Backlog[Requirement ID],0))),"")</f>
        <v/>
      </c>
      <c r="D200" s="92">
        <f>IFERROR(IF(ISBLANK(INDEX(Backlog[Priority],MATCH($A201,Backlog[Requirement ID],0))),"",INDEX(Backlog[Priority],MATCH($A201,Backlog[Requirement ID],0))),"")</f>
        <v/>
      </c>
      <c r="E200" s="92">
        <f>IFERROR(IF(ISBLANK(INDEX(Backlog[Status],MATCH($A201,Backlog[Requirement ID],0))),"",INDEX(Backlog[Status],MATCH($A201,Backlog[Requirement ID],0))),"")</f>
        <v/>
      </c>
      <c r="F200" s="92" t="n"/>
      <c r="G200" s="92">
        <f>IFERROR(IF(ISBLANK(INDEX(Backlog[HLE],MATCH($A201,Backlog[Requirement ID],0))),"",INDEX(Backlog[HLE],MATCH($A201,Backlog[Requirement ID],0))),"")</f>
        <v/>
      </c>
      <c r="H200" s="92">
        <f>IFERROR(VALUE(SUBSTITUTE($F201,"Sprint ","")),9999)</f>
        <v/>
      </c>
    </row>
    <row r="201" ht="15" customHeight="1" s="93">
      <c r="A201" s="92">
        <f>Backlog!A202</f>
        <v/>
      </c>
      <c r="B201" s="92">
        <f>IFERROR(IF(ISBLANK(INDEX(Backlog[Requirement Name],MATCH($A202,Backlog[Requirement ID],0))),"",INDEX(Backlog[Requirement Name],MATCH($A202,Backlog[Requirement ID],0))),"")</f>
        <v/>
      </c>
      <c r="C201" s="92">
        <f>IFERROR(IF(ISBLANK(INDEX(Backlog[Stream],MATCH($A202,Backlog[Requirement ID],0))),"",INDEX(Backlog[Stream],MATCH($A202,Backlog[Requirement ID],0))),"")</f>
        <v/>
      </c>
      <c r="D201" s="92">
        <f>IFERROR(IF(ISBLANK(INDEX(Backlog[Priority],MATCH($A202,Backlog[Requirement ID],0))),"",INDEX(Backlog[Priority],MATCH($A202,Backlog[Requirement ID],0))),"")</f>
        <v/>
      </c>
      <c r="E201" s="92">
        <f>IFERROR(IF(ISBLANK(INDEX(Backlog[Status],MATCH($A202,Backlog[Requirement ID],0))),"",INDEX(Backlog[Status],MATCH($A202,Backlog[Requirement ID],0))),"")</f>
        <v/>
      </c>
      <c r="F201" s="92" t="n"/>
      <c r="G201" s="92">
        <f>IFERROR(IF(ISBLANK(INDEX(Backlog[HLE],MATCH($A202,Backlog[Requirement ID],0))),"",INDEX(Backlog[HLE],MATCH($A202,Backlog[Requirement ID],0))),"")</f>
        <v/>
      </c>
      <c r="H201" s="92">
        <f>IFERROR(VALUE(SUBSTITUTE($F202,"Sprint ","")),9999)</f>
        <v/>
      </c>
    </row>
    <row r="202" ht="15" customHeight="1" s="93">
      <c r="A202" s="92">
        <f>Backlog!A203</f>
        <v/>
      </c>
      <c r="B202" s="92">
        <f>IFERROR(IF(ISBLANK(INDEX(Backlog[Requirement Name],MATCH($A203,Backlog[Requirement ID],0))),"",INDEX(Backlog[Requirement Name],MATCH($A203,Backlog[Requirement ID],0))),"")</f>
        <v/>
      </c>
      <c r="C202" s="92">
        <f>IFERROR(IF(ISBLANK(INDEX(Backlog[Stream],MATCH($A203,Backlog[Requirement ID],0))),"",INDEX(Backlog[Stream],MATCH($A203,Backlog[Requirement ID],0))),"")</f>
        <v/>
      </c>
      <c r="D202" s="92">
        <f>IFERROR(IF(ISBLANK(INDEX(Backlog[Priority],MATCH($A203,Backlog[Requirement ID],0))),"",INDEX(Backlog[Priority],MATCH($A203,Backlog[Requirement ID],0))),"")</f>
        <v/>
      </c>
      <c r="E202" s="92">
        <f>IFERROR(IF(ISBLANK(INDEX(Backlog[Status],MATCH($A203,Backlog[Requirement ID],0))),"",INDEX(Backlog[Status],MATCH($A203,Backlog[Requirement ID],0))),"")</f>
        <v/>
      </c>
      <c r="F202" s="92" t="n"/>
      <c r="G202" s="92">
        <f>IFERROR(IF(ISBLANK(INDEX(Backlog[HLE],MATCH($A203,Backlog[Requirement ID],0))),"",INDEX(Backlog[HLE],MATCH($A203,Backlog[Requirement ID],0))),"")</f>
        <v/>
      </c>
      <c r="H202" s="92">
        <f>IFERROR(VALUE(SUBSTITUTE($F203,"Sprint ","")),9999)</f>
        <v/>
      </c>
    </row>
    <row r="203" ht="15" customHeight="1" s="93">
      <c r="A203" s="92">
        <f>Backlog!A204</f>
        <v/>
      </c>
      <c r="B203" s="92">
        <f>IFERROR(IF(ISBLANK(INDEX(Backlog[Requirement Name],MATCH($A204,Backlog[Requirement ID],0))),"",INDEX(Backlog[Requirement Name],MATCH($A204,Backlog[Requirement ID],0))),"")</f>
        <v/>
      </c>
      <c r="C203" s="92">
        <f>IFERROR(IF(ISBLANK(INDEX(Backlog[Stream],MATCH($A204,Backlog[Requirement ID],0))),"",INDEX(Backlog[Stream],MATCH($A204,Backlog[Requirement ID],0))),"")</f>
        <v/>
      </c>
      <c r="D203" s="92">
        <f>IFERROR(IF(ISBLANK(INDEX(Backlog[Priority],MATCH($A204,Backlog[Requirement ID],0))),"",INDEX(Backlog[Priority],MATCH($A204,Backlog[Requirement ID],0))),"")</f>
        <v/>
      </c>
      <c r="E203" s="92">
        <f>IFERROR(IF(ISBLANK(INDEX(Backlog[Status],MATCH($A204,Backlog[Requirement ID],0))),"",INDEX(Backlog[Status],MATCH($A204,Backlog[Requirement ID],0))),"")</f>
        <v/>
      </c>
      <c r="F203" s="92" t="n"/>
      <c r="G203" s="92">
        <f>IFERROR(IF(ISBLANK(INDEX(Backlog[HLE],MATCH($A204,Backlog[Requirement ID],0))),"",INDEX(Backlog[HLE],MATCH($A204,Backlog[Requirement ID],0))),"")</f>
        <v/>
      </c>
      <c r="H203" s="92">
        <f>IFERROR(VALUE(SUBSTITUTE($F204,"Sprint ","")),9999)</f>
        <v/>
      </c>
    </row>
    <row r="204" ht="15" customHeight="1" s="93">
      <c r="A204" s="92">
        <f>Backlog!A205</f>
        <v/>
      </c>
      <c r="B204" s="92">
        <f>IFERROR(IF(ISBLANK(INDEX(Backlog[Requirement Name],MATCH($A205,Backlog[Requirement ID],0))),"",INDEX(Backlog[Requirement Name],MATCH($A205,Backlog[Requirement ID],0))),"")</f>
        <v/>
      </c>
      <c r="C204" s="92">
        <f>IFERROR(IF(ISBLANK(INDEX(Backlog[Stream],MATCH($A205,Backlog[Requirement ID],0))),"",INDEX(Backlog[Stream],MATCH($A205,Backlog[Requirement ID],0))),"")</f>
        <v/>
      </c>
      <c r="D204" s="92">
        <f>IFERROR(IF(ISBLANK(INDEX(Backlog[Priority],MATCH($A205,Backlog[Requirement ID],0))),"",INDEX(Backlog[Priority],MATCH($A205,Backlog[Requirement ID],0))),"")</f>
        <v/>
      </c>
      <c r="E204" s="92">
        <f>IFERROR(IF(ISBLANK(INDEX(Backlog[Status],MATCH($A205,Backlog[Requirement ID],0))),"",INDEX(Backlog[Status],MATCH($A205,Backlog[Requirement ID],0))),"")</f>
        <v/>
      </c>
      <c r="F204" s="92" t="n"/>
      <c r="G204" s="92">
        <f>IFERROR(IF(ISBLANK(INDEX(Backlog[HLE],MATCH($A205,Backlog[Requirement ID],0))),"",INDEX(Backlog[HLE],MATCH($A205,Backlog[Requirement ID],0))),"")</f>
        <v/>
      </c>
      <c r="H204" s="92">
        <f>IFERROR(VALUE(SUBSTITUTE($F205,"Sprint ","")),9999)</f>
        <v/>
      </c>
    </row>
    <row r="205" ht="15" customHeight="1" s="93">
      <c r="A205" s="92">
        <f>Backlog!A206</f>
        <v/>
      </c>
      <c r="B205" s="92">
        <f>IFERROR(IF(ISBLANK(INDEX(Backlog[Requirement Name],MATCH($A206,Backlog[Requirement ID],0))),"",INDEX(Backlog[Requirement Name],MATCH($A206,Backlog[Requirement ID],0))),"")</f>
        <v/>
      </c>
      <c r="C205" s="92">
        <f>IFERROR(IF(ISBLANK(INDEX(Backlog[Stream],MATCH($A206,Backlog[Requirement ID],0))),"",INDEX(Backlog[Stream],MATCH($A206,Backlog[Requirement ID],0))),"")</f>
        <v/>
      </c>
      <c r="D205" s="92">
        <f>IFERROR(IF(ISBLANK(INDEX(Backlog[Priority],MATCH($A206,Backlog[Requirement ID],0))),"",INDEX(Backlog[Priority],MATCH($A206,Backlog[Requirement ID],0))),"")</f>
        <v/>
      </c>
      <c r="E205" s="92">
        <f>IFERROR(IF(ISBLANK(INDEX(Backlog[Status],MATCH($A206,Backlog[Requirement ID],0))),"",INDEX(Backlog[Status],MATCH($A206,Backlog[Requirement ID],0))),"")</f>
        <v/>
      </c>
      <c r="F205" s="92" t="n"/>
      <c r="G205" s="92">
        <f>IFERROR(IF(ISBLANK(INDEX(Backlog[HLE],MATCH($A206,Backlog[Requirement ID],0))),"",INDEX(Backlog[HLE],MATCH($A206,Backlog[Requirement ID],0))),"")</f>
        <v/>
      </c>
      <c r="H205" s="92">
        <f>IFERROR(VALUE(SUBSTITUTE($F206,"Sprint ","")),9999)</f>
        <v/>
      </c>
    </row>
    <row r="206" ht="23.25" customHeight="1" s="93">
      <c r="A206" s="92">
        <f>Backlog!A207</f>
        <v/>
      </c>
      <c r="B206" s="92">
        <f>IFERROR(IF(ISBLANK(INDEX(Backlog[Requirement Name],MATCH($A207,Backlog[Requirement ID],0))),"",INDEX(Backlog[Requirement Name],MATCH($A207,Backlog[Requirement ID],0))),"")</f>
        <v/>
      </c>
      <c r="C206" s="92">
        <f>IFERROR(IF(ISBLANK(INDEX(Backlog[Stream],MATCH($A207,Backlog[Requirement ID],0))),"",INDEX(Backlog[Stream],MATCH($A207,Backlog[Requirement ID],0))),"")</f>
        <v/>
      </c>
      <c r="D206" s="92">
        <f>IFERROR(IF(ISBLANK(INDEX(Backlog[Priority],MATCH($A207,Backlog[Requirement ID],0))),"",INDEX(Backlog[Priority],MATCH($A207,Backlog[Requirement ID],0))),"")</f>
        <v/>
      </c>
      <c r="E206" s="92">
        <f>IFERROR(IF(ISBLANK(INDEX(Backlog[Status],MATCH($A207,Backlog[Requirement ID],0))),"",INDEX(Backlog[Status],MATCH($A207,Backlog[Requirement ID],0))),"")</f>
        <v/>
      </c>
      <c r="F206" s="92" t="n"/>
      <c r="G206" s="92">
        <f>IFERROR(IF(ISBLANK(INDEX(Backlog[HLE],MATCH($A207,Backlog[Requirement ID],0))),"",INDEX(Backlog[HLE],MATCH($A207,Backlog[Requirement ID],0))),"")</f>
        <v/>
      </c>
      <c r="H206" s="92">
        <f>IFERROR(VALUE(SUBSTITUTE($F207,"Sprint ","")),9999)</f>
        <v/>
      </c>
    </row>
    <row r="207" ht="15" customHeight="1" s="93">
      <c r="A207" s="92">
        <f>Backlog!A208</f>
        <v/>
      </c>
      <c r="B207" s="92">
        <f>IFERROR(IF(ISBLANK(INDEX(Backlog[Requirement Name],MATCH($A208,Backlog[Requirement ID],0))),"",INDEX(Backlog[Requirement Name],MATCH($A208,Backlog[Requirement ID],0))),"")</f>
        <v/>
      </c>
      <c r="C207" s="92">
        <f>IFERROR(IF(ISBLANK(INDEX(Backlog[Stream],MATCH($A208,Backlog[Requirement ID],0))),"",INDEX(Backlog[Stream],MATCH($A208,Backlog[Requirement ID],0))),"")</f>
        <v/>
      </c>
      <c r="D207" s="92">
        <f>IFERROR(IF(ISBLANK(INDEX(Backlog[Priority],MATCH($A208,Backlog[Requirement ID],0))),"",INDEX(Backlog[Priority],MATCH($A208,Backlog[Requirement ID],0))),"")</f>
        <v/>
      </c>
      <c r="E207" s="92">
        <f>IFERROR(IF(ISBLANK(INDEX(Backlog[Status],MATCH($A208,Backlog[Requirement ID],0))),"",INDEX(Backlog[Status],MATCH($A208,Backlog[Requirement ID],0))),"")</f>
        <v/>
      </c>
      <c r="F207" s="92" t="n"/>
      <c r="G207" s="92">
        <f>IFERROR(IF(ISBLANK(INDEX(Backlog[HLE],MATCH($A208,Backlog[Requirement ID],0))),"",INDEX(Backlog[HLE],MATCH($A208,Backlog[Requirement ID],0))),"")</f>
        <v/>
      </c>
      <c r="H207" s="92">
        <f>IFERROR(VALUE(SUBSTITUTE($F208,"Sprint ","")),9999)</f>
        <v/>
      </c>
    </row>
    <row r="208" ht="15" customHeight="1" s="93">
      <c r="A208" s="92">
        <f>Backlog!A209</f>
        <v/>
      </c>
      <c r="B208" s="92">
        <f>IFERROR(IF(ISBLANK(INDEX(Backlog[Requirement Name],MATCH($A209,Backlog[Requirement ID],0))),"",INDEX(Backlog[Requirement Name],MATCH($A209,Backlog[Requirement ID],0))),"")</f>
        <v/>
      </c>
      <c r="C208" s="92">
        <f>IFERROR(IF(ISBLANK(INDEX(Backlog[Stream],MATCH($A209,Backlog[Requirement ID],0))),"",INDEX(Backlog[Stream],MATCH($A209,Backlog[Requirement ID],0))),"")</f>
        <v/>
      </c>
      <c r="D208" s="92">
        <f>IFERROR(IF(ISBLANK(INDEX(Backlog[Priority],MATCH($A209,Backlog[Requirement ID],0))),"",INDEX(Backlog[Priority],MATCH($A209,Backlog[Requirement ID],0))),"")</f>
        <v/>
      </c>
      <c r="E208" s="92">
        <f>IFERROR(IF(ISBLANK(INDEX(Backlog[Status],MATCH($A209,Backlog[Requirement ID],0))),"",INDEX(Backlog[Status],MATCH($A209,Backlog[Requirement ID],0))),"")</f>
        <v/>
      </c>
      <c r="F208" s="92" t="n"/>
      <c r="G208" s="92">
        <f>IFERROR(IF(ISBLANK(INDEX(Backlog[HLE],MATCH($A209,Backlog[Requirement ID],0))),"",INDEX(Backlog[HLE],MATCH($A209,Backlog[Requirement ID],0))),"")</f>
        <v/>
      </c>
      <c r="H208" s="92">
        <f>IFERROR(VALUE(SUBSTITUTE($F209,"Sprint ","")),9999)</f>
        <v/>
      </c>
    </row>
    <row r="209" ht="15" customHeight="1" s="93">
      <c r="A209" s="92">
        <f>Backlog!A210</f>
        <v/>
      </c>
      <c r="B209" s="92">
        <f>IFERROR(IF(ISBLANK(INDEX(Backlog[Requirement Name],MATCH($A210,Backlog[Requirement ID],0))),"",INDEX(Backlog[Requirement Name],MATCH($A210,Backlog[Requirement ID],0))),"")</f>
        <v/>
      </c>
      <c r="C209" s="92">
        <f>IFERROR(IF(ISBLANK(INDEX(Backlog[Stream],MATCH($A210,Backlog[Requirement ID],0))),"",INDEX(Backlog[Stream],MATCH($A210,Backlog[Requirement ID],0))),"")</f>
        <v/>
      </c>
      <c r="D209" s="92">
        <f>IFERROR(IF(ISBLANK(INDEX(Backlog[Priority],MATCH($A210,Backlog[Requirement ID],0))),"",INDEX(Backlog[Priority],MATCH($A210,Backlog[Requirement ID],0))),"")</f>
        <v/>
      </c>
      <c r="E209" s="92">
        <f>IFERROR(IF(ISBLANK(INDEX(Backlog[Status],MATCH($A210,Backlog[Requirement ID],0))),"",INDEX(Backlog[Status],MATCH($A210,Backlog[Requirement ID],0))),"")</f>
        <v/>
      </c>
      <c r="F209" s="92" t="n"/>
      <c r="G209" s="92">
        <f>IFERROR(IF(ISBLANK(INDEX(Backlog[HLE],MATCH($A210,Backlog[Requirement ID],0))),"",INDEX(Backlog[HLE],MATCH($A210,Backlog[Requirement ID],0))),"")</f>
        <v/>
      </c>
      <c r="H209" s="92">
        <f>IFERROR(VALUE(SUBSTITUTE($F210,"Sprint ","")),9999)</f>
        <v/>
      </c>
    </row>
    <row r="210" ht="15" customHeight="1" s="93">
      <c r="A210" s="92">
        <f>Backlog!A211</f>
        <v/>
      </c>
      <c r="B210" s="92">
        <f>IFERROR(IF(ISBLANK(INDEX(Backlog[Requirement Name],MATCH($A211,Backlog[Requirement ID],0))),"",INDEX(Backlog[Requirement Name],MATCH($A211,Backlog[Requirement ID],0))),"")</f>
        <v/>
      </c>
      <c r="C210" s="92">
        <f>IFERROR(IF(ISBLANK(INDEX(Backlog[Stream],MATCH($A211,Backlog[Requirement ID],0))),"",INDEX(Backlog[Stream],MATCH($A211,Backlog[Requirement ID],0))),"")</f>
        <v/>
      </c>
      <c r="D210" s="92">
        <f>IFERROR(IF(ISBLANK(INDEX(Backlog[Priority],MATCH($A211,Backlog[Requirement ID],0))),"",INDEX(Backlog[Priority],MATCH($A211,Backlog[Requirement ID],0))),"")</f>
        <v/>
      </c>
      <c r="E210" s="92">
        <f>IFERROR(IF(ISBLANK(INDEX(Backlog[Status],MATCH($A211,Backlog[Requirement ID],0))),"",INDEX(Backlog[Status],MATCH($A211,Backlog[Requirement ID],0))),"")</f>
        <v/>
      </c>
      <c r="F210" s="92" t="n"/>
      <c r="G210" s="92">
        <f>IFERROR(IF(ISBLANK(INDEX(Backlog[HLE],MATCH($A211,Backlog[Requirement ID],0))),"",INDEX(Backlog[HLE],MATCH($A211,Backlog[Requirement ID],0))),"")</f>
        <v/>
      </c>
      <c r="H210" s="92">
        <f>IFERROR(VALUE(SUBSTITUTE($F211,"Sprint ","")),9999)</f>
        <v/>
      </c>
    </row>
    <row r="211" ht="15" customHeight="1" s="93">
      <c r="A211" s="92">
        <f>Backlog!A212</f>
        <v/>
      </c>
      <c r="B211" s="92">
        <f>IFERROR(IF(ISBLANK(INDEX(Backlog[Requirement Name],MATCH($A212,Backlog[Requirement ID],0))),"",INDEX(Backlog[Requirement Name],MATCH($A212,Backlog[Requirement ID],0))),"")</f>
        <v/>
      </c>
      <c r="C211" s="92">
        <f>IFERROR(IF(ISBLANK(INDEX(Backlog[Stream],MATCH($A212,Backlog[Requirement ID],0))),"",INDEX(Backlog[Stream],MATCH($A212,Backlog[Requirement ID],0))),"")</f>
        <v/>
      </c>
      <c r="D211" s="92">
        <f>IFERROR(IF(ISBLANK(INDEX(Backlog[Priority],MATCH($A212,Backlog[Requirement ID],0))),"",INDEX(Backlog[Priority],MATCH($A212,Backlog[Requirement ID],0))),"")</f>
        <v/>
      </c>
      <c r="E211" s="92">
        <f>IFERROR(IF(ISBLANK(INDEX(Backlog[Status],MATCH($A212,Backlog[Requirement ID],0))),"",INDEX(Backlog[Status],MATCH($A212,Backlog[Requirement ID],0))),"")</f>
        <v/>
      </c>
      <c r="F211" s="92" t="n"/>
      <c r="G211" s="92">
        <f>IFERROR(IF(ISBLANK(INDEX(Backlog[HLE],MATCH($A212,Backlog[Requirement ID],0))),"",INDEX(Backlog[HLE],MATCH($A212,Backlog[Requirement ID],0))),"")</f>
        <v/>
      </c>
      <c r="H211" s="92">
        <f>IFERROR(VALUE(SUBSTITUTE($F212,"Sprint ","")),9999)</f>
        <v/>
      </c>
    </row>
    <row r="212" ht="15" customHeight="1" s="93">
      <c r="A212" s="92">
        <f>Backlog!A213</f>
        <v/>
      </c>
      <c r="B212" s="92">
        <f>IFERROR(IF(ISBLANK(INDEX(Backlog[Requirement Name],MATCH($A213,Backlog[Requirement ID],0))),"",INDEX(Backlog[Requirement Name],MATCH($A213,Backlog[Requirement ID],0))),"")</f>
        <v/>
      </c>
      <c r="C212" s="92">
        <f>IFERROR(IF(ISBLANK(INDEX(Backlog[Stream],MATCH($A213,Backlog[Requirement ID],0))),"",INDEX(Backlog[Stream],MATCH($A213,Backlog[Requirement ID],0))),"")</f>
        <v/>
      </c>
      <c r="D212" s="92">
        <f>IFERROR(IF(ISBLANK(INDEX(Backlog[Priority],MATCH($A213,Backlog[Requirement ID],0))),"",INDEX(Backlog[Priority],MATCH($A213,Backlog[Requirement ID],0))),"")</f>
        <v/>
      </c>
      <c r="E212" s="92">
        <f>IFERROR(IF(ISBLANK(INDEX(Backlog[Status],MATCH($A213,Backlog[Requirement ID],0))),"",INDEX(Backlog[Status],MATCH($A213,Backlog[Requirement ID],0))),"")</f>
        <v/>
      </c>
      <c r="F212" s="92" t="n"/>
      <c r="G212" s="92">
        <f>IFERROR(IF(ISBLANK(INDEX(Backlog[HLE],MATCH($A213,Backlog[Requirement ID],0))),"",INDEX(Backlog[HLE],MATCH($A213,Backlog[Requirement ID],0))),"")</f>
        <v/>
      </c>
      <c r="H212" s="92">
        <f>IFERROR(VALUE(SUBSTITUTE($F213,"Sprint ","")),9999)</f>
        <v/>
      </c>
    </row>
    <row r="213" ht="15" customHeight="1" s="93">
      <c r="A213" s="92">
        <f>Backlog!A214</f>
        <v/>
      </c>
      <c r="B213" s="92">
        <f>IFERROR(IF(ISBLANK(INDEX(Backlog[Requirement Name],MATCH($A214,Backlog[Requirement ID],0))),"",INDEX(Backlog[Requirement Name],MATCH($A214,Backlog[Requirement ID],0))),"")</f>
        <v/>
      </c>
      <c r="C213" s="92">
        <f>IFERROR(IF(ISBLANK(INDEX(Backlog[Stream],MATCH($A214,Backlog[Requirement ID],0))),"",INDEX(Backlog[Stream],MATCH($A214,Backlog[Requirement ID],0))),"")</f>
        <v/>
      </c>
      <c r="D213" s="92">
        <f>IFERROR(IF(ISBLANK(INDEX(Backlog[Priority],MATCH($A214,Backlog[Requirement ID],0))),"",INDEX(Backlog[Priority],MATCH($A214,Backlog[Requirement ID],0))),"")</f>
        <v/>
      </c>
      <c r="E213" s="92">
        <f>IFERROR(IF(ISBLANK(INDEX(Backlog[Status],MATCH($A214,Backlog[Requirement ID],0))),"",INDEX(Backlog[Status],MATCH($A214,Backlog[Requirement ID],0))),"")</f>
        <v/>
      </c>
      <c r="F213" s="92" t="n"/>
      <c r="G213" s="92">
        <f>IFERROR(IF(ISBLANK(INDEX(Backlog[HLE],MATCH($A214,Backlog[Requirement ID],0))),"",INDEX(Backlog[HLE],MATCH($A214,Backlog[Requirement ID],0))),"")</f>
        <v/>
      </c>
      <c r="H213" s="92">
        <f>IFERROR(VALUE(SUBSTITUTE($F214,"Sprint ","")),9999)</f>
        <v/>
      </c>
    </row>
    <row r="214" ht="15" customHeight="1" s="93">
      <c r="A214" s="92">
        <f>Backlog!A215</f>
        <v/>
      </c>
      <c r="B214" s="92">
        <f>IFERROR(IF(ISBLANK(INDEX(Backlog[Requirement Name],MATCH($A215,Backlog[Requirement ID],0))),"",INDEX(Backlog[Requirement Name],MATCH($A215,Backlog[Requirement ID],0))),"")</f>
        <v/>
      </c>
      <c r="C214" s="92">
        <f>IFERROR(IF(ISBLANK(INDEX(Backlog[Stream],MATCH($A215,Backlog[Requirement ID],0))),"",INDEX(Backlog[Stream],MATCH($A215,Backlog[Requirement ID],0))),"")</f>
        <v/>
      </c>
      <c r="D214" s="92">
        <f>IFERROR(IF(ISBLANK(INDEX(Backlog[Priority],MATCH($A215,Backlog[Requirement ID],0))),"",INDEX(Backlog[Priority],MATCH($A215,Backlog[Requirement ID],0))),"")</f>
        <v/>
      </c>
      <c r="E214" s="92">
        <f>IFERROR(IF(ISBLANK(INDEX(Backlog[Status],MATCH($A215,Backlog[Requirement ID],0))),"",INDEX(Backlog[Status],MATCH($A215,Backlog[Requirement ID],0))),"")</f>
        <v/>
      </c>
      <c r="F214" s="92" t="n"/>
      <c r="G214" s="92">
        <f>IFERROR(IF(ISBLANK(INDEX(Backlog[HLE],MATCH($A215,Backlog[Requirement ID],0))),"",INDEX(Backlog[HLE],MATCH($A215,Backlog[Requirement ID],0))),"")</f>
        <v/>
      </c>
      <c r="H214" s="92">
        <f>IFERROR(VALUE(SUBSTITUTE($F215,"Sprint ","")),9999)</f>
        <v/>
      </c>
    </row>
    <row r="215" ht="15" customHeight="1" s="93">
      <c r="A215" s="92">
        <f>Backlog!A216</f>
        <v/>
      </c>
      <c r="B215" s="92">
        <f>IFERROR(IF(ISBLANK(INDEX(Backlog[Requirement Name],MATCH($A216,Backlog[Requirement ID],0))),"",INDEX(Backlog[Requirement Name],MATCH($A216,Backlog[Requirement ID],0))),"")</f>
        <v/>
      </c>
      <c r="C215" s="92">
        <f>IFERROR(IF(ISBLANK(INDEX(Backlog[Stream],MATCH($A216,Backlog[Requirement ID],0))),"",INDEX(Backlog[Stream],MATCH($A216,Backlog[Requirement ID],0))),"")</f>
        <v/>
      </c>
      <c r="D215" s="92">
        <f>IFERROR(IF(ISBLANK(INDEX(Backlog[Priority],MATCH($A216,Backlog[Requirement ID],0))),"",INDEX(Backlog[Priority],MATCH($A216,Backlog[Requirement ID],0))),"")</f>
        <v/>
      </c>
      <c r="E215" s="92">
        <f>IFERROR(IF(ISBLANK(INDEX(Backlog[Status],MATCH($A216,Backlog[Requirement ID],0))),"",INDEX(Backlog[Status],MATCH($A216,Backlog[Requirement ID],0))),"")</f>
        <v/>
      </c>
      <c r="F215" s="92" t="n"/>
      <c r="G215" s="92">
        <f>IFERROR(IF(ISBLANK(INDEX(Backlog[HLE],MATCH($A216,Backlog[Requirement ID],0))),"",INDEX(Backlog[HLE],MATCH($A216,Backlog[Requirement ID],0))),"")</f>
        <v/>
      </c>
      <c r="H215" s="92">
        <f>IFERROR(VALUE(SUBSTITUTE($F216,"Sprint ","")),9999)</f>
        <v/>
      </c>
    </row>
    <row r="216" ht="15" customHeight="1" s="93">
      <c r="A216" s="92">
        <f>Backlog!A217</f>
        <v/>
      </c>
      <c r="B216" s="92">
        <f>IFERROR(IF(ISBLANK(INDEX(Backlog[Requirement Name],MATCH($A217,Backlog[Requirement ID],0))),"",INDEX(Backlog[Requirement Name],MATCH($A217,Backlog[Requirement ID],0))),"")</f>
        <v/>
      </c>
      <c r="C216" s="92">
        <f>IFERROR(IF(ISBLANK(INDEX(Backlog[Stream],MATCH($A217,Backlog[Requirement ID],0))),"",INDEX(Backlog[Stream],MATCH($A217,Backlog[Requirement ID],0))),"")</f>
        <v/>
      </c>
      <c r="D216" s="92">
        <f>IFERROR(IF(ISBLANK(INDEX(Backlog[Priority],MATCH($A217,Backlog[Requirement ID],0))),"",INDEX(Backlog[Priority],MATCH($A217,Backlog[Requirement ID],0))),"")</f>
        <v/>
      </c>
      <c r="E216" s="92">
        <f>IFERROR(IF(ISBLANK(INDEX(Backlog[Status],MATCH($A217,Backlog[Requirement ID],0))),"",INDEX(Backlog[Status],MATCH($A217,Backlog[Requirement ID],0))),"")</f>
        <v/>
      </c>
      <c r="F216" s="92" t="n"/>
      <c r="G216" s="92">
        <f>IFERROR(IF(ISBLANK(INDEX(Backlog[HLE],MATCH($A217,Backlog[Requirement ID],0))),"",INDEX(Backlog[HLE],MATCH($A217,Backlog[Requirement ID],0))),"")</f>
        <v/>
      </c>
      <c r="H216" s="92">
        <f>IFERROR(VALUE(SUBSTITUTE($F217,"Sprint ","")),9999)</f>
        <v/>
      </c>
    </row>
    <row r="217" ht="15" customHeight="1" s="93">
      <c r="A217" s="92">
        <f>Backlog!A218</f>
        <v/>
      </c>
      <c r="B217" s="92">
        <f>IFERROR(IF(ISBLANK(INDEX(Backlog[Requirement Name],MATCH($A218,Backlog[Requirement ID],0))),"",INDEX(Backlog[Requirement Name],MATCH($A218,Backlog[Requirement ID],0))),"")</f>
        <v/>
      </c>
      <c r="C217" s="92">
        <f>IFERROR(IF(ISBLANK(INDEX(Backlog[Stream],MATCH($A218,Backlog[Requirement ID],0))),"",INDEX(Backlog[Stream],MATCH($A218,Backlog[Requirement ID],0))),"")</f>
        <v/>
      </c>
      <c r="D217" s="92">
        <f>IFERROR(IF(ISBLANK(INDEX(Backlog[Priority],MATCH($A218,Backlog[Requirement ID],0))),"",INDEX(Backlog[Priority],MATCH($A218,Backlog[Requirement ID],0))),"")</f>
        <v/>
      </c>
      <c r="E217" s="92">
        <f>IFERROR(IF(ISBLANK(INDEX(Backlog[Status],MATCH($A218,Backlog[Requirement ID],0))),"",INDEX(Backlog[Status],MATCH($A218,Backlog[Requirement ID],0))),"")</f>
        <v/>
      </c>
      <c r="F217" s="92" t="n"/>
      <c r="G217" s="92">
        <f>IFERROR(IF(ISBLANK(INDEX(Backlog[HLE],MATCH($A218,Backlog[Requirement ID],0))),"",INDEX(Backlog[HLE],MATCH($A218,Backlog[Requirement ID],0))),"")</f>
        <v/>
      </c>
      <c r="H217" s="92">
        <f>IFERROR(VALUE(SUBSTITUTE($F218,"Sprint ","")),9999)</f>
        <v/>
      </c>
    </row>
    <row r="218" ht="15" customHeight="1" s="93">
      <c r="A218" s="92">
        <f>Backlog!A219</f>
        <v/>
      </c>
      <c r="B218" s="92">
        <f>IFERROR(IF(ISBLANK(INDEX(Backlog[Requirement Name],MATCH($A219,Backlog[Requirement ID],0))),"",INDEX(Backlog[Requirement Name],MATCH($A219,Backlog[Requirement ID],0))),"")</f>
        <v/>
      </c>
      <c r="C218" s="92">
        <f>IFERROR(IF(ISBLANK(INDEX(Backlog[Stream],MATCH($A219,Backlog[Requirement ID],0))),"",INDEX(Backlog[Stream],MATCH($A219,Backlog[Requirement ID],0))),"")</f>
        <v/>
      </c>
      <c r="D218" s="92">
        <f>IFERROR(IF(ISBLANK(INDEX(Backlog[Priority],MATCH($A219,Backlog[Requirement ID],0))),"",INDEX(Backlog[Priority],MATCH($A219,Backlog[Requirement ID],0))),"")</f>
        <v/>
      </c>
      <c r="E218" s="92">
        <f>IFERROR(IF(ISBLANK(INDEX(Backlog[Status],MATCH($A219,Backlog[Requirement ID],0))),"",INDEX(Backlog[Status],MATCH($A219,Backlog[Requirement ID],0))),"")</f>
        <v/>
      </c>
      <c r="F218" s="92" t="n"/>
      <c r="G218" s="92">
        <f>IFERROR(IF(ISBLANK(INDEX(Backlog[HLE],MATCH($A219,Backlog[Requirement ID],0))),"",INDEX(Backlog[HLE],MATCH($A219,Backlog[Requirement ID],0))),"")</f>
        <v/>
      </c>
      <c r="H218" s="92">
        <f>IFERROR(VALUE(SUBSTITUTE($F219,"Sprint ","")),9999)</f>
        <v/>
      </c>
    </row>
    <row r="219" ht="15" customHeight="1" s="93">
      <c r="A219" s="92">
        <f>Backlog!A220</f>
        <v/>
      </c>
      <c r="B219" s="92">
        <f>IFERROR(IF(ISBLANK(INDEX(Backlog[Requirement Name],MATCH($A220,Backlog[Requirement ID],0))),"",INDEX(Backlog[Requirement Name],MATCH($A220,Backlog[Requirement ID],0))),"")</f>
        <v/>
      </c>
      <c r="C219" s="92">
        <f>IFERROR(IF(ISBLANK(INDEX(Backlog[Stream],MATCH($A220,Backlog[Requirement ID],0))),"",INDEX(Backlog[Stream],MATCH($A220,Backlog[Requirement ID],0))),"")</f>
        <v/>
      </c>
      <c r="D219" s="92">
        <f>IFERROR(IF(ISBLANK(INDEX(Backlog[Priority],MATCH($A220,Backlog[Requirement ID],0))),"",INDEX(Backlog[Priority],MATCH($A220,Backlog[Requirement ID],0))),"")</f>
        <v/>
      </c>
      <c r="E219" s="92">
        <f>IFERROR(IF(ISBLANK(INDEX(Backlog[Status],MATCH($A220,Backlog[Requirement ID],0))),"",INDEX(Backlog[Status],MATCH($A220,Backlog[Requirement ID],0))),"")</f>
        <v/>
      </c>
      <c r="F219" s="92" t="n"/>
      <c r="G219" s="92">
        <f>IFERROR(IF(ISBLANK(INDEX(Backlog[HLE],MATCH($A220,Backlog[Requirement ID],0))),"",INDEX(Backlog[HLE],MATCH($A220,Backlog[Requirement ID],0))),"")</f>
        <v/>
      </c>
      <c r="H219" s="92">
        <f>IFERROR(VALUE(SUBSTITUTE($F220,"Sprint ","")),9999)</f>
        <v/>
      </c>
    </row>
    <row r="220" ht="15" customHeight="1" s="93">
      <c r="A220" s="92">
        <f>Backlog!A221</f>
        <v/>
      </c>
      <c r="B220" s="92">
        <f>IFERROR(IF(ISBLANK(INDEX(Backlog[Requirement Name],MATCH($A221,Backlog[Requirement ID],0))),"",INDEX(Backlog[Requirement Name],MATCH($A221,Backlog[Requirement ID],0))),"")</f>
        <v/>
      </c>
      <c r="C220" s="92">
        <f>IFERROR(IF(ISBLANK(INDEX(Backlog[Stream],MATCH($A221,Backlog[Requirement ID],0))),"",INDEX(Backlog[Stream],MATCH($A221,Backlog[Requirement ID],0))),"")</f>
        <v/>
      </c>
      <c r="D220" s="92">
        <f>IFERROR(IF(ISBLANK(INDEX(Backlog[Priority],MATCH($A221,Backlog[Requirement ID],0))),"",INDEX(Backlog[Priority],MATCH($A221,Backlog[Requirement ID],0))),"")</f>
        <v/>
      </c>
      <c r="E220" s="92">
        <f>IFERROR(IF(ISBLANK(INDEX(Backlog[Status],MATCH($A221,Backlog[Requirement ID],0))),"",INDEX(Backlog[Status],MATCH($A221,Backlog[Requirement ID],0))),"")</f>
        <v/>
      </c>
      <c r="F220" s="92" t="n"/>
      <c r="G220" s="92">
        <f>IFERROR(IF(ISBLANK(INDEX(Backlog[HLE],MATCH($A221,Backlog[Requirement ID],0))),"",INDEX(Backlog[HLE],MATCH($A221,Backlog[Requirement ID],0))),"")</f>
        <v/>
      </c>
      <c r="H220" s="92">
        <f>IFERROR(VALUE(SUBSTITUTE($F221,"Sprint ","")),9999)</f>
        <v/>
      </c>
    </row>
    <row r="221" ht="15" customHeight="1" s="93">
      <c r="A221" s="92">
        <f>Backlog!A222</f>
        <v/>
      </c>
      <c r="B221" s="92">
        <f>IFERROR(IF(ISBLANK(INDEX(Backlog[Requirement Name],MATCH($A222,Backlog[Requirement ID],0))),"",INDEX(Backlog[Requirement Name],MATCH($A222,Backlog[Requirement ID],0))),"")</f>
        <v/>
      </c>
      <c r="C221" s="92">
        <f>IFERROR(IF(ISBLANK(INDEX(Backlog[Stream],MATCH($A222,Backlog[Requirement ID],0))),"",INDEX(Backlog[Stream],MATCH($A222,Backlog[Requirement ID],0))),"")</f>
        <v/>
      </c>
      <c r="D221" s="92">
        <f>IFERROR(IF(ISBLANK(INDEX(Backlog[Priority],MATCH($A222,Backlog[Requirement ID],0))),"",INDEX(Backlog[Priority],MATCH($A222,Backlog[Requirement ID],0))),"")</f>
        <v/>
      </c>
      <c r="E221" s="92">
        <f>IFERROR(IF(ISBLANK(INDEX(Backlog[Status],MATCH($A222,Backlog[Requirement ID],0))),"",INDEX(Backlog[Status],MATCH($A222,Backlog[Requirement ID],0))),"")</f>
        <v/>
      </c>
      <c r="F221" s="92" t="n"/>
      <c r="G221" s="92">
        <f>IFERROR(IF(ISBLANK(INDEX(Backlog[HLE],MATCH($A222,Backlog[Requirement ID],0))),"",INDEX(Backlog[HLE],MATCH($A222,Backlog[Requirement ID],0))),"")</f>
        <v/>
      </c>
      <c r="H221" s="92">
        <f>IFERROR(VALUE(SUBSTITUTE($F222,"Sprint ","")),9999)</f>
        <v/>
      </c>
    </row>
    <row r="222" ht="15" customHeight="1" s="93">
      <c r="A222" s="92">
        <f>Backlog!A223</f>
        <v/>
      </c>
      <c r="B222" s="92">
        <f>IFERROR(IF(ISBLANK(INDEX(Backlog[Requirement Name],MATCH($A223,Backlog[Requirement ID],0))),"",INDEX(Backlog[Requirement Name],MATCH($A223,Backlog[Requirement ID],0))),"")</f>
        <v/>
      </c>
      <c r="C222" s="92">
        <f>IFERROR(IF(ISBLANK(INDEX(Backlog[Stream],MATCH($A223,Backlog[Requirement ID],0))),"",INDEX(Backlog[Stream],MATCH($A223,Backlog[Requirement ID],0))),"")</f>
        <v/>
      </c>
      <c r="D222" s="92">
        <f>IFERROR(IF(ISBLANK(INDEX(Backlog[Priority],MATCH($A223,Backlog[Requirement ID],0))),"",INDEX(Backlog[Priority],MATCH($A223,Backlog[Requirement ID],0))),"")</f>
        <v/>
      </c>
      <c r="E222" s="92">
        <f>IFERROR(IF(ISBLANK(INDEX(Backlog[Status],MATCH($A223,Backlog[Requirement ID],0))),"",INDEX(Backlog[Status],MATCH($A223,Backlog[Requirement ID],0))),"")</f>
        <v/>
      </c>
      <c r="F222" s="92" t="n"/>
      <c r="G222" s="92">
        <f>IFERROR(IF(ISBLANK(INDEX(Backlog[HLE],MATCH($A223,Backlog[Requirement ID],0))),"",INDEX(Backlog[HLE],MATCH($A223,Backlog[Requirement ID],0))),"")</f>
        <v/>
      </c>
      <c r="H222" s="92">
        <f>IFERROR(VALUE(SUBSTITUTE($F223,"Sprint ","")),9999)</f>
        <v/>
      </c>
    </row>
    <row r="223" ht="15" customHeight="1" s="93">
      <c r="A223" s="92">
        <f>Backlog!A224</f>
        <v/>
      </c>
      <c r="B223" s="92">
        <f>IFERROR(IF(ISBLANK(INDEX(Backlog[Requirement Name],MATCH($A224,Backlog[Requirement ID],0))),"",INDEX(Backlog[Requirement Name],MATCH($A224,Backlog[Requirement ID],0))),"")</f>
        <v/>
      </c>
      <c r="C223" s="92">
        <f>IFERROR(IF(ISBLANK(INDEX(Backlog[Stream],MATCH($A224,Backlog[Requirement ID],0))),"",INDEX(Backlog[Stream],MATCH($A224,Backlog[Requirement ID],0))),"")</f>
        <v/>
      </c>
      <c r="D223" s="92">
        <f>IFERROR(IF(ISBLANK(INDEX(Backlog[Priority],MATCH($A224,Backlog[Requirement ID],0))),"",INDEX(Backlog[Priority],MATCH($A224,Backlog[Requirement ID],0))),"")</f>
        <v/>
      </c>
      <c r="E223" s="92">
        <f>IFERROR(IF(ISBLANK(INDEX(Backlog[Status],MATCH($A224,Backlog[Requirement ID],0))),"",INDEX(Backlog[Status],MATCH($A224,Backlog[Requirement ID],0))),"")</f>
        <v/>
      </c>
      <c r="F223" s="92" t="n"/>
      <c r="G223" s="92">
        <f>IFERROR(IF(ISBLANK(INDEX(Backlog[HLE],MATCH($A224,Backlog[Requirement ID],0))),"",INDEX(Backlog[HLE],MATCH($A224,Backlog[Requirement ID],0))),"")</f>
        <v/>
      </c>
      <c r="H223" s="92">
        <f>IFERROR(VALUE(SUBSTITUTE($F224,"Sprint ","")),9999)</f>
        <v/>
      </c>
    </row>
    <row r="224" ht="15" customHeight="1" s="93">
      <c r="A224" s="92">
        <f>Backlog!A225</f>
        <v/>
      </c>
      <c r="B224" s="92">
        <f>IFERROR(IF(ISBLANK(INDEX(Backlog[Requirement Name],MATCH($A225,Backlog[Requirement ID],0))),"",INDEX(Backlog[Requirement Name],MATCH($A225,Backlog[Requirement ID],0))),"")</f>
        <v/>
      </c>
      <c r="C224" s="92">
        <f>IFERROR(IF(ISBLANK(INDEX(Backlog[Stream],MATCH($A225,Backlog[Requirement ID],0))),"",INDEX(Backlog[Stream],MATCH($A225,Backlog[Requirement ID],0))),"")</f>
        <v/>
      </c>
      <c r="D224" s="92">
        <f>IFERROR(IF(ISBLANK(INDEX(Backlog[Priority],MATCH($A225,Backlog[Requirement ID],0))),"",INDEX(Backlog[Priority],MATCH($A225,Backlog[Requirement ID],0))),"")</f>
        <v/>
      </c>
      <c r="E224" s="92">
        <f>IFERROR(IF(ISBLANK(INDEX(Backlog[Status],MATCH($A225,Backlog[Requirement ID],0))),"",INDEX(Backlog[Status],MATCH($A225,Backlog[Requirement ID],0))),"")</f>
        <v/>
      </c>
      <c r="F224" s="92" t="n"/>
      <c r="G224" s="92">
        <f>IFERROR(IF(ISBLANK(INDEX(Backlog[HLE],MATCH($A225,Backlog[Requirement ID],0))),"",INDEX(Backlog[HLE],MATCH($A225,Backlog[Requirement ID],0))),"")</f>
        <v/>
      </c>
      <c r="H224" s="92">
        <f>IFERROR(VALUE(SUBSTITUTE($F225,"Sprint ","")),9999)</f>
        <v/>
      </c>
    </row>
    <row r="225" ht="15" customHeight="1" s="93">
      <c r="A225" s="92">
        <f>Backlog!A226</f>
        <v/>
      </c>
      <c r="B225" s="92">
        <f>IFERROR(IF(ISBLANK(INDEX(Backlog[Requirement Name],MATCH($A226,Backlog[Requirement ID],0))),"",INDEX(Backlog[Requirement Name],MATCH($A226,Backlog[Requirement ID],0))),"")</f>
        <v/>
      </c>
      <c r="C225" s="92">
        <f>IFERROR(IF(ISBLANK(INDEX(Backlog[Stream],MATCH($A226,Backlog[Requirement ID],0))),"",INDEX(Backlog[Stream],MATCH($A226,Backlog[Requirement ID],0))),"")</f>
        <v/>
      </c>
      <c r="D225" s="92">
        <f>IFERROR(IF(ISBLANK(INDEX(Backlog[Priority],MATCH($A226,Backlog[Requirement ID],0))),"",INDEX(Backlog[Priority],MATCH($A226,Backlog[Requirement ID],0))),"")</f>
        <v/>
      </c>
      <c r="E225" s="92">
        <f>IFERROR(IF(ISBLANK(INDEX(Backlog[Status],MATCH($A226,Backlog[Requirement ID],0))),"",INDEX(Backlog[Status],MATCH($A226,Backlog[Requirement ID],0))),"")</f>
        <v/>
      </c>
      <c r="F225" s="92" t="n"/>
      <c r="G225" s="92">
        <f>IFERROR(IF(ISBLANK(INDEX(Backlog[HLE],MATCH($A226,Backlog[Requirement ID],0))),"",INDEX(Backlog[HLE],MATCH($A226,Backlog[Requirement ID],0))),"")</f>
        <v/>
      </c>
      <c r="H225" s="92">
        <f>IFERROR(VALUE(SUBSTITUTE($F226,"Sprint ","")),9999)</f>
        <v/>
      </c>
    </row>
    <row r="226" ht="23.25" customHeight="1" s="93">
      <c r="A226" s="92">
        <f>Backlog!A227</f>
        <v/>
      </c>
      <c r="B226" s="92">
        <f>IFERROR(IF(ISBLANK(INDEX(Backlog[Requirement Name],MATCH($A227,Backlog[Requirement ID],0))),"",INDEX(Backlog[Requirement Name],MATCH($A227,Backlog[Requirement ID],0))),"")</f>
        <v/>
      </c>
      <c r="C226" s="92">
        <f>IFERROR(IF(ISBLANK(INDEX(Backlog[Stream],MATCH($A227,Backlog[Requirement ID],0))),"",INDEX(Backlog[Stream],MATCH($A227,Backlog[Requirement ID],0))),"")</f>
        <v/>
      </c>
      <c r="D226" s="92">
        <f>IFERROR(IF(ISBLANK(INDEX(Backlog[Priority],MATCH($A227,Backlog[Requirement ID],0))),"",INDEX(Backlog[Priority],MATCH($A227,Backlog[Requirement ID],0))),"")</f>
        <v/>
      </c>
      <c r="E226" s="92">
        <f>IFERROR(IF(ISBLANK(INDEX(Backlog[Status],MATCH($A227,Backlog[Requirement ID],0))),"",INDEX(Backlog[Status],MATCH($A227,Backlog[Requirement ID],0))),"")</f>
        <v/>
      </c>
      <c r="F226" s="92" t="n"/>
      <c r="G226" s="92">
        <f>IFERROR(IF(ISBLANK(INDEX(Backlog[HLE],MATCH($A227,Backlog[Requirement ID],0))),"",INDEX(Backlog[HLE],MATCH($A227,Backlog[Requirement ID],0))),"")</f>
        <v/>
      </c>
      <c r="H226" s="92">
        <f>IFERROR(VALUE(SUBSTITUTE($F227,"Sprint ","")),9999)</f>
        <v/>
      </c>
    </row>
    <row r="227" ht="15" customHeight="1" s="93">
      <c r="A227" s="92">
        <f>Backlog!A228</f>
        <v/>
      </c>
      <c r="B227" s="92">
        <f>IFERROR(IF(ISBLANK(INDEX(Backlog[Requirement Name],MATCH($A228,Backlog[Requirement ID],0))),"",INDEX(Backlog[Requirement Name],MATCH($A228,Backlog[Requirement ID],0))),"")</f>
        <v/>
      </c>
      <c r="C227" s="92">
        <f>IFERROR(IF(ISBLANK(INDEX(Backlog[Stream],MATCH($A228,Backlog[Requirement ID],0))),"",INDEX(Backlog[Stream],MATCH($A228,Backlog[Requirement ID],0))),"")</f>
        <v/>
      </c>
      <c r="D227" s="92">
        <f>IFERROR(IF(ISBLANK(INDEX(Backlog[Priority],MATCH($A228,Backlog[Requirement ID],0))),"",INDEX(Backlog[Priority],MATCH($A228,Backlog[Requirement ID],0))),"")</f>
        <v/>
      </c>
      <c r="E227" s="92">
        <f>IFERROR(IF(ISBLANK(INDEX(Backlog[Status],MATCH($A228,Backlog[Requirement ID],0))),"",INDEX(Backlog[Status],MATCH($A228,Backlog[Requirement ID],0))),"")</f>
        <v/>
      </c>
      <c r="F227" s="92" t="n"/>
      <c r="G227" s="92">
        <f>IFERROR(IF(ISBLANK(INDEX(Backlog[HLE],MATCH($A228,Backlog[Requirement ID],0))),"",INDEX(Backlog[HLE],MATCH($A228,Backlog[Requirement ID],0))),"")</f>
        <v/>
      </c>
      <c r="H227" s="92">
        <f>IFERROR(VALUE(SUBSTITUTE($F228,"Sprint ","")),9999)</f>
        <v/>
      </c>
    </row>
    <row r="228" ht="15" customHeight="1" s="93">
      <c r="A228" s="92">
        <f>Backlog!A229</f>
        <v/>
      </c>
      <c r="B228" s="92">
        <f>IFERROR(IF(ISBLANK(INDEX(Backlog[Requirement Name],MATCH($A229,Backlog[Requirement ID],0))),"",INDEX(Backlog[Requirement Name],MATCH($A229,Backlog[Requirement ID],0))),"")</f>
        <v/>
      </c>
      <c r="C228" s="92">
        <f>IFERROR(IF(ISBLANK(INDEX(Backlog[Stream],MATCH($A229,Backlog[Requirement ID],0))),"",INDEX(Backlog[Stream],MATCH($A229,Backlog[Requirement ID],0))),"")</f>
        <v/>
      </c>
      <c r="D228" s="92">
        <f>IFERROR(IF(ISBLANK(INDEX(Backlog[Priority],MATCH($A229,Backlog[Requirement ID],0))),"",INDEX(Backlog[Priority],MATCH($A229,Backlog[Requirement ID],0))),"")</f>
        <v/>
      </c>
      <c r="E228" s="92">
        <f>IFERROR(IF(ISBLANK(INDEX(Backlog[Status],MATCH($A229,Backlog[Requirement ID],0))),"",INDEX(Backlog[Status],MATCH($A229,Backlog[Requirement ID],0))),"")</f>
        <v/>
      </c>
      <c r="F228" s="92" t="n"/>
      <c r="G228" s="92">
        <f>IFERROR(IF(ISBLANK(INDEX(Backlog[HLE],MATCH($A229,Backlog[Requirement ID],0))),"",INDEX(Backlog[HLE],MATCH($A229,Backlog[Requirement ID],0))),"")</f>
        <v/>
      </c>
      <c r="H228" s="92">
        <f>IFERROR(VALUE(SUBSTITUTE($F229,"Sprint ","")),9999)</f>
        <v/>
      </c>
    </row>
    <row r="229" ht="15" customHeight="1" s="93">
      <c r="A229" s="92">
        <f>Backlog!A230</f>
        <v/>
      </c>
      <c r="B229" s="92">
        <f>IFERROR(IF(ISBLANK(INDEX(Backlog[Requirement Name],MATCH($A230,Backlog[Requirement ID],0))),"",INDEX(Backlog[Requirement Name],MATCH($A230,Backlog[Requirement ID],0))),"")</f>
        <v/>
      </c>
      <c r="C229" s="92">
        <f>IFERROR(IF(ISBLANK(INDEX(Backlog[Stream],MATCH($A230,Backlog[Requirement ID],0))),"",INDEX(Backlog[Stream],MATCH($A230,Backlog[Requirement ID],0))),"")</f>
        <v/>
      </c>
      <c r="D229" s="92">
        <f>IFERROR(IF(ISBLANK(INDEX(Backlog[Priority],MATCH($A230,Backlog[Requirement ID],0))),"",INDEX(Backlog[Priority],MATCH($A230,Backlog[Requirement ID],0))),"")</f>
        <v/>
      </c>
      <c r="E229" s="92">
        <f>IFERROR(IF(ISBLANK(INDEX(Backlog[Status],MATCH($A230,Backlog[Requirement ID],0))),"",INDEX(Backlog[Status],MATCH($A230,Backlog[Requirement ID],0))),"")</f>
        <v/>
      </c>
      <c r="F229" s="92" t="n"/>
      <c r="G229" s="92">
        <f>IFERROR(IF(ISBLANK(INDEX(Backlog[HLE],MATCH($A230,Backlog[Requirement ID],0))),"",INDEX(Backlog[HLE],MATCH($A230,Backlog[Requirement ID],0))),"")</f>
        <v/>
      </c>
      <c r="H229" s="92">
        <f>IFERROR(VALUE(SUBSTITUTE($F230,"Sprint ","")),9999)</f>
        <v/>
      </c>
    </row>
    <row r="230" ht="15" customHeight="1" s="93">
      <c r="A230" s="92">
        <f>Backlog!A231</f>
        <v/>
      </c>
      <c r="B230" s="92">
        <f>IFERROR(IF(ISBLANK(INDEX(Backlog[Requirement Name],MATCH($A231,Backlog[Requirement ID],0))),"",INDEX(Backlog[Requirement Name],MATCH($A231,Backlog[Requirement ID],0))),"")</f>
        <v/>
      </c>
      <c r="C230" s="92">
        <f>IFERROR(IF(ISBLANK(INDEX(Backlog[Stream],MATCH($A231,Backlog[Requirement ID],0))),"",INDEX(Backlog[Stream],MATCH($A231,Backlog[Requirement ID],0))),"")</f>
        <v/>
      </c>
      <c r="D230" s="92">
        <f>IFERROR(IF(ISBLANK(INDEX(Backlog[Priority],MATCH($A231,Backlog[Requirement ID],0))),"",INDEX(Backlog[Priority],MATCH($A231,Backlog[Requirement ID],0))),"")</f>
        <v/>
      </c>
      <c r="E230" s="92">
        <f>IFERROR(IF(ISBLANK(INDEX(Backlog[Status],MATCH($A231,Backlog[Requirement ID],0))),"",INDEX(Backlog[Status],MATCH($A231,Backlog[Requirement ID],0))),"")</f>
        <v/>
      </c>
      <c r="F230" s="92" t="n"/>
      <c r="G230" s="92">
        <f>IFERROR(IF(ISBLANK(INDEX(Backlog[HLE],MATCH($A231,Backlog[Requirement ID],0))),"",INDEX(Backlog[HLE],MATCH($A231,Backlog[Requirement ID],0))),"")</f>
        <v/>
      </c>
      <c r="H230" s="92">
        <f>IFERROR(VALUE(SUBSTITUTE($F231,"Sprint ","")),9999)</f>
        <v/>
      </c>
    </row>
    <row r="231" ht="15" customHeight="1" s="93">
      <c r="A231" s="92">
        <f>Backlog!A232</f>
        <v/>
      </c>
      <c r="B231" s="92">
        <f>IFERROR(IF(ISBLANK(INDEX(Backlog[Requirement Name],MATCH($A232,Backlog[Requirement ID],0))),"",INDEX(Backlog[Requirement Name],MATCH($A232,Backlog[Requirement ID],0))),"")</f>
        <v/>
      </c>
      <c r="C231" s="92">
        <f>IFERROR(IF(ISBLANK(INDEX(Backlog[Stream],MATCH($A232,Backlog[Requirement ID],0))),"",INDEX(Backlog[Stream],MATCH($A232,Backlog[Requirement ID],0))),"")</f>
        <v/>
      </c>
      <c r="D231" s="92">
        <f>IFERROR(IF(ISBLANK(INDEX(Backlog[Priority],MATCH($A232,Backlog[Requirement ID],0))),"",INDEX(Backlog[Priority],MATCH($A232,Backlog[Requirement ID],0))),"")</f>
        <v/>
      </c>
      <c r="E231" s="92">
        <f>IFERROR(IF(ISBLANK(INDEX(Backlog[Status],MATCH($A232,Backlog[Requirement ID],0))),"",INDEX(Backlog[Status],MATCH($A232,Backlog[Requirement ID],0))),"")</f>
        <v/>
      </c>
      <c r="F231" s="92" t="n"/>
      <c r="G231" s="92">
        <f>IFERROR(IF(ISBLANK(INDEX(Backlog[HLE],MATCH($A232,Backlog[Requirement ID],0))),"",INDEX(Backlog[HLE],MATCH($A232,Backlog[Requirement ID],0))),"")</f>
        <v/>
      </c>
      <c r="H231" s="92">
        <f>IFERROR(VALUE(SUBSTITUTE($F232,"Sprint ","")),9999)</f>
        <v/>
      </c>
    </row>
    <row r="232" ht="15" customHeight="1" s="93">
      <c r="A232" s="92">
        <f>Backlog!A233</f>
        <v/>
      </c>
      <c r="B232" s="92">
        <f>IFERROR(IF(ISBLANK(INDEX(Backlog[Requirement Name],MATCH($A233,Backlog[Requirement ID],0))),"",INDEX(Backlog[Requirement Name],MATCH($A233,Backlog[Requirement ID],0))),"")</f>
        <v/>
      </c>
      <c r="C232" s="92">
        <f>IFERROR(IF(ISBLANK(INDEX(Backlog[Stream],MATCH($A233,Backlog[Requirement ID],0))),"",INDEX(Backlog[Stream],MATCH($A233,Backlog[Requirement ID],0))),"")</f>
        <v/>
      </c>
      <c r="D232" s="92">
        <f>IFERROR(IF(ISBLANK(INDEX(Backlog[Priority],MATCH($A233,Backlog[Requirement ID],0))),"",INDEX(Backlog[Priority],MATCH($A233,Backlog[Requirement ID],0))),"")</f>
        <v/>
      </c>
      <c r="E232" s="92">
        <f>IFERROR(IF(ISBLANK(INDEX(Backlog[Status],MATCH($A233,Backlog[Requirement ID],0))),"",INDEX(Backlog[Status],MATCH($A233,Backlog[Requirement ID],0))),"")</f>
        <v/>
      </c>
      <c r="F232" s="92" t="n"/>
      <c r="G232" s="92">
        <f>IFERROR(IF(ISBLANK(INDEX(Backlog[HLE],MATCH($A233,Backlog[Requirement ID],0))),"",INDEX(Backlog[HLE],MATCH($A233,Backlog[Requirement ID],0))),"")</f>
        <v/>
      </c>
      <c r="H232" s="92">
        <f>IFERROR(VALUE(SUBSTITUTE($F233,"Sprint ","")),9999)</f>
        <v/>
      </c>
    </row>
    <row r="233" ht="15" customHeight="1" s="93">
      <c r="A233" s="92">
        <f>Backlog!A234</f>
        <v/>
      </c>
      <c r="B233" s="92">
        <f>IFERROR(IF(ISBLANK(INDEX(Backlog[Requirement Name],MATCH($A234,Backlog[Requirement ID],0))),"",INDEX(Backlog[Requirement Name],MATCH($A234,Backlog[Requirement ID],0))),"")</f>
        <v/>
      </c>
      <c r="C233" s="92">
        <f>IFERROR(IF(ISBLANK(INDEX(Backlog[Stream],MATCH($A234,Backlog[Requirement ID],0))),"",INDEX(Backlog[Stream],MATCH($A234,Backlog[Requirement ID],0))),"")</f>
        <v/>
      </c>
      <c r="D233" s="92">
        <f>IFERROR(IF(ISBLANK(INDEX(Backlog[Priority],MATCH($A234,Backlog[Requirement ID],0))),"",INDEX(Backlog[Priority],MATCH($A234,Backlog[Requirement ID],0))),"")</f>
        <v/>
      </c>
      <c r="E233" s="92">
        <f>IFERROR(IF(ISBLANK(INDEX(Backlog[Status],MATCH($A234,Backlog[Requirement ID],0))),"",INDEX(Backlog[Status],MATCH($A234,Backlog[Requirement ID],0))),"")</f>
        <v/>
      </c>
      <c r="F233" s="92" t="n"/>
      <c r="G233" s="92">
        <f>IFERROR(IF(ISBLANK(INDEX(Backlog[HLE],MATCH($A234,Backlog[Requirement ID],0))),"",INDEX(Backlog[HLE],MATCH($A234,Backlog[Requirement ID],0))),"")</f>
        <v/>
      </c>
      <c r="H233" s="92">
        <f>IFERROR(VALUE(SUBSTITUTE($F234,"Sprint ","")),9999)</f>
        <v/>
      </c>
    </row>
    <row r="234" ht="15" customHeight="1" s="93">
      <c r="A234" s="92">
        <f>Backlog!A235</f>
        <v/>
      </c>
      <c r="B234" s="92">
        <f>IFERROR(IF(ISBLANK(INDEX(Backlog[Requirement Name],MATCH($A235,Backlog[Requirement ID],0))),"",INDEX(Backlog[Requirement Name],MATCH($A235,Backlog[Requirement ID],0))),"")</f>
        <v/>
      </c>
      <c r="C234" s="92">
        <f>IFERROR(IF(ISBLANK(INDEX(Backlog[Stream],MATCH($A235,Backlog[Requirement ID],0))),"",INDEX(Backlog[Stream],MATCH($A235,Backlog[Requirement ID],0))),"")</f>
        <v/>
      </c>
      <c r="D234" s="92">
        <f>IFERROR(IF(ISBLANK(INDEX(Backlog[Priority],MATCH($A235,Backlog[Requirement ID],0))),"",INDEX(Backlog[Priority],MATCH($A235,Backlog[Requirement ID],0))),"")</f>
        <v/>
      </c>
      <c r="E234" s="92">
        <f>IFERROR(IF(ISBLANK(INDEX(Backlog[Status],MATCH($A235,Backlog[Requirement ID],0))),"",INDEX(Backlog[Status],MATCH($A235,Backlog[Requirement ID],0))),"")</f>
        <v/>
      </c>
      <c r="F234" s="92" t="n"/>
      <c r="G234" s="92">
        <f>IFERROR(IF(ISBLANK(INDEX(Backlog[HLE],MATCH($A235,Backlog[Requirement ID],0))),"",INDEX(Backlog[HLE],MATCH($A235,Backlog[Requirement ID],0))),"")</f>
        <v/>
      </c>
      <c r="H234" s="92">
        <f>IFERROR(VALUE(SUBSTITUTE($F235,"Sprint ","")),9999)</f>
        <v/>
      </c>
    </row>
    <row r="235" ht="15" customHeight="1" s="93">
      <c r="A235" s="92">
        <f>Backlog!A236</f>
        <v/>
      </c>
      <c r="B235" s="92">
        <f>IFERROR(IF(ISBLANK(INDEX(Backlog[Requirement Name],MATCH($A236,Backlog[Requirement ID],0))),"",INDEX(Backlog[Requirement Name],MATCH($A236,Backlog[Requirement ID],0))),"")</f>
        <v/>
      </c>
      <c r="C235" s="92">
        <f>IFERROR(IF(ISBLANK(INDEX(Backlog[Stream],MATCH($A236,Backlog[Requirement ID],0))),"",INDEX(Backlog[Stream],MATCH($A236,Backlog[Requirement ID],0))),"")</f>
        <v/>
      </c>
      <c r="D235" s="92">
        <f>IFERROR(IF(ISBLANK(INDEX(Backlog[Priority],MATCH($A236,Backlog[Requirement ID],0))),"",INDEX(Backlog[Priority],MATCH($A236,Backlog[Requirement ID],0))),"")</f>
        <v/>
      </c>
      <c r="E235" s="92">
        <f>IFERROR(IF(ISBLANK(INDEX(Backlog[Status],MATCH($A236,Backlog[Requirement ID],0))),"",INDEX(Backlog[Status],MATCH($A236,Backlog[Requirement ID],0))),"")</f>
        <v/>
      </c>
      <c r="F235" s="92" t="n"/>
      <c r="G235" s="92">
        <f>IFERROR(IF(ISBLANK(INDEX(Backlog[HLE],MATCH($A236,Backlog[Requirement ID],0))),"",INDEX(Backlog[HLE],MATCH($A236,Backlog[Requirement ID],0))),"")</f>
        <v/>
      </c>
      <c r="H235" s="92">
        <f>IFERROR(VALUE(SUBSTITUTE($F236,"Sprint ","")),9999)</f>
        <v/>
      </c>
    </row>
    <row r="236" ht="15" customHeight="1" s="93">
      <c r="A236" s="92">
        <f>Backlog!A237</f>
        <v/>
      </c>
      <c r="B236" s="92">
        <f>IFERROR(IF(ISBLANK(INDEX(Backlog[Requirement Name],MATCH($A237,Backlog[Requirement ID],0))),"",INDEX(Backlog[Requirement Name],MATCH($A237,Backlog[Requirement ID],0))),"")</f>
        <v/>
      </c>
      <c r="C236" s="92">
        <f>IFERROR(IF(ISBLANK(INDEX(Backlog[Stream],MATCH($A237,Backlog[Requirement ID],0))),"",INDEX(Backlog[Stream],MATCH($A237,Backlog[Requirement ID],0))),"")</f>
        <v/>
      </c>
      <c r="D236" s="92">
        <f>IFERROR(IF(ISBLANK(INDEX(Backlog[Priority],MATCH($A237,Backlog[Requirement ID],0))),"",INDEX(Backlog[Priority],MATCH($A237,Backlog[Requirement ID],0))),"")</f>
        <v/>
      </c>
      <c r="E236" s="92">
        <f>IFERROR(IF(ISBLANK(INDEX(Backlog[Status],MATCH($A237,Backlog[Requirement ID],0))),"",INDEX(Backlog[Status],MATCH($A237,Backlog[Requirement ID],0))),"")</f>
        <v/>
      </c>
      <c r="F236" s="92" t="n"/>
      <c r="G236" s="92">
        <f>IFERROR(IF(ISBLANK(INDEX(Backlog[HLE],MATCH($A237,Backlog[Requirement ID],0))),"",INDEX(Backlog[HLE],MATCH($A237,Backlog[Requirement ID],0))),"")</f>
        <v/>
      </c>
      <c r="H236" s="92">
        <f>IFERROR(VALUE(SUBSTITUTE($F237,"Sprint ","")),9999)</f>
        <v/>
      </c>
    </row>
    <row r="237" ht="15" customHeight="1" s="93">
      <c r="A237" s="92">
        <f>Backlog!A238</f>
        <v/>
      </c>
      <c r="B237" s="92">
        <f>IFERROR(IF(ISBLANK(INDEX(Backlog[Requirement Name],MATCH($A238,Backlog[Requirement ID],0))),"",INDEX(Backlog[Requirement Name],MATCH($A238,Backlog[Requirement ID],0))),"")</f>
        <v/>
      </c>
      <c r="C237" s="92">
        <f>IFERROR(IF(ISBLANK(INDEX(Backlog[Stream],MATCH($A238,Backlog[Requirement ID],0))),"",INDEX(Backlog[Stream],MATCH($A238,Backlog[Requirement ID],0))),"")</f>
        <v/>
      </c>
      <c r="D237" s="92">
        <f>IFERROR(IF(ISBLANK(INDEX(Backlog[Priority],MATCH($A238,Backlog[Requirement ID],0))),"",INDEX(Backlog[Priority],MATCH($A238,Backlog[Requirement ID],0))),"")</f>
        <v/>
      </c>
      <c r="E237" s="92">
        <f>IFERROR(IF(ISBLANK(INDEX(Backlog[Status],MATCH($A238,Backlog[Requirement ID],0))),"",INDEX(Backlog[Status],MATCH($A238,Backlog[Requirement ID],0))),"")</f>
        <v/>
      </c>
      <c r="F237" s="92" t="n"/>
      <c r="G237" s="92">
        <f>IFERROR(IF(ISBLANK(INDEX(Backlog[HLE],MATCH($A238,Backlog[Requirement ID],0))),"",INDEX(Backlog[HLE],MATCH($A238,Backlog[Requirement ID],0))),"")</f>
        <v/>
      </c>
      <c r="H237" s="92">
        <f>IFERROR(VALUE(SUBSTITUTE($F238,"Sprint ","")),9999)</f>
        <v/>
      </c>
    </row>
    <row r="238" ht="15" customHeight="1" s="93">
      <c r="A238" s="92">
        <f>Backlog!A239</f>
        <v/>
      </c>
      <c r="B238" s="92">
        <f>IFERROR(IF(ISBLANK(INDEX(Backlog[Requirement Name],MATCH($A239,Backlog[Requirement ID],0))),"",INDEX(Backlog[Requirement Name],MATCH($A239,Backlog[Requirement ID],0))),"")</f>
        <v/>
      </c>
      <c r="C238" s="92">
        <f>IFERROR(IF(ISBLANK(INDEX(Backlog[Stream],MATCH($A239,Backlog[Requirement ID],0))),"",INDEX(Backlog[Stream],MATCH($A239,Backlog[Requirement ID],0))),"")</f>
        <v/>
      </c>
      <c r="D238" s="92">
        <f>IFERROR(IF(ISBLANK(INDEX(Backlog[Priority],MATCH($A239,Backlog[Requirement ID],0))),"",INDEX(Backlog[Priority],MATCH($A239,Backlog[Requirement ID],0))),"")</f>
        <v/>
      </c>
      <c r="E238" s="92">
        <f>IFERROR(IF(ISBLANK(INDEX(Backlog[Status],MATCH($A239,Backlog[Requirement ID],0))),"",INDEX(Backlog[Status],MATCH($A239,Backlog[Requirement ID],0))),"")</f>
        <v/>
      </c>
      <c r="F238" s="92" t="n"/>
      <c r="G238" s="92">
        <f>IFERROR(IF(ISBLANK(INDEX(Backlog[HLE],MATCH($A239,Backlog[Requirement ID],0))),"",INDEX(Backlog[HLE],MATCH($A239,Backlog[Requirement ID],0))),"")</f>
        <v/>
      </c>
      <c r="H238" s="92">
        <f>IFERROR(VALUE(SUBSTITUTE($F239,"Sprint ","")),9999)</f>
        <v/>
      </c>
    </row>
    <row r="239" ht="15" customHeight="1" s="93">
      <c r="A239" s="92">
        <f>Backlog!A240</f>
        <v/>
      </c>
      <c r="B239" s="92">
        <f>IFERROR(IF(ISBLANK(INDEX(Backlog[Requirement Name],MATCH($A240,Backlog[Requirement ID],0))),"",INDEX(Backlog[Requirement Name],MATCH($A240,Backlog[Requirement ID],0))),"")</f>
        <v/>
      </c>
      <c r="C239" s="92">
        <f>IFERROR(IF(ISBLANK(INDEX(Backlog[Stream],MATCH($A240,Backlog[Requirement ID],0))),"",INDEX(Backlog[Stream],MATCH($A240,Backlog[Requirement ID],0))),"")</f>
        <v/>
      </c>
      <c r="D239" s="92">
        <f>IFERROR(IF(ISBLANK(INDEX(Backlog[Priority],MATCH($A240,Backlog[Requirement ID],0))),"",INDEX(Backlog[Priority],MATCH($A240,Backlog[Requirement ID],0))),"")</f>
        <v/>
      </c>
      <c r="E239" s="92">
        <f>IFERROR(IF(ISBLANK(INDEX(Backlog[Status],MATCH($A240,Backlog[Requirement ID],0))),"",INDEX(Backlog[Status],MATCH($A240,Backlog[Requirement ID],0))),"")</f>
        <v/>
      </c>
      <c r="F239" s="92" t="n"/>
      <c r="G239" s="92">
        <f>IFERROR(IF(ISBLANK(INDEX(Backlog[HLE],MATCH($A240,Backlog[Requirement ID],0))),"",INDEX(Backlog[HLE],MATCH($A240,Backlog[Requirement ID],0))),"")</f>
        <v/>
      </c>
      <c r="H239" s="92">
        <f>IFERROR(VALUE(SUBSTITUTE($F240,"Sprint ","")),9999)</f>
        <v/>
      </c>
    </row>
    <row r="240" ht="15" customHeight="1" s="93">
      <c r="A240" s="92">
        <f>Backlog!A241</f>
        <v/>
      </c>
      <c r="B240" s="92">
        <f>IFERROR(IF(ISBLANK(INDEX(Backlog[Requirement Name],MATCH($A241,Backlog[Requirement ID],0))),"",INDEX(Backlog[Requirement Name],MATCH($A241,Backlog[Requirement ID],0))),"")</f>
        <v/>
      </c>
      <c r="C240" s="92">
        <f>IFERROR(IF(ISBLANK(INDEX(Backlog[Stream],MATCH($A241,Backlog[Requirement ID],0))),"",INDEX(Backlog[Stream],MATCH($A241,Backlog[Requirement ID],0))),"")</f>
        <v/>
      </c>
      <c r="D240" s="92">
        <f>IFERROR(IF(ISBLANK(INDEX(Backlog[Priority],MATCH($A241,Backlog[Requirement ID],0))),"",INDEX(Backlog[Priority],MATCH($A241,Backlog[Requirement ID],0))),"")</f>
        <v/>
      </c>
      <c r="E240" s="92">
        <f>IFERROR(IF(ISBLANK(INDEX(Backlog[Status],MATCH($A241,Backlog[Requirement ID],0))),"",INDEX(Backlog[Status],MATCH($A241,Backlog[Requirement ID],0))),"")</f>
        <v/>
      </c>
      <c r="F240" s="92" t="n"/>
      <c r="G240" s="92">
        <f>IFERROR(IF(ISBLANK(INDEX(Backlog[HLE],MATCH($A241,Backlog[Requirement ID],0))),"",INDEX(Backlog[HLE],MATCH($A241,Backlog[Requirement ID],0))),"")</f>
        <v/>
      </c>
      <c r="H240" s="92">
        <f>IFERROR(VALUE(SUBSTITUTE($F241,"Sprint ","")),9999)</f>
        <v/>
      </c>
    </row>
    <row r="241" ht="15" customHeight="1" s="93">
      <c r="A241" s="92">
        <f>Backlog!A242</f>
        <v/>
      </c>
      <c r="B241" s="92">
        <f>IFERROR(IF(ISBLANK(INDEX(Backlog[Requirement Name],MATCH($A242,Backlog[Requirement ID],0))),"",INDEX(Backlog[Requirement Name],MATCH($A242,Backlog[Requirement ID],0))),"")</f>
        <v/>
      </c>
      <c r="C241" s="92">
        <f>IFERROR(IF(ISBLANK(INDEX(Backlog[Stream],MATCH($A242,Backlog[Requirement ID],0))),"",INDEX(Backlog[Stream],MATCH($A242,Backlog[Requirement ID],0))),"")</f>
        <v/>
      </c>
      <c r="D241" s="92">
        <f>IFERROR(IF(ISBLANK(INDEX(Backlog[Priority],MATCH($A242,Backlog[Requirement ID],0))),"",INDEX(Backlog[Priority],MATCH($A242,Backlog[Requirement ID],0))),"")</f>
        <v/>
      </c>
      <c r="E241" s="92">
        <f>IFERROR(IF(ISBLANK(INDEX(Backlog[Status],MATCH($A242,Backlog[Requirement ID],0))),"",INDEX(Backlog[Status],MATCH($A242,Backlog[Requirement ID],0))),"")</f>
        <v/>
      </c>
      <c r="F241" s="92" t="n"/>
      <c r="G241" s="92">
        <f>IFERROR(IF(ISBLANK(INDEX(Backlog[HLE],MATCH($A242,Backlog[Requirement ID],0))),"",INDEX(Backlog[HLE],MATCH($A242,Backlog[Requirement ID],0))),"")</f>
        <v/>
      </c>
      <c r="H241" s="92">
        <f>IFERROR(VALUE(SUBSTITUTE($F242,"Sprint ","")),9999)</f>
        <v/>
      </c>
    </row>
    <row r="242" ht="15" customHeight="1" s="93">
      <c r="A242" s="92">
        <f>Backlog!A243</f>
        <v/>
      </c>
      <c r="B242" s="92">
        <f>IFERROR(IF(ISBLANK(INDEX(Backlog[Requirement Name],MATCH($A243,Backlog[Requirement ID],0))),"",INDEX(Backlog[Requirement Name],MATCH($A243,Backlog[Requirement ID],0))),"")</f>
        <v/>
      </c>
      <c r="C242" s="92">
        <f>IFERROR(IF(ISBLANK(INDEX(Backlog[Stream],MATCH($A243,Backlog[Requirement ID],0))),"",INDEX(Backlog[Stream],MATCH($A243,Backlog[Requirement ID],0))),"")</f>
        <v/>
      </c>
      <c r="D242" s="92">
        <f>IFERROR(IF(ISBLANK(INDEX(Backlog[Priority],MATCH($A243,Backlog[Requirement ID],0))),"",INDEX(Backlog[Priority],MATCH($A243,Backlog[Requirement ID],0))),"")</f>
        <v/>
      </c>
      <c r="E242" s="92">
        <f>IFERROR(IF(ISBLANK(INDEX(Backlog[Status],MATCH($A243,Backlog[Requirement ID],0))),"",INDEX(Backlog[Status],MATCH($A243,Backlog[Requirement ID],0))),"")</f>
        <v/>
      </c>
      <c r="F242" s="92" t="n"/>
      <c r="G242" s="92">
        <f>IFERROR(IF(ISBLANK(INDEX(Backlog[HLE],MATCH($A243,Backlog[Requirement ID],0))),"",INDEX(Backlog[HLE],MATCH($A243,Backlog[Requirement ID],0))),"")</f>
        <v/>
      </c>
      <c r="H242" s="92">
        <f>IFERROR(VALUE(SUBSTITUTE($F243,"Sprint ","")),9999)</f>
        <v/>
      </c>
    </row>
    <row r="243" ht="15" customHeight="1" s="93">
      <c r="A243" s="92">
        <f>Backlog!A244</f>
        <v/>
      </c>
      <c r="B243" s="92">
        <f>IFERROR(IF(ISBLANK(INDEX(Backlog[Requirement Name],MATCH($A244,Backlog[Requirement ID],0))),"",INDEX(Backlog[Requirement Name],MATCH($A244,Backlog[Requirement ID],0))),"")</f>
        <v/>
      </c>
      <c r="C243" s="92">
        <f>IFERROR(IF(ISBLANK(INDEX(Backlog[Stream],MATCH($A244,Backlog[Requirement ID],0))),"",INDEX(Backlog[Stream],MATCH($A244,Backlog[Requirement ID],0))),"")</f>
        <v/>
      </c>
      <c r="D243" s="92">
        <f>IFERROR(IF(ISBLANK(INDEX(Backlog[Priority],MATCH($A244,Backlog[Requirement ID],0))),"",INDEX(Backlog[Priority],MATCH($A244,Backlog[Requirement ID],0))),"")</f>
        <v/>
      </c>
      <c r="E243" s="92">
        <f>IFERROR(IF(ISBLANK(INDEX(Backlog[Status],MATCH($A244,Backlog[Requirement ID],0))),"",INDEX(Backlog[Status],MATCH($A244,Backlog[Requirement ID],0))),"")</f>
        <v/>
      </c>
      <c r="F243" s="92" t="n"/>
      <c r="G243" s="92">
        <f>IFERROR(IF(ISBLANK(INDEX(Backlog[HLE],MATCH($A244,Backlog[Requirement ID],0))),"",INDEX(Backlog[HLE],MATCH($A244,Backlog[Requirement ID],0))),"")</f>
        <v/>
      </c>
      <c r="H243" s="92">
        <f>IFERROR(VALUE(SUBSTITUTE($F244,"Sprint ","")),9999)</f>
        <v/>
      </c>
    </row>
    <row r="244" ht="15" customHeight="1" s="93">
      <c r="A244" s="92">
        <f>Backlog!A245</f>
        <v/>
      </c>
      <c r="B244" s="92">
        <f>IFERROR(IF(ISBLANK(INDEX(Backlog[Requirement Name],MATCH($A245,Backlog[Requirement ID],0))),"",INDEX(Backlog[Requirement Name],MATCH($A245,Backlog[Requirement ID],0))),"")</f>
        <v/>
      </c>
      <c r="C244" s="92">
        <f>IFERROR(IF(ISBLANK(INDEX(Backlog[Stream],MATCH($A245,Backlog[Requirement ID],0))),"",INDEX(Backlog[Stream],MATCH($A245,Backlog[Requirement ID],0))),"")</f>
        <v/>
      </c>
      <c r="D244" s="92">
        <f>IFERROR(IF(ISBLANK(INDEX(Backlog[Priority],MATCH($A245,Backlog[Requirement ID],0))),"",INDEX(Backlog[Priority],MATCH($A245,Backlog[Requirement ID],0))),"")</f>
        <v/>
      </c>
      <c r="E244" s="92">
        <f>IFERROR(IF(ISBLANK(INDEX(Backlog[Status],MATCH($A245,Backlog[Requirement ID],0))),"",INDEX(Backlog[Status],MATCH($A245,Backlog[Requirement ID],0))),"")</f>
        <v/>
      </c>
      <c r="F244" s="92" t="n"/>
      <c r="G244" s="92">
        <f>IFERROR(IF(ISBLANK(INDEX(Backlog[HLE],MATCH($A245,Backlog[Requirement ID],0))),"",INDEX(Backlog[HLE],MATCH($A245,Backlog[Requirement ID],0))),"")</f>
        <v/>
      </c>
      <c r="H244" s="92">
        <f>IFERROR(VALUE(SUBSTITUTE($F245,"Sprint ","")),9999)</f>
        <v/>
      </c>
    </row>
    <row r="245" ht="15" customHeight="1" s="93">
      <c r="A245" s="92">
        <f>Backlog!A246</f>
        <v/>
      </c>
      <c r="B245" s="92">
        <f>IFERROR(IF(ISBLANK(INDEX(Backlog[Requirement Name],MATCH($A246,Backlog[Requirement ID],0))),"",INDEX(Backlog[Requirement Name],MATCH($A246,Backlog[Requirement ID],0))),"")</f>
        <v/>
      </c>
      <c r="C245" s="92">
        <f>IFERROR(IF(ISBLANK(INDEX(Backlog[Stream],MATCH($A246,Backlog[Requirement ID],0))),"",INDEX(Backlog[Stream],MATCH($A246,Backlog[Requirement ID],0))),"")</f>
        <v/>
      </c>
      <c r="D245" s="92">
        <f>IFERROR(IF(ISBLANK(INDEX(Backlog[Priority],MATCH($A246,Backlog[Requirement ID],0))),"",INDEX(Backlog[Priority],MATCH($A246,Backlog[Requirement ID],0))),"")</f>
        <v/>
      </c>
      <c r="E245" s="92">
        <f>IFERROR(IF(ISBLANK(INDEX(Backlog[Status],MATCH($A246,Backlog[Requirement ID],0))),"",INDEX(Backlog[Status],MATCH($A246,Backlog[Requirement ID],0))),"")</f>
        <v/>
      </c>
      <c r="F245" s="92" t="n"/>
      <c r="G245" s="92">
        <f>IFERROR(IF(ISBLANK(INDEX(Backlog[HLE],MATCH($A246,Backlog[Requirement ID],0))),"",INDEX(Backlog[HLE],MATCH($A246,Backlog[Requirement ID],0))),"")</f>
        <v/>
      </c>
      <c r="H245" s="92">
        <f>IFERROR(VALUE(SUBSTITUTE($F246,"Sprint ","")),9999)</f>
        <v/>
      </c>
    </row>
    <row r="246" ht="15" customHeight="1" s="93">
      <c r="A246" s="92">
        <f>Backlog!A247</f>
        <v/>
      </c>
      <c r="B246" s="92">
        <f>IFERROR(IF(ISBLANK(INDEX(Backlog[Requirement Name],MATCH($A247,Backlog[Requirement ID],0))),"",INDEX(Backlog[Requirement Name],MATCH($A247,Backlog[Requirement ID],0))),"")</f>
        <v/>
      </c>
      <c r="C246" s="92">
        <f>IFERROR(IF(ISBLANK(INDEX(Backlog[Stream],MATCH($A247,Backlog[Requirement ID],0))),"",INDEX(Backlog[Stream],MATCH($A247,Backlog[Requirement ID],0))),"")</f>
        <v/>
      </c>
      <c r="D246" s="92">
        <f>IFERROR(IF(ISBLANK(INDEX(Backlog[Priority],MATCH($A247,Backlog[Requirement ID],0))),"",INDEX(Backlog[Priority],MATCH($A247,Backlog[Requirement ID],0))),"")</f>
        <v/>
      </c>
      <c r="E246" s="92">
        <f>IFERROR(IF(ISBLANK(INDEX(Backlog[Status],MATCH($A247,Backlog[Requirement ID],0))),"",INDEX(Backlog[Status],MATCH($A247,Backlog[Requirement ID],0))),"")</f>
        <v/>
      </c>
      <c r="F246" s="92" t="n"/>
      <c r="G246" s="92">
        <f>IFERROR(IF(ISBLANK(INDEX(Backlog[HLE],MATCH($A247,Backlog[Requirement ID],0))),"",INDEX(Backlog[HLE],MATCH($A247,Backlog[Requirement ID],0))),"")</f>
        <v/>
      </c>
      <c r="H246" s="92">
        <f>IFERROR(VALUE(SUBSTITUTE($F247,"Sprint ","")),9999)</f>
        <v/>
      </c>
    </row>
    <row r="247" ht="15" customHeight="1" s="93">
      <c r="A247" s="92">
        <f>Backlog!A248</f>
        <v/>
      </c>
      <c r="B247" s="92">
        <f>IFERROR(IF(ISBLANK(INDEX(Backlog[Requirement Name],MATCH($A248,Backlog[Requirement ID],0))),"",INDEX(Backlog[Requirement Name],MATCH($A248,Backlog[Requirement ID],0))),"")</f>
        <v/>
      </c>
      <c r="C247" s="92">
        <f>IFERROR(IF(ISBLANK(INDEX(Backlog[Stream],MATCH($A248,Backlog[Requirement ID],0))),"",INDEX(Backlog[Stream],MATCH($A248,Backlog[Requirement ID],0))),"")</f>
        <v/>
      </c>
      <c r="D247" s="92">
        <f>IFERROR(IF(ISBLANK(INDEX(Backlog[Priority],MATCH($A248,Backlog[Requirement ID],0))),"",INDEX(Backlog[Priority],MATCH($A248,Backlog[Requirement ID],0))),"")</f>
        <v/>
      </c>
      <c r="E247" s="92">
        <f>IFERROR(IF(ISBLANK(INDEX(Backlog[Status],MATCH($A248,Backlog[Requirement ID],0))),"",INDEX(Backlog[Status],MATCH($A248,Backlog[Requirement ID],0))),"")</f>
        <v/>
      </c>
      <c r="F247" s="92" t="n"/>
      <c r="G247" s="92">
        <f>IFERROR(IF(ISBLANK(INDEX(Backlog[HLE],MATCH($A248,Backlog[Requirement ID],0))),"",INDEX(Backlog[HLE],MATCH($A248,Backlog[Requirement ID],0))),"")</f>
        <v/>
      </c>
      <c r="H247" s="92">
        <f>IFERROR(VALUE(SUBSTITUTE($F248,"Sprint ","")),9999)</f>
        <v/>
      </c>
    </row>
    <row r="248" ht="15" customHeight="1" s="93">
      <c r="A248" s="92">
        <f>Backlog!A249</f>
        <v/>
      </c>
      <c r="B248" s="92">
        <f>IFERROR(IF(ISBLANK(INDEX(Backlog[Requirement Name],MATCH($A249,Backlog[Requirement ID],0))),"",INDEX(Backlog[Requirement Name],MATCH($A249,Backlog[Requirement ID],0))),"")</f>
        <v/>
      </c>
      <c r="C248" s="92">
        <f>IFERROR(IF(ISBLANK(INDEX(Backlog[Stream],MATCH($A249,Backlog[Requirement ID],0))),"",INDEX(Backlog[Stream],MATCH($A249,Backlog[Requirement ID],0))),"")</f>
        <v/>
      </c>
      <c r="D248" s="92">
        <f>IFERROR(IF(ISBLANK(INDEX(Backlog[Priority],MATCH($A249,Backlog[Requirement ID],0))),"",INDEX(Backlog[Priority],MATCH($A249,Backlog[Requirement ID],0))),"")</f>
        <v/>
      </c>
      <c r="E248" s="92">
        <f>IFERROR(IF(ISBLANK(INDEX(Backlog[Status],MATCH($A249,Backlog[Requirement ID],0))),"",INDEX(Backlog[Status],MATCH($A249,Backlog[Requirement ID],0))),"")</f>
        <v/>
      </c>
      <c r="F248" s="92" t="n"/>
      <c r="G248" s="92">
        <f>IFERROR(IF(ISBLANK(INDEX(Backlog[HLE],MATCH($A249,Backlog[Requirement ID],0))),"",INDEX(Backlog[HLE],MATCH($A249,Backlog[Requirement ID],0))),"")</f>
        <v/>
      </c>
      <c r="H248" s="92">
        <f>IFERROR(VALUE(SUBSTITUTE($F249,"Sprint ","")),9999)</f>
        <v/>
      </c>
    </row>
    <row r="249" ht="15" customHeight="1" s="93">
      <c r="A249" s="92">
        <f>Backlog!A250</f>
        <v/>
      </c>
      <c r="B249" s="92">
        <f>IFERROR(IF(ISBLANK(INDEX(Backlog[Requirement Name],MATCH($A250,Backlog[Requirement ID],0))),"",INDEX(Backlog[Requirement Name],MATCH($A250,Backlog[Requirement ID],0))),"")</f>
        <v/>
      </c>
      <c r="C249" s="92">
        <f>IFERROR(IF(ISBLANK(INDEX(Backlog[Stream],MATCH($A250,Backlog[Requirement ID],0))),"",INDEX(Backlog[Stream],MATCH($A250,Backlog[Requirement ID],0))),"")</f>
        <v/>
      </c>
      <c r="D249" s="92">
        <f>IFERROR(IF(ISBLANK(INDEX(Backlog[Priority],MATCH($A250,Backlog[Requirement ID],0))),"",INDEX(Backlog[Priority],MATCH($A250,Backlog[Requirement ID],0))),"")</f>
        <v/>
      </c>
      <c r="E249" s="92">
        <f>IFERROR(IF(ISBLANK(INDEX(Backlog[Status],MATCH($A250,Backlog[Requirement ID],0))),"",INDEX(Backlog[Status],MATCH($A250,Backlog[Requirement ID],0))),"")</f>
        <v/>
      </c>
      <c r="F249" s="92" t="n"/>
      <c r="G249" s="92">
        <f>IFERROR(IF(ISBLANK(INDEX(Backlog[HLE],MATCH($A250,Backlog[Requirement ID],0))),"",INDEX(Backlog[HLE],MATCH($A250,Backlog[Requirement ID],0))),"")</f>
        <v/>
      </c>
      <c r="H249" s="92">
        <f>IFERROR(VALUE(SUBSTITUTE($F250,"Sprint ","")),9999)</f>
        <v/>
      </c>
    </row>
    <row r="250" ht="15" customHeight="1" s="93">
      <c r="A250" s="92">
        <f>Backlog!A251</f>
        <v/>
      </c>
      <c r="B250" s="92">
        <f>IFERROR(IF(ISBLANK(INDEX(Backlog[Requirement Name],MATCH($A251,Backlog[Requirement ID],0))),"",INDEX(Backlog[Requirement Name],MATCH($A251,Backlog[Requirement ID],0))),"")</f>
        <v/>
      </c>
      <c r="C250" s="92">
        <f>IFERROR(IF(ISBLANK(INDEX(Backlog[Stream],MATCH($A251,Backlog[Requirement ID],0))),"",INDEX(Backlog[Stream],MATCH($A251,Backlog[Requirement ID],0))),"")</f>
        <v/>
      </c>
      <c r="D250" s="92">
        <f>IFERROR(IF(ISBLANK(INDEX(Backlog[Priority],MATCH($A251,Backlog[Requirement ID],0))),"",INDEX(Backlog[Priority],MATCH($A251,Backlog[Requirement ID],0))),"")</f>
        <v/>
      </c>
      <c r="E250" s="92">
        <f>IFERROR(IF(ISBLANK(INDEX(Backlog[Status],MATCH($A251,Backlog[Requirement ID],0))),"",INDEX(Backlog[Status],MATCH($A251,Backlog[Requirement ID],0))),"")</f>
        <v/>
      </c>
      <c r="F250" s="92" t="n"/>
      <c r="G250" s="92">
        <f>IFERROR(IF(ISBLANK(INDEX(Backlog[HLE],MATCH($A251,Backlog[Requirement ID],0))),"",INDEX(Backlog[HLE],MATCH($A251,Backlog[Requirement ID],0))),"")</f>
        <v/>
      </c>
      <c r="H250" s="92">
        <f>IFERROR(VALUE(SUBSTITUTE($F251,"Sprint ","")),9999)</f>
        <v/>
      </c>
    </row>
    <row r="251" ht="15" customHeight="1" s="93">
      <c r="A251" s="92">
        <f>Backlog!A252</f>
        <v/>
      </c>
      <c r="B251" s="92">
        <f>IFERROR(IF(ISBLANK(INDEX(Backlog[Requirement Name],MATCH($A252,Backlog[Requirement ID],0))),"",INDEX(Backlog[Requirement Name],MATCH($A252,Backlog[Requirement ID],0))),"")</f>
        <v/>
      </c>
      <c r="C251" s="92">
        <f>IFERROR(IF(ISBLANK(INDEX(Backlog[Stream],MATCH($A252,Backlog[Requirement ID],0))),"",INDEX(Backlog[Stream],MATCH($A252,Backlog[Requirement ID],0))),"")</f>
        <v/>
      </c>
      <c r="D251" s="92">
        <f>IFERROR(IF(ISBLANK(INDEX(Backlog[Priority],MATCH($A252,Backlog[Requirement ID],0))),"",INDEX(Backlog[Priority],MATCH($A252,Backlog[Requirement ID],0))),"")</f>
        <v/>
      </c>
      <c r="E251" s="92">
        <f>IFERROR(IF(ISBLANK(INDEX(Backlog[Status],MATCH($A252,Backlog[Requirement ID],0))),"",INDEX(Backlog[Status],MATCH($A252,Backlog[Requirement ID],0))),"")</f>
        <v/>
      </c>
      <c r="F251" s="92" t="n"/>
      <c r="G251" s="92">
        <f>IFERROR(IF(ISBLANK(INDEX(Backlog[HLE],MATCH($A252,Backlog[Requirement ID],0))),"",INDEX(Backlog[HLE],MATCH($A252,Backlog[Requirement ID],0))),"")</f>
        <v/>
      </c>
      <c r="H251" s="92">
        <f>IFERROR(VALUE(SUBSTITUTE($F252,"Sprint ","")),9999)</f>
        <v/>
      </c>
    </row>
    <row r="252" ht="15" customHeight="1" s="93">
      <c r="A252" s="92">
        <f>Backlog!A253</f>
        <v/>
      </c>
      <c r="B252" s="92">
        <f>IFERROR(IF(ISBLANK(INDEX(Backlog[Requirement Name],MATCH($A253,Backlog[Requirement ID],0))),"",INDEX(Backlog[Requirement Name],MATCH($A253,Backlog[Requirement ID],0))),"")</f>
        <v/>
      </c>
      <c r="C252" s="92">
        <f>IFERROR(IF(ISBLANK(INDEX(Backlog[Stream],MATCH($A253,Backlog[Requirement ID],0))),"",INDEX(Backlog[Stream],MATCH($A253,Backlog[Requirement ID],0))),"")</f>
        <v/>
      </c>
      <c r="D252" s="92">
        <f>IFERROR(IF(ISBLANK(INDEX(Backlog[Priority],MATCH($A253,Backlog[Requirement ID],0))),"",INDEX(Backlog[Priority],MATCH($A253,Backlog[Requirement ID],0))),"")</f>
        <v/>
      </c>
      <c r="E252" s="92">
        <f>IFERROR(IF(ISBLANK(INDEX(Backlog[Status],MATCH($A253,Backlog[Requirement ID],0))),"",INDEX(Backlog[Status],MATCH($A253,Backlog[Requirement ID],0))),"")</f>
        <v/>
      </c>
      <c r="F252" s="92" t="n"/>
      <c r="G252" s="92">
        <f>IFERROR(IF(ISBLANK(INDEX(Backlog[HLE],MATCH($A253,Backlog[Requirement ID],0))),"",INDEX(Backlog[HLE],MATCH($A253,Backlog[Requirement ID],0))),"")</f>
        <v/>
      </c>
      <c r="H252" s="92">
        <f>IFERROR(VALUE(SUBSTITUTE($F253,"Sprint ","")),9999)</f>
        <v/>
      </c>
    </row>
    <row r="253" ht="15" customHeight="1" s="93">
      <c r="A253" s="92">
        <f>Backlog!A254</f>
        <v/>
      </c>
      <c r="B253" s="92">
        <f>IFERROR(IF(ISBLANK(INDEX(Backlog[Requirement Name],MATCH($A254,Backlog[Requirement ID],0))),"",INDEX(Backlog[Requirement Name],MATCH($A254,Backlog[Requirement ID],0))),"")</f>
        <v/>
      </c>
      <c r="C253" s="92">
        <f>IFERROR(IF(ISBLANK(INDEX(Backlog[Stream],MATCH($A254,Backlog[Requirement ID],0))),"",INDEX(Backlog[Stream],MATCH($A254,Backlog[Requirement ID],0))),"")</f>
        <v/>
      </c>
      <c r="D253" s="92">
        <f>IFERROR(IF(ISBLANK(INDEX(Backlog[Priority],MATCH($A254,Backlog[Requirement ID],0))),"",INDEX(Backlog[Priority],MATCH($A254,Backlog[Requirement ID],0))),"")</f>
        <v/>
      </c>
      <c r="E253" s="92">
        <f>IFERROR(IF(ISBLANK(INDEX(Backlog[Status],MATCH($A254,Backlog[Requirement ID],0))),"",INDEX(Backlog[Status],MATCH($A254,Backlog[Requirement ID],0))),"")</f>
        <v/>
      </c>
      <c r="F253" s="92" t="n"/>
      <c r="G253" s="92">
        <f>IFERROR(IF(ISBLANK(INDEX(Backlog[HLE],MATCH($A254,Backlog[Requirement ID],0))),"",INDEX(Backlog[HLE],MATCH($A254,Backlog[Requirement ID],0))),"")</f>
        <v/>
      </c>
      <c r="H253" s="92">
        <f>IFERROR(VALUE(SUBSTITUTE($F254,"Sprint ","")),9999)</f>
        <v/>
      </c>
    </row>
    <row r="254" ht="15" customHeight="1" s="93">
      <c r="A254" s="92">
        <f>Backlog!A255</f>
        <v/>
      </c>
      <c r="B254" s="92">
        <f>IFERROR(IF(ISBLANK(INDEX(Backlog[Requirement Name],MATCH($A255,Backlog[Requirement ID],0))),"",INDEX(Backlog[Requirement Name],MATCH($A255,Backlog[Requirement ID],0))),"")</f>
        <v/>
      </c>
      <c r="C254" s="92">
        <f>IFERROR(IF(ISBLANK(INDEX(Backlog[Stream],MATCH($A255,Backlog[Requirement ID],0))),"",INDEX(Backlog[Stream],MATCH($A255,Backlog[Requirement ID],0))),"")</f>
        <v/>
      </c>
      <c r="D254" s="92">
        <f>IFERROR(IF(ISBLANK(INDEX(Backlog[Priority],MATCH($A255,Backlog[Requirement ID],0))),"",INDEX(Backlog[Priority],MATCH($A255,Backlog[Requirement ID],0))),"")</f>
        <v/>
      </c>
      <c r="E254" s="92">
        <f>IFERROR(IF(ISBLANK(INDEX(Backlog[Status],MATCH($A255,Backlog[Requirement ID],0))),"",INDEX(Backlog[Status],MATCH($A255,Backlog[Requirement ID],0))),"")</f>
        <v/>
      </c>
      <c r="F254" s="92" t="n"/>
      <c r="G254" s="92">
        <f>IFERROR(IF(ISBLANK(INDEX(Backlog[HLE],MATCH($A255,Backlog[Requirement ID],0))),"",INDEX(Backlog[HLE],MATCH($A255,Backlog[Requirement ID],0))),"")</f>
        <v/>
      </c>
      <c r="H254" s="92">
        <f>IFERROR(VALUE(SUBSTITUTE($F255,"Sprint ","")),9999)</f>
        <v/>
      </c>
    </row>
    <row r="255" ht="15" customHeight="1" s="93">
      <c r="A255" s="92">
        <f>Backlog!A256</f>
        <v/>
      </c>
      <c r="B255" s="92">
        <f>IFERROR(IF(ISBLANK(INDEX(Backlog[Requirement Name],MATCH($A256,Backlog[Requirement ID],0))),"",INDEX(Backlog[Requirement Name],MATCH($A256,Backlog[Requirement ID],0))),"")</f>
        <v/>
      </c>
      <c r="C255" s="92">
        <f>IFERROR(IF(ISBLANK(INDEX(Backlog[Stream],MATCH($A256,Backlog[Requirement ID],0))),"",INDEX(Backlog[Stream],MATCH($A256,Backlog[Requirement ID],0))),"")</f>
        <v/>
      </c>
      <c r="D255" s="92">
        <f>IFERROR(IF(ISBLANK(INDEX(Backlog[Priority],MATCH($A256,Backlog[Requirement ID],0))),"",INDEX(Backlog[Priority],MATCH($A256,Backlog[Requirement ID],0))),"")</f>
        <v/>
      </c>
      <c r="E255" s="92">
        <f>IFERROR(IF(ISBLANK(INDEX(Backlog[Status],MATCH($A256,Backlog[Requirement ID],0))),"",INDEX(Backlog[Status],MATCH($A256,Backlog[Requirement ID],0))),"")</f>
        <v/>
      </c>
      <c r="F255" s="92" t="n"/>
      <c r="G255" s="92">
        <f>IFERROR(IF(ISBLANK(INDEX(Backlog[HLE],MATCH($A256,Backlog[Requirement ID],0))),"",INDEX(Backlog[HLE],MATCH($A256,Backlog[Requirement ID],0))),"")</f>
        <v/>
      </c>
      <c r="H255" s="92">
        <f>IFERROR(VALUE(SUBSTITUTE($F256,"Sprint ","")),9999)</f>
        <v/>
      </c>
    </row>
    <row r="256" ht="15" customHeight="1" s="93">
      <c r="A256" s="92">
        <f>Backlog!A257</f>
        <v/>
      </c>
      <c r="B256" s="92">
        <f>IFERROR(IF(ISBLANK(INDEX(Backlog[Requirement Name],MATCH($A257,Backlog[Requirement ID],0))),"",INDEX(Backlog[Requirement Name],MATCH($A257,Backlog[Requirement ID],0))),"")</f>
        <v/>
      </c>
      <c r="C256" s="92">
        <f>IFERROR(IF(ISBLANK(INDEX(Backlog[Stream],MATCH($A257,Backlog[Requirement ID],0))),"",INDEX(Backlog[Stream],MATCH($A257,Backlog[Requirement ID],0))),"")</f>
        <v/>
      </c>
      <c r="D256" s="92">
        <f>IFERROR(IF(ISBLANK(INDEX(Backlog[Priority],MATCH($A257,Backlog[Requirement ID],0))),"",INDEX(Backlog[Priority],MATCH($A257,Backlog[Requirement ID],0))),"")</f>
        <v/>
      </c>
      <c r="E256" s="92">
        <f>IFERROR(IF(ISBLANK(INDEX(Backlog[Status],MATCH($A257,Backlog[Requirement ID],0))),"",INDEX(Backlog[Status],MATCH($A257,Backlog[Requirement ID],0))),"")</f>
        <v/>
      </c>
      <c r="F256" s="92" t="n"/>
      <c r="G256" s="92">
        <f>IFERROR(IF(ISBLANK(INDEX(Backlog[HLE],MATCH($A257,Backlog[Requirement ID],0))),"",INDEX(Backlog[HLE],MATCH($A257,Backlog[Requirement ID],0))),"")</f>
        <v/>
      </c>
      <c r="H256" s="92">
        <f>IFERROR(VALUE(SUBSTITUTE($F257,"Sprint ","")),9999)</f>
        <v/>
      </c>
    </row>
    <row r="257" ht="15" customHeight="1" s="93">
      <c r="A257" s="92">
        <f>Backlog!A258</f>
        <v/>
      </c>
      <c r="B257" s="92">
        <f>IFERROR(IF(ISBLANK(INDEX(Backlog[Requirement Name],MATCH($A258,Backlog[Requirement ID],0))),"",INDEX(Backlog[Requirement Name],MATCH($A258,Backlog[Requirement ID],0))),"")</f>
        <v/>
      </c>
      <c r="C257" s="92">
        <f>IFERROR(IF(ISBLANK(INDEX(Backlog[Stream],MATCH($A258,Backlog[Requirement ID],0))),"",INDEX(Backlog[Stream],MATCH($A258,Backlog[Requirement ID],0))),"")</f>
        <v/>
      </c>
      <c r="D257" s="92">
        <f>IFERROR(IF(ISBLANK(INDEX(Backlog[Priority],MATCH($A258,Backlog[Requirement ID],0))),"",INDEX(Backlog[Priority],MATCH($A258,Backlog[Requirement ID],0))),"")</f>
        <v/>
      </c>
      <c r="E257" s="92">
        <f>IFERROR(IF(ISBLANK(INDEX(Backlog[Status],MATCH($A258,Backlog[Requirement ID],0))),"",INDEX(Backlog[Status],MATCH($A258,Backlog[Requirement ID],0))),"")</f>
        <v/>
      </c>
      <c r="F257" s="92" t="n"/>
      <c r="G257" s="92">
        <f>IFERROR(IF(ISBLANK(INDEX(Backlog[HLE],MATCH($A258,Backlog[Requirement ID],0))),"",INDEX(Backlog[HLE],MATCH($A258,Backlog[Requirement ID],0))),"")</f>
        <v/>
      </c>
      <c r="H257" s="92">
        <f>IFERROR(VALUE(SUBSTITUTE($F258,"Sprint ","")),9999)</f>
        <v/>
      </c>
    </row>
    <row r="258" ht="15" customHeight="1" s="93">
      <c r="A258" s="92">
        <f>Backlog!A259</f>
        <v/>
      </c>
      <c r="B258" s="92">
        <f>IFERROR(IF(ISBLANK(INDEX(Backlog[Requirement Name],MATCH($A259,Backlog[Requirement ID],0))),"",INDEX(Backlog[Requirement Name],MATCH($A259,Backlog[Requirement ID],0))),"")</f>
        <v/>
      </c>
      <c r="C258" s="92">
        <f>IFERROR(IF(ISBLANK(INDEX(Backlog[Stream],MATCH($A259,Backlog[Requirement ID],0))),"",INDEX(Backlog[Stream],MATCH($A259,Backlog[Requirement ID],0))),"")</f>
        <v/>
      </c>
      <c r="D258" s="92">
        <f>IFERROR(IF(ISBLANK(INDEX(Backlog[Priority],MATCH($A259,Backlog[Requirement ID],0))),"",INDEX(Backlog[Priority],MATCH($A259,Backlog[Requirement ID],0))),"")</f>
        <v/>
      </c>
      <c r="E258" s="92">
        <f>IFERROR(IF(ISBLANK(INDEX(Backlog[Status],MATCH($A259,Backlog[Requirement ID],0))),"",INDEX(Backlog[Status],MATCH($A259,Backlog[Requirement ID],0))),"")</f>
        <v/>
      </c>
      <c r="F258" s="92" t="n"/>
      <c r="G258" s="92">
        <f>IFERROR(IF(ISBLANK(INDEX(Backlog[HLE],MATCH($A259,Backlog[Requirement ID],0))),"",INDEX(Backlog[HLE],MATCH($A259,Backlog[Requirement ID],0))),"")</f>
        <v/>
      </c>
      <c r="H258" s="92">
        <f>IFERROR(VALUE(SUBSTITUTE($F259,"Sprint ","")),9999)</f>
        <v/>
      </c>
    </row>
    <row r="259" ht="15" customHeight="1" s="93">
      <c r="A259" s="92">
        <f>Backlog!A260</f>
        <v/>
      </c>
      <c r="B259" s="92">
        <f>IFERROR(IF(ISBLANK(INDEX(Backlog[Requirement Name],MATCH($A260,Backlog[Requirement ID],0))),"",INDEX(Backlog[Requirement Name],MATCH($A260,Backlog[Requirement ID],0))),"")</f>
        <v/>
      </c>
      <c r="C259" s="92">
        <f>IFERROR(IF(ISBLANK(INDEX(Backlog[Stream],MATCH($A260,Backlog[Requirement ID],0))),"",INDEX(Backlog[Stream],MATCH($A260,Backlog[Requirement ID],0))),"")</f>
        <v/>
      </c>
      <c r="D259" s="92">
        <f>IFERROR(IF(ISBLANK(INDEX(Backlog[Priority],MATCH($A260,Backlog[Requirement ID],0))),"",INDEX(Backlog[Priority],MATCH($A260,Backlog[Requirement ID],0))),"")</f>
        <v/>
      </c>
      <c r="E259" s="92">
        <f>IFERROR(IF(ISBLANK(INDEX(Backlog[Status],MATCH($A260,Backlog[Requirement ID],0))),"",INDEX(Backlog[Status],MATCH($A260,Backlog[Requirement ID],0))),"")</f>
        <v/>
      </c>
      <c r="F259" s="92" t="n"/>
      <c r="G259" s="92">
        <f>IFERROR(IF(ISBLANK(INDEX(Backlog[HLE],MATCH($A260,Backlog[Requirement ID],0))),"",INDEX(Backlog[HLE],MATCH($A260,Backlog[Requirement ID],0))),"")</f>
        <v/>
      </c>
      <c r="H259" s="92">
        <f>IFERROR(VALUE(SUBSTITUTE($F260,"Sprint ","")),9999)</f>
        <v/>
      </c>
    </row>
    <row r="260" ht="15" customHeight="1" s="93">
      <c r="A260" s="92">
        <f>Backlog!A261</f>
        <v/>
      </c>
      <c r="B260" s="92">
        <f>IFERROR(IF(ISBLANK(INDEX(Backlog[Requirement Name],MATCH($A261,Backlog[Requirement ID],0))),"",INDEX(Backlog[Requirement Name],MATCH($A261,Backlog[Requirement ID],0))),"")</f>
        <v/>
      </c>
      <c r="C260" s="92">
        <f>IFERROR(IF(ISBLANK(INDEX(Backlog[Stream],MATCH($A261,Backlog[Requirement ID],0))),"",INDEX(Backlog[Stream],MATCH($A261,Backlog[Requirement ID],0))),"")</f>
        <v/>
      </c>
      <c r="D260" s="92">
        <f>IFERROR(IF(ISBLANK(INDEX(Backlog[Priority],MATCH($A261,Backlog[Requirement ID],0))),"",INDEX(Backlog[Priority],MATCH($A261,Backlog[Requirement ID],0))),"")</f>
        <v/>
      </c>
      <c r="E260" s="92">
        <f>IFERROR(IF(ISBLANK(INDEX(Backlog[Status],MATCH($A261,Backlog[Requirement ID],0))),"",INDEX(Backlog[Status],MATCH($A261,Backlog[Requirement ID],0))),"")</f>
        <v/>
      </c>
      <c r="F260" s="92" t="n"/>
      <c r="G260" s="92">
        <f>IFERROR(IF(ISBLANK(INDEX(Backlog[HLE],MATCH($A261,Backlog[Requirement ID],0))),"",INDEX(Backlog[HLE],MATCH($A261,Backlog[Requirement ID],0))),"")</f>
        <v/>
      </c>
      <c r="H260" s="92">
        <f>IFERROR(VALUE(SUBSTITUTE($F261,"Sprint ","")),9999)</f>
        <v/>
      </c>
    </row>
    <row r="261" ht="15" customHeight="1" s="93">
      <c r="A261" s="92">
        <f>Backlog!A262</f>
        <v/>
      </c>
      <c r="B261" s="92">
        <f>IFERROR(IF(ISBLANK(INDEX(Backlog[Requirement Name],MATCH($A262,Backlog[Requirement ID],0))),"",INDEX(Backlog[Requirement Name],MATCH($A262,Backlog[Requirement ID],0))),"")</f>
        <v/>
      </c>
      <c r="C261" s="92">
        <f>IFERROR(IF(ISBLANK(INDEX(Backlog[Stream],MATCH($A262,Backlog[Requirement ID],0))),"",INDEX(Backlog[Stream],MATCH($A262,Backlog[Requirement ID],0))),"")</f>
        <v/>
      </c>
      <c r="D261" s="92">
        <f>IFERROR(IF(ISBLANK(INDEX(Backlog[Priority],MATCH($A262,Backlog[Requirement ID],0))),"",INDEX(Backlog[Priority],MATCH($A262,Backlog[Requirement ID],0))),"")</f>
        <v/>
      </c>
      <c r="E261" s="92">
        <f>IFERROR(IF(ISBLANK(INDEX(Backlog[Status],MATCH($A262,Backlog[Requirement ID],0))),"",INDEX(Backlog[Status],MATCH($A262,Backlog[Requirement ID],0))),"")</f>
        <v/>
      </c>
      <c r="F261" s="92" t="n"/>
      <c r="G261" s="92">
        <f>IFERROR(IF(ISBLANK(INDEX(Backlog[HLE],MATCH($A262,Backlog[Requirement ID],0))),"",INDEX(Backlog[HLE],MATCH($A262,Backlog[Requirement ID],0))),"")</f>
        <v/>
      </c>
      <c r="H261" s="92">
        <f>IFERROR(VALUE(SUBSTITUTE($F262,"Sprint ","")),9999)</f>
        <v/>
      </c>
    </row>
    <row r="262" ht="15" customHeight="1" s="93">
      <c r="A262" s="92">
        <f>Backlog!A263</f>
        <v/>
      </c>
      <c r="B262" s="92">
        <f>IFERROR(IF(ISBLANK(INDEX(Backlog[Requirement Name],MATCH($A263,Backlog[Requirement ID],0))),"",INDEX(Backlog[Requirement Name],MATCH($A263,Backlog[Requirement ID],0))),"")</f>
        <v/>
      </c>
      <c r="C262" s="92">
        <f>IFERROR(IF(ISBLANK(INDEX(Backlog[Stream],MATCH($A263,Backlog[Requirement ID],0))),"",INDEX(Backlog[Stream],MATCH($A263,Backlog[Requirement ID],0))),"")</f>
        <v/>
      </c>
      <c r="D262" s="92">
        <f>IFERROR(IF(ISBLANK(INDEX(Backlog[Priority],MATCH($A263,Backlog[Requirement ID],0))),"",INDEX(Backlog[Priority],MATCH($A263,Backlog[Requirement ID],0))),"")</f>
        <v/>
      </c>
      <c r="E262" s="92">
        <f>IFERROR(IF(ISBLANK(INDEX(Backlog[Status],MATCH($A263,Backlog[Requirement ID],0))),"",INDEX(Backlog[Status],MATCH($A263,Backlog[Requirement ID],0))),"")</f>
        <v/>
      </c>
      <c r="F262" s="92" t="n"/>
      <c r="G262" s="92">
        <f>IFERROR(IF(ISBLANK(INDEX(Backlog[HLE],MATCH($A263,Backlog[Requirement ID],0))),"",INDEX(Backlog[HLE],MATCH($A263,Backlog[Requirement ID],0))),"")</f>
        <v/>
      </c>
      <c r="H262" s="92">
        <f>IFERROR(VALUE(SUBSTITUTE($F263,"Sprint ","")),9999)</f>
        <v/>
      </c>
    </row>
    <row r="263" ht="15" customHeight="1" s="93">
      <c r="A263" s="92">
        <f>Backlog!A264</f>
        <v/>
      </c>
      <c r="B263" s="92">
        <f>IFERROR(IF(ISBLANK(INDEX(Backlog[Requirement Name],MATCH($A264,Backlog[Requirement ID],0))),"",INDEX(Backlog[Requirement Name],MATCH($A264,Backlog[Requirement ID],0))),"")</f>
        <v/>
      </c>
      <c r="C263" s="92">
        <f>IFERROR(IF(ISBLANK(INDEX(Backlog[Stream],MATCH($A264,Backlog[Requirement ID],0))),"",INDEX(Backlog[Stream],MATCH($A264,Backlog[Requirement ID],0))),"")</f>
        <v/>
      </c>
      <c r="D263" s="92">
        <f>IFERROR(IF(ISBLANK(INDEX(Backlog[Priority],MATCH($A264,Backlog[Requirement ID],0))),"",INDEX(Backlog[Priority],MATCH($A264,Backlog[Requirement ID],0))),"")</f>
        <v/>
      </c>
      <c r="E263" s="92">
        <f>IFERROR(IF(ISBLANK(INDEX(Backlog[Status],MATCH($A264,Backlog[Requirement ID],0))),"",INDEX(Backlog[Status],MATCH($A264,Backlog[Requirement ID],0))),"")</f>
        <v/>
      </c>
      <c r="F263" s="92" t="n"/>
      <c r="G263" s="92">
        <f>IFERROR(IF(ISBLANK(INDEX(Backlog[HLE],MATCH($A264,Backlog[Requirement ID],0))),"",INDEX(Backlog[HLE],MATCH($A264,Backlog[Requirement ID],0))),"")</f>
        <v/>
      </c>
      <c r="H263" s="92">
        <f>IFERROR(VALUE(SUBSTITUTE($F264,"Sprint ","")),9999)</f>
        <v/>
      </c>
    </row>
    <row r="264" ht="15" customHeight="1" s="93">
      <c r="A264" s="92">
        <f>Backlog!A265</f>
        <v/>
      </c>
      <c r="B264" s="92">
        <f>IFERROR(IF(ISBLANK(INDEX(Backlog[Requirement Name],MATCH($A265,Backlog[Requirement ID],0))),"",INDEX(Backlog[Requirement Name],MATCH($A265,Backlog[Requirement ID],0))),"")</f>
        <v/>
      </c>
      <c r="C264" s="92">
        <f>IFERROR(IF(ISBLANK(INDEX(Backlog[Stream],MATCH($A265,Backlog[Requirement ID],0))),"",INDEX(Backlog[Stream],MATCH($A265,Backlog[Requirement ID],0))),"")</f>
        <v/>
      </c>
      <c r="D264" s="92">
        <f>IFERROR(IF(ISBLANK(INDEX(Backlog[Priority],MATCH($A265,Backlog[Requirement ID],0))),"",INDEX(Backlog[Priority],MATCH($A265,Backlog[Requirement ID],0))),"")</f>
        <v/>
      </c>
      <c r="E264" s="92">
        <f>IFERROR(IF(ISBLANK(INDEX(Backlog[Status],MATCH($A265,Backlog[Requirement ID],0))),"",INDEX(Backlog[Status],MATCH($A265,Backlog[Requirement ID],0))),"")</f>
        <v/>
      </c>
      <c r="F264" s="92" t="n"/>
      <c r="G264" s="92">
        <f>IFERROR(IF(ISBLANK(INDEX(Backlog[HLE],MATCH($A265,Backlog[Requirement ID],0))),"",INDEX(Backlog[HLE],MATCH($A265,Backlog[Requirement ID],0))),"")</f>
        <v/>
      </c>
      <c r="H264" s="92">
        <f>IFERROR(VALUE(SUBSTITUTE($F265,"Sprint ","")),9999)</f>
        <v/>
      </c>
    </row>
    <row r="265" ht="15" customHeight="1" s="93">
      <c r="A265" s="92">
        <f>Backlog!A266</f>
        <v/>
      </c>
      <c r="B265" s="92">
        <f>IFERROR(IF(ISBLANK(INDEX(Backlog[Requirement Name],MATCH($A266,Backlog[Requirement ID],0))),"",INDEX(Backlog[Requirement Name],MATCH($A266,Backlog[Requirement ID],0))),"")</f>
        <v/>
      </c>
      <c r="C265" s="92">
        <f>IFERROR(IF(ISBLANK(INDEX(Backlog[Stream],MATCH($A266,Backlog[Requirement ID],0))),"",INDEX(Backlog[Stream],MATCH($A266,Backlog[Requirement ID],0))),"")</f>
        <v/>
      </c>
      <c r="D265" s="92">
        <f>IFERROR(IF(ISBLANK(INDEX(Backlog[Priority],MATCH($A266,Backlog[Requirement ID],0))),"",INDEX(Backlog[Priority],MATCH($A266,Backlog[Requirement ID],0))),"")</f>
        <v/>
      </c>
      <c r="E265" s="92">
        <f>IFERROR(IF(ISBLANK(INDEX(Backlog[Status],MATCH($A266,Backlog[Requirement ID],0))),"",INDEX(Backlog[Status],MATCH($A266,Backlog[Requirement ID],0))),"")</f>
        <v/>
      </c>
      <c r="F265" s="92" t="n"/>
      <c r="G265" s="92">
        <f>IFERROR(IF(ISBLANK(INDEX(Backlog[HLE],MATCH($A266,Backlog[Requirement ID],0))),"",INDEX(Backlog[HLE],MATCH($A266,Backlog[Requirement ID],0))),"")</f>
        <v/>
      </c>
      <c r="H265" s="92">
        <f>IFERROR(VALUE(SUBSTITUTE($F266,"Sprint ","")),9999)</f>
        <v/>
      </c>
    </row>
    <row r="266" ht="15" customHeight="1" s="93">
      <c r="A266" s="92">
        <f>Backlog!A267</f>
        <v/>
      </c>
      <c r="B266" s="92">
        <f>IFERROR(IF(ISBLANK(INDEX(Backlog[Requirement Name],MATCH($A267,Backlog[Requirement ID],0))),"",INDEX(Backlog[Requirement Name],MATCH($A267,Backlog[Requirement ID],0))),"")</f>
        <v/>
      </c>
      <c r="C266" s="92">
        <f>IFERROR(IF(ISBLANK(INDEX(Backlog[Stream],MATCH($A267,Backlog[Requirement ID],0))),"",INDEX(Backlog[Stream],MATCH($A267,Backlog[Requirement ID],0))),"")</f>
        <v/>
      </c>
      <c r="D266" s="92">
        <f>IFERROR(IF(ISBLANK(INDEX(Backlog[Priority],MATCH($A267,Backlog[Requirement ID],0))),"",INDEX(Backlog[Priority],MATCH($A267,Backlog[Requirement ID],0))),"")</f>
        <v/>
      </c>
      <c r="E266" s="92">
        <f>IFERROR(IF(ISBLANK(INDEX(Backlog[Status],MATCH($A267,Backlog[Requirement ID],0))),"",INDEX(Backlog[Status],MATCH($A267,Backlog[Requirement ID],0))),"")</f>
        <v/>
      </c>
      <c r="F266" s="92" t="n"/>
      <c r="G266" s="92">
        <f>IFERROR(IF(ISBLANK(INDEX(Backlog[HLE],MATCH($A267,Backlog[Requirement ID],0))),"",INDEX(Backlog[HLE],MATCH($A267,Backlog[Requirement ID],0))),"")</f>
        <v/>
      </c>
      <c r="H266" s="92">
        <f>IFERROR(VALUE(SUBSTITUTE($F267,"Sprint ","")),9999)</f>
        <v/>
      </c>
    </row>
    <row r="267" ht="15" customHeight="1" s="93">
      <c r="A267" s="92">
        <f>Backlog!A268</f>
        <v/>
      </c>
      <c r="B267" s="92">
        <f>IFERROR(IF(ISBLANK(INDEX(Backlog[Requirement Name],MATCH($A268,Backlog[Requirement ID],0))),"",INDEX(Backlog[Requirement Name],MATCH($A268,Backlog[Requirement ID],0))),"")</f>
        <v/>
      </c>
      <c r="C267" s="92">
        <f>IFERROR(IF(ISBLANK(INDEX(Backlog[Stream],MATCH($A268,Backlog[Requirement ID],0))),"",INDEX(Backlog[Stream],MATCH($A268,Backlog[Requirement ID],0))),"")</f>
        <v/>
      </c>
      <c r="D267" s="92">
        <f>IFERROR(IF(ISBLANK(INDEX(Backlog[Priority],MATCH($A268,Backlog[Requirement ID],0))),"",INDEX(Backlog[Priority],MATCH($A268,Backlog[Requirement ID],0))),"")</f>
        <v/>
      </c>
      <c r="E267" s="92">
        <f>IFERROR(IF(ISBLANK(INDEX(Backlog[Status],MATCH($A268,Backlog[Requirement ID],0))),"",INDEX(Backlog[Status],MATCH($A268,Backlog[Requirement ID],0))),"")</f>
        <v/>
      </c>
      <c r="F267" s="92" t="n"/>
      <c r="G267" s="92">
        <f>IFERROR(IF(ISBLANK(INDEX(Backlog[HLE],MATCH($A268,Backlog[Requirement ID],0))),"",INDEX(Backlog[HLE],MATCH($A268,Backlog[Requirement ID],0))),"")</f>
        <v/>
      </c>
      <c r="H267" s="92">
        <f>IFERROR(VALUE(SUBSTITUTE($F268,"Sprint ","")),9999)</f>
        <v/>
      </c>
    </row>
    <row r="268" ht="15" customHeight="1" s="93">
      <c r="A268" s="92">
        <f>Backlog!A269</f>
        <v/>
      </c>
      <c r="B268" s="92">
        <f>IFERROR(IF(ISBLANK(INDEX(Backlog[Requirement Name],MATCH($A269,Backlog[Requirement ID],0))),"",INDEX(Backlog[Requirement Name],MATCH($A269,Backlog[Requirement ID],0))),"")</f>
        <v/>
      </c>
      <c r="C268" s="92">
        <f>IFERROR(IF(ISBLANK(INDEX(Backlog[Stream],MATCH($A269,Backlog[Requirement ID],0))),"",INDEX(Backlog[Stream],MATCH($A269,Backlog[Requirement ID],0))),"")</f>
        <v/>
      </c>
      <c r="D268" s="92">
        <f>IFERROR(IF(ISBLANK(INDEX(Backlog[Priority],MATCH($A269,Backlog[Requirement ID],0))),"",INDEX(Backlog[Priority],MATCH($A269,Backlog[Requirement ID],0))),"")</f>
        <v/>
      </c>
      <c r="E268" s="92">
        <f>IFERROR(IF(ISBLANK(INDEX(Backlog[Status],MATCH($A269,Backlog[Requirement ID],0))),"",INDEX(Backlog[Status],MATCH($A269,Backlog[Requirement ID],0))),"")</f>
        <v/>
      </c>
      <c r="F268" s="92" t="n"/>
      <c r="G268" s="92">
        <f>IFERROR(IF(ISBLANK(INDEX(Backlog[HLE],MATCH($A269,Backlog[Requirement ID],0))),"",INDEX(Backlog[HLE],MATCH($A269,Backlog[Requirement ID],0))),"")</f>
        <v/>
      </c>
      <c r="H268" s="92">
        <f>IFERROR(VALUE(SUBSTITUTE($F269,"Sprint ","")),9999)</f>
        <v/>
      </c>
    </row>
    <row r="269" ht="15" customHeight="1" s="93">
      <c r="A269" s="92">
        <f>Backlog!A270</f>
        <v/>
      </c>
      <c r="B269" s="92">
        <f>IFERROR(IF(ISBLANK(INDEX(Backlog[Requirement Name],MATCH($A270,Backlog[Requirement ID],0))),"",INDEX(Backlog[Requirement Name],MATCH($A270,Backlog[Requirement ID],0))),"")</f>
        <v/>
      </c>
      <c r="C269" s="92">
        <f>IFERROR(IF(ISBLANK(INDEX(Backlog[Stream],MATCH($A270,Backlog[Requirement ID],0))),"",INDEX(Backlog[Stream],MATCH($A270,Backlog[Requirement ID],0))),"")</f>
        <v/>
      </c>
      <c r="D269" s="92">
        <f>IFERROR(IF(ISBLANK(INDEX(Backlog[Priority],MATCH($A270,Backlog[Requirement ID],0))),"",INDEX(Backlog[Priority],MATCH($A270,Backlog[Requirement ID],0))),"")</f>
        <v/>
      </c>
      <c r="E269" s="92">
        <f>IFERROR(IF(ISBLANK(INDEX(Backlog[Status],MATCH($A270,Backlog[Requirement ID],0))),"",INDEX(Backlog[Status],MATCH($A270,Backlog[Requirement ID],0))),"")</f>
        <v/>
      </c>
      <c r="F269" s="92" t="n"/>
      <c r="G269" s="92">
        <f>IFERROR(IF(ISBLANK(INDEX(Backlog[HLE],MATCH($A270,Backlog[Requirement ID],0))),"",INDEX(Backlog[HLE],MATCH($A270,Backlog[Requirement ID],0))),"")</f>
        <v/>
      </c>
      <c r="H269" s="92">
        <f>IFERROR(VALUE(SUBSTITUTE($F270,"Sprint ","")),9999)</f>
        <v/>
      </c>
    </row>
    <row r="270" ht="15" customHeight="1" s="93">
      <c r="A270" s="92">
        <f>Backlog!A271</f>
        <v/>
      </c>
      <c r="B270" s="92">
        <f>IFERROR(IF(ISBLANK(INDEX(Backlog[Requirement Name],MATCH($A271,Backlog[Requirement ID],0))),"",INDEX(Backlog[Requirement Name],MATCH($A271,Backlog[Requirement ID],0))),"")</f>
        <v/>
      </c>
      <c r="C270" s="92">
        <f>IFERROR(IF(ISBLANK(INDEX(Backlog[Stream],MATCH($A271,Backlog[Requirement ID],0))),"",INDEX(Backlog[Stream],MATCH($A271,Backlog[Requirement ID],0))),"")</f>
        <v/>
      </c>
      <c r="D270" s="92">
        <f>IFERROR(IF(ISBLANK(INDEX(Backlog[Priority],MATCH($A271,Backlog[Requirement ID],0))),"",INDEX(Backlog[Priority],MATCH($A271,Backlog[Requirement ID],0))),"")</f>
        <v/>
      </c>
      <c r="E270" s="92">
        <f>IFERROR(IF(ISBLANK(INDEX(Backlog[Status],MATCH($A271,Backlog[Requirement ID],0))),"",INDEX(Backlog[Status],MATCH($A271,Backlog[Requirement ID],0))),"")</f>
        <v/>
      </c>
      <c r="F270" s="92" t="n"/>
      <c r="G270" s="92">
        <f>IFERROR(IF(ISBLANK(INDEX(Backlog[HLE],MATCH($A271,Backlog[Requirement ID],0))),"",INDEX(Backlog[HLE],MATCH($A271,Backlog[Requirement ID],0))),"")</f>
        <v/>
      </c>
      <c r="H270" s="92">
        <f>IFERROR(VALUE(SUBSTITUTE($F271,"Sprint ","")),9999)</f>
        <v/>
      </c>
    </row>
    <row r="271" ht="15" customHeight="1" s="93">
      <c r="A271" s="92">
        <f>Backlog!A272</f>
        <v/>
      </c>
      <c r="B271" s="92">
        <f>IFERROR(IF(ISBLANK(INDEX(Backlog[Requirement Name],MATCH($A272,Backlog[Requirement ID],0))),"",INDEX(Backlog[Requirement Name],MATCH($A272,Backlog[Requirement ID],0))),"")</f>
        <v/>
      </c>
      <c r="C271" s="92">
        <f>IFERROR(IF(ISBLANK(INDEX(Backlog[Stream],MATCH($A272,Backlog[Requirement ID],0))),"",INDEX(Backlog[Stream],MATCH($A272,Backlog[Requirement ID],0))),"")</f>
        <v/>
      </c>
      <c r="D271" s="92">
        <f>IFERROR(IF(ISBLANK(INDEX(Backlog[Priority],MATCH($A272,Backlog[Requirement ID],0))),"",INDEX(Backlog[Priority],MATCH($A272,Backlog[Requirement ID],0))),"")</f>
        <v/>
      </c>
      <c r="E271" s="92">
        <f>IFERROR(IF(ISBLANK(INDEX(Backlog[Status],MATCH($A272,Backlog[Requirement ID],0))),"",INDEX(Backlog[Status],MATCH($A272,Backlog[Requirement ID],0))),"")</f>
        <v/>
      </c>
      <c r="F271" s="92" t="n"/>
      <c r="G271" s="92">
        <f>IFERROR(IF(ISBLANK(INDEX(Backlog[HLE],MATCH($A272,Backlog[Requirement ID],0))),"",INDEX(Backlog[HLE],MATCH($A272,Backlog[Requirement ID],0))),"")</f>
        <v/>
      </c>
      <c r="H271" s="92">
        <f>IFERROR(VALUE(SUBSTITUTE($F272,"Sprint ","")),9999)</f>
        <v/>
      </c>
    </row>
    <row r="272" ht="15" customHeight="1" s="93">
      <c r="A272" s="92">
        <f>Backlog!A273</f>
        <v/>
      </c>
      <c r="B272" s="92">
        <f>IFERROR(IF(ISBLANK(INDEX(Backlog[Requirement Name],MATCH($A273,Backlog[Requirement ID],0))),"",INDEX(Backlog[Requirement Name],MATCH($A273,Backlog[Requirement ID],0))),"")</f>
        <v/>
      </c>
      <c r="C272" s="92">
        <f>IFERROR(IF(ISBLANK(INDEX(Backlog[Stream],MATCH($A273,Backlog[Requirement ID],0))),"",INDEX(Backlog[Stream],MATCH($A273,Backlog[Requirement ID],0))),"")</f>
        <v/>
      </c>
      <c r="D272" s="92">
        <f>IFERROR(IF(ISBLANK(INDEX(Backlog[Priority],MATCH($A273,Backlog[Requirement ID],0))),"",INDEX(Backlog[Priority],MATCH($A273,Backlog[Requirement ID],0))),"")</f>
        <v/>
      </c>
      <c r="E272" s="92">
        <f>IFERROR(IF(ISBLANK(INDEX(Backlog[Status],MATCH($A273,Backlog[Requirement ID],0))),"",INDEX(Backlog[Status],MATCH($A273,Backlog[Requirement ID],0))),"")</f>
        <v/>
      </c>
      <c r="F272" s="92" t="n"/>
      <c r="G272" s="92">
        <f>IFERROR(IF(ISBLANK(INDEX(Backlog[HLE],MATCH($A273,Backlog[Requirement ID],0))),"",INDEX(Backlog[HLE],MATCH($A273,Backlog[Requirement ID],0))),"")</f>
        <v/>
      </c>
      <c r="H272" s="92">
        <f>IFERROR(VALUE(SUBSTITUTE($F273,"Sprint ","")),9999)</f>
        <v/>
      </c>
    </row>
    <row r="273" ht="15" customHeight="1" s="93">
      <c r="A273" s="92">
        <f>Backlog!A274</f>
        <v/>
      </c>
      <c r="B273" s="92">
        <f>IFERROR(IF(ISBLANK(INDEX(Backlog[Requirement Name],MATCH($A274,Backlog[Requirement ID],0))),"",INDEX(Backlog[Requirement Name],MATCH($A274,Backlog[Requirement ID],0))),"")</f>
        <v/>
      </c>
      <c r="C273" s="92">
        <f>IFERROR(IF(ISBLANK(INDEX(Backlog[Stream],MATCH($A274,Backlog[Requirement ID],0))),"",INDEX(Backlog[Stream],MATCH($A274,Backlog[Requirement ID],0))),"")</f>
        <v/>
      </c>
      <c r="D273" s="92">
        <f>IFERROR(IF(ISBLANK(INDEX(Backlog[Priority],MATCH($A274,Backlog[Requirement ID],0))),"",INDEX(Backlog[Priority],MATCH($A274,Backlog[Requirement ID],0))),"")</f>
        <v/>
      </c>
      <c r="E273" s="92">
        <f>IFERROR(IF(ISBLANK(INDEX(Backlog[Status],MATCH($A274,Backlog[Requirement ID],0))),"",INDEX(Backlog[Status],MATCH($A274,Backlog[Requirement ID],0))),"")</f>
        <v/>
      </c>
      <c r="F273" s="92" t="n"/>
      <c r="G273" s="92">
        <f>IFERROR(IF(ISBLANK(INDEX(Backlog[HLE],MATCH($A274,Backlog[Requirement ID],0))),"",INDEX(Backlog[HLE],MATCH($A274,Backlog[Requirement ID],0))),"")</f>
        <v/>
      </c>
      <c r="H273" s="92">
        <f>IFERROR(VALUE(SUBSTITUTE($F274,"Sprint ","")),9999)</f>
        <v/>
      </c>
    </row>
    <row r="274" ht="15" customHeight="1" s="93">
      <c r="A274" s="92">
        <f>Backlog!A275</f>
        <v/>
      </c>
      <c r="B274" s="92">
        <f>IFERROR(IF(ISBLANK(INDEX(Backlog[Requirement Name],MATCH($A275,Backlog[Requirement ID],0))),"",INDEX(Backlog[Requirement Name],MATCH($A275,Backlog[Requirement ID],0))),"")</f>
        <v/>
      </c>
      <c r="C274" s="92">
        <f>IFERROR(IF(ISBLANK(INDEX(Backlog[Stream],MATCH($A275,Backlog[Requirement ID],0))),"",INDEX(Backlog[Stream],MATCH($A275,Backlog[Requirement ID],0))),"")</f>
        <v/>
      </c>
      <c r="D274" s="92">
        <f>IFERROR(IF(ISBLANK(INDEX(Backlog[Priority],MATCH($A275,Backlog[Requirement ID],0))),"",INDEX(Backlog[Priority],MATCH($A275,Backlog[Requirement ID],0))),"")</f>
        <v/>
      </c>
      <c r="E274" s="92">
        <f>IFERROR(IF(ISBLANK(INDEX(Backlog[Status],MATCH($A275,Backlog[Requirement ID],0))),"",INDEX(Backlog[Status],MATCH($A275,Backlog[Requirement ID],0))),"")</f>
        <v/>
      </c>
      <c r="F274" s="92" t="n"/>
      <c r="G274" s="92">
        <f>IFERROR(IF(ISBLANK(INDEX(Backlog[HLE],MATCH($A275,Backlog[Requirement ID],0))),"",INDEX(Backlog[HLE],MATCH($A275,Backlog[Requirement ID],0))),"")</f>
        <v/>
      </c>
      <c r="H274" s="92">
        <f>IFERROR(VALUE(SUBSTITUTE($F275,"Sprint ","")),9999)</f>
        <v/>
      </c>
    </row>
    <row r="275" ht="15" customHeight="1" s="93">
      <c r="A275" s="92">
        <f>Backlog!A276</f>
        <v/>
      </c>
      <c r="B275" s="92">
        <f>IFERROR(IF(ISBLANK(INDEX(Backlog[Requirement Name],MATCH($A276,Backlog[Requirement ID],0))),"",INDEX(Backlog[Requirement Name],MATCH($A276,Backlog[Requirement ID],0))),"")</f>
        <v/>
      </c>
      <c r="C275" s="92">
        <f>IFERROR(IF(ISBLANK(INDEX(Backlog[Stream],MATCH($A276,Backlog[Requirement ID],0))),"",INDEX(Backlog[Stream],MATCH($A276,Backlog[Requirement ID],0))),"")</f>
        <v/>
      </c>
      <c r="D275" s="92">
        <f>IFERROR(IF(ISBLANK(INDEX(Backlog[Priority],MATCH($A276,Backlog[Requirement ID],0))),"",INDEX(Backlog[Priority],MATCH($A276,Backlog[Requirement ID],0))),"")</f>
        <v/>
      </c>
      <c r="E275" s="92">
        <f>IFERROR(IF(ISBLANK(INDEX(Backlog[Status],MATCH($A276,Backlog[Requirement ID],0))),"",INDEX(Backlog[Status],MATCH($A276,Backlog[Requirement ID],0))),"")</f>
        <v/>
      </c>
      <c r="F275" s="92" t="n"/>
      <c r="G275" s="92">
        <f>IFERROR(IF(ISBLANK(INDEX(Backlog[HLE],MATCH($A276,Backlog[Requirement ID],0))),"",INDEX(Backlog[HLE],MATCH($A276,Backlog[Requirement ID],0))),"")</f>
        <v/>
      </c>
      <c r="H275" s="92">
        <f>IFERROR(VALUE(SUBSTITUTE($F276,"Sprint ","")),9999)</f>
        <v/>
      </c>
    </row>
    <row r="276" ht="15" customHeight="1" s="93">
      <c r="A276" s="92">
        <f>Backlog!A277</f>
        <v/>
      </c>
      <c r="B276" s="92">
        <f>IFERROR(IF(ISBLANK(INDEX(Backlog[Requirement Name],MATCH($A277,Backlog[Requirement ID],0))),"",INDEX(Backlog[Requirement Name],MATCH($A277,Backlog[Requirement ID],0))),"")</f>
        <v/>
      </c>
      <c r="C276" s="92">
        <f>IFERROR(IF(ISBLANK(INDEX(Backlog[Stream],MATCH($A277,Backlog[Requirement ID],0))),"",INDEX(Backlog[Stream],MATCH($A277,Backlog[Requirement ID],0))),"")</f>
        <v/>
      </c>
      <c r="D276" s="92">
        <f>IFERROR(IF(ISBLANK(INDEX(Backlog[Priority],MATCH($A277,Backlog[Requirement ID],0))),"",INDEX(Backlog[Priority],MATCH($A277,Backlog[Requirement ID],0))),"")</f>
        <v/>
      </c>
      <c r="E276" s="92">
        <f>IFERROR(IF(ISBLANK(INDEX(Backlog[Status],MATCH($A277,Backlog[Requirement ID],0))),"",INDEX(Backlog[Status],MATCH($A277,Backlog[Requirement ID],0))),"")</f>
        <v/>
      </c>
      <c r="F276" s="92" t="n"/>
      <c r="G276" s="92">
        <f>IFERROR(IF(ISBLANK(INDEX(Backlog[HLE],MATCH($A277,Backlog[Requirement ID],0))),"",INDEX(Backlog[HLE],MATCH($A277,Backlog[Requirement ID],0))),"")</f>
        <v/>
      </c>
      <c r="H276" s="92">
        <f>IFERROR(VALUE(SUBSTITUTE($F277,"Sprint ","")),9999)</f>
        <v/>
      </c>
    </row>
    <row r="277" ht="15" customHeight="1" s="93">
      <c r="A277" s="92">
        <f>Backlog!A278</f>
        <v/>
      </c>
      <c r="B277" s="92">
        <f>IFERROR(IF(ISBLANK(INDEX(Backlog[Requirement Name],MATCH($A278,Backlog[Requirement ID],0))),"",INDEX(Backlog[Requirement Name],MATCH($A278,Backlog[Requirement ID],0))),"")</f>
        <v/>
      </c>
      <c r="C277" s="92">
        <f>IFERROR(IF(ISBLANK(INDEX(Backlog[Stream],MATCH($A278,Backlog[Requirement ID],0))),"",INDEX(Backlog[Stream],MATCH($A278,Backlog[Requirement ID],0))),"")</f>
        <v/>
      </c>
      <c r="D277" s="92">
        <f>IFERROR(IF(ISBLANK(INDEX(Backlog[Priority],MATCH($A278,Backlog[Requirement ID],0))),"",INDEX(Backlog[Priority],MATCH($A278,Backlog[Requirement ID],0))),"")</f>
        <v/>
      </c>
      <c r="E277" s="92">
        <f>IFERROR(IF(ISBLANK(INDEX(Backlog[Status],MATCH($A278,Backlog[Requirement ID],0))),"",INDEX(Backlog[Status],MATCH($A278,Backlog[Requirement ID],0))),"")</f>
        <v/>
      </c>
      <c r="F277" s="92" t="n"/>
      <c r="G277" s="92">
        <f>IFERROR(IF(ISBLANK(INDEX(Backlog[HLE],MATCH($A278,Backlog[Requirement ID],0))),"",INDEX(Backlog[HLE],MATCH($A278,Backlog[Requirement ID],0))),"")</f>
        <v/>
      </c>
      <c r="H277" s="92">
        <f>IFERROR(VALUE(SUBSTITUTE($F278,"Sprint ","")),9999)</f>
        <v/>
      </c>
    </row>
    <row r="278" ht="15" customHeight="1" s="93">
      <c r="A278" s="92">
        <f>Backlog!A279</f>
        <v/>
      </c>
      <c r="B278" s="92">
        <f>IFERROR(IF(ISBLANK(INDEX(Backlog[Requirement Name],MATCH($A279,Backlog[Requirement ID],0))),"",INDEX(Backlog[Requirement Name],MATCH($A279,Backlog[Requirement ID],0))),"")</f>
        <v/>
      </c>
      <c r="C278" s="92">
        <f>IFERROR(IF(ISBLANK(INDEX(Backlog[Stream],MATCH($A279,Backlog[Requirement ID],0))),"",INDEX(Backlog[Stream],MATCH($A279,Backlog[Requirement ID],0))),"")</f>
        <v/>
      </c>
      <c r="D278" s="92">
        <f>IFERROR(IF(ISBLANK(INDEX(Backlog[Priority],MATCH($A279,Backlog[Requirement ID],0))),"",INDEX(Backlog[Priority],MATCH($A279,Backlog[Requirement ID],0))),"")</f>
        <v/>
      </c>
      <c r="E278" s="92">
        <f>IFERROR(IF(ISBLANK(INDEX(Backlog[Status],MATCH($A279,Backlog[Requirement ID],0))),"",INDEX(Backlog[Status],MATCH($A279,Backlog[Requirement ID],0))),"")</f>
        <v/>
      </c>
      <c r="F278" s="92" t="n"/>
      <c r="G278" s="92">
        <f>IFERROR(IF(ISBLANK(INDEX(Backlog[HLE],MATCH($A279,Backlog[Requirement ID],0))),"",INDEX(Backlog[HLE],MATCH($A279,Backlog[Requirement ID],0))),"")</f>
        <v/>
      </c>
      <c r="H278" s="92">
        <f>IFERROR(VALUE(SUBSTITUTE($F279,"Sprint ","")),9999)</f>
        <v/>
      </c>
    </row>
    <row r="279" ht="15" customHeight="1" s="93">
      <c r="A279" s="92">
        <f>Backlog!A280</f>
        <v/>
      </c>
      <c r="B279" s="92">
        <f>IFERROR(IF(ISBLANK(INDEX(Backlog[Requirement Name],MATCH($A280,Backlog[Requirement ID],0))),"",INDEX(Backlog[Requirement Name],MATCH($A280,Backlog[Requirement ID],0))),"")</f>
        <v/>
      </c>
      <c r="C279" s="92">
        <f>IFERROR(IF(ISBLANK(INDEX(Backlog[Stream],MATCH($A280,Backlog[Requirement ID],0))),"",INDEX(Backlog[Stream],MATCH($A280,Backlog[Requirement ID],0))),"")</f>
        <v/>
      </c>
      <c r="D279" s="92">
        <f>IFERROR(IF(ISBLANK(INDEX(Backlog[Priority],MATCH($A280,Backlog[Requirement ID],0))),"",INDEX(Backlog[Priority],MATCH($A280,Backlog[Requirement ID],0))),"")</f>
        <v/>
      </c>
      <c r="E279" s="92">
        <f>IFERROR(IF(ISBLANK(INDEX(Backlog[Status],MATCH($A280,Backlog[Requirement ID],0))),"",INDEX(Backlog[Status],MATCH($A280,Backlog[Requirement ID],0))),"")</f>
        <v/>
      </c>
      <c r="F279" s="92" t="n"/>
      <c r="G279" s="92">
        <f>IFERROR(IF(ISBLANK(INDEX(Backlog[HLE],MATCH($A280,Backlog[Requirement ID],0))),"",INDEX(Backlog[HLE],MATCH($A280,Backlog[Requirement ID],0))),"")</f>
        <v/>
      </c>
      <c r="H279" s="92">
        <f>IFERROR(VALUE(SUBSTITUTE($F280,"Sprint ","")),9999)</f>
        <v/>
      </c>
    </row>
    <row r="280" ht="15" customHeight="1" s="93">
      <c r="A280" s="92">
        <f>Backlog!A281</f>
        <v/>
      </c>
      <c r="B280" s="92">
        <f>IFERROR(IF(ISBLANK(INDEX(Backlog[Requirement Name],MATCH($A281,Backlog[Requirement ID],0))),"",INDEX(Backlog[Requirement Name],MATCH($A281,Backlog[Requirement ID],0))),"")</f>
        <v/>
      </c>
      <c r="C280" s="92">
        <f>IFERROR(IF(ISBLANK(INDEX(Backlog[Stream],MATCH($A281,Backlog[Requirement ID],0))),"",INDEX(Backlog[Stream],MATCH($A281,Backlog[Requirement ID],0))),"")</f>
        <v/>
      </c>
      <c r="D280" s="92">
        <f>IFERROR(IF(ISBLANK(INDEX(Backlog[Priority],MATCH($A281,Backlog[Requirement ID],0))),"",INDEX(Backlog[Priority],MATCH($A281,Backlog[Requirement ID],0))),"")</f>
        <v/>
      </c>
      <c r="E280" s="92">
        <f>IFERROR(IF(ISBLANK(INDEX(Backlog[Status],MATCH($A281,Backlog[Requirement ID],0))),"",INDEX(Backlog[Status],MATCH($A281,Backlog[Requirement ID],0))),"")</f>
        <v/>
      </c>
      <c r="F280" s="92" t="n"/>
      <c r="G280" s="92">
        <f>IFERROR(IF(ISBLANK(INDEX(Backlog[HLE],MATCH($A281,Backlog[Requirement ID],0))),"",INDEX(Backlog[HLE],MATCH($A281,Backlog[Requirement ID],0))),"")</f>
        <v/>
      </c>
      <c r="H280" s="92">
        <f>IFERROR(VALUE(SUBSTITUTE($F281,"Sprint ","")),9999)</f>
        <v/>
      </c>
    </row>
    <row r="281" ht="15" customHeight="1" s="93">
      <c r="A281" s="92">
        <f>Backlog!A282</f>
        <v/>
      </c>
      <c r="B281" s="92">
        <f>IFERROR(IF(ISBLANK(INDEX(Backlog[Requirement Name],MATCH($A282,Backlog[Requirement ID],0))),"",INDEX(Backlog[Requirement Name],MATCH($A282,Backlog[Requirement ID],0))),"")</f>
        <v/>
      </c>
      <c r="C281" s="92">
        <f>IFERROR(IF(ISBLANK(INDEX(Backlog[Stream],MATCH($A282,Backlog[Requirement ID],0))),"",INDEX(Backlog[Stream],MATCH($A282,Backlog[Requirement ID],0))),"")</f>
        <v/>
      </c>
      <c r="D281" s="92">
        <f>IFERROR(IF(ISBLANK(INDEX(Backlog[Priority],MATCH($A282,Backlog[Requirement ID],0))),"",INDEX(Backlog[Priority],MATCH($A282,Backlog[Requirement ID],0))),"")</f>
        <v/>
      </c>
      <c r="E281" s="92">
        <f>IFERROR(IF(ISBLANK(INDEX(Backlog[Status],MATCH($A282,Backlog[Requirement ID],0))),"",INDEX(Backlog[Status],MATCH($A282,Backlog[Requirement ID],0))),"")</f>
        <v/>
      </c>
      <c r="F281" s="92" t="n"/>
      <c r="G281" s="92">
        <f>IFERROR(IF(ISBLANK(INDEX(Backlog[HLE],MATCH($A282,Backlog[Requirement ID],0))),"",INDEX(Backlog[HLE],MATCH($A282,Backlog[Requirement ID],0))),"")</f>
        <v/>
      </c>
      <c r="H281" s="92">
        <f>IFERROR(VALUE(SUBSTITUTE($F282,"Sprint ","")),9999)</f>
        <v/>
      </c>
    </row>
    <row r="282" ht="15" customHeight="1" s="93">
      <c r="A282" s="92">
        <f>Backlog!A283</f>
        <v/>
      </c>
      <c r="B282" s="92">
        <f>IFERROR(IF(ISBLANK(INDEX(Backlog[Requirement Name],MATCH($A283,Backlog[Requirement ID],0))),"",INDEX(Backlog[Requirement Name],MATCH($A283,Backlog[Requirement ID],0))),"")</f>
        <v/>
      </c>
      <c r="C282" s="92">
        <f>IFERROR(IF(ISBLANK(INDEX(Backlog[Stream],MATCH($A283,Backlog[Requirement ID],0))),"",INDEX(Backlog[Stream],MATCH($A283,Backlog[Requirement ID],0))),"")</f>
        <v/>
      </c>
      <c r="D282" s="92">
        <f>IFERROR(IF(ISBLANK(INDEX(Backlog[Priority],MATCH($A283,Backlog[Requirement ID],0))),"",INDEX(Backlog[Priority],MATCH($A283,Backlog[Requirement ID],0))),"")</f>
        <v/>
      </c>
      <c r="E282" s="92">
        <f>IFERROR(IF(ISBLANK(INDEX(Backlog[Status],MATCH($A283,Backlog[Requirement ID],0))),"",INDEX(Backlog[Status],MATCH($A283,Backlog[Requirement ID],0))),"")</f>
        <v/>
      </c>
      <c r="F282" s="92" t="n"/>
      <c r="G282" s="92">
        <f>IFERROR(IF(ISBLANK(INDEX(Backlog[HLE],MATCH($A283,Backlog[Requirement ID],0))),"",INDEX(Backlog[HLE],MATCH($A283,Backlog[Requirement ID],0))),"")</f>
        <v/>
      </c>
      <c r="H282" s="92">
        <f>IFERROR(VALUE(SUBSTITUTE($F283,"Sprint ","")),9999)</f>
        <v/>
      </c>
    </row>
    <row r="283" ht="15" customHeight="1" s="93">
      <c r="A283" s="92">
        <f>Backlog!A284</f>
        <v/>
      </c>
      <c r="B283" s="92">
        <f>IFERROR(IF(ISBLANK(INDEX(Backlog[Requirement Name],MATCH($A284,Backlog[Requirement ID],0))),"",INDEX(Backlog[Requirement Name],MATCH($A284,Backlog[Requirement ID],0))),"")</f>
        <v/>
      </c>
      <c r="C283" s="92">
        <f>IFERROR(IF(ISBLANK(INDEX(Backlog[Stream],MATCH($A284,Backlog[Requirement ID],0))),"",INDEX(Backlog[Stream],MATCH($A284,Backlog[Requirement ID],0))),"")</f>
        <v/>
      </c>
      <c r="D283" s="92">
        <f>IFERROR(IF(ISBLANK(INDEX(Backlog[Priority],MATCH($A284,Backlog[Requirement ID],0))),"",INDEX(Backlog[Priority],MATCH($A284,Backlog[Requirement ID],0))),"")</f>
        <v/>
      </c>
      <c r="E283" s="92">
        <f>IFERROR(IF(ISBLANK(INDEX(Backlog[Status],MATCH($A284,Backlog[Requirement ID],0))),"",INDEX(Backlog[Status],MATCH($A284,Backlog[Requirement ID],0))),"")</f>
        <v/>
      </c>
      <c r="F283" s="92" t="n"/>
      <c r="G283" s="92">
        <f>IFERROR(IF(ISBLANK(INDEX(Backlog[HLE],MATCH($A284,Backlog[Requirement ID],0))),"",INDEX(Backlog[HLE],MATCH($A284,Backlog[Requirement ID],0))),"")</f>
        <v/>
      </c>
      <c r="H283" s="92">
        <f>IFERROR(VALUE(SUBSTITUTE($F284,"Sprint ","")),9999)</f>
        <v/>
      </c>
    </row>
    <row r="284" ht="15" customHeight="1" s="93">
      <c r="A284" s="92">
        <f>Backlog!A285</f>
        <v/>
      </c>
      <c r="B284" s="92">
        <f>IFERROR(IF(ISBLANK(INDEX(Backlog[Requirement Name],MATCH($A285,Backlog[Requirement ID],0))),"",INDEX(Backlog[Requirement Name],MATCH($A285,Backlog[Requirement ID],0))),"")</f>
        <v/>
      </c>
      <c r="C284" s="92">
        <f>IFERROR(IF(ISBLANK(INDEX(Backlog[Stream],MATCH($A285,Backlog[Requirement ID],0))),"",INDEX(Backlog[Stream],MATCH($A285,Backlog[Requirement ID],0))),"")</f>
        <v/>
      </c>
      <c r="D284" s="92">
        <f>IFERROR(IF(ISBLANK(INDEX(Backlog[Priority],MATCH($A285,Backlog[Requirement ID],0))),"",INDEX(Backlog[Priority],MATCH($A285,Backlog[Requirement ID],0))),"")</f>
        <v/>
      </c>
      <c r="E284" s="92">
        <f>IFERROR(IF(ISBLANK(INDEX(Backlog[Status],MATCH($A285,Backlog[Requirement ID],0))),"",INDEX(Backlog[Status],MATCH($A285,Backlog[Requirement ID],0))),"")</f>
        <v/>
      </c>
      <c r="F284" s="92" t="n"/>
      <c r="G284" s="92">
        <f>IFERROR(IF(ISBLANK(INDEX(Backlog[HLE],MATCH($A285,Backlog[Requirement ID],0))),"",INDEX(Backlog[HLE],MATCH($A285,Backlog[Requirement ID],0))),"")</f>
        <v/>
      </c>
      <c r="H284" s="92">
        <f>IFERROR(VALUE(SUBSTITUTE($F285,"Sprint ","")),9999)</f>
        <v/>
      </c>
    </row>
    <row r="285" ht="15" customHeight="1" s="93">
      <c r="A285" s="92">
        <f>Backlog!A286</f>
        <v/>
      </c>
      <c r="B285" s="92">
        <f>IFERROR(IF(ISBLANK(INDEX(Backlog[Requirement Name],MATCH($A286,Backlog[Requirement ID],0))),"",INDEX(Backlog[Requirement Name],MATCH($A286,Backlog[Requirement ID],0))),"")</f>
        <v/>
      </c>
      <c r="C285" s="92">
        <f>IFERROR(IF(ISBLANK(INDEX(Backlog[Stream],MATCH($A286,Backlog[Requirement ID],0))),"",INDEX(Backlog[Stream],MATCH($A286,Backlog[Requirement ID],0))),"")</f>
        <v/>
      </c>
      <c r="D285" s="92">
        <f>IFERROR(IF(ISBLANK(INDEX(Backlog[Priority],MATCH($A286,Backlog[Requirement ID],0))),"",INDEX(Backlog[Priority],MATCH($A286,Backlog[Requirement ID],0))),"")</f>
        <v/>
      </c>
      <c r="E285" s="92">
        <f>IFERROR(IF(ISBLANK(INDEX(Backlog[Status],MATCH($A286,Backlog[Requirement ID],0))),"",INDEX(Backlog[Status],MATCH($A286,Backlog[Requirement ID],0))),"")</f>
        <v/>
      </c>
      <c r="F285" s="92" t="n"/>
      <c r="G285" s="92">
        <f>IFERROR(IF(ISBLANK(INDEX(Backlog[HLE],MATCH($A286,Backlog[Requirement ID],0))),"",INDEX(Backlog[HLE],MATCH($A286,Backlog[Requirement ID],0))),"")</f>
        <v/>
      </c>
      <c r="H285" s="92">
        <f>IFERROR(VALUE(SUBSTITUTE($F286,"Sprint ","")),9999)</f>
        <v/>
      </c>
    </row>
    <row r="286" ht="15" customHeight="1" s="93">
      <c r="A286" s="92">
        <f>Backlog!A287</f>
        <v/>
      </c>
      <c r="B286" s="92">
        <f>IFERROR(IF(ISBLANK(INDEX(Backlog[Requirement Name],MATCH($A287,Backlog[Requirement ID],0))),"",INDEX(Backlog[Requirement Name],MATCH($A287,Backlog[Requirement ID],0))),"")</f>
        <v/>
      </c>
      <c r="C286" s="92">
        <f>IFERROR(IF(ISBLANK(INDEX(Backlog[Stream],MATCH($A287,Backlog[Requirement ID],0))),"",INDEX(Backlog[Stream],MATCH($A287,Backlog[Requirement ID],0))),"")</f>
        <v/>
      </c>
      <c r="D286" s="92">
        <f>IFERROR(IF(ISBLANK(INDEX(Backlog[Priority],MATCH($A287,Backlog[Requirement ID],0))),"",INDEX(Backlog[Priority],MATCH($A287,Backlog[Requirement ID],0))),"")</f>
        <v/>
      </c>
      <c r="E286" s="92">
        <f>IFERROR(IF(ISBLANK(INDEX(Backlog[Status],MATCH($A287,Backlog[Requirement ID],0))),"",INDEX(Backlog[Status],MATCH($A287,Backlog[Requirement ID],0))),"")</f>
        <v/>
      </c>
      <c r="F286" s="92" t="n"/>
      <c r="G286" s="92">
        <f>IFERROR(IF(ISBLANK(INDEX(Backlog[HLE],MATCH($A287,Backlog[Requirement ID],0))),"",INDEX(Backlog[HLE],MATCH($A287,Backlog[Requirement ID],0))),"")</f>
        <v/>
      </c>
      <c r="H286" s="92">
        <f>IFERROR(VALUE(SUBSTITUTE($F287,"Sprint ","")),9999)</f>
        <v/>
      </c>
    </row>
    <row r="287" ht="15" customHeight="1" s="93">
      <c r="A287" s="92">
        <f>Backlog!A288</f>
        <v/>
      </c>
      <c r="B287" s="92">
        <f>IFERROR(IF(ISBLANK(INDEX(Backlog[Requirement Name],MATCH($A288,Backlog[Requirement ID],0))),"",INDEX(Backlog[Requirement Name],MATCH($A288,Backlog[Requirement ID],0))),"")</f>
        <v/>
      </c>
      <c r="C287" s="92">
        <f>IFERROR(IF(ISBLANK(INDEX(Backlog[Stream],MATCH($A288,Backlog[Requirement ID],0))),"",INDEX(Backlog[Stream],MATCH($A288,Backlog[Requirement ID],0))),"")</f>
        <v/>
      </c>
      <c r="D287" s="92">
        <f>IFERROR(IF(ISBLANK(INDEX(Backlog[Priority],MATCH($A288,Backlog[Requirement ID],0))),"",INDEX(Backlog[Priority],MATCH($A288,Backlog[Requirement ID],0))),"")</f>
        <v/>
      </c>
      <c r="E287" s="92">
        <f>IFERROR(IF(ISBLANK(INDEX(Backlog[Status],MATCH($A288,Backlog[Requirement ID],0))),"",INDEX(Backlog[Status],MATCH($A288,Backlog[Requirement ID],0))),"")</f>
        <v/>
      </c>
      <c r="F287" s="92" t="n"/>
      <c r="G287" s="92">
        <f>IFERROR(IF(ISBLANK(INDEX(Backlog[HLE],MATCH($A288,Backlog[Requirement ID],0))),"",INDEX(Backlog[HLE],MATCH($A288,Backlog[Requirement ID],0))),"")</f>
        <v/>
      </c>
      <c r="H287" s="92">
        <f>IFERROR(VALUE(SUBSTITUTE($F288,"Sprint ","")),9999)</f>
        <v/>
      </c>
    </row>
    <row r="288" ht="15" customHeight="1" s="93">
      <c r="A288" s="92">
        <f>Backlog!A289</f>
        <v/>
      </c>
      <c r="B288" s="92">
        <f>IFERROR(IF(ISBLANK(INDEX(Backlog[Requirement Name],MATCH($A289,Backlog[Requirement ID],0))),"",INDEX(Backlog[Requirement Name],MATCH($A289,Backlog[Requirement ID],0))),"")</f>
        <v/>
      </c>
      <c r="C288" s="92">
        <f>IFERROR(IF(ISBLANK(INDEX(Backlog[Stream],MATCH($A289,Backlog[Requirement ID],0))),"",INDEX(Backlog[Stream],MATCH($A289,Backlog[Requirement ID],0))),"")</f>
        <v/>
      </c>
      <c r="D288" s="92">
        <f>IFERROR(IF(ISBLANK(INDEX(Backlog[Priority],MATCH($A289,Backlog[Requirement ID],0))),"",INDEX(Backlog[Priority],MATCH($A289,Backlog[Requirement ID],0))),"")</f>
        <v/>
      </c>
      <c r="E288" s="92">
        <f>IFERROR(IF(ISBLANK(INDEX(Backlog[Status],MATCH($A289,Backlog[Requirement ID],0))),"",INDEX(Backlog[Status],MATCH($A289,Backlog[Requirement ID],0))),"")</f>
        <v/>
      </c>
      <c r="F288" s="92" t="n"/>
      <c r="G288" s="92">
        <f>IFERROR(IF(ISBLANK(INDEX(Backlog[HLE],MATCH($A289,Backlog[Requirement ID],0))),"",INDEX(Backlog[HLE],MATCH($A289,Backlog[Requirement ID],0))),"")</f>
        <v/>
      </c>
      <c r="H288" s="92">
        <f>IFERROR(VALUE(SUBSTITUTE($F289,"Sprint ","")),9999)</f>
        <v/>
      </c>
    </row>
    <row r="289" ht="15" customHeight="1" s="93">
      <c r="A289" s="92">
        <f>Backlog!A290</f>
        <v/>
      </c>
      <c r="B289" s="92">
        <f>IFERROR(IF(ISBLANK(INDEX(Backlog[Requirement Name],MATCH($A290,Backlog[Requirement ID],0))),"",INDEX(Backlog[Requirement Name],MATCH($A290,Backlog[Requirement ID],0))),"")</f>
        <v/>
      </c>
      <c r="C289" s="92">
        <f>IFERROR(IF(ISBLANK(INDEX(Backlog[Stream],MATCH($A290,Backlog[Requirement ID],0))),"",INDEX(Backlog[Stream],MATCH($A290,Backlog[Requirement ID],0))),"")</f>
        <v/>
      </c>
      <c r="D289" s="92">
        <f>IFERROR(IF(ISBLANK(INDEX(Backlog[Priority],MATCH($A290,Backlog[Requirement ID],0))),"",INDEX(Backlog[Priority],MATCH($A290,Backlog[Requirement ID],0))),"")</f>
        <v/>
      </c>
      <c r="E289" s="92">
        <f>IFERROR(IF(ISBLANK(INDEX(Backlog[Status],MATCH($A290,Backlog[Requirement ID],0))),"",INDEX(Backlog[Status],MATCH($A290,Backlog[Requirement ID],0))),"")</f>
        <v/>
      </c>
      <c r="F289" s="92" t="n"/>
      <c r="G289" s="92">
        <f>IFERROR(IF(ISBLANK(INDEX(Backlog[HLE],MATCH($A290,Backlog[Requirement ID],0))),"",INDEX(Backlog[HLE],MATCH($A290,Backlog[Requirement ID],0))),"")</f>
        <v/>
      </c>
      <c r="H289" s="92">
        <f>IFERROR(VALUE(SUBSTITUTE($F290,"Sprint ","")),9999)</f>
        <v/>
      </c>
    </row>
    <row r="290" ht="15" customHeight="1" s="93">
      <c r="A290" s="92">
        <f>Backlog!A291</f>
        <v/>
      </c>
      <c r="B290" s="92">
        <f>IFERROR(IF(ISBLANK(INDEX(Backlog[Requirement Name],MATCH($A291,Backlog[Requirement ID],0))),"",INDEX(Backlog[Requirement Name],MATCH($A291,Backlog[Requirement ID],0))),"")</f>
        <v/>
      </c>
      <c r="C290" s="92">
        <f>IFERROR(IF(ISBLANK(INDEX(Backlog[Stream],MATCH($A291,Backlog[Requirement ID],0))),"",INDEX(Backlog[Stream],MATCH($A291,Backlog[Requirement ID],0))),"")</f>
        <v/>
      </c>
      <c r="D290" s="92">
        <f>IFERROR(IF(ISBLANK(INDEX(Backlog[Priority],MATCH($A291,Backlog[Requirement ID],0))),"",INDEX(Backlog[Priority],MATCH($A291,Backlog[Requirement ID],0))),"")</f>
        <v/>
      </c>
      <c r="E290" s="92">
        <f>IFERROR(IF(ISBLANK(INDEX(Backlog[Status],MATCH($A291,Backlog[Requirement ID],0))),"",INDEX(Backlog[Status],MATCH($A291,Backlog[Requirement ID],0))),"")</f>
        <v/>
      </c>
      <c r="F290" s="92" t="n"/>
      <c r="G290" s="92">
        <f>IFERROR(IF(ISBLANK(INDEX(Backlog[HLE],MATCH($A291,Backlog[Requirement ID],0))),"",INDEX(Backlog[HLE],MATCH($A291,Backlog[Requirement ID],0))),"")</f>
        <v/>
      </c>
      <c r="H290" s="92">
        <f>IFERROR(VALUE(SUBSTITUTE($F291,"Sprint ","")),9999)</f>
        <v/>
      </c>
    </row>
    <row r="291" ht="15" customHeight="1" s="93">
      <c r="A291" s="92">
        <f>Backlog!A292</f>
        <v/>
      </c>
      <c r="B291" s="92">
        <f>IFERROR(IF(ISBLANK(INDEX(Backlog[Requirement Name],MATCH($A292,Backlog[Requirement ID],0))),"",INDEX(Backlog[Requirement Name],MATCH($A292,Backlog[Requirement ID],0))),"")</f>
        <v/>
      </c>
      <c r="C291" s="92">
        <f>IFERROR(IF(ISBLANK(INDEX(Backlog[Stream],MATCH($A292,Backlog[Requirement ID],0))),"",INDEX(Backlog[Stream],MATCH($A292,Backlog[Requirement ID],0))),"")</f>
        <v/>
      </c>
      <c r="D291" s="92">
        <f>IFERROR(IF(ISBLANK(INDEX(Backlog[Priority],MATCH($A292,Backlog[Requirement ID],0))),"",INDEX(Backlog[Priority],MATCH($A292,Backlog[Requirement ID],0))),"")</f>
        <v/>
      </c>
      <c r="E291" s="92">
        <f>IFERROR(IF(ISBLANK(INDEX(Backlog[Status],MATCH($A292,Backlog[Requirement ID],0))),"",INDEX(Backlog[Status],MATCH($A292,Backlog[Requirement ID],0))),"")</f>
        <v/>
      </c>
      <c r="F291" s="92" t="n"/>
      <c r="G291" s="92">
        <f>IFERROR(IF(ISBLANK(INDEX(Backlog[HLE],MATCH($A292,Backlog[Requirement ID],0))),"",INDEX(Backlog[HLE],MATCH($A292,Backlog[Requirement ID],0))),"")</f>
        <v/>
      </c>
      <c r="H291" s="92">
        <f>IFERROR(VALUE(SUBSTITUTE($F292,"Sprint ","")),9999)</f>
        <v/>
      </c>
    </row>
    <row r="292" ht="15" customHeight="1" s="93">
      <c r="A292" s="92">
        <f>Backlog!A293</f>
        <v/>
      </c>
      <c r="B292" s="92">
        <f>IFERROR(IF(ISBLANK(INDEX(Backlog[Requirement Name],MATCH($A293,Backlog[Requirement ID],0))),"",INDEX(Backlog[Requirement Name],MATCH($A293,Backlog[Requirement ID],0))),"")</f>
        <v/>
      </c>
      <c r="C292" s="92">
        <f>IFERROR(IF(ISBLANK(INDEX(Backlog[Stream],MATCH($A293,Backlog[Requirement ID],0))),"",INDEX(Backlog[Stream],MATCH($A293,Backlog[Requirement ID],0))),"")</f>
        <v/>
      </c>
      <c r="D292" s="92">
        <f>IFERROR(IF(ISBLANK(INDEX(Backlog[Priority],MATCH($A293,Backlog[Requirement ID],0))),"",INDEX(Backlog[Priority],MATCH($A293,Backlog[Requirement ID],0))),"")</f>
        <v/>
      </c>
      <c r="E292" s="92">
        <f>IFERROR(IF(ISBLANK(INDEX(Backlog[Status],MATCH($A293,Backlog[Requirement ID],0))),"",INDEX(Backlog[Status],MATCH($A293,Backlog[Requirement ID],0))),"")</f>
        <v/>
      </c>
      <c r="F292" s="92" t="n"/>
      <c r="G292" s="92">
        <f>IFERROR(IF(ISBLANK(INDEX(Backlog[HLE],MATCH($A293,Backlog[Requirement ID],0))),"",INDEX(Backlog[HLE],MATCH($A293,Backlog[Requirement ID],0))),"")</f>
        <v/>
      </c>
      <c r="H292" s="92">
        <f>IFERROR(VALUE(SUBSTITUTE($F293,"Sprint ","")),9999)</f>
        <v/>
      </c>
    </row>
    <row r="293" ht="15" customHeight="1" s="93">
      <c r="A293" s="92">
        <f>Backlog!A294</f>
        <v/>
      </c>
      <c r="B293" s="92">
        <f>IFERROR(IF(ISBLANK(INDEX(Backlog[Requirement Name],MATCH($A294,Backlog[Requirement ID],0))),"",INDEX(Backlog[Requirement Name],MATCH($A294,Backlog[Requirement ID],0))),"")</f>
        <v/>
      </c>
      <c r="C293" s="92">
        <f>IFERROR(IF(ISBLANK(INDEX(Backlog[Stream],MATCH($A294,Backlog[Requirement ID],0))),"",INDEX(Backlog[Stream],MATCH($A294,Backlog[Requirement ID],0))),"")</f>
        <v/>
      </c>
      <c r="D293" s="92">
        <f>IFERROR(IF(ISBLANK(INDEX(Backlog[Priority],MATCH($A294,Backlog[Requirement ID],0))),"",INDEX(Backlog[Priority],MATCH($A294,Backlog[Requirement ID],0))),"")</f>
        <v/>
      </c>
      <c r="E293" s="92">
        <f>IFERROR(IF(ISBLANK(INDEX(Backlog[Status],MATCH($A294,Backlog[Requirement ID],0))),"",INDEX(Backlog[Status],MATCH($A294,Backlog[Requirement ID],0))),"")</f>
        <v/>
      </c>
      <c r="F293" s="92" t="n"/>
      <c r="G293" s="92">
        <f>IFERROR(IF(ISBLANK(INDEX(Backlog[HLE],MATCH($A294,Backlog[Requirement ID],0))),"",INDEX(Backlog[HLE],MATCH($A294,Backlog[Requirement ID],0))),"")</f>
        <v/>
      </c>
      <c r="H293" s="92">
        <f>IFERROR(VALUE(SUBSTITUTE($F294,"Sprint ","")),9999)</f>
        <v/>
      </c>
    </row>
    <row r="294" ht="15" customHeight="1" s="93">
      <c r="A294" s="92">
        <f>Backlog!A295</f>
        <v/>
      </c>
      <c r="B294" s="92">
        <f>IFERROR(IF(ISBLANK(INDEX(Backlog[Requirement Name],MATCH($A295,Backlog[Requirement ID],0))),"",INDEX(Backlog[Requirement Name],MATCH($A295,Backlog[Requirement ID],0))),"")</f>
        <v/>
      </c>
      <c r="C294" s="92">
        <f>IFERROR(IF(ISBLANK(INDEX(Backlog[Stream],MATCH($A295,Backlog[Requirement ID],0))),"",INDEX(Backlog[Stream],MATCH($A295,Backlog[Requirement ID],0))),"")</f>
        <v/>
      </c>
      <c r="D294" s="92">
        <f>IFERROR(IF(ISBLANK(INDEX(Backlog[Priority],MATCH($A295,Backlog[Requirement ID],0))),"",INDEX(Backlog[Priority],MATCH($A295,Backlog[Requirement ID],0))),"")</f>
        <v/>
      </c>
      <c r="E294" s="92">
        <f>IFERROR(IF(ISBLANK(INDEX(Backlog[Status],MATCH($A295,Backlog[Requirement ID],0))),"",INDEX(Backlog[Status],MATCH($A295,Backlog[Requirement ID],0))),"")</f>
        <v/>
      </c>
      <c r="F294" s="92" t="n"/>
      <c r="G294" s="92">
        <f>IFERROR(IF(ISBLANK(INDEX(Backlog[HLE],MATCH($A295,Backlog[Requirement ID],0))),"",INDEX(Backlog[HLE],MATCH($A295,Backlog[Requirement ID],0))),"")</f>
        <v/>
      </c>
      <c r="H294" s="92">
        <f>IFERROR(VALUE(SUBSTITUTE($F295,"Sprint ","")),9999)</f>
        <v/>
      </c>
    </row>
    <row r="295" ht="15" customHeight="1" s="93">
      <c r="A295" s="92">
        <f>Backlog!A296</f>
        <v/>
      </c>
      <c r="B295" s="92">
        <f>IFERROR(IF(ISBLANK(INDEX(Backlog[Requirement Name],MATCH($A296,Backlog[Requirement ID],0))),"",INDEX(Backlog[Requirement Name],MATCH($A296,Backlog[Requirement ID],0))),"")</f>
        <v/>
      </c>
      <c r="C295" s="92">
        <f>IFERROR(IF(ISBLANK(INDEX(Backlog[Stream],MATCH($A296,Backlog[Requirement ID],0))),"",INDEX(Backlog[Stream],MATCH($A296,Backlog[Requirement ID],0))),"")</f>
        <v/>
      </c>
      <c r="D295" s="92">
        <f>IFERROR(IF(ISBLANK(INDEX(Backlog[Priority],MATCH($A296,Backlog[Requirement ID],0))),"",INDEX(Backlog[Priority],MATCH($A296,Backlog[Requirement ID],0))),"")</f>
        <v/>
      </c>
      <c r="E295" s="92">
        <f>IFERROR(IF(ISBLANK(INDEX(Backlog[Status],MATCH($A296,Backlog[Requirement ID],0))),"",INDEX(Backlog[Status],MATCH($A296,Backlog[Requirement ID],0))),"")</f>
        <v/>
      </c>
      <c r="F295" s="92" t="n"/>
      <c r="G295" s="92">
        <f>IFERROR(IF(ISBLANK(INDEX(Backlog[HLE],MATCH($A296,Backlog[Requirement ID],0))),"",INDEX(Backlog[HLE],MATCH($A296,Backlog[Requirement ID],0))),"")</f>
        <v/>
      </c>
      <c r="H295" s="92">
        <f>IFERROR(VALUE(SUBSTITUTE($F296,"Sprint ","")),9999)</f>
        <v/>
      </c>
    </row>
    <row r="296" ht="15" customHeight="1" s="93">
      <c r="A296" s="92">
        <f>Backlog!A297</f>
        <v/>
      </c>
      <c r="B296" s="92">
        <f>IFERROR(IF(ISBLANK(INDEX(Backlog[Requirement Name],MATCH($A297,Backlog[Requirement ID],0))),"",INDEX(Backlog[Requirement Name],MATCH($A297,Backlog[Requirement ID],0))),"")</f>
        <v/>
      </c>
      <c r="C296" s="92">
        <f>IFERROR(IF(ISBLANK(INDEX(Backlog[Stream],MATCH($A297,Backlog[Requirement ID],0))),"",INDEX(Backlog[Stream],MATCH($A297,Backlog[Requirement ID],0))),"")</f>
        <v/>
      </c>
      <c r="D296" s="92">
        <f>IFERROR(IF(ISBLANK(INDEX(Backlog[Priority],MATCH($A297,Backlog[Requirement ID],0))),"",INDEX(Backlog[Priority],MATCH($A297,Backlog[Requirement ID],0))),"")</f>
        <v/>
      </c>
      <c r="E296" s="92">
        <f>IFERROR(IF(ISBLANK(INDEX(Backlog[Status],MATCH($A297,Backlog[Requirement ID],0))),"",INDEX(Backlog[Status],MATCH($A297,Backlog[Requirement ID],0))),"")</f>
        <v/>
      </c>
      <c r="F296" s="92" t="n"/>
      <c r="G296" s="92">
        <f>IFERROR(IF(ISBLANK(INDEX(Backlog[HLE],MATCH($A297,Backlog[Requirement ID],0))),"",INDEX(Backlog[HLE],MATCH($A297,Backlog[Requirement ID],0))),"")</f>
        <v/>
      </c>
      <c r="H296" s="92">
        <f>IFERROR(VALUE(SUBSTITUTE($F297,"Sprint ","")),9999)</f>
        <v/>
      </c>
    </row>
    <row r="297" ht="15" customHeight="1" s="93">
      <c r="A297" s="92">
        <f>Backlog!A298</f>
        <v/>
      </c>
      <c r="B297" s="92">
        <f>IFERROR(IF(ISBLANK(INDEX(Backlog[Requirement Name],MATCH($A298,Backlog[Requirement ID],0))),"",INDEX(Backlog[Requirement Name],MATCH($A298,Backlog[Requirement ID],0))),"")</f>
        <v/>
      </c>
      <c r="C297" s="92">
        <f>IFERROR(IF(ISBLANK(INDEX(Backlog[Stream],MATCH($A298,Backlog[Requirement ID],0))),"",INDEX(Backlog[Stream],MATCH($A298,Backlog[Requirement ID],0))),"")</f>
        <v/>
      </c>
      <c r="D297" s="92">
        <f>IFERROR(IF(ISBLANK(INDEX(Backlog[Priority],MATCH($A298,Backlog[Requirement ID],0))),"",INDEX(Backlog[Priority],MATCH($A298,Backlog[Requirement ID],0))),"")</f>
        <v/>
      </c>
      <c r="E297" s="92">
        <f>IFERROR(IF(ISBLANK(INDEX(Backlog[Status],MATCH($A298,Backlog[Requirement ID],0))),"",INDEX(Backlog[Status],MATCH($A298,Backlog[Requirement ID],0))),"")</f>
        <v/>
      </c>
      <c r="F297" s="92" t="n"/>
      <c r="G297" s="92">
        <f>IFERROR(IF(ISBLANK(INDEX(Backlog[HLE],MATCH($A298,Backlog[Requirement ID],0))),"",INDEX(Backlog[HLE],MATCH($A298,Backlog[Requirement ID],0))),"")</f>
        <v/>
      </c>
      <c r="H297" s="92">
        <f>IFERROR(VALUE(SUBSTITUTE($F298,"Sprint ","")),9999)</f>
        <v/>
      </c>
    </row>
    <row r="298" ht="15" customHeight="1" s="93">
      <c r="A298" s="92">
        <f>Backlog!A299</f>
        <v/>
      </c>
      <c r="B298" s="92">
        <f>IFERROR(IF(ISBLANK(INDEX(Backlog[Requirement Name],MATCH($A299,Backlog[Requirement ID],0))),"",INDEX(Backlog[Requirement Name],MATCH($A299,Backlog[Requirement ID],0))),"")</f>
        <v/>
      </c>
      <c r="C298" s="92">
        <f>IFERROR(IF(ISBLANK(INDEX(Backlog[Stream],MATCH($A299,Backlog[Requirement ID],0))),"",INDEX(Backlog[Stream],MATCH($A299,Backlog[Requirement ID],0))),"")</f>
        <v/>
      </c>
      <c r="D298" s="92">
        <f>IFERROR(IF(ISBLANK(INDEX(Backlog[Priority],MATCH($A299,Backlog[Requirement ID],0))),"",INDEX(Backlog[Priority],MATCH($A299,Backlog[Requirement ID],0))),"")</f>
        <v/>
      </c>
      <c r="E298" s="92">
        <f>IFERROR(IF(ISBLANK(INDEX(Backlog[Status],MATCH($A299,Backlog[Requirement ID],0))),"",INDEX(Backlog[Status],MATCH($A299,Backlog[Requirement ID],0))),"")</f>
        <v/>
      </c>
      <c r="F298" s="92" t="n"/>
      <c r="G298" s="92">
        <f>IFERROR(IF(ISBLANK(INDEX(Backlog[HLE],MATCH($A299,Backlog[Requirement ID],0))),"",INDEX(Backlog[HLE],MATCH($A299,Backlog[Requirement ID],0))),"")</f>
        <v/>
      </c>
      <c r="H298" s="92">
        <f>IFERROR(VALUE(SUBSTITUTE($F299,"Sprint ","")),9999)</f>
        <v/>
      </c>
    </row>
    <row r="299" ht="15" customHeight="1" s="93">
      <c r="A299" s="92">
        <f>Backlog!A300</f>
        <v/>
      </c>
      <c r="B299" s="92">
        <f>IFERROR(IF(ISBLANK(INDEX(Backlog[Requirement Name],MATCH($A300,Backlog[Requirement ID],0))),"",INDEX(Backlog[Requirement Name],MATCH($A300,Backlog[Requirement ID],0))),"")</f>
        <v/>
      </c>
      <c r="C299" s="92">
        <f>IFERROR(IF(ISBLANK(INDEX(Backlog[Stream],MATCH($A300,Backlog[Requirement ID],0))),"",INDEX(Backlog[Stream],MATCH($A300,Backlog[Requirement ID],0))),"")</f>
        <v/>
      </c>
      <c r="D299" s="92">
        <f>IFERROR(IF(ISBLANK(INDEX(Backlog[Priority],MATCH($A300,Backlog[Requirement ID],0))),"",INDEX(Backlog[Priority],MATCH($A300,Backlog[Requirement ID],0))),"")</f>
        <v/>
      </c>
      <c r="E299" s="92">
        <f>IFERROR(IF(ISBLANK(INDEX(Backlog[Status],MATCH($A300,Backlog[Requirement ID],0))),"",INDEX(Backlog[Status],MATCH($A300,Backlog[Requirement ID],0))),"")</f>
        <v/>
      </c>
      <c r="F299" s="92" t="n"/>
      <c r="G299" s="92">
        <f>IFERROR(IF(ISBLANK(INDEX(Backlog[HLE],MATCH($A300,Backlog[Requirement ID],0))),"",INDEX(Backlog[HLE],MATCH($A300,Backlog[Requirement ID],0))),"")</f>
        <v/>
      </c>
      <c r="H299" s="92">
        <f>IFERROR(VALUE(SUBSTITUTE($F300,"Sprint ","")),9999)</f>
        <v/>
      </c>
    </row>
    <row r="300" ht="15" customHeight="1" s="93">
      <c r="A300" s="92">
        <f>Backlog!A301</f>
        <v/>
      </c>
      <c r="B300" s="92">
        <f>IFERROR(IF(ISBLANK(INDEX(Backlog[Requirement Name],MATCH($A301,Backlog[Requirement ID],0))),"",INDEX(Backlog[Requirement Name],MATCH($A301,Backlog[Requirement ID],0))),"")</f>
        <v/>
      </c>
      <c r="C300" s="92">
        <f>IFERROR(IF(ISBLANK(INDEX(Backlog[Stream],MATCH($A301,Backlog[Requirement ID],0))),"",INDEX(Backlog[Stream],MATCH($A301,Backlog[Requirement ID],0))),"")</f>
        <v/>
      </c>
      <c r="D300" s="92">
        <f>IFERROR(IF(ISBLANK(INDEX(Backlog[Priority],MATCH($A301,Backlog[Requirement ID],0))),"",INDEX(Backlog[Priority],MATCH($A301,Backlog[Requirement ID],0))),"")</f>
        <v/>
      </c>
      <c r="E300" s="92">
        <f>IFERROR(IF(ISBLANK(INDEX(Backlog[Status],MATCH($A301,Backlog[Requirement ID],0))),"",INDEX(Backlog[Status],MATCH($A301,Backlog[Requirement ID],0))),"")</f>
        <v/>
      </c>
      <c r="F300" s="92" t="n"/>
      <c r="G300" s="92">
        <f>IFERROR(IF(ISBLANK(INDEX(Backlog[HLE],MATCH($A301,Backlog[Requirement ID],0))),"",INDEX(Backlog[HLE],MATCH($A301,Backlog[Requirement ID],0))),"")</f>
        <v/>
      </c>
      <c r="H300" s="92">
        <f>IFERROR(VALUE(SUBSTITUTE($F301,"Sprint ","")),9999)</f>
        <v/>
      </c>
    </row>
    <row r="301" ht="15" customHeight="1" s="93">
      <c r="A301" s="92">
        <f>Backlog!A302</f>
        <v/>
      </c>
      <c r="B301" s="92">
        <f>IFERROR(IF(ISBLANK(INDEX(Backlog[Requirement Name],MATCH($A302,Backlog[Requirement ID],0))),"",INDEX(Backlog[Requirement Name],MATCH($A302,Backlog[Requirement ID],0))),"")</f>
        <v/>
      </c>
      <c r="C301" s="92">
        <f>IFERROR(IF(ISBLANK(INDEX(Backlog[Stream],MATCH($A302,Backlog[Requirement ID],0))),"",INDEX(Backlog[Stream],MATCH($A302,Backlog[Requirement ID],0))),"")</f>
        <v/>
      </c>
      <c r="D301" s="92">
        <f>IFERROR(IF(ISBLANK(INDEX(Backlog[Priority],MATCH($A302,Backlog[Requirement ID],0))),"",INDEX(Backlog[Priority],MATCH($A302,Backlog[Requirement ID],0))),"")</f>
        <v/>
      </c>
      <c r="E301" s="92">
        <f>IFERROR(IF(ISBLANK(INDEX(Backlog[Status],MATCH($A302,Backlog[Requirement ID],0))),"",INDEX(Backlog[Status],MATCH($A302,Backlog[Requirement ID],0))),"")</f>
        <v/>
      </c>
      <c r="F301" s="92" t="n"/>
      <c r="G301" s="92">
        <f>IFERROR(IF(ISBLANK(INDEX(Backlog[HLE],MATCH($A302,Backlog[Requirement ID],0))),"",INDEX(Backlog[HLE],MATCH($A302,Backlog[Requirement ID],0))),"")</f>
        <v/>
      </c>
      <c r="H301" s="92">
        <f>IFERROR(VALUE(SUBSTITUTE($F302,"Sprint ","")),9999)</f>
        <v/>
      </c>
    </row>
    <row r="302" ht="15" customHeight="1" s="93">
      <c r="A302" s="92">
        <f>Backlog!A303</f>
        <v/>
      </c>
      <c r="B302" s="92">
        <f>IFERROR(IF(ISBLANK(INDEX(Backlog[Requirement Name],MATCH($A303,Backlog[Requirement ID],0))),"",INDEX(Backlog[Requirement Name],MATCH($A303,Backlog[Requirement ID],0))),"")</f>
        <v/>
      </c>
      <c r="C302" s="92">
        <f>IFERROR(IF(ISBLANK(INDEX(Backlog[Stream],MATCH($A303,Backlog[Requirement ID],0))),"",INDEX(Backlog[Stream],MATCH($A303,Backlog[Requirement ID],0))),"")</f>
        <v/>
      </c>
      <c r="D302" s="92">
        <f>IFERROR(IF(ISBLANK(INDEX(Backlog[Priority],MATCH($A303,Backlog[Requirement ID],0))),"",INDEX(Backlog[Priority],MATCH($A303,Backlog[Requirement ID],0))),"")</f>
        <v/>
      </c>
      <c r="E302" s="92">
        <f>IFERROR(IF(ISBLANK(INDEX(Backlog[Status],MATCH($A303,Backlog[Requirement ID],0))),"",INDEX(Backlog[Status],MATCH($A303,Backlog[Requirement ID],0))),"")</f>
        <v/>
      </c>
      <c r="F302" s="92" t="n"/>
      <c r="G302" s="92">
        <f>IFERROR(IF(ISBLANK(INDEX(Backlog[HLE],MATCH($A303,Backlog[Requirement ID],0))),"",INDEX(Backlog[HLE],MATCH($A303,Backlog[Requirement ID],0))),"")</f>
        <v/>
      </c>
      <c r="H302" s="92">
        <f>IFERROR(VALUE(SUBSTITUTE($F303,"Sprint ","")),9999)</f>
        <v/>
      </c>
    </row>
    <row r="303" ht="15" customHeight="1" s="93">
      <c r="A303" s="92">
        <f>Backlog!A304</f>
        <v/>
      </c>
      <c r="B303" s="92">
        <f>IFERROR(IF(ISBLANK(INDEX(Backlog[Requirement Name],MATCH($A304,Backlog[Requirement ID],0))),"",INDEX(Backlog[Requirement Name],MATCH($A304,Backlog[Requirement ID],0))),"")</f>
        <v/>
      </c>
      <c r="C303" s="92">
        <f>IFERROR(IF(ISBLANK(INDEX(Backlog[Stream],MATCH($A304,Backlog[Requirement ID],0))),"",INDEX(Backlog[Stream],MATCH($A304,Backlog[Requirement ID],0))),"")</f>
        <v/>
      </c>
      <c r="D303" s="92">
        <f>IFERROR(IF(ISBLANK(INDEX(Backlog[Priority],MATCH($A304,Backlog[Requirement ID],0))),"",INDEX(Backlog[Priority],MATCH($A304,Backlog[Requirement ID],0))),"")</f>
        <v/>
      </c>
      <c r="E303" s="92">
        <f>IFERROR(IF(ISBLANK(INDEX(Backlog[Status],MATCH($A304,Backlog[Requirement ID],0))),"",INDEX(Backlog[Status],MATCH($A304,Backlog[Requirement ID],0))),"")</f>
        <v/>
      </c>
      <c r="F303" s="92" t="n"/>
      <c r="G303" s="92">
        <f>IFERROR(IF(ISBLANK(INDEX(Backlog[HLE],MATCH($A304,Backlog[Requirement ID],0))),"",INDEX(Backlog[HLE],MATCH($A304,Backlog[Requirement ID],0))),"")</f>
        <v/>
      </c>
      <c r="H303" s="92">
        <f>IFERROR(VALUE(SUBSTITUTE($F304,"Sprint ","")),9999)</f>
        <v/>
      </c>
    </row>
    <row r="304" ht="15" customHeight="1" s="93">
      <c r="A304" s="92">
        <f>Backlog!A305</f>
        <v/>
      </c>
      <c r="B304" s="92">
        <f>IFERROR(IF(ISBLANK(INDEX(Backlog[Requirement Name],MATCH($A305,Backlog[Requirement ID],0))),"",INDEX(Backlog[Requirement Name],MATCH($A305,Backlog[Requirement ID],0))),"")</f>
        <v/>
      </c>
      <c r="C304" s="92">
        <f>IFERROR(IF(ISBLANK(INDEX(Backlog[Stream],MATCH($A305,Backlog[Requirement ID],0))),"",INDEX(Backlog[Stream],MATCH($A305,Backlog[Requirement ID],0))),"")</f>
        <v/>
      </c>
      <c r="D304" s="92">
        <f>IFERROR(IF(ISBLANK(INDEX(Backlog[Priority],MATCH($A305,Backlog[Requirement ID],0))),"",INDEX(Backlog[Priority],MATCH($A305,Backlog[Requirement ID],0))),"")</f>
        <v/>
      </c>
      <c r="E304" s="92">
        <f>IFERROR(IF(ISBLANK(INDEX(Backlog[Status],MATCH($A305,Backlog[Requirement ID],0))),"",INDEX(Backlog[Status],MATCH($A305,Backlog[Requirement ID],0))),"")</f>
        <v/>
      </c>
      <c r="F304" s="92" t="n"/>
      <c r="G304" s="92">
        <f>IFERROR(IF(ISBLANK(INDEX(Backlog[HLE],MATCH($A305,Backlog[Requirement ID],0))),"",INDEX(Backlog[HLE],MATCH($A305,Backlog[Requirement ID],0))),"")</f>
        <v/>
      </c>
      <c r="H304" s="92">
        <f>IFERROR(VALUE(SUBSTITUTE($F305,"Sprint ","")),9999)</f>
        <v/>
      </c>
    </row>
    <row r="305" ht="15" customHeight="1" s="93">
      <c r="A305" s="92">
        <f>Backlog!A306</f>
        <v/>
      </c>
      <c r="B305" s="92">
        <f>IFERROR(IF(ISBLANK(INDEX(Backlog[Requirement Name],MATCH($A306,Backlog[Requirement ID],0))),"",INDEX(Backlog[Requirement Name],MATCH($A306,Backlog[Requirement ID],0))),"")</f>
        <v/>
      </c>
      <c r="C305" s="92">
        <f>IFERROR(IF(ISBLANK(INDEX(Backlog[Stream],MATCH($A306,Backlog[Requirement ID],0))),"",INDEX(Backlog[Stream],MATCH($A306,Backlog[Requirement ID],0))),"")</f>
        <v/>
      </c>
      <c r="D305" s="92">
        <f>IFERROR(IF(ISBLANK(INDEX(Backlog[Priority],MATCH($A306,Backlog[Requirement ID],0))),"",INDEX(Backlog[Priority],MATCH($A306,Backlog[Requirement ID],0))),"")</f>
        <v/>
      </c>
      <c r="E305" s="92">
        <f>IFERROR(IF(ISBLANK(INDEX(Backlog[Status],MATCH($A306,Backlog[Requirement ID],0))),"",INDEX(Backlog[Status],MATCH($A306,Backlog[Requirement ID],0))),"")</f>
        <v/>
      </c>
      <c r="F305" s="92" t="n"/>
      <c r="G305" s="92">
        <f>IFERROR(IF(ISBLANK(INDEX(Backlog[HLE],MATCH($A306,Backlog[Requirement ID],0))),"",INDEX(Backlog[HLE],MATCH($A306,Backlog[Requirement ID],0))),"")</f>
        <v/>
      </c>
      <c r="H305" s="92">
        <f>IFERROR(VALUE(SUBSTITUTE($F306,"Sprint ","")),9999)</f>
        <v/>
      </c>
    </row>
    <row r="306" ht="15" customHeight="1" s="93">
      <c r="A306" s="92">
        <f>Backlog!A307</f>
        <v/>
      </c>
      <c r="B306" s="92">
        <f>IFERROR(IF(ISBLANK(INDEX(Backlog[Requirement Name],MATCH($A307,Backlog[Requirement ID],0))),"",INDEX(Backlog[Requirement Name],MATCH($A307,Backlog[Requirement ID],0))),"")</f>
        <v/>
      </c>
      <c r="C306" s="92">
        <f>IFERROR(IF(ISBLANK(INDEX(Backlog[Stream],MATCH($A307,Backlog[Requirement ID],0))),"",INDEX(Backlog[Stream],MATCH($A307,Backlog[Requirement ID],0))),"")</f>
        <v/>
      </c>
      <c r="D306" s="92">
        <f>IFERROR(IF(ISBLANK(INDEX(Backlog[Priority],MATCH($A307,Backlog[Requirement ID],0))),"",INDEX(Backlog[Priority],MATCH($A307,Backlog[Requirement ID],0))),"")</f>
        <v/>
      </c>
      <c r="E306" s="92">
        <f>IFERROR(IF(ISBLANK(INDEX(Backlog[Status],MATCH($A307,Backlog[Requirement ID],0))),"",INDEX(Backlog[Status],MATCH($A307,Backlog[Requirement ID],0))),"")</f>
        <v/>
      </c>
      <c r="F306" s="92" t="n"/>
      <c r="G306" s="92">
        <f>IFERROR(IF(ISBLANK(INDEX(Backlog[HLE],MATCH($A307,Backlog[Requirement ID],0))),"",INDEX(Backlog[HLE],MATCH($A307,Backlog[Requirement ID],0))),"")</f>
        <v/>
      </c>
      <c r="H306" s="92">
        <f>IFERROR(VALUE(SUBSTITUTE($F307,"Sprint ","")),9999)</f>
        <v/>
      </c>
    </row>
    <row r="307" ht="15" customHeight="1" s="93">
      <c r="A307" s="92">
        <f>Backlog!A308</f>
        <v/>
      </c>
      <c r="B307" s="92">
        <f>IFERROR(IF(ISBLANK(INDEX(Backlog[Requirement Name],MATCH($A308,Backlog[Requirement ID],0))),"",INDEX(Backlog[Requirement Name],MATCH($A308,Backlog[Requirement ID],0))),"")</f>
        <v/>
      </c>
      <c r="C307" s="92">
        <f>IFERROR(IF(ISBLANK(INDEX(Backlog[Stream],MATCH($A308,Backlog[Requirement ID],0))),"",INDEX(Backlog[Stream],MATCH($A308,Backlog[Requirement ID],0))),"")</f>
        <v/>
      </c>
      <c r="D307" s="92">
        <f>IFERROR(IF(ISBLANK(INDEX(Backlog[Priority],MATCH($A308,Backlog[Requirement ID],0))),"",INDEX(Backlog[Priority],MATCH($A308,Backlog[Requirement ID],0))),"")</f>
        <v/>
      </c>
      <c r="E307" s="92">
        <f>IFERROR(IF(ISBLANK(INDEX(Backlog[Status],MATCH($A308,Backlog[Requirement ID],0))),"",INDEX(Backlog[Status],MATCH($A308,Backlog[Requirement ID],0))),"")</f>
        <v/>
      </c>
      <c r="F307" s="92" t="n"/>
      <c r="G307" s="92">
        <f>IFERROR(IF(ISBLANK(INDEX(Backlog[HLE],MATCH($A308,Backlog[Requirement ID],0))),"",INDEX(Backlog[HLE],MATCH($A308,Backlog[Requirement ID],0))),"")</f>
        <v/>
      </c>
      <c r="H307" s="92">
        <f>IFERROR(VALUE(SUBSTITUTE($F308,"Sprint ","")),9999)</f>
        <v/>
      </c>
    </row>
    <row r="308" ht="15" customHeight="1" s="93">
      <c r="A308" s="92">
        <f>Backlog!A309</f>
        <v/>
      </c>
      <c r="B308" s="92">
        <f>IFERROR(IF(ISBLANK(INDEX(Backlog[Requirement Name],MATCH($A309,Backlog[Requirement ID],0))),"",INDEX(Backlog[Requirement Name],MATCH($A309,Backlog[Requirement ID],0))),"")</f>
        <v/>
      </c>
      <c r="C308" s="92">
        <f>IFERROR(IF(ISBLANK(INDEX(Backlog[Stream],MATCH($A309,Backlog[Requirement ID],0))),"",INDEX(Backlog[Stream],MATCH($A309,Backlog[Requirement ID],0))),"")</f>
        <v/>
      </c>
      <c r="D308" s="92">
        <f>IFERROR(IF(ISBLANK(INDEX(Backlog[Priority],MATCH($A309,Backlog[Requirement ID],0))),"",INDEX(Backlog[Priority],MATCH($A309,Backlog[Requirement ID],0))),"")</f>
        <v/>
      </c>
      <c r="E308" s="92">
        <f>IFERROR(IF(ISBLANK(INDEX(Backlog[Status],MATCH($A309,Backlog[Requirement ID],0))),"",INDEX(Backlog[Status],MATCH($A309,Backlog[Requirement ID],0))),"")</f>
        <v/>
      </c>
      <c r="F308" s="92" t="n"/>
      <c r="G308" s="92">
        <f>IFERROR(IF(ISBLANK(INDEX(Backlog[HLE],MATCH($A309,Backlog[Requirement ID],0))),"",INDEX(Backlog[HLE],MATCH($A309,Backlog[Requirement ID],0))),"")</f>
        <v/>
      </c>
      <c r="H308" s="92">
        <f>IFERROR(VALUE(SUBSTITUTE($F309,"Sprint ","")),9999)</f>
        <v/>
      </c>
    </row>
    <row r="309" ht="15" customHeight="1" s="93">
      <c r="A309" s="92">
        <f>Backlog!A310</f>
        <v/>
      </c>
      <c r="B309" s="92">
        <f>IFERROR(IF(ISBLANK(INDEX(Backlog[Requirement Name],MATCH($A310,Backlog[Requirement ID],0))),"",INDEX(Backlog[Requirement Name],MATCH($A310,Backlog[Requirement ID],0))),"")</f>
        <v/>
      </c>
      <c r="C309" s="92">
        <f>IFERROR(IF(ISBLANK(INDEX(Backlog[Stream],MATCH($A310,Backlog[Requirement ID],0))),"",INDEX(Backlog[Stream],MATCH($A310,Backlog[Requirement ID],0))),"")</f>
        <v/>
      </c>
      <c r="D309" s="92">
        <f>IFERROR(IF(ISBLANK(INDEX(Backlog[Priority],MATCH($A310,Backlog[Requirement ID],0))),"",INDEX(Backlog[Priority],MATCH($A310,Backlog[Requirement ID],0))),"")</f>
        <v/>
      </c>
      <c r="E309" s="92">
        <f>IFERROR(IF(ISBLANK(INDEX(Backlog[Status],MATCH($A310,Backlog[Requirement ID],0))),"",INDEX(Backlog[Status],MATCH($A310,Backlog[Requirement ID],0))),"")</f>
        <v/>
      </c>
      <c r="F309" s="92" t="n"/>
      <c r="G309" s="92">
        <f>IFERROR(IF(ISBLANK(INDEX(Backlog[HLE],MATCH($A310,Backlog[Requirement ID],0))),"",INDEX(Backlog[HLE],MATCH($A310,Backlog[Requirement ID],0))),"")</f>
        <v/>
      </c>
      <c r="H309" s="92">
        <f>IFERROR(VALUE(SUBSTITUTE($F310,"Sprint ","")),9999)</f>
        <v/>
      </c>
    </row>
    <row r="310" ht="15" customHeight="1" s="93">
      <c r="A310" s="92">
        <f>Backlog!A311</f>
        <v/>
      </c>
      <c r="B310" s="92">
        <f>IFERROR(IF(ISBLANK(INDEX(Backlog[Requirement Name],MATCH($A311,Backlog[Requirement ID],0))),"",INDEX(Backlog[Requirement Name],MATCH($A311,Backlog[Requirement ID],0))),"")</f>
        <v/>
      </c>
      <c r="C310" s="92">
        <f>IFERROR(IF(ISBLANK(INDEX(Backlog[Stream],MATCH($A311,Backlog[Requirement ID],0))),"",INDEX(Backlog[Stream],MATCH($A311,Backlog[Requirement ID],0))),"")</f>
        <v/>
      </c>
      <c r="D310" s="92">
        <f>IFERROR(IF(ISBLANK(INDEX(Backlog[Priority],MATCH($A311,Backlog[Requirement ID],0))),"",INDEX(Backlog[Priority],MATCH($A311,Backlog[Requirement ID],0))),"")</f>
        <v/>
      </c>
      <c r="E310" s="92">
        <f>IFERROR(IF(ISBLANK(INDEX(Backlog[Status],MATCH($A311,Backlog[Requirement ID],0))),"",INDEX(Backlog[Status],MATCH($A311,Backlog[Requirement ID],0))),"")</f>
        <v/>
      </c>
      <c r="F310" s="92" t="n"/>
      <c r="G310" s="92">
        <f>IFERROR(IF(ISBLANK(INDEX(Backlog[HLE],MATCH($A311,Backlog[Requirement ID],0))),"",INDEX(Backlog[HLE],MATCH($A311,Backlog[Requirement ID],0))),"")</f>
        <v/>
      </c>
      <c r="H310" s="92">
        <f>IFERROR(VALUE(SUBSTITUTE($F311,"Sprint ","")),9999)</f>
        <v/>
      </c>
    </row>
    <row r="311" ht="15" customHeight="1" s="93">
      <c r="A311" s="92">
        <f>Backlog!A312</f>
        <v/>
      </c>
      <c r="B311" s="92">
        <f>IFERROR(IF(ISBLANK(INDEX(Backlog[Requirement Name],MATCH($A312,Backlog[Requirement ID],0))),"",INDEX(Backlog[Requirement Name],MATCH($A312,Backlog[Requirement ID],0))),"")</f>
        <v/>
      </c>
      <c r="C311" s="92">
        <f>IFERROR(IF(ISBLANK(INDEX(Backlog[Stream],MATCH($A312,Backlog[Requirement ID],0))),"",INDEX(Backlog[Stream],MATCH($A312,Backlog[Requirement ID],0))),"")</f>
        <v/>
      </c>
      <c r="D311" s="92">
        <f>IFERROR(IF(ISBLANK(INDEX(Backlog[Priority],MATCH($A312,Backlog[Requirement ID],0))),"",INDEX(Backlog[Priority],MATCH($A312,Backlog[Requirement ID],0))),"")</f>
        <v/>
      </c>
      <c r="E311" s="92">
        <f>IFERROR(IF(ISBLANK(INDEX(Backlog[Status],MATCH($A312,Backlog[Requirement ID],0))),"",INDEX(Backlog[Status],MATCH($A312,Backlog[Requirement ID],0))),"")</f>
        <v/>
      </c>
      <c r="F311" s="92" t="n"/>
      <c r="G311" s="92">
        <f>IFERROR(IF(ISBLANK(INDEX(Backlog[HLE],MATCH($A312,Backlog[Requirement ID],0))),"",INDEX(Backlog[HLE],MATCH($A312,Backlog[Requirement ID],0))),"")</f>
        <v/>
      </c>
      <c r="H311" s="92">
        <f>IFERROR(VALUE(SUBSTITUTE($F312,"Sprint ","")),9999)</f>
        <v/>
      </c>
    </row>
    <row r="312" ht="15" customHeight="1" s="93">
      <c r="A312" s="92">
        <f>Backlog!A313</f>
        <v/>
      </c>
      <c r="B312" s="92">
        <f>IFERROR(IF(ISBLANK(INDEX(Backlog[Requirement Name],MATCH($A313,Backlog[Requirement ID],0))),"",INDEX(Backlog[Requirement Name],MATCH($A313,Backlog[Requirement ID],0))),"")</f>
        <v/>
      </c>
      <c r="C312" s="92">
        <f>IFERROR(IF(ISBLANK(INDEX(Backlog[Stream],MATCH($A313,Backlog[Requirement ID],0))),"",INDEX(Backlog[Stream],MATCH($A313,Backlog[Requirement ID],0))),"")</f>
        <v/>
      </c>
      <c r="D312" s="92">
        <f>IFERROR(IF(ISBLANK(INDEX(Backlog[Priority],MATCH($A313,Backlog[Requirement ID],0))),"",INDEX(Backlog[Priority],MATCH($A313,Backlog[Requirement ID],0))),"")</f>
        <v/>
      </c>
      <c r="E312" s="92">
        <f>IFERROR(IF(ISBLANK(INDEX(Backlog[Status],MATCH($A313,Backlog[Requirement ID],0))),"",INDEX(Backlog[Status],MATCH($A313,Backlog[Requirement ID],0))),"")</f>
        <v/>
      </c>
      <c r="F312" s="92" t="n"/>
      <c r="G312" s="92">
        <f>IFERROR(IF(ISBLANK(INDEX(Backlog[HLE],MATCH($A313,Backlog[Requirement ID],0))),"",INDEX(Backlog[HLE],MATCH($A313,Backlog[Requirement ID],0))),"")</f>
        <v/>
      </c>
      <c r="H312" s="92">
        <f>IFERROR(VALUE(SUBSTITUTE($F313,"Sprint ","")),9999)</f>
        <v/>
      </c>
    </row>
    <row r="313" ht="15" customHeight="1" s="93">
      <c r="A313" s="92">
        <f>Backlog!A314</f>
        <v/>
      </c>
      <c r="B313" s="92">
        <f>IFERROR(IF(ISBLANK(INDEX(Backlog[Requirement Name],MATCH($A314,Backlog[Requirement ID],0))),"",INDEX(Backlog[Requirement Name],MATCH($A314,Backlog[Requirement ID],0))),"")</f>
        <v/>
      </c>
      <c r="C313" s="92">
        <f>IFERROR(IF(ISBLANK(INDEX(Backlog[Stream],MATCH($A314,Backlog[Requirement ID],0))),"",INDEX(Backlog[Stream],MATCH($A314,Backlog[Requirement ID],0))),"")</f>
        <v/>
      </c>
      <c r="D313" s="92">
        <f>IFERROR(IF(ISBLANK(INDEX(Backlog[Priority],MATCH($A314,Backlog[Requirement ID],0))),"",INDEX(Backlog[Priority],MATCH($A314,Backlog[Requirement ID],0))),"")</f>
        <v/>
      </c>
      <c r="E313" s="92">
        <f>IFERROR(IF(ISBLANK(INDEX(Backlog[Status],MATCH($A314,Backlog[Requirement ID],0))),"",INDEX(Backlog[Status],MATCH($A314,Backlog[Requirement ID],0))),"")</f>
        <v/>
      </c>
      <c r="F313" s="92" t="n"/>
      <c r="G313" s="92">
        <f>IFERROR(IF(ISBLANK(INDEX(Backlog[HLE],MATCH($A314,Backlog[Requirement ID],0))),"",INDEX(Backlog[HLE],MATCH($A314,Backlog[Requirement ID],0))),"")</f>
        <v/>
      </c>
      <c r="H313" s="92">
        <f>IFERROR(VALUE(SUBSTITUTE($F314,"Sprint ","")),9999)</f>
        <v/>
      </c>
    </row>
    <row r="314" ht="15" customHeight="1" s="93">
      <c r="A314" s="92">
        <f>Backlog!A315</f>
        <v/>
      </c>
      <c r="B314" s="92">
        <f>IFERROR(IF(ISBLANK(INDEX(Backlog[Requirement Name],MATCH($A315,Backlog[Requirement ID],0))),"",INDEX(Backlog[Requirement Name],MATCH($A315,Backlog[Requirement ID],0))),"")</f>
        <v/>
      </c>
      <c r="C314" s="92">
        <f>IFERROR(IF(ISBLANK(INDEX(Backlog[Stream],MATCH($A315,Backlog[Requirement ID],0))),"",INDEX(Backlog[Stream],MATCH($A315,Backlog[Requirement ID],0))),"")</f>
        <v/>
      </c>
      <c r="D314" s="92">
        <f>IFERROR(IF(ISBLANK(INDEX(Backlog[Priority],MATCH($A315,Backlog[Requirement ID],0))),"",INDEX(Backlog[Priority],MATCH($A315,Backlog[Requirement ID],0))),"")</f>
        <v/>
      </c>
      <c r="E314" s="92">
        <f>IFERROR(IF(ISBLANK(INDEX(Backlog[Status],MATCH($A315,Backlog[Requirement ID],0))),"",INDEX(Backlog[Status],MATCH($A315,Backlog[Requirement ID],0))),"")</f>
        <v/>
      </c>
      <c r="F314" s="92" t="n"/>
      <c r="G314" s="92">
        <f>IFERROR(IF(ISBLANK(INDEX(Backlog[HLE],MATCH($A315,Backlog[Requirement ID],0))),"",INDEX(Backlog[HLE],MATCH($A315,Backlog[Requirement ID],0))),"")</f>
        <v/>
      </c>
      <c r="H314" s="92">
        <f>IFERROR(VALUE(SUBSTITUTE($F315,"Sprint ","")),9999)</f>
        <v/>
      </c>
    </row>
    <row r="315" ht="15" customHeight="1" s="93">
      <c r="A315" s="92">
        <f>Backlog!A316</f>
        <v/>
      </c>
      <c r="B315" s="92">
        <f>IFERROR(IF(ISBLANK(INDEX(Backlog[Requirement Name],MATCH($A316,Backlog[Requirement ID],0))),"",INDEX(Backlog[Requirement Name],MATCH($A316,Backlog[Requirement ID],0))),"")</f>
        <v/>
      </c>
      <c r="C315" s="92">
        <f>IFERROR(IF(ISBLANK(INDEX(Backlog[Stream],MATCH($A316,Backlog[Requirement ID],0))),"",INDEX(Backlog[Stream],MATCH($A316,Backlog[Requirement ID],0))),"")</f>
        <v/>
      </c>
      <c r="D315" s="92">
        <f>IFERROR(IF(ISBLANK(INDEX(Backlog[Priority],MATCH($A316,Backlog[Requirement ID],0))),"",INDEX(Backlog[Priority],MATCH($A316,Backlog[Requirement ID],0))),"")</f>
        <v/>
      </c>
      <c r="E315" s="92">
        <f>IFERROR(IF(ISBLANK(INDEX(Backlog[Status],MATCH($A316,Backlog[Requirement ID],0))),"",INDEX(Backlog[Status],MATCH($A316,Backlog[Requirement ID],0))),"")</f>
        <v/>
      </c>
      <c r="F315" s="92" t="n"/>
      <c r="G315" s="92">
        <f>IFERROR(IF(ISBLANK(INDEX(Backlog[HLE],MATCH($A316,Backlog[Requirement ID],0))),"",INDEX(Backlog[HLE],MATCH($A316,Backlog[Requirement ID],0))),"")</f>
        <v/>
      </c>
      <c r="H315" s="92">
        <f>IFERROR(VALUE(SUBSTITUTE($F316,"Sprint ","")),9999)</f>
        <v/>
      </c>
    </row>
    <row r="316" ht="15" customHeight="1" s="93">
      <c r="A316" s="92">
        <f>Backlog!A317</f>
        <v/>
      </c>
      <c r="B316" s="92">
        <f>IFERROR(IF(ISBLANK(INDEX(Backlog[Requirement Name],MATCH($A317,Backlog[Requirement ID],0))),"",INDEX(Backlog[Requirement Name],MATCH($A317,Backlog[Requirement ID],0))),"")</f>
        <v/>
      </c>
      <c r="C316" s="92">
        <f>IFERROR(IF(ISBLANK(INDEX(Backlog[Stream],MATCH($A317,Backlog[Requirement ID],0))),"",INDEX(Backlog[Stream],MATCH($A317,Backlog[Requirement ID],0))),"")</f>
        <v/>
      </c>
      <c r="D316" s="92">
        <f>IFERROR(IF(ISBLANK(INDEX(Backlog[Priority],MATCH($A317,Backlog[Requirement ID],0))),"",INDEX(Backlog[Priority],MATCH($A317,Backlog[Requirement ID],0))),"")</f>
        <v/>
      </c>
      <c r="E316" s="92">
        <f>IFERROR(IF(ISBLANK(INDEX(Backlog[Status],MATCH($A317,Backlog[Requirement ID],0))),"",INDEX(Backlog[Status],MATCH($A317,Backlog[Requirement ID],0))),"")</f>
        <v/>
      </c>
      <c r="F316" s="92" t="n"/>
      <c r="G316" s="92">
        <f>IFERROR(IF(ISBLANK(INDEX(Backlog[HLE],MATCH($A317,Backlog[Requirement ID],0))),"",INDEX(Backlog[HLE],MATCH($A317,Backlog[Requirement ID],0))),"")</f>
        <v/>
      </c>
      <c r="H316" s="92">
        <f>IFERROR(VALUE(SUBSTITUTE($F317,"Sprint ","")),9999)</f>
        <v/>
      </c>
    </row>
    <row r="317" ht="15" customHeight="1" s="93">
      <c r="A317" s="92">
        <f>Backlog!A318</f>
        <v/>
      </c>
      <c r="B317" s="92">
        <f>IFERROR(IF(ISBLANK(INDEX(Backlog[Requirement Name],MATCH($A318,Backlog[Requirement ID],0))),"",INDEX(Backlog[Requirement Name],MATCH($A318,Backlog[Requirement ID],0))),"")</f>
        <v/>
      </c>
      <c r="C317" s="92">
        <f>IFERROR(IF(ISBLANK(INDEX(Backlog[Stream],MATCH($A318,Backlog[Requirement ID],0))),"",INDEX(Backlog[Stream],MATCH($A318,Backlog[Requirement ID],0))),"")</f>
        <v/>
      </c>
      <c r="D317" s="92">
        <f>IFERROR(IF(ISBLANK(INDEX(Backlog[Priority],MATCH($A318,Backlog[Requirement ID],0))),"",INDEX(Backlog[Priority],MATCH($A318,Backlog[Requirement ID],0))),"")</f>
        <v/>
      </c>
      <c r="E317" s="92">
        <f>IFERROR(IF(ISBLANK(INDEX(Backlog[Status],MATCH($A318,Backlog[Requirement ID],0))),"",INDEX(Backlog[Status],MATCH($A318,Backlog[Requirement ID],0))),"")</f>
        <v/>
      </c>
      <c r="F317" s="92" t="n"/>
      <c r="G317" s="92">
        <f>IFERROR(IF(ISBLANK(INDEX(Backlog[HLE],MATCH($A318,Backlog[Requirement ID],0))),"",INDEX(Backlog[HLE],MATCH($A318,Backlog[Requirement ID],0))),"")</f>
        <v/>
      </c>
      <c r="H317" s="92">
        <f>IFERROR(VALUE(SUBSTITUTE($F318,"Sprint ","")),9999)</f>
        <v/>
      </c>
    </row>
    <row r="318" ht="15" customHeight="1" s="93">
      <c r="A318" s="92">
        <f>Backlog!A319</f>
        <v/>
      </c>
      <c r="B318" s="92">
        <f>IFERROR(IF(ISBLANK(INDEX(Backlog[Requirement Name],MATCH($A319,Backlog[Requirement ID],0))),"",INDEX(Backlog[Requirement Name],MATCH($A319,Backlog[Requirement ID],0))),"")</f>
        <v/>
      </c>
      <c r="C318" s="92">
        <f>IFERROR(IF(ISBLANK(INDEX(Backlog[Stream],MATCH($A319,Backlog[Requirement ID],0))),"",INDEX(Backlog[Stream],MATCH($A319,Backlog[Requirement ID],0))),"")</f>
        <v/>
      </c>
      <c r="D318" s="92">
        <f>IFERROR(IF(ISBLANK(INDEX(Backlog[Priority],MATCH($A319,Backlog[Requirement ID],0))),"",INDEX(Backlog[Priority],MATCH($A319,Backlog[Requirement ID],0))),"")</f>
        <v/>
      </c>
      <c r="E318" s="92">
        <f>IFERROR(IF(ISBLANK(INDEX(Backlog[Status],MATCH($A319,Backlog[Requirement ID],0))),"",INDEX(Backlog[Status],MATCH($A319,Backlog[Requirement ID],0))),"")</f>
        <v/>
      </c>
      <c r="F318" s="92" t="n"/>
      <c r="G318" s="92">
        <f>IFERROR(IF(ISBLANK(INDEX(Backlog[HLE],MATCH($A319,Backlog[Requirement ID],0))),"",INDEX(Backlog[HLE],MATCH($A319,Backlog[Requirement ID],0))),"")</f>
        <v/>
      </c>
      <c r="H318" s="92">
        <f>IFERROR(VALUE(SUBSTITUTE($F319,"Sprint ","")),9999)</f>
        <v/>
      </c>
    </row>
    <row r="319" ht="15" customHeight="1" s="93">
      <c r="A319" s="92">
        <f>Backlog!A320</f>
        <v/>
      </c>
      <c r="B319" s="92">
        <f>IFERROR(IF(ISBLANK(INDEX(Backlog[Requirement Name],MATCH($A320,Backlog[Requirement ID],0))),"",INDEX(Backlog[Requirement Name],MATCH($A320,Backlog[Requirement ID],0))),"")</f>
        <v/>
      </c>
      <c r="C319" s="92">
        <f>IFERROR(IF(ISBLANK(INDEX(Backlog[Stream],MATCH($A320,Backlog[Requirement ID],0))),"",INDEX(Backlog[Stream],MATCH($A320,Backlog[Requirement ID],0))),"")</f>
        <v/>
      </c>
      <c r="D319" s="92">
        <f>IFERROR(IF(ISBLANK(INDEX(Backlog[Priority],MATCH($A320,Backlog[Requirement ID],0))),"",INDEX(Backlog[Priority],MATCH($A320,Backlog[Requirement ID],0))),"")</f>
        <v/>
      </c>
      <c r="E319" s="92">
        <f>IFERROR(IF(ISBLANK(INDEX(Backlog[Status],MATCH($A320,Backlog[Requirement ID],0))),"",INDEX(Backlog[Status],MATCH($A320,Backlog[Requirement ID],0))),"")</f>
        <v/>
      </c>
      <c r="F319" s="92" t="n"/>
      <c r="G319" s="92">
        <f>IFERROR(IF(ISBLANK(INDEX(Backlog[HLE],MATCH($A320,Backlog[Requirement ID],0))),"",INDEX(Backlog[HLE],MATCH($A320,Backlog[Requirement ID],0))),"")</f>
        <v/>
      </c>
      <c r="H319" s="92">
        <f>IFERROR(VALUE(SUBSTITUTE($F320,"Sprint ","")),9999)</f>
        <v/>
      </c>
    </row>
    <row r="320" ht="15" customHeight="1" s="93">
      <c r="A320" s="92">
        <f>Backlog!A321</f>
        <v/>
      </c>
      <c r="B320" s="92">
        <f>IFERROR(IF(ISBLANK(INDEX(Backlog[Requirement Name],MATCH($A321,Backlog[Requirement ID],0))),"",INDEX(Backlog[Requirement Name],MATCH($A321,Backlog[Requirement ID],0))),"")</f>
        <v/>
      </c>
      <c r="C320" s="92">
        <f>IFERROR(IF(ISBLANK(INDEX(Backlog[Stream],MATCH($A321,Backlog[Requirement ID],0))),"",INDEX(Backlog[Stream],MATCH($A321,Backlog[Requirement ID],0))),"")</f>
        <v/>
      </c>
      <c r="D320" s="92">
        <f>IFERROR(IF(ISBLANK(INDEX(Backlog[Priority],MATCH($A321,Backlog[Requirement ID],0))),"",INDEX(Backlog[Priority],MATCH($A321,Backlog[Requirement ID],0))),"")</f>
        <v/>
      </c>
      <c r="E320" s="92">
        <f>IFERROR(IF(ISBLANK(INDEX(Backlog[Status],MATCH($A321,Backlog[Requirement ID],0))),"",INDEX(Backlog[Status],MATCH($A321,Backlog[Requirement ID],0))),"")</f>
        <v/>
      </c>
      <c r="F320" s="92" t="n"/>
      <c r="G320" s="92">
        <f>IFERROR(IF(ISBLANK(INDEX(Backlog[HLE],MATCH($A321,Backlog[Requirement ID],0))),"",INDEX(Backlog[HLE],MATCH($A321,Backlog[Requirement ID],0))),"")</f>
        <v/>
      </c>
      <c r="H320" s="92">
        <f>IFERROR(VALUE(SUBSTITUTE($F321,"Sprint ","")),9999)</f>
        <v/>
      </c>
    </row>
    <row r="321" ht="15" customHeight="1" s="93">
      <c r="A321" s="92">
        <f>Backlog!A322</f>
        <v/>
      </c>
      <c r="B321" s="92">
        <f>IFERROR(IF(ISBLANK(INDEX(Backlog[Requirement Name],MATCH($A322,Backlog[Requirement ID],0))),"",INDEX(Backlog[Requirement Name],MATCH($A322,Backlog[Requirement ID],0))),"")</f>
        <v/>
      </c>
      <c r="C321" s="92">
        <f>IFERROR(IF(ISBLANK(INDEX(Backlog[Stream],MATCH($A322,Backlog[Requirement ID],0))),"",INDEX(Backlog[Stream],MATCH($A322,Backlog[Requirement ID],0))),"")</f>
        <v/>
      </c>
      <c r="D321" s="92">
        <f>IFERROR(IF(ISBLANK(INDEX(Backlog[Priority],MATCH($A322,Backlog[Requirement ID],0))),"",INDEX(Backlog[Priority],MATCH($A322,Backlog[Requirement ID],0))),"")</f>
        <v/>
      </c>
      <c r="E321" s="92">
        <f>IFERROR(IF(ISBLANK(INDEX(Backlog[Status],MATCH($A322,Backlog[Requirement ID],0))),"",INDEX(Backlog[Status],MATCH($A322,Backlog[Requirement ID],0))),"")</f>
        <v/>
      </c>
      <c r="F321" s="92" t="n"/>
      <c r="G321" s="92">
        <f>IFERROR(IF(ISBLANK(INDEX(Backlog[HLE],MATCH($A322,Backlog[Requirement ID],0))),"",INDEX(Backlog[HLE],MATCH($A322,Backlog[Requirement ID],0))),"")</f>
        <v/>
      </c>
      <c r="H321" s="92">
        <f>IFERROR(VALUE(SUBSTITUTE($F322,"Sprint ","")),9999)</f>
        <v/>
      </c>
    </row>
    <row r="322" ht="15" customHeight="1" s="93">
      <c r="A322" s="92">
        <f>Backlog!A323</f>
        <v/>
      </c>
      <c r="B322" s="92">
        <f>IFERROR(IF(ISBLANK(INDEX(Backlog[Requirement Name],MATCH($A323,Backlog[Requirement ID],0))),"",INDEX(Backlog[Requirement Name],MATCH($A323,Backlog[Requirement ID],0))),"")</f>
        <v/>
      </c>
      <c r="C322" s="92">
        <f>IFERROR(IF(ISBLANK(INDEX(Backlog[Stream],MATCH($A323,Backlog[Requirement ID],0))),"",INDEX(Backlog[Stream],MATCH($A323,Backlog[Requirement ID],0))),"")</f>
        <v/>
      </c>
      <c r="D322" s="92">
        <f>IFERROR(IF(ISBLANK(INDEX(Backlog[Priority],MATCH($A323,Backlog[Requirement ID],0))),"",INDEX(Backlog[Priority],MATCH($A323,Backlog[Requirement ID],0))),"")</f>
        <v/>
      </c>
      <c r="E322" s="92">
        <f>IFERROR(IF(ISBLANK(INDEX(Backlog[Status],MATCH($A323,Backlog[Requirement ID],0))),"",INDEX(Backlog[Status],MATCH($A323,Backlog[Requirement ID],0))),"")</f>
        <v/>
      </c>
      <c r="F322" s="92" t="n"/>
      <c r="G322" s="92">
        <f>IFERROR(IF(ISBLANK(INDEX(Backlog[HLE],MATCH($A323,Backlog[Requirement ID],0))),"",INDEX(Backlog[HLE],MATCH($A323,Backlog[Requirement ID],0))),"")</f>
        <v/>
      </c>
      <c r="H322" s="92">
        <f>IFERROR(VALUE(SUBSTITUTE($F323,"Sprint ","")),9999)</f>
        <v/>
      </c>
    </row>
    <row r="323" ht="15" customHeight="1" s="93">
      <c r="A323" s="92">
        <f>Backlog!A324</f>
        <v/>
      </c>
      <c r="B323" s="92">
        <f>IFERROR(IF(ISBLANK(INDEX(Backlog[Requirement Name],MATCH($A324,Backlog[Requirement ID],0))),"",INDEX(Backlog[Requirement Name],MATCH($A324,Backlog[Requirement ID],0))),"")</f>
        <v/>
      </c>
      <c r="C323" s="92">
        <f>IFERROR(IF(ISBLANK(INDEX(Backlog[Stream],MATCH($A324,Backlog[Requirement ID],0))),"",INDEX(Backlog[Stream],MATCH($A324,Backlog[Requirement ID],0))),"")</f>
        <v/>
      </c>
      <c r="D323" s="92">
        <f>IFERROR(IF(ISBLANK(INDEX(Backlog[Priority],MATCH($A324,Backlog[Requirement ID],0))),"",INDEX(Backlog[Priority],MATCH($A324,Backlog[Requirement ID],0))),"")</f>
        <v/>
      </c>
      <c r="E323" s="92">
        <f>IFERROR(IF(ISBLANK(INDEX(Backlog[Status],MATCH($A324,Backlog[Requirement ID],0))),"",INDEX(Backlog[Status],MATCH($A324,Backlog[Requirement ID],0))),"")</f>
        <v/>
      </c>
      <c r="F323" s="92" t="n"/>
      <c r="G323" s="92">
        <f>IFERROR(IF(ISBLANK(INDEX(Backlog[HLE],MATCH($A324,Backlog[Requirement ID],0))),"",INDEX(Backlog[HLE],MATCH($A324,Backlog[Requirement ID],0))),"")</f>
        <v/>
      </c>
      <c r="H323" s="92">
        <f>IFERROR(VALUE(SUBSTITUTE($F324,"Sprint ","")),9999)</f>
        <v/>
      </c>
    </row>
    <row r="324" ht="15" customHeight="1" s="93">
      <c r="A324" s="92">
        <f>Backlog!A325</f>
        <v/>
      </c>
      <c r="B324" s="92">
        <f>IFERROR(IF(ISBLANK(INDEX(Backlog[Requirement Name],MATCH($A325,Backlog[Requirement ID],0))),"",INDEX(Backlog[Requirement Name],MATCH($A325,Backlog[Requirement ID],0))),"")</f>
        <v/>
      </c>
      <c r="C324" s="92">
        <f>IFERROR(IF(ISBLANK(INDEX(Backlog[Stream],MATCH($A325,Backlog[Requirement ID],0))),"",INDEX(Backlog[Stream],MATCH($A325,Backlog[Requirement ID],0))),"")</f>
        <v/>
      </c>
      <c r="D324" s="92">
        <f>IFERROR(IF(ISBLANK(INDEX(Backlog[Priority],MATCH($A325,Backlog[Requirement ID],0))),"",INDEX(Backlog[Priority],MATCH($A325,Backlog[Requirement ID],0))),"")</f>
        <v/>
      </c>
      <c r="E324" s="92">
        <f>IFERROR(IF(ISBLANK(INDEX(Backlog[Status],MATCH($A325,Backlog[Requirement ID],0))),"",INDEX(Backlog[Status],MATCH($A325,Backlog[Requirement ID],0))),"")</f>
        <v/>
      </c>
      <c r="F324" s="92" t="n"/>
      <c r="G324" s="92">
        <f>IFERROR(IF(ISBLANK(INDEX(Backlog[HLE],MATCH($A325,Backlog[Requirement ID],0))),"",INDEX(Backlog[HLE],MATCH($A325,Backlog[Requirement ID],0))),"")</f>
        <v/>
      </c>
      <c r="H324" s="92">
        <f>IFERROR(VALUE(SUBSTITUTE($F325,"Sprint ","")),9999)</f>
        <v/>
      </c>
    </row>
    <row r="325" ht="15" customHeight="1" s="93">
      <c r="F325" s="92" t="n"/>
    </row>
    <row r="326" ht="15" customHeight="1" s="93">
      <c r="F326" s="92" t="n"/>
    </row>
    <row r="327" ht="15" customHeight="1" s="93">
      <c r="F327" s="92" t="n"/>
    </row>
    <row r="328" ht="15" customHeight="1" s="93">
      <c r="F328" s="92" t="n"/>
    </row>
    <row r="329" ht="15" customHeight="1" s="93">
      <c r="F329" s="92" t="n"/>
    </row>
    <row r="330" ht="15" customHeight="1" s="93">
      <c r="F330" s="92" t="n"/>
    </row>
    <row r="331" ht="15" customHeight="1" s="93">
      <c r="F331" s="92" t="n"/>
    </row>
    <row r="332" ht="15" customHeight="1" s="93">
      <c r="F332" s="92" t="n"/>
    </row>
    <row r="333" ht="15" customHeight="1" s="93">
      <c r="F333" s="92" t="n"/>
    </row>
    <row r="334" ht="15" customHeight="1" s="93">
      <c r="F334" s="92" t="n"/>
    </row>
    <row r="335" ht="15" customHeight="1" s="93">
      <c r="F335" s="92" t="n"/>
    </row>
    <row r="336" ht="15" customHeight="1" s="93">
      <c r="F336" s="92" t="n"/>
    </row>
    <row r="337" ht="15" customHeight="1" s="93">
      <c r="F337" s="92" t="n"/>
    </row>
    <row r="338" ht="15" customHeight="1" s="93">
      <c r="F338" s="92" t="n"/>
    </row>
    <row r="339" ht="15" customHeight="1" s="93">
      <c r="F339" s="92" t="n"/>
    </row>
    <row r="340" ht="15" customHeight="1" s="93">
      <c r="F340" s="92" t="n"/>
    </row>
    <row r="341" ht="15" customHeight="1" s="93">
      <c r="F341" s="92" t="n"/>
    </row>
    <row r="342" ht="15" customHeight="1" s="93">
      <c r="F342" s="92" t="n"/>
    </row>
    <row r="343" ht="15" customHeight="1" s="93">
      <c r="F343" s="92" t="n"/>
    </row>
    <row r="344" ht="15" customHeight="1" s="93">
      <c r="F344" s="92" t="n"/>
    </row>
    <row r="345" ht="15" customHeight="1" s="93">
      <c r="F345" s="92" t="n"/>
    </row>
    <row r="346" ht="15" customHeight="1" s="93">
      <c r="F346" s="92" t="n"/>
    </row>
    <row r="347" ht="15" customHeight="1" s="93">
      <c r="F347" s="92" t="n"/>
    </row>
    <row r="348" ht="15" customHeight="1" s="93">
      <c r="F348" s="92" t="n"/>
    </row>
    <row r="349" ht="15" customHeight="1" s="93">
      <c r="F349" s="92" t="n"/>
    </row>
    <row r="350" ht="15" customHeight="1" s="93">
      <c r="F350" s="92" t="n"/>
    </row>
    <row r="351" ht="15" customHeight="1" s="93">
      <c r="F351" s="92" t="n"/>
    </row>
    <row r="352" ht="15" customHeight="1" s="93">
      <c r="F352" s="92" t="n"/>
    </row>
    <row r="353" ht="15" customHeight="1" s="93">
      <c r="F353" s="92" t="n"/>
    </row>
    <row r="354" ht="15" customHeight="1" s="93">
      <c r="F354" s="92" t="n"/>
    </row>
    <row r="355" ht="15" customHeight="1" s="93">
      <c r="F355" s="92" t="n"/>
    </row>
    <row r="356" ht="15" customHeight="1" s="93">
      <c r="F356" s="92" t="n"/>
    </row>
    <row r="357" ht="15" customHeight="1" s="93">
      <c r="F357" s="92" t="n"/>
    </row>
    <row r="358" ht="15" customHeight="1" s="93">
      <c r="F358" s="92" t="n"/>
    </row>
    <row r="359" ht="15" customHeight="1" s="93">
      <c r="F359" s="92" t="n"/>
    </row>
    <row r="360" ht="15" customHeight="1" s="93">
      <c r="F360" s="92" t="n"/>
    </row>
    <row r="361" ht="15" customHeight="1" s="93">
      <c r="F361" s="92" t="n"/>
    </row>
    <row r="362" ht="15" customHeight="1" s="93">
      <c r="F362" s="92" t="n"/>
    </row>
    <row r="363" ht="15" customHeight="1" s="93">
      <c r="F363" s="92" t="n"/>
    </row>
    <row r="364" ht="15" customHeight="1" s="93">
      <c r="F364" s="92" t="n"/>
    </row>
    <row r="365" ht="15" customHeight="1" s="93">
      <c r="F365" s="92" t="n"/>
    </row>
    <row r="366" ht="15" customHeight="1" s="93">
      <c r="F366" s="92" t="n"/>
    </row>
    <row r="367" ht="15" customHeight="1" s="93">
      <c r="F367" s="92" t="n"/>
    </row>
    <row r="368" ht="15" customHeight="1" s="93">
      <c r="F368" s="92" t="n"/>
    </row>
    <row r="369" ht="15" customHeight="1" s="93">
      <c r="F369" s="92" t="n"/>
    </row>
    <row r="370" ht="15" customHeight="1" s="93">
      <c r="F370" s="92" t="n"/>
    </row>
    <row r="371" ht="15" customHeight="1" s="93">
      <c r="F371" s="92" t="n"/>
    </row>
    <row r="372" ht="15" customHeight="1" s="93">
      <c r="F372" s="92" t="n"/>
    </row>
    <row r="373" ht="15" customHeight="1" s="93">
      <c r="F373" s="92" t="n"/>
    </row>
    <row r="374" ht="15" customHeight="1" s="93">
      <c r="F374" s="92" t="n"/>
    </row>
    <row r="375" ht="15" customHeight="1" s="93">
      <c r="F375" s="92" t="n"/>
    </row>
    <row r="376" ht="15" customHeight="1" s="93">
      <c r="F376" s="92" t="n"/>
    </row>
    <row r="377" ht="15" customHeight="1" s="93">
      <c r="F377" s="92" t="n"/>
    </row>
    <row r="378" ht="15" customHeight="1" s="93">
      <c r="F378" s="92" t="n"/>
    </row>
    <row r="379" ht="15" customHeight="1" s="93">
      <c r="F379" s="92" t="n"/>
    </row>
    <row r="380" ht="15" customHeight="1" s="93">
      <c r="F380" s="92" t="n"/>
    </row>
    <row r="381" ht="15" customHeight="1" s="93">
      <c r="F381" s="92" t="n"/>
    </row>
    <row r="382" ht="15" customHeight="1" s="93">
      <c r="F382" s="92" t="n"/>
    </row>
    <row r="383" ht="15" customHeight="1" s="93">
      <c r="F383" s="92" t="n"/>
    </row>
    <row r="384" ht="15" customHeight="1" s="93">
      <c r="F384" s="92" t="n"/>
    </row>
    <row r="385" ht="15" customHeight="1" s="93">
      <c r="F385" s="92" t="n"/>
    </row>
    <row r="386" ht="15" customHeight="1" s="93">
      <c r="F386" s="92" t="n"/>
    </row>
    <row r="387" ht="15" customHeight="1" s="93">
      <c r="F387" s="92" t="n"/>
    </row>
    <row r="388" ht="15" customHeight="1" s="93">
      <c r="F388" s="92" t="n"/>
    </row>
    <row r="389" ht="15" customHeight="1" s="93">
      <c r="F389" s="92" t="n"/>
    </row>
    <row r="390" ht="15" customHeight="1" s="93">
      <c r="F390" s="92" t="n"/>
    </row>
    <row r="391" ht="15" customHeight="1" s="93">
      <c r="F391" s="92" t="n"/>
    </row>
    <row r="392" ht="15" customHeight="1" s="93">
      <c r="F392" s="92" t="n"/>
    </row>
    <row r="393" ht="15" customHeight="1" s="93">
      <c r="F393" s="92" t="n"/>
    </row>
    <row r="394" ht="15" customHeight="1" s="93">
      <c r="F394" s="92" t="n"/>
    </row>
    <row r="395" ht="15" customHeight="1" s="93">
      <c r="F395" s="92" t="n"/>
    </row>
    <row r="396" ht="15" customHeight="1" s="93">
      <c r="F396" s="92" t="n"/>
    </row>
    <row r="397" ht="15" customHeight="1" s="93">
      <c r="F397" s="92" t="n"/>
    </row>
    <row r="398" ht="15" customHeight="1" s="93">
      <c r="F398" s="92" t="n"/>
    </row>
    <row r="399" ht="15" customHeight="1" s="93">
      <c r="F399" s="92" t="n"/>
    </row>
    <row r="400" ht="15" customHeight="1" s="93">
      <c r="F400" s="92" t="n"/>
    </row>
    <row r="401" ht="15" customHeight="1" s="93">
      <c r="F401" s="92" t="n"/>
    </row>
    <row r="402" ht="15" customHeight="1" s="93">
      <c r="F402" s="92" t="n"/>
    </row>
    <row r="403" ht="15" customHeight="1" s="93">
      <c r="F403" s="92" t="n"/>
    </row>
    <row r="404" ht="15" customHeight="1" s="93">
      <c r="F404" s="92" t="n"/>
    </row>
    <row r="405" ht="15" customHeight="1" s="93">
      <c r="F405" s="92" t="n"/>
    </row>
    <row r="406" ht="15" customHeight="1" s="93">
      <c r="F406" s="92" t="n"/>
    </row>
    <row r="407" ht="15" customHeight="1" s="93">
      <c r="F407" s="92" t="n"/>
    </row>
    <row r="408" ht="15" customHeight="1" s="93">
      <c r="F408" s="92" t="n"/>
    </row>
    <row r="409" ht="15" customHeight="1" s="93">
      <c r="F409" s="92" t="n"/>
    </row>
    <row r="410" ht="15" customHeight="1" s="93">
      <c r="F410" s="92" t="n"/>
    </row>
    <row r="411" ht="15" customHeight="1" s="93">
      <c r="F411" s="92" t="n"/>
    </row>
    <row r="412" ht="15" customHeight="1" s="93">
      <c r="F412" s="92" t="n"/>
    </row>
    <row r="413" ht="15" customHeight="1" s="93">
      <c r="F413" s="92" t="n"/>
    </row>
    <row r="414" ht="15" customHeight="1" s="93">
      <c r="F414" s="92" t="n"/>
    </row>
    <row r="415" ht="15" customHeight="1" s="93">
      <c r="F415" s="92" t="n"/>
    </row>
    <row r="416" ht="15" customHeight="1" s="93">
      <c r="F416" s="92" t="n"/>
    </row>
    <row r="417" ht="15" customHeight="1" s="93">
      <c r="F417" s="92" t="n"/>
    </row>
    <row r="418" ht="15" customHeight="1" s="93">
      <c r="F418" s="92" t="n"/>
    </row>
    <row r="419" ht="15" customHeight="1" s="93">
      <c r="F419" s="92" t="n"/>
    </row>
    <row r="420" ht="15" customHeight="1" s="93">
      <c r="F420" s="92" t="n"/>
    </row>
    <row r="421" ht="15" customHeight="1" s="93">
      <c r="F421" s="92" t="n"/>
    </row>
    <row r="422" ht="15" customHeight="1" s="93">
      <c r="F422" s="92" t="n"/>
    </row>
    <row r="423" ht="15" customHeight="1" s="93">
      <c r="F423" s="92" t="n"/>
    </row>
    <row r="424" ht="15" customHeight="1" s="93">
      <c r="F424" s="92" t="n"/>
    </row>
    <row r="425" ht="15" customHeight="1" s="93">
      <c r="F425" s="92" t="n"/>
    </row>
    <row r="426" ht="15" customHeight="1" s="93">
      <c r="F426" s="92" t="n"/>
    </row>
    <row r="427" ht="15" customHeight="1" s="93">
      <c r="F427" s="92" t="n"/>
    </row>
    <row r="428" ht="15" customHeight="1" s="93">
      <c r="F428" s="92" t="n"/>
    </row>
    <row r="429" ht="15" customHeight="1" s="93">
      <c r="F429" s="92" t="n"/>
    </row>
    <row r="430" ht="15" customHeight="1" s="93">
      <c r="F430" s="92" t="n"/>
    </row>
    <row r="431" ht="15" customHeight="1" s="93">
      <c r="F431" s="92" t="n"/>
    </row>
    <row r="432" ht="15" customHeight="1" s="93">
      <c r="F432" s="92" t="n"/>
    </row>
    <row r="433" ht="15" customHeight="1" s="93">
      <c r="F433" s="92" t="n"/>
    </row>
    <row r="434" ht="15" customHeight="1" s="93">
      <c r="F434" s="92" t="n"/>
    </row>
    <row r="435" ht="15" customHeight="1" s="93">
      <c r="F435" s="92" t="n"/>
    </row>
    <row r="436" ht="15" customHeight="1" s="93">
      <c r="F436" s="92" t="n"/>
    </row>
    <row r="437" ht="15" customHeight="1" s="93">
      <c r="F437" s="92" t="n"/>
    </row>
    <row r="438" ht="15" customHeight="1" s="93">
      <c r="F438" s="92" t="n"/>
    </row>
    <row r="439" ht="15" customHeight="1" s="93">
      <c r="F439" s="92" t="n"/>
    </row>
    <row r="440" ht="15" customHeight="1" s="93">
      <c r="F440" s="92" t="n"/>
    </row>
    <row r="441" ht="15" customHeight="1" s="93">
      <c r="F441" s="92" t="n"/>
    </row>
    <row r="442" ht="15" customHeight="1" s="93">
      <c r="F442" s="92" t="n"/>
    </row>
    <row r="443" ht="15" customHeight="1" s="93">
      <c r="F443" s="92" t="n"/>
    </row>
    <row r="444" ht="15" customHeight="1" s="93">
      <c r="F444" s="92" t="n"/>
    </row>
    <row r="445" ht="15" customHeight="1" s="93">
      <c r="F445" s="92" t="n"/>
    </row>
    <row r="446" ht="15" customHeight="1" s="93">
      <c r="F446" s="92" t="n"/>
    </row>
    <row r="447" ht="15" customHeight="1" s="93">
      <c r="F447" s="92" t="n"/>
    </row>
    <row r="448" ht="15" customHeight="1" s="93">
      <c r="F448" s="92" t="n"/>
    </row>
    <row r="449" ht="15" customHeight="1" s="93">
      <c r="F449" s="92" t="n"/>
    </row>
    <row r="450" ht="15" customHeight="1" s="93">
      <c r="F450" s="92" t="n"/>
    </row>
    <row r="451" ht="15" customHeight="1" s="93">
      <c r="F451" s="92" t="n"/>
    </row>
    <row r="452" ht="15" customHeight="1" s="93">
      <c r="F452" s="92" t="n"/>
    </row>
    <row r="453" ht="15" customHeight="1" s="93">
      <c r="F453" s="92" t="n"/>
    </row>
    <row r="454" ht="15" customHeight="1" s="93">
      <c r="F454" s="92" t="n"/>
    </row>
    <row r="455" ht="15" customHeight="1" s="93">
      <c r="F455" s="92" t="n"/>
    </row>
    <row r="456" ht="15" customHeight="1" s="93">
      <c r="F456" s="92" t="n"/>
    </row>
    <row r="457" ht="15" customHeight="1" s="93">
      <c r="F457" s="92" t="n"/>
    </row>
    <row r="458" ht="15" customHeight="1" s="93">
      <c r="F458" s="92" t="n"/>
    </row>
    <row r="459" ht="15" customHeight="1" s="93">
      <c r="F459" s="92" t="n"/>
    </row>
    <row r="460" ht="15" customHeight="1" s="93">
      <c r="F460" s="92" t="n"/>
    </row>
    <row r="461" ht="15" customHeight="1" s="93">
      <c r="F461" s="92" t="n"/>
    </row>
    <row r="462" ht="15" customHeight="1" s="93">
      <c r="F462" s="92" t="n"/>
    </row>
    <row r="463" ht="15" customHeight="1" s="93">
      <c r="F463" s="92" t="n"/>
    </row>
    <row r="464" ht="15" customHeight="1" s="93">
      <c r="F464" s="92" t="n"/>
    </row>
    <row r="465" ht="15" customHeight="1" s="93">
      <c r="F465" s="92" t="n"/>
    </row>
    <row r="466" ht="15" customHeight="1" s="93">
      <c r="F466" s="92" t="n"/>
    </row>
    <row r="467" ht="15" customHeight="1" s="93">
      <c r="F467" s="92" t="n"/>
    </row>
    <row r="468" ht="15" customHeight="1" s="93">
      <c r="F468" s="92" t="n"/>
    </row>
    <row r="469" ht="15" customHeight="1" s="93">
      <c r="F469" s="92" t="n"/>
    </row>
    <row r="470" ht="15" customHeight="1" s="93">
      <c r="F470" s="92" t="n"/>
    </row>
    <row r="471" ht="15" customHeight="1" s="93">
      <c r="F471" s="92" t="n"/>
    </row>
    <row r="472" ht="15" customHeight="1" s="93">
      <c r="F472" s="92" t="n"/>
    </row>
    <row r="473" ht="15" customHeight="1" s="93">
      <c r="F473" s="92" t="n"/>
    </row>
    <row r="474" ht="15" customHeight="1" s="93">
      <c r="F474" s="92" t="n"/>
    </row>
    <row r="475" ht="15" customHeight="1" s="93">
      <c r="F475" s="92" t="n"/>
    </row>
    <row r="476" ht="15" customHeight="1" s="93">
      <c r="F476" s="92" t="n"/>
    </row>
    <row r="477" ht="15" customHeight="1" s="93">
      <c r="F477" s="92" t="n"/>
    </row>
    <row r="478" ht="15" customHeight="1" s="93">
      <c r="F478" s="92" t="n"/>
    </row>
    <row r="479" ht="15" customHeight="1" s="93">
      <c r="F479" s="92" t="n"/>
    </row>
    <row r="480" ht="15" customHeight="1" s="93">
      <c r="F480" s="92" t="n"/>
    </row>
    <row r="481" ht="15" customHeight="1" s="93">
      <c r="F481" s="92" t="n"/>
    </row>
    <row r="482" ht="15" customHeight="1" s="93">
      <c r="F482" s="92" t="n"/>
    </row>
    <row r="483" ht="15" customHeight="1" s="93">
      <c r="F483" s="92" t="n"/>
    </row>
    <row r="484" ht="15" customHeight="1" s="93">
      <c r="F484" s="92" t="n"/>
    </row>
    <row r="485" ht="15" customHeight="1" s="93">
      <c r="F485" s="92" t="n"/>
    </row>
    <row r="486" ht="15" customHeight="1" s="93">
      <c r="F486" s="92" t="n"/>
    </row>
    <row r="487" ht="15" customHeight="1" s="93">
      <c r="F487" s="92" t="n"/>
    </row>
    <row r="488" ht="15" customHeight="1" s="93">
      <c r="F488" s="92" t="n"/>
    </row>
    <row r="489" ht="15" customHeight="1" s="93">
      <c r="F489" s="92" t="n"/>
    </row>
    <row r="490" ht="15" customHeight="1" s="93">
      <c r="F490" s="92" t="n"/>
    </row>
    <row r="491" ht="15" customHeight="1" s="93">
      <c r="F491" s="92" t="n"/>
    </row>
    <row r="492" ht="15" customHeight="1" s="93">
      <c r="F492" s="92" t="n"/>
    </row>
    <row r="493" ht="15" customHeight="1" s="93">
      <c r="F493" s="92" t="n"/>
    </row>
    <row r="494" ht="15" customHeight="1" s="93">
      <c r="F494" s="92" t="n"/>
    </row>
    <row r="495" ht="15" customHeight="1" s="93">
      <c r="F495" s="92" t="n"/>
    </row>
    <row r="496" ht="15" customHeight="1" s="93">
      <c r="F496" s="92" t="n"/>
    </row>
    <row r="497" ht="15" customHeight="1" s="93">
      <c r="F497" s="92" t="n"/>
    </row>
    <row r="498" ht="15" customHeight="1" s="93"/>
    <row r="499" ht="15" customHeight="1" s="93"/>
    <row r="500" ht="15" customHeight="1" s="93"/>
  </sheetData>
  <mergeCells count="1">
    <mergeCell ref="I1:J1"/>
  </mergeCells>
  <conditionalFormatting sqref="A2:H998">
    <cfRule type="expression" rank="0" priority="2" equalAverage="0" aboveAverage="0" dxfId="11" text="" percent="0" bottom="0">
      <formula>$C2="US"</formula>
    </cfRule>
    <cfRule type="expression" rank="0" priority="3" equalAverage="0" aboveAverage="0" dxfId="12" text="" percent="0" bottom="0">
      <formula>$C2="MyMSC"</formula>
    </cfRule>
    <cfRule type="expression" rank="0" priority="4" equalAverage="0" aboveAverage="0" dxfId="13" text="" percent="0" bottom="0">
      <formula>$C2="Rollout"</formula>
    </cfRule>
    <cfRule type="expression" rank="0" priority="5" equalAverage="0" aboveAverage="0" dxfId="13" text="" percent="0" bottom="0">
      <formula>$C2="MVP Rollout"</formula>
    </cfRule>
    <cfRule type="expression" rank="0" priority="6" equalAverage="0" aboveAverage="0" dxfId="14" text="" percent="0" bottom="0">
      <formula>$C2="Backlog"</formula>
    </cfRule>
    <cfRule type="expression" rank="0" priority="7" equalAverage="0" aboveAverage="0" dxfId="14" text="" percent="0" bottom="0">
      <formula>$C2="Growth"</formula>
    </cfRule>
    <cfRule type="expression" rank="0" priority="8" equalAverage="0" aboveAverage="0" dxfId="15" text="" percent="0" bottom="0">
      <formula>$C2="Tech Enhancements"</formula>
    </cfRule>
    <cfRule type="expression" rank="0" priority="9" equalAverage="0" aboveAverage="0" dxfId="16" text="" percent="0" bottom="0">
      <formula>LEFT($C2,2)="PI"</formula>
    </cfRule>
  </conditionalFormatting>
  <dataValidations count="1">
    <dataValidation sqref="F2:F498" showDropDown="0" showInputMessage="0" showErrorMessage="0" allowBlank="1" type="list" errorStyle="stop" operator="between">
      <formula1>"To Plan,Sprint 1,Sprint 2,Sprint 3,Sprint 4,Sprint 5,Sprint 6,Sprint 7,Sprint 8,Sprint 9,Sprint 10,Sprint 11,Sprint 12,Sprint 13,Sprint 14,Sprint 15,Sprint 16"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T500"/>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baseColWidth="8" defaultColWidth="8.66796875" defaultRowHeight="15" customHeight="0" zeroHeight="0" outlineLevelRow="0"/>
  <cols>
    <col width="16" customWidth="1" style="92" min="1" max="1"/>
    <col width="34.83" customWidth="1" style="92" min="2" max="2"/>
    <col width="11" customWidth="1" style="92" min="3" max="18"/>
    <col hidden="1" width="13" customWidth="1" style="92" min="20" max="20"/>
  </cols>
  <sheetData>
    <row r="1" ht="15" customHeight="1" s="93">
      <c r="A1" s="156" t="inlineStr">
        <is>
          <t>Roadmap — Total HLE by Stream and Sprint (all team, view only)</t>
        </is>
      </c>
      <c r="T1" s="92" t="inlineStr">
        <is>
          <t>Gantt Order (helper)</t>
        </is>
      </c>
    </row>
    <row r="2" ht="15" customHeight="1" s="93">
      <c r="T2" s="92">
        <f>IF(AND('Sprint Planning'!$H2&gt;=10,'Sprint Planning'!$H2&lt;=16),IFERROR(MATCH('Sprint Planning'!$C2,Roadmap!$A$4:$A$15,0),99)*100+'Sprint Planning'!$H2+2/100000,"")</f>
        <v/>
      </c>
    </row>
    <row r="3" ht="15" customHeight="1" s="93">
      <c r="A3" s="111" t="inlineStr">
        <is>
          <t>Stream</t>
        </is>
      </c>
      <c r="B3" s="111" t="inlineStr">
        <is>
          <t>Sprint 1</t>
        </is>
      </c>
      <c r="C3" s="111" t="inlineStr">
        <is>
          <t>Sprint 2</t>
        </is>
      </c>
      <c r="D3" s="111" t="inlineStr">
        <is>
          <t>Sprint 3</t>
        </is>
      </c>
      <c r="E3" s="111" t="inlineStr">
        <is>
          <t>Sprint 4</t>
        </is>
      </c>
      <c r="F3" s="111" t="inlineStr">
        <is>
          <t>Sprint 5</t>
        </is>
      </c>
      <c r="G3" s="111" t="inlineStr">
        <is>
          <t>Sprint 6</t>
        </is>
      </c>
      <c r="H3" s="111" t="inlineStr">
        <is>
          <t>Sprint 7</t>
        </is>
      </c>
      <c r="I3" s="111" t="inlineStr">
        <is>
          <t>Sprint 8</t>
        </is>
      </c>
      <c r="J3" s="111" t="inlineStr">
        <is>
          <t>Sprint 9</t>
        </is>
      </c>
      <c r="K3" s="111" t="inlineStr">
        <is>
          <t>Sprint 10</t>
        </is>
      </c>
      <c r="L3" s="111" t="inlineStr">
        <is>
          <t>Sprint 11</t>
        </is>
      </c>
      <c r="M3" s="111" t="inlineStr">
        <is>
          <t>Sprint 12</t>
        </is>
      </c>
      <c r="N3" s="111" t="inlineStr">
        <is>
          <t>Sprint 13</t>
        </is>
      </c>
      <c r="O3" s="111" t="inlineStr">
        <is>
          <t>Sprint 14</t>
        </is>
      </c>
      <c r="P3" s="111" t="inlineStr">
        <is>
          <t>Sprint 15</t>
        </is>
      </c>
      <c r="Q3" s="111" t="inlineStr">
        <is>
          <t>Sprint 16</t>
        </is>
      </c>
      <c r="R3" s="111" t="inlineStr">
        <is>
          <t>Total</t>
        </is>
      </c>
      <c r="T3" s="92">
        <f>IF(AND('Sprint Planning'!$H3&gt;=10,'Sprint Planning'!$H3&lt;=16),IFERROR(MATCH('Sprint Planning'!$C3,Roadmap!$A$4:$A$15,0),99)*100+'Sprint Planning'!$H3+3/100000,"")</f>
        <v/>
      </c>
    </row>
    <row r="4" ht="15" customHeight="1" s="93">
      <c r="A4" s="120" t="inlineStr">
        <is>
          <t>US</t>
        </is>
      </c>
      <c r="B4" s="120">
        <f>SUMIFS(SprintPlanning[HLE],SprintPlanning[Stream],$A4,SprintPlanning[Sprint],B$3)+SUMIFS('Q1 Backlog Report 2026'!$L:$L,'Q1 Backlog Report 2026'!$D:$D,$A4,'Q1 Backlog Report 2026'!$J:$J,B$3)</f>
        <v/>
      </c>
      <c r="C4" s="120">
        <f>SUMIFS(SprintPlanning[HLE],SprintPlanning[Stream],$A4,SprintPlanning[Sprint],C$3)+SUMIFS('Q1 Backlog Report 2026'!$L:$L,'Q1 Backlog Report 2026'!$D:$D,$A4,'Q1 Backlog Report 2026'!$J:$J,C$3)</f>
        <v/>
      </c>
      <c r="D4" s="120">
        <f>SUMIFS(SprintPlanning[HLE],SprintPlanning[Stream],$A4,SprintPlanning[Sprint],D$3)+SUMIFS('Q1 Backlog Report 2026'!$L:$L,'Q1 Backlog Report 2026'!$D:$D,$A4,'Q1 Backlog Report 2026'!$J:$J,D$3)</f>
        <v/>
      </c>
      <c r="E4" s="120">
        <f>SUMIFS(SprintPlanning[HLE],SprintPlanning[Stream],$A4,SprintPlanning[Sprint],E$3)+SUMIFS('Q1 Backlog Report 2026'!$L:$L,'Q1 Backlog Report 2026'!$D:$D,$A4,'Q1 Backlog Report 2026'!$J:$J,E$3)</f>
        <v/>
      </c>
      <c r="F4" s="120">
        <f>SUMIFS(SprintPlanning[HLE],SprintPlanning[Stream],$A4,SprintPlanning[Sprint],F$3)+SUMIFS('Q2 Backlog Report 2026'!$L:$L,'Q2 Backlog Report 2026'!$D:$D,$A4,'Q2 Backlog Report 2026'!$J:$J,F$3)</f>
        <v/>
      </c>
      <c r="G4" s="120">
        <f>SUMIFS(SprintPlanning[HLE],SprintPlanning[Stream],$A4,SprintPlanning[Sprint],G$3)+SUMIFS('Q2 Backlog Report 2026'!$L:$L,'Q2 Backlog Report 2026'!$D:$D,$A4,'Q2 Backlog Report 2026'!$J:$J,G$3)</f>
        <v/>
      </c>
      <c r="H4" s="120">
        <f>SUMIFS(SprintPlanning[HLE],SprintPlanning[Stream],$A4,SprintPlanning[Sprint],H$3)+SUMIFS('Q2 Backlog Report 2026'!$L:$L,'Q2 Backlog Report 2026'!$D:$D,$A4,'Q2 Backlog Report 2026'!$J:$J,H$3)</f>
        <v/>
      </c>
      <c r="I4" s="120">
        <f>SUMIFS(SprintPlanning[HLE],SprintPlanning[Stream],$A4,SprintPlanning[Sprint],I$3)+SUMIFS('Q2 Backlog Report 2026'!$L:$L,'Q2 Backlog Report 2026'!$D:$D,$A4,'Q2 Backlog Report 2026'!$J:$J,I$3)</f>
        <v/>
      </c>
      <c r="J4" s="120">
        <f>SUMIFS(SprintPlanning[HLE],SprintPlanning[Stream],$A4,SprintPlanning[Sprint],J$3)+SUMIFS('Q3 Backlog Report 2026'!$L:$L,'Q3 Backlog Report 2026'!$D:$D,$A4,'Q3 Backlog Report 2026'!$J:$J,J$3)</f>
        <v/>
      </c>
      <c r="K4" s="120">
        <f>SUMIFS(SprintPlanning[HLE],SprintPlanning[Stream],$A4,SprintPlanning[Sprint],K$3)+SUMIFS('Q3 Backlog Report 2026'!$L:$L,'Q3 Backlog Report 2026'!$D:$D,$A4,'Q3 Backlog Report 2026'!$J:$J,K$3)</f>
        <v/>
      </c>
      <c r="L4" s="120">
        <f>SUMIFS(SprintPlanning[HLE],SprintPlanning[Stream],$A4,SprintPlanning[Sprint],L$3)+SUMIFS('Q3 Backlog Report 2026'!$L:$L,'Q3 Backlog Report 2026'!$D:$D,$A4,'Q3 Backlog Report 2026'!$J:$J,L$3)</f>
        <v/>
      </c>
      <c r="M4" s="120">
        <f>SUMIFS(SprintPlanning[HLE],SprintPlanning[Stream],$A4,SprintPlanning[Sprint],M$3)+SUMIFS('Q3 Backlog Report 2026'!$L:$L,'Q3 Backlog Report 2026'!$D:$D,$A4,'Q3 Backlog Report 2026'!$J:$J,M$3)</f>
        <v/>
      </c>
      <c r="N4" s="120">
        <f>SUMIFS(SprintPlanning[HLE],SprintPlanning[Stream],$A4,SprintPlanning[Sprint],N$3)+SUMIFS('Q4 Backlog Report 2026'!$L:$L,'Q4 Backlog Report 2026'!$D:$D,$A4,'Q4 Backlog Report 2026'!$J:$J,N$3)</f>
        <v/>
      </c>
      <c r="O4" s="120">
        <f>SUMIFS(SprintPlanning[HLE],SprintPlanning[Stream],$A4,SprintPlanning[Sprint],O$3)+SUMIFS('Q4 Backlog Report 2026'!$L:$L,'Q4 Backlog Report 2026'!$D:$D,$A4,'Q4 Backlog Report 2026'!$J:$J,O$3)</f>
        <v/>
      </c>
      <c r="P4" s="120">
        <f>SUMIFS(SprintPlanning[HLE],SprintPlanning[Stream],$A4,SprintPlanning[Sprint],P$3)+SUMIFS('Q4 Backlog Report 2026'!$L:$L,'Q4 Backlog Report 2026'!$D:$D,$A4,'Q4 Backlog Report 2026'!$J:$J,P$3)</f>
        <v/>
      </c>
      <c r="Q4" s="120">
        <f>SUMIFS(SprintPlanning[HLE],SprintPlanning[Stream],$A4,SprintPlanning[Sprint],Q$3)+SUMIFS('Q4 Backlog Report 2026'!$L:$L,'Q4 Backlog Report 2026'!$D:$D,$A4,'Q4 Backlog Report 2026'!$J:$J,Q$3)</f>
        <v/>
      </c>
      <c r="R4" s="157">
        <f>SUM(B4:Q4)</f>
        <v/>
      </c>
      <c r="T4" s="92">
        <f>IF(AND('Sprint Planning'!$H4&gt;=10,'Sprint Planning'!$H4&lt;=16),IFERROR(MATCH('Sprint Planning'!$C4,Roadmap!$A$4:$A$15,0),99)*100+'Sprint Planning'!$H4+4/100000,"")</f>
        <v/>
      </c>
    </row>
    <row r="5" ht="15" customHeight="1" s="93">
      <c r="A5" s="120" t="inlineStr">
        <is>
          <t>MyMSC</t>
        </is>
      </c>
      <c r="B5" s="120">
        <f>SUMIFS(SprintPlanning[HLE],SprintPlanning[Stream],$A5,SprintPlanning[Sprint],B$3)+SUMIFS('Q1 Backlog Report 2026'!$L:$L,'Q1 Backlog Report 2026'!$D:$D,$A5,'Q1 Backlog Report 2026'!$J:$J,B$3)</f>
        <v/>
      </c>
      <c r="C5" s="120">
        <f>SUMIFS(SprintPlanning[HLE],SprintPlanning[Stream],$A5,SprintPlanning[Sprint],C$3)+SUMIFS('Q1 Backlog Report 2026'!$L:$L,'Q1 Backlog Report 2026'!$D:$D,$A5,'Q1 Backlog Report 2026'!$J:$J,C$3)</f>
        <v/>
      </c>
      <c r="D5" s="120">
        <f>SUMIFS(SprintPlanning[HLE],SprintPlanning[Stream],$A5,SprintPlanning[Sprint],D$3)+SUMIFS('Q1 Backlog Report 2026'!$L:$L,'Q1 Backlog Report 2026'!$D:$D,$A5,'Q1 Backlog Report 2026'!$J:$J,D$3)</f>
        <v/>
      </c>
      <c r="E5" s="120">
        <f>SUMIFS(SprintPlanning[HLE],SprintPlanning[Stream],$A5,SprintPlanning[Sprint],E$3)+SUMIFS('Q1 Backlog Report 2026'!$L:$L,'Q1 Backlog Report 2026'!$D:$D,$A5,'Q1 Backlog Report 2026'!$J:$J,E$3)</f>
        <v/>
      </c>
      <c r="F5" s="120">
        <f>SUMIFS(SprintPlanning[HLE],SprintPlanning[Stream],$A5,SprintPlanning[Sprint],F$3)+SUMIFS('Q2 Backlog Report 2026'!$L:$L,'Q2 Backlog Report 2026'!$D:$D,$A5,'Q2 Backlog Report 2026'!$J:$J,F$3)</f>
        <v/>
      </c>
      <c r="G5" s="120">
        <f>SUMIFS(SprintPlanning[HLE],SprintPlanning[Stream],$A5,SprintPlanning[Sprint],G$3)+SUMIFS('Q2 Backlog Report 2026'!$L:$L,'Q2 Backlog Report 2026'!$D:$D,$A5,'Q2 Backlog Report 2026'!$J:$J,G$3)</f>
        <v/>
      </c>
      <c r="H5" s="120">
        <f>SUMIFS(SprintPlanning[HLE],SprintPlanning[Stream],$A5,SprintPlanning[Sprint],H$3)+SUMIFS('Q2 Backlog Report 2026'!$L:$L,'Q2 Backlog Report 2026'!$D:$D,$A5,'Q2 Backlog Report 2026'!$J:$J,H$3)</f>
        <v/>
      </c>
      <c r="I5" s="120">
        <f>SUMIFS(SprintPlanning[HLE],SprintPlanning[Stream],$A5,SprintPlanning[Sprint],I$3)+SUMIFS('Q2 Backlog Report 2026'!$L:$L,'Q2 Backlog Report 2026'!$D:$D,$A5,'Q2 Backlog Report 2026'!$J:$J,I$3)</f>
        <v/>
      </c>
      <c r="J5" s="120">
        <f>SUMIFS(SprintPlanning[HLE],SprintPlanning[Stream],$A5,SprintPlanning[Sprint],J$3)+SUMIFS('Q3 Backlog Report 2026'!$L:$L,'Q3 Backlog Report 2026'!$D:$D,$A5,'Q3 Backlog Report 2026'!$J:$J,J$3)</f>
        <v/>
      </c>
      <c r="K5" s="120">
        <f>SUMIFS(SprintPlanning[HLE],SprintPlanning[Stream],$A5,SprintPlanning[Sprint],K$3)+SUMIFS('Q3 Backlog Report 2026'!$L:$L,'Q3 Backlog Report 2026'!$D:$D,$A5,'Q3 Backlog Report 2026'!$J:$J,K$3)</f>
        <v/>
      </c>
      <c r="L5" s="120">
        <f>SUMIFS(SprintPlanning[HLE],SprintPlanning[Stream],$A5,SprintPlanning[Sprint],L$3)+SUMIFS('Q3 Backlog Report 2026'!$L:$L,'Q3 Backlog Report 2026'!$D:$D,$A5,'Q3 Backlog Report 2026'!$J:$J,L$3)</f>
        <v/>
      </c>
      <c r="M5" s="120">
        <f>SUMIFS(SprintPlanning[HLE],SprintPlanning[Stream],$A5,SprintPlanning[Sprint],M$3)+SUMIFS('Q3 Backlog Report 2026'!$L:$L,'Q3 Backlog Report 2026'!$D:$D,$A5,'Q3 Backlog Report 2026'!$J:$J,M$3)</f>
        <v/>
      </c>
      <c r="N5" s="120">
        <f>SUMIFS(SprintPlanning[HLE],SprintPlanning[Stream],$A5,SprintPlanning[Sprint],N$3)+SUMIFS('Q4 Backlog Report 2026'!$L:$L,'Q4 Backlog Report 2026'!$D:$D,$A5,'Q4 Backlog Report 2026'!$J:$J,N$3)</f>
        <v/>
      </c>
      <c r="O5" s="120">
        <f>SUMIFS(SprintPlanning[HLE],SprintPlanning[Stream],$A5,SprintPlanning[Sprint],O$3)+SUMIFS('Q4 Backlog Report 2026'!$L:$L,'Q4 Backlog Report 2026'!$D:$D,$A5,'Q4 Backlog Report 2026'!$J:$J,O$3)</f>
        <v/>
      </c>
      <c r="P5" s="120">
        <f>SUMIFS(SprintPlanning[HLE],SprintPlanning[Stream],$A5,SprintPlanning[Sprint],P$3)+SUMIFS('Q4 Backlog Report 2026'!$L:$L,'Q4 Backlog Report 2026'!$D:$D,$A5,'Q4 Backlog Report 2026'!$J:$J,P$3)</f>
        <v/>
      </c>
      <c r="Q5" s="120">
        <f>SUMIFS(SprintPlanning[HLE],SprintPlanning[Stream],$A5,SprintPlanning[Sprint],Q$3)+SUMIFS('Q4 Backlog Report 2026'!$L:$L,'Q4 Backlog Report 2026'!$D:$D,$A5,'Q4 Backlog Report 2026'!$J:$J,Q$3)</f>
        <v/>
      </c>
      <c r="R5" s="157">
        <f>SUM(B5:Q5)</f>
        <v/>
      </c>
      <c r="T5" s="92">
        <f>IF(AND('Sprint Planning'!$H5&gt;=10,'Sprint Planning'!$H5&lt;=16),IFERROR(MATCH('Sprint Planning'!$C5,Roadmap!$A$4:$A$15,0),99)*100+'Sprint Planning'!$H5+5/100000,"")</f>
        <v/>
      </c>
    </row>
    <row r="6" ht="15" customHeight="1" s="93">
      <c r="A6" s="120" t="inlineStr">
        <is>
          <t>Growth</t>
        </is>
      </c>
      <c r="B6" s="120">
        <f>SUMIFS(SprintPlanning[HLE],SprintPlanning[Stream],$A6,SprintPlanning[Sprint],B$3)+SUMIFS('Q1 Backlog Report 2026'!$L:$L,'Q1 Backlog Report 2026'!$D:$D,$A6,'Q1 Backlog Report 2026'!$J:$J,B$3)</f>
        <v/>
      </c>
      <c r="C6" s="120">
        <f>SUMIFS(SprintPlanning[HLE],SprintPlanning[Stream],$A6,SprintPlanning[Sprint],C$3)+SUMIFS('Q1 Backlog Report 2026'!$L:$L,'Q1 Backlog Report 2026'!$D:$D,$A6,'Q1 Backlog Report 2026'!$J:$J,C$3)</f>
        <v/>
      </c>
      <c r="D6" s="120">
        <f>SUMIFS(SprintPlanning[HLE],SprintPlanning[Stream],$A6,SprintPlanning[Sprint],D$3)+SUMIFS('Q1 Backlog Report 2026'!$L:$L,'Q1 Backlog Report 2026'!$D:$D,$A6,'Q1 Backlog Report 2026'!$J:$J,D$3)</f>
        <v/>
      </c>
      <c r="E6" s="120">
        <f>SUMIFS(SprintPlanning[HLE],SprintPlanning[Stream],$A6,SprintPlanning[Sprint],E$3)+SUMIFS('Q1 Backlog Report 2026'!$L:$L,'Q1 Backlog Report 2026'!$D:$D,$A6,'Q1 Backlog Report 2026'!$J:$J,E$3)</f>
        <v/>
      </c>
      <c r="F6" s="120">
        <f>SUMIFS(SprintPlanning[HLE],SprintPlanning[Stream],$A6,SprintPlanning[Sprint],F$3)+SUMIFS('Q2 Backlog Report 2026'!$L:$L,'Q2 Backlog Report 2026'!$D:$D,$A6,'Q2 Backlog Report 2026'!$J:$J,F$3)</f>
        <v/>
      </c>
      <c r="G6" s="120">
        <f>SUMIFS(SprintPlanning[HLE],SprintPlanning[Stream],$A6,SprintPlanning[Sprint],G$3)+SUMIFS('Q2 Backlog Report 2026'!$L:$L,'Q2 Backlog Report 2026'!$D:$D,$A6,'Q2 Backlog Report 2026'!$J:$J,G$3)</f>
        <v/>
      </c>
      <c r="H6" s="120">
        <f>SUMIFS(SprintPlanning[HLE],SprintPlanning[Stream],$A6,SprintPlanning[Sprint],H$3)+SUMIFS('Q2 Backlog Report 2026'!$L:$L,'Q2 Backlog Report 2026'!$D:$D,$A6,'Q2 Backlog Report 2026'!$J:$J,H$3)</f>
        <v/>
      </c>
      <c r="I6" s="120">
        <f>SUMIFS(SprintPlanning[HLE],SprintPlanning[Stream],$A6,SprintPlanning[Sprint],I$3)+SUMIFS('Q2 Backlog Report 2026'!$L:$L,'Q2 Backlog Report 2026'!$D:$D,$A6,'Q2 Backlog Report 2026'!$J:$J,I$3)</f>
        <v/>
      </c>
      <c r="J6" s="120">
        <f>SUMIFS(SprintPlanning[HLE],SprintPlanning[Stream],$A6,SprintPlanning[Sprint],J$3)+SUMIFS('Q3 Backlog Report 2026'!$L:$L,'Q3 Backlog Report 2026'!$D:$D,$A6,'Q3 Backlog Report 2026'!$J:$J,J$3)</f>
        <v/>
      </c>
      <c r="K6" s="120">
        <f>SUMIFS(SprintPlanning[HLE],SprintPlanning[Stream],$A6,SprintPlanning[Sprint],K$3)+SUMIFS('Q3 Backlog Report 2026'!$L:$L,'Q3 Backlog Report 2026'!$D:$D,$A6,'Q3 Backlog Report 2026'!$J:$J,K$3)</f>
        <v/>
      </c>
      <c r="L6" s="120">
        <f>SUMIFS(SprintPlanning[HLE],SprintPlanning[Stream],$A6,SprintPlanning[Sprint],L$3)+SUMIFS('Q3 Backlog Report 2026'!$L:$L,'Q3 Backlog Report 2026'!$D:$D,$A6,'Q3 Backlog Report 2026'!$J:$J,L$3)</f>
        <v/>
      </c>
      <c r="M6" s="120">
        <f>SUMIFS(SprintPlanning[HLE],SprintPlanning[Stream],$A6,SprintPlanning[Sprint],M$3)+SUMIFS('Q3 Backlog Report 2026'!$L:$L,'Q3 Backlog Report 2026'!$D:$D,$A6,'Q3 Backlog Report 2026'!$J:$J,M$3)</f>
        <v/>
      </c>
      <c r="N6" s="120">
        <f>SUMIFS(SprintPlanning[HLE],SprintPlanning[Stream],$A6,SprintPlanning[Sprint],N$3)+SUMIFS('Q4 Backlog Report 2026'!$L:$L,'Q4 Backlog Report 2026'!$D:$D,$A6,'Q4 Backlog Report 2026'!$J:$J,N$3)</f>
        <v/>
      </c>
      <c r="O6" s="120">
        <f>SUMIFS(SprintPlanning[HLE],SprintPlanning[Stream],$A6,SprintPlanning[Sprint],O$3)+SUMIFS('Q4 Backlog Report 2026'!$L:$L,'Q4 Backlog Report 2026'!$D:$D,$A6,'Q4 Backlog Report 2026'!$J:$J,O$3)</f>
        <v/>
      </c>
      <c r="P6" s="120">
        <f>SUMIFS(SprintPlanning[HLE],SprintPlanning[Stream],$A6,SprintPlanning[Sprint],P$3)+SUMIFS('Q4 Backlog Report 2026'!$L:$L,'Q4 Backlog Report 2026'!$D:$D,$A6,'Q4 Backlog Report 2026'!$J:$J,P$3)</f>
        <v/>
      </c>
      <c r="Q6" s="120">
        <f>SUMIFS(SprintPlanning[HLE],SprintPlanning[Stream],$A6,SprintPlanning[Sprint],Q$3)+SUMIFS('Q4 Backlog Report 2026'!$L:$L,'Q4 Backlog Report 2026'!$D:$D,$A6,'Q4 Backlog Report 2026'!$J:$J,Q$3)</f>
        <v/>
      </c>
      <c r="R6" s="157">
        <f>SUM(B6:Q6)</f>
        <v/>
      </c>
      <c r="T6" s="92">
        <f>IF(AND('Sprint Planning'!$H6&gt;=10,'Sprint Planning'!$H6&lt;=16),IFERROR(MATCH('Sprint Planning'!$C6,Roadmap!$A$4:$A$15,0),99)*100+'Sprint Planning'!$H6+6/100000,"")</f>
        <v/>
      </c>
    </row>
    <row r="7" ht="15" customHeight="1" s="93">
      <c r="A7" s="120" t="inlineStr">
        <is>
          <t>MVP Rollout</t>
        </is>
      </c>
      <c r="B7" s="120">
        <f>SUMIFS(SprintPlanning[HLE],SprintPlanning[Stream],$A7,SprintPlanning[Sprint],B$3)+SUMIFS('Q1 Backlog Report 2026'!$L:$L,'Q1 Backlog Report 2026'!$D:$D,$A7,'Q1 Backlog Report 2026'!$J:$J,B$3)</f>
        <v/>
      </c>
      <c r="C7" s="120">
        <f>SUMIFS(SprintPlanning[HLE],SprintPlanning[Stream],$A7,SprintPlanning[Sprint],C$3)+SUMIFS('Q1 Backlog Report 2026'!$L:$L,'Q1 Backlog Report 2026'!$D:$D,$A7,'Q1 Backlog Report 2026'!$J:$J,C$3)</f>
        <v/>
      </c>
      <c r="D7" s="120">
        <f>SUMIFS(SprintPlanning[HLE],SprintPlanning[Stream],$A7,SprintPlanning[Sprint],D$3)+SUMIFS('Q1 Backlog Report 2026'!$L:$L,'Q1 Backlog Report 2026'!$D:$D,$A7,'Q1 Backlog Report 2026'!$J:$J,D$3)</f>
        <v/>
      </c>
      <c r="E7" s="120">
        <f>SUMIFS(SprintPlanning[HLE],SprintPlanning[Stream],$A7,SprintPlanning[Sprint],E$3)+SUMIFS('Q1 Backlog Report 2026'!$L:$L,'Q1 Backlog Report 2026'!$D:$D,$A7,'Q1 Backlog Report 2026'!$J:$J,E$3)</f>
        <v/>
      </c>
      <c r="F7" s="120">
        <f>SUMIFS(SprintPlanning[HLE],SprintPlanning[Stream],$A7,SprintPlanning[Sprint],F$3)+SUMIFS('Q2 Backlog Report 2026'!$L:$L,'Q2 Backlog Report 2026'!$D:$D,$A7,'Q2 Backlog Report 2026'!$J:$J,F$3)</f>
        <v/>
      </c>
      <c r="G7" s="120">
        <f>SUMIFS(SprintPlanning[HLE],SprintPlanning[Stream],$A7,SprintPlanning[Sprint],G$3)+SUMIFS('Q2 Backlog Report 2026'!$L:$L,'Q2 Backlog Report 2026'!$D:$D,$A7,'Q2 Backlog Report 2026'!$J:$J,G$3)</f>
        <v/>
      </c>
      <c r="H7" s="120">
        <f>SUMIFS(SprintPlanning[HLE],SprintPlanning[Stream],$A7,SprintPlanning[Sprint],H$3)+SUMIFS('Q2 Backlog Report 2026'!$L:$L,'Q2 Backlog Report 2026'!$D:$D,$A7,'Q2 Backlog Report 2026'!$J:$J,H$3)</f>
        <v/>
      </c>
      <c r="I7" s="120">
        <f>SUMIFS(SprintPlanning[HLE],SprintPlanning[Stream],$A7,SprintPlanning[Sprint],I$3)+SUMIFS('Q2 Backlog Report 2026'!$L:$L,'Q2 Backlog Report 2026'!$D:$D,$A7,'Q2 Backlog Report 2026'!$J:$J,I$3)</f>
        <v/>
      </c>
      <c r="J7" s="120">
        <f>SUMIFS(SprintPlanning[HLE],SprintPlanning[Stream],$A7,SprintPlanning[Sprint],J$3)+SUMIFS('Q3 Backlog Report 2026'!$L:$L,'Q3 Backlog Report 2026'!$D:$D,$A7,'Q3 Backlog Report 2026'!$J:$J,J$3)</f>
        <v/>
      </c>
      <c r="K7" s="120">
        <f>SUMIFS(SprintPlanning[HLE],SprintPlanning[Stream],$A7,SprintPlanning[Sprint],K$3)+SUMIFS('Q3 Backlog Report 2026'!$L:$L,'Q3 Backlog Report 2026'!$D:$D,$A7,'Q3 Backlog Report 2026'!$J:$J,K$3)</f>
        <v/>
      </c>
      <c r="L7" s="120">
        <f>SUMIFS(SprintPlanning[HLE],SprintPlanning[Stream],$A7,SprintPlanning[Sprint],L$3)+SUMIFS('Q3 Backlog Report 2026'!$L:$L,'Q3 Backlog Report 2026'!$D:$D,$A7,'Q3 Backlog Report 2026'!$J:$J,L$3)</f>
        <v/>
      </c>
      <c r="M7" s="120">
        <f>SUMIFS(SprintPlanning[HLE],SprintPlanning[Stream],$A7,SprintPlanning[Sprint],M$3)+SUMIFS('Q3 Backlog Report 2026'!$L:$L,'Q3 Backlog Report 2026'!$D:$D,$A7,'Q3 Backlog Report 2026'!$J:$J,M$3)</f>
        <v/>
      </c>
      <c r="N7" s="120">
        <f>SUMIFS(SprintPlanning[HLE],SprintPlanning[Stream],$A7,SprintPlanning[Sprint],N$3)+SUMIFS('Q4 Backlog Report 2026'!$L:$L,'Q4 Backlog Report 2026'!$D:$D,$A7,'Q4 Backlog Report 2026'!$J:$J,N$3)</f>
        <v/>
      </c>
      <c r="O7" s="120">
        <f>SUMIFS(SprintPlanning[HLE],SprintPlanning[Stream],$A7,SprintPlanning[Sprint],O$3)+SUMIFS('Q4 Backlog Report 2026'!$L:$L,'Q4 Backlog Report 2026'!$D:$D,$A7,'Q4 Backlog Report 2026'!$J:$J,O$3)</f>
        <v/>
      </c>
      <c r="P7" s="120">
        <f>SUMIFS(SprintPlanning[HLE],SprintPlanning[Stream],$A7,SprintPlanning[Sprint],P$3)+SUMIFS('Q4 Backlog Report 2026'!$L:$L,'Q4 Backlog Report 2026'!$D:$D,$A7,'Q4 Backlog Report 2026'!$J:$J,P$3)</f>
        <v/>
      </c>
      <c r="Q7" s="120">
        <f>SUMIFS(SprintPlanning[HLE],SprintPlanning[Stream],$A7,SprintPlanning[Sprint],Q$3)+SUMIFS('Q4 Backlog Report 2026'!$L:$L,'Q4 Backlog Report 2026'!$D:$D,$A7,'Q4 Backlog Report 2026'!$J:$J,Q$3)</f>
        <v/>
      </c>
      <c r="R7" s="157">
        <f>SUM(B7:Q7)</f>
        <v/>
      </c>
      <c r="T7" s="92">
        <f>IF(AND('Sprint Planning'!$H7&gt;=10,'Sprint Planning'!$H7&lt;=16),IFERROR(MATCH('Sprint Planning'!$C7,Roadmap!$A$4:$A$15,0),99)*100+'Sprint Planning'!$H7+7/100000,"")</f>
        <v/>
      </c>
    </row>
    <row r="8" ht="15" customHeight="1" s="93">
      <c r="A8" s="120" t="inlineStr">
        <is>
          <t>Cross</t>
        </is>
      </c>
      <c r="B8" s="120">
        <f>SUMIFS(SprintPlanning[HLE],SprintPlanning[Stream],$A8,SprintPlanning[Sprint],B$3)+SUMIFS('Q1 Backlog Report 2026'!$L:$L,'Q1 Backlog Report 2026'!$D:$D,$A8,'Q1 Backlog Report 2026'!$J:$J,B$3)</f>
        <v/>
      </c>
      <c r="C8" s="120">
        <f>SUMIFS(SprintPlanning[HLE],SprintPlanning[Stream],$A8,SprintPlanning[Sprint],C$3)+SUMIFS('Q1 Backlog Report 2026'!$L:$L,'Q1 Backlog Report 2026'!$D:$D,$A8,'Q1 Backlog Report 2026'!$J:$J,C$3)</f>
        <v/>
      </c>
      <c r="D8" s="120">
        <f>SUMIFS(SprintPlanning[HLE],SprintPlanning[Stream],$A8,SprintPlanning[Sprint],D$3)+SUMIFS('Q1 Backlog Report 2026'!$L:$L,'Q1 Backlog Report 2026'!$D:$D,$A8,'Q1 Backlog Report 2026'!$J:$J,D$3)</f>
        <v/>
      </c>
      <c r="E8" s="120">
        <f>SUMIFS(SprintPlanning[HLE],SprintPlanning[Stream],$A8,SprintPlanning[Sprint],E$3)+SUMIFS('Q1 Backlog Report 2026'!$L:$L,'Q1 Backlog Report 2026'!$D:$D,$A8,'Q1 Backlog Report 2026'!$J:$J,E$3)</f>
        <v/>
      </c>
      <c r="F8" s="120">
        <f>SUMIFS(SprintPlanning[HLE],SprintPlanning[Stream],$A8,SprintPlanning[Sprint],F$3)+SUMIFS('Q2 Backlog Report 2026'!$L:$L,'Q2 Backlog Report 2026'!$D:$D,$A8,'Q2 Backlog Report 2026'!$J:$J,F$3)</f>
        <v/>
      </c>
      <c r="G8" s="120">
        <f>SUMIFS(SprintPlanning[HLE],SprintPlanning[Stream],$A8,SprintPlanning[Sprint],G$3)+SUMIFS('Q2 Backlog Report 2026'!$L:$L,'Q2 Backlog Report 2026'!$D:$D,$A8,'Q2 Backlog Report 2026'!$J:$J,G$3)</f>
        <v/>
      </c>
      <c r="H8" s="120">
        <f>SUMIFS(SprintPlanning[HLE],SprintPlanning[Stream],$A8,SprintPlanning[Sprint],H$3)+SUMIFS('Q2 Backlog Report 2026'!$L:$L,'Q2 Backlog Report 2026'!$D:$D,$A8,'Q2 Backlog Report 2026'!$J:$J,H$3)</f>
        <v/>
      </c>
      <c r="I8" s="120">
        <f>SUMIFS(SprintPlanning[HLE],SprintPlanning[Stream],$A8,SprintPlanning[Sprint],I$3)+SUMIFS('Q2 Backlog Report 2026'!$L:$L,'Q2 Backlog Report 2026'!$D:$D,$A8,'Q2 Backlog Report 2026'!$J:$J,I$3)</f>
        <v/>
      </c>
      <c r="J8" s="120">
        <f>SUMIFS(SprintPlanning[HLE],SprintPlanning[Stream],$A8,SprintPlanning[Sprint],J$3)+SUMIFS('Q3 Backlog Report 2026'!$L:$L,'Q3 Backlog Report 2026'!$D:$D,$A8,'Q3 Backlog Report 2026'!$J:$J,J$3)</f>
        <v/>
      </c>
      <c r="K8" s="120">
        <f>SUMIFS(SprintPlanning[HLE],SprintPlanning[Stream],$A8,SprintPlanning[Sprint],K$3)+SUMIFS('Q3 Backlog Report 2026'!$L:$L,'Q3 Backlog Report 2026'!$D:$D,$A8,'Q3 Backlog Report 2026'!$J:$J,K$3)</f>
        <v/>
      </c>
      <c r="L8" s="120">
        <f>SUMIFS(SprintPlanning[HLE],SprintPlanning[Stream],$A8,SprintPlanning[Sprint],L$3)+SUMIFS('Q3 Backlog Report 2026'!$L:$L,'Q3 Backlog Report 2026'!$D:$D,$A8,'Q3 Backlog Report 2026'!$J:$J,L$3)</f>
        <v/>
      </c>
      <c r="M8" s="120">
        <f>SUMIFS(SprintPlanning[HLE],SprintPlanning[Stream],$A8,SprintPlanning[Sprint],M$3)+SUMIFS('Q3 Backlog Report 2026'!$L:$L,'Q3 Backlog Report 2026'!$D:$D,$A8,'Q3 Backlog Report 2026'!$J:$J,M$3)</f>
        <v/>
      </c>
      <c r="N8" s="120">
        <f>SUMIFS(SprintPlanning[HLE],SprintPlanning[Stream],$A8,SprintPlanning[Sprint],N$3)+SUMIFS('Q4 Backlog Report 2026'!$L:$L,'Q4 Backlog Report 2026'!$D:$D,$A8,'Q4 Backlog Report 2026'!$J:$J,N$3)</f>
        <v/>
      </c>
      <c r="O8" s="120">
        <f>SUMIFS(SprintPlanning[HLE],SprintPlanning[Stream],$A8,SprintPlanning[Sprint],O$3)+SUMIFS('Q4 Backlog Report 2026'!$L:$L,'Q4 Backlog Report 2026'!$D:$D,$A8,'Q4 Backlog Report 2026'!$J:$J,O$3)</f>
        <v/>
      </c>
      <c r="P8" s="120">
        <f>SUMIFS(SprintPlanning[HLE],SprintPlanning[Stream],$A8,SprintPlanning[Sprint],P$3)+SUMIFS('Q4 Backlog Report 2026'!$L:$L,'Q4 Backlog Report 2026'!$D:$D,$A8,'Q4 Backlog Report 2026'!$J:$J,P$3)</f>
        <v/>
      </c>
      <c r="Q8" s="120">
        <f>SUMIFS(SprintPlanning[HLE],SprintPlanning[Stream],$A8,SprintPlanning[Sprint],Q$3)+SUMIFS('Q4 Backlog Report 2026'!$L:$L,'Q4 Backlog Report 2026'!$D:$D,$A8,'Q4 Backlog Report 2026'!$J:$J,Q$3)</f>
        <v/>
      </c>
      <c r="R8" s="157">
        <f>SUM(B8:Q8)</f>
        <v/>
      </c>
      <c r="T8" s="92">
        <f>IF(AND('Sprint Planning'!$H8&gt;=10,'Sprint Planning'!$H8&lt;=16),IFERROR(MATCH('Sprint Planning'!$C8,Roadmap!$A$4:$A$15,0),99)*100+'Sprint Planning'!$H8+8/100000,"")</f>
        <v/>
      </c>
    </row>
    <row r="9" ht="15" customHeight="1" s="93">
      <c r="A9" s="120" t="inlineStr">
        <is>
          <t>PI11</t>
        </is>
      </c>
      <c r="B9" s="120">
        <f>SUMIFS(SprintPlanning[HLE],SprintPlanning[Stream],$A9,SprintPlanning[Sprint],B$3)+SUMIFS('Q1 Backlog Report 2026'!$L:$L,'Q1 Backlog Report 2026'!$D:$D,$A9,'Q1 Backlog Report 2026'!$J:$J,B$3)</f>
        <v/>
      </c>
      <c r="C9" s="120">
        <f>SUMIFS(SprintPlanning[HLE],SprintPlanning[Stream],$A9,SprintPlanning[Sprint],C$3)+SUMIFS('Q1 Backlog Report 2026'!$L:$L,'Q1 Backlog Report 2026'!$D:$D,$A9,'Q1 Backlog Report 2026'!$J:$J,C$3)</f>
        <v/>
      </c>
      <c r="D9" s="120">
        <f>SUMIFS(SprintPlanning[HLE],SprintPlanning[Stream],$A9,SprintPlanning[Sprint],D$3)+SUMIFS('Q1 Backlog Report 2026'!$L:$L,'Q1 Backlog Report 2026'!$D:$D,$A9,'Q1 Backlog Report 2026'!$J:$J,D$3)</f>
        <v/>
      </c>
      <c r="E9" s="120">
        <f>SUMIFS(SprintPlanning[HLE],SprintPlanning[Stream],$A9,SprintPlanning[Sprint],E$3)+SUMIFS('Q1 Backlog Report 2026'!$L:$L,'Q1 Backlog Report 2026'!$D:$D,$A9,'Q1 Backlog Report 2026'!$J:$J,E$3)</f>
        <v/>
      </c>
      <c r="F9" s="120">
        <f>SUMIFS(SprintPlanning[HLE],SprintPlanning[Stream],$A9,SprintPlanning[Sprint],F$3)+SUMIFS('Q2 Backlog Report 2026'!$L:$L,'Q2 Backlog Report 2026'!$D:$D,$A9,'Q2 Backlog Report 2026'!$J:$J,F$3)</f>
        <v/>
      </c>
      <c r="G9" s="120">
        <f>SUMIFS(SprintPlanning[HLE],SprintPlanning[Stream],$A9,SprintPlanning[Sprint],G$3)+SUMIFS('Q2 Backlog Report 2026'!$L:$L,'Q2 Backlog Report 2026'!$D:$D,$A9,'Q2 Backlog Report 2026'!$J:$J,G$3)</f>
        <v/>
      </c>
      <c r="H9" s="120">
        <f>SUMIFS(SprintPlanning[HLE],SprintPlanning[Stream],$A9,SprintPlanning[Sprint],H$3)+SUMIFS('Q2 Backlog Report 2026'!$L:$L,'Q2 Backlog Report 2026'!$D:$D,$A9,'Q2 Backlog Report 2026'!$J:$J,H$3)</f>
        <v/>
      </c>
      <c r="I9" s="120">
        <f>SUMIFS(SprintPlanning[HLE],SprintPlanning[Stream],$A9,SprintPlanning[Sprint],I$3)+SUMIFS('Q2 Backlog Report 2026'!$L:$L,'Q2 Backlog Report 2026'!$D:$D,$A9,'Q2 Backlog Report 2026'!$J:$J,I$3)</f>
        <v/>
      </c>
      <c r="J9" s="120">
        <f>SUMIFS(SprintPlanning[HLE],SprintPlanning[Stream],$A9,SprintPlanning[Sprint],J$3)+SUMIFS('Q3 Backlog Report 2026'!$L:$L,'Q3 Backlog Report 2026'!$D:$D,$A9,'Q3 Backlog Report 2026'!$J:$J,J$3)</f>
        <v/>
      </c>
      <c r="K9" s="120">
        <f>SUMIFS(SprintPlanning[HLE],SprintPlanning[Stream],$A9,SprintPlanning[Sprint],K$3)+SUMIFS('Q3 Backlog Report 2026'!$L:$L,'Q3 Backlog Report 2026'!$D:$D,$A9,'Q3 Backlog Report 2026'!$J:$J,K$3)</f>
        <v/>
      </c>
      <c r="L9" s="120">
        <f>SUMIFS(SprintPlanning[HLE],SprintPlanning[Stream],$A9,SprintPlanning[Sprint],L$3)+SUMIFS('Q3 Backlog Report 2026'!$L:$L,'Q3 Backlog Report 2026'!$D:$D,$A9,'Q3 Backlog Report 2026'!$J:$J,L$3)</f>
        <v/>
      </c>
      <c r="M9" s="120">
        <f>SUMIFS(SprintPlanning[HLE],SprintPlanning[Stream],$A9,SprintPlanning[Sprint],M$3)+SUMIFS('Q3 Backlog Report 2026'!$L:$L,'Q3 Backlog Report 2026'!$D:$D,$A9,'Q3 Backlog Report 2026'!$J:$J,M$3)</f>
        <v/>
      </c>
      <c r="N9" s="120">
        <f>SUMIFS(SprintPlanning[HLE],SprintPlanning[Stream],$A9,SprintPlanning[Sprint],N$3)+SUMIFS('Q4 Backlog Report 2026'!$L:$L,'Q4 Backlog Report 2026'!$D:$D,$A9,'Q4 Backlog Report 2026'!$J:$J,N$3)</f>
        <v/>
      </c>
      <c r="O9" s="120">
        <f>SUMIFS(SprintPlanning[HLE],SprintPlanning[Stream],$A9,SprintPlanning[Sprint],O$3)+SUMIFS('Q4 Backlog Report 2026'!$L:$L,'Q4 Backlog Report 2026'!$D:$D,$A9,'Q4 Backlog Report 2026'!$J:$J,O$3)</f>
        <v/>
      </c>
      <c r="P9" s="120">
        <f>SUMIFS(SprintPlanning[HLE],SprintPlanning[Stream],$A9,SprintPlanning[Sprint],P$3)+SUMIFS('Q4 Backlog Report 2026'!$L:$L,'Q4 Backlog Report 2026'!$D:$D,$A9,'Q4 Backlog Report 2026'!$J:$J,P$3)</f>
        <v/>
      </c>
      <c r="Q9" s="120">
        <f>SUMIFS(SprintPlanning[HLE],SprintPlanning[Stream],$A9,SprintPlanning[Sprint],Q$3)+SUMIFS('Q4 Backlog Report 2026'!$L:$L,'Q4 Backlog Report 2026'!$D:$D,$A9,'Q4 Backlog Report 2026'!$J:$J,Q$3)</f>
        <v/>
      </c>
      <c r="R9" s="157">
        <f>SUM(B9:Q9)</f>
        <v/>
      </c>
      <c r="T9" s="92">
        <f>IF(AND('Sprint Planning'!$H9&gt;=10,'Sprint Planning'!$H9&lt;=16),IFERROR(MATCH('Sprint Planning'!$C9,Roadmap!$A$4:$A$15,0),99)*100+'Sprint Planning'!$H9+9/100000,"")</f>
        <v/>
      </c>
    </row>
    <row r="10" ht="15" customHeight="1" s="93">
      <c r="A10" s="120" t="inlineStr">
        <is>
          <t>Backlog</t>
        </is>
      </c>
      <c r="B10" s="120">
        <f>SUMIFS(SprintPlanning[HLE],SprintPlanning[Stream],$A10,SprintPlanning[Sprint],B$3)+SUMIFS('Q1 Backlog Report 2026'!$L:$L,'Q1 Backlog Report 2026'!$D:$D,$A10,'Q1 Backlog Report 2026'!$J:$J,B$3)</f>
        <v/>
      </c>
      <c r="C10" s="120">
        <f>SUMIFS(SprintPlanning[HLE],SprintPlanning[Stream],$A10,SprintPlanning[Sprint],C$3)+SUMIFS('Q1 Backlog Report 2026'!$L:$L,'Q1 Backlog Report 2026'!$D:$D,$A10,'Q1 Backlog Report 2026'!$J:$J,C$3)</f>
        <v/>
      </c>
      <c r="D10" s="120">
        <f>SUMIFS(SprintPlanning[HLE],SprintPlanning[Stream],$A10,SprintPlanning[Sprint],D$3)+SUMIFS('Q1 Backlog Report 2026'!$L:$L,'Q1 Backlog Report 2026'!$D:$D,$A10,'Q1 Backlog Report 2026'!$J:$J,D$3)</f>
        <v/>
      </c>
      <c r="E10" s="120">
        <f>SUMIFS(SprintPlanning[HLE],SprintPlanning[Stream],$A10,SprintPlanning[Sprint],E$3)+SUMIFS('Q1 Backlog Report 2026'!$L:$L,'Q1 Backlog Report 2026'!$D:$D,$A10,'Q1 Backlog Report 2026'!$J:$J,E$3)</f>
        <v/>
      </c>
      <c r="F10" s="120">
        <f>SUMIFS(SprintPlanning[HLE],SprintPlanning[Stream],$A10,SprintPlanning[Sprint],F$3)+SUMIFS('Q2 Backlog Report 2026'!$L:$L,'Q2 Backlog Report 2026'!$D:$D,$A10,'Q2 Backlog Report 2026'!$J:$J,F$3)</f>
        <v/>
      </c>
      <c r="G10" s="120">
        <f>SUMIFS(SprintPlanning[HLE],SprintPlanning[Stream],$A10,SprintPlanning[Sprint],G$3)+SUMIFS('Q2 Backlog Report 2026'!$L:$L,'Q2 Backlog Report 2026'!$D:$D,$A10,'Q2 Backlog Report 2026'!$J:$J,G$3)</f>
        <v/>
      </c>
      <c r="H10" s="120">
        <f>SUMIFS(SprintPlanning[HLE],SprintPlanning[Stream],$A10,SprintPlanning[Sprint],H$3)+SUMIFS('Q2 Backlog Report 2026'!$L:$L,'Q2 Backlog Report 2026'!$D:$D,$A10,'Q2 Backlog Report 2026'!$J:$J,H$3)</f>
        <v/>
      </c>
      <c r="I10" s="120">
        <f>SUMIFS(SprintPlanning[HLE],SprintPlanning[Stream],$A10,SprintPlanning[Sprint],I$3)+SUMIFS('Q2 Backlog Report 2026'!$L:$L,'Q2 Backlog Report 2026'!$D:$D,$A10,'Q2 Backlog Report 2026'!$J:$J,I$3)</f>
        <v/>
      </c>
      <c r="J10" s="120">
        <f>SUMIFS(SprintPlanning[HLE],SprintPlanning[Stream],$A10,SprintPlanning[Sprint],J$3)+SUMIFS('Q3 Backlog Report 2026'!$L:$L,'Q3 Backlog Report 2026'!$D:$D,$A10,'Q3 Backlog Report 2026'!$J:$J,J$3)</f>
        <v/>
      </c>
      <c r="K10" s="120">
        <f>SUMIFS(SprintPlanning[HLE],SprintPlanning[Stream],$A10,SprintPlanning[Sprint],K$3)+SUMIFS('Q3 Backlog Report 2026'!$L:$L,'Q3 Backlog Report 2026'!$D:$D,$A10,'Q3 Backlog Report 2026'!$J:$J,K$3)</f>
        <v/>
      </c>
      <c r="L10" s="120">
        <f>SUMIFS(SprintPlanning[HLE],SprintPlanning[Stream],$A10,SprintPlanning[Sprint],L$3)+SUMIFS('Q3 Backlog Report 2026'!$L:$L,'Q3 Backlog Report 2026'!$D:$D,$A10,'Q3 Backlog Report 2026'!$J:$J,L$3)</f>
        <v/>
      </c>
      <c r="M10" s="120">
        <f>SUMIFS(SprintPlanning[HLE],SprintPlanning[Stream],$A10,SprintPlanning[Sprint],M$3)+SUMIFS('Q3 Backlog Report 2026'!$L:$L,'Q3 Backlog Report 2026'!$D:$D,$A10,'Q3 Backlog Report 2026'!$J:$J,M$3)</f>
        <v/>
      </c>
      <c r="N10" s="120">
        <f>SUMIFS(SprintPlanning[HLE],SprintPlanning[Stream],$A10,SprintPlanning[Sprint],N$3)+SUMIFS('Q4 Backlog Report 2026'!$L:$L,'Q4 Backlog Report 2026'!$D:$D,$A10,'Q4 Backlog Report 2026'!$J:$J,N$3)</f>
        <v/>
      </c>
      <c r="O10" s="120">
        <f>SUMIFS(SprintPlanning[HLE],SprintPlanning[Stream],$A10,SprintPlanning[Sprint],O$3)+SUMIFS('Q4 Backlog Report 2026'!$L:$L,'Q4 Backlog Report 2026'!$D:$D,$A10,'Q4 Backlog Report 2026'!$J:$J,O$3)</f>
        <v/>
      </c>
      <c r="P10" s="120">
        <f>SUMIFS(SprintPlanning[HLE],SprintPlanning[Stream],$A10,SprintPlanning[Sprint],P$3)+SUMIFS('Q4 Backlog Report 2026'!$L:$L,'Q4 Backlog Report 2026'!$D:$D,$A10,'Q4 Backlog Report 2026'!$J:$J,P$3)</f>
        <v/>
      </c>
      <c r="Q10" s="120">
        <f>SUMIFS(SprintPlanning[HLE],SprintPlanning[Stream],$A10,SprintPlanning[Sprint],Q$3)+SUMIFS('Q4 Backlog Report 2026'!$L:$L,'Q4 Backlog Report 2026'!$D:$D,$A10,'Q4 Backlog Report 2026'!$J:$J,Q$3)</f>
        <v/>
      </c>
      <c r="R10" s="157">
        <f>SUM(B10:Q10)</f>
        <v/>
      </c>
      <c r="T10" s="92">
        <f>IF(AND('Sprint Planning'!$H10&gt;=10,'Sprint Planning'!$H10&lt;=16),IFERROR(MATCH('Sprint Planning'!$C10,Roadmap!$A$4:$A$15,0),99)*100+'Sprint Planning'!$H10+10/100000,"")</f>
        <v/>
      </c>
    </row>
    <row r="11" ht="15" customHeight="1" s="93">
      <c r="A11" s="120" t="inlineStr">
        <is>
          <t>Tech Enhancements</t>
        </is>
      </c>
      <c r="B11" s="120">
        <f>SUMIFS(SprintPlanning[HLE],SprintPlanning[Stream],$A11,SprintPlanning[Sprint],B$3)+SUMIFS('Q1 Backlog Report 2026'!$L:$L,'Q1 Backlog Report 2026'!$D:$D,$A11,'Q1 Backlog Report 2026'!$J:$J,B$3)</f>
        <v/>
      </c>
      <c r="C11" s="120">
        <f>SUMIFS(SprintPlanning[HLE],SprintPlanning[Stream],$A11,SprintPlanning[Sprint],C$3)+SUMIFS('Q1 Backlog Report 2026'!$L:$L,'Q1 Backlog Report 2026'!$D:$D,$A11,'Q1 Backlog Report 2026'!$J:$J,C$3)</f>
        <v/>
      </c>
      <c r="D11" s="120">
        <f>SUMIFS(SprintPlanning[HLE],SprintPlanning[Stream],$A11,SprintPlanning[Sprint],D$3)+SUMIFS('Q1 Backlog Report 2026'!$L:$L,'Q1 Backlog Report 2026'!$D:$D,$A11,'Q1 Backlog Report 2026'!$J:$J,D$3)</f>
        <v/>
      </c>
      <c r="E11" s="120">
        <f>SUMIFS(SprintPlanning[HLE],SprintPlanning[Stream],$A11,SprintPlanning[Sprint],E$3)+SUMIFS('Q1 Backlog Report 2026'!$L:$L,'Q1 Backlog Report 2026'!$D:$D,$A11,'Q1 Backlog Report 2026'!$J:$J,E$3)</f>
        <v/>
      </c>
      <c r="F11" s="120">
        <f>SUMIFS(SprintPlanning[HLE],SprintPlanning[Stream],$A11,SprintPlanning[Sprint],F$3)+SUMIFS('Q2 Backlog Report 2026'!$L:$L,'Q2 Backlog Report 2026'!$D:$D,$A11,'Q2 Backlog Report 2026'!$J:$J,F$3)</f>
        <v/>
      </c>
      <c r="G11" s="120">
        <f>SUMIFS(SprintPlanning[HLE],SprintPlanning[Stream],$A11,SprintPlanning[Sprint],G$3)+SUMIFS('Q2 Backlog Report 2026'!$L:$L,'Q2 Backlog Report 2026'!$D:$D,$A11,'Q2 Backlog Report 2026'!$J:$J,G$3)</f>
        <v/>
      </c>
      <c r="H11" s="120">
        <f>SUMIFS(SprintPlanning[HLE],SprintPlanning[Stream],$A11,SprintPlanning[Sprint],H$3)+SUMIFS('Q2 Backlog Report 2026'!$L:$L,'Q2 Backlog Report 2026'!$D:$D,$A11,'Q2 Backlog Report 2026'!$J:$J,H$3)</f>
        <v/>
      </c>
      <c r="I11" s="120">
        <f>SUMIFS(SprintPlanning[HLE],SprintPlanning[Stream],$A11,SprintPlanning[Sprint],I$3)+SUMIFS('Q2 Backlog Report 2026'!$L:$L,'Q2 Backlog Report 2026'!$D:$D,$A11,'Q2 Backlog Report 2026'!$J:$J,I$3)</f>
        <v/>
      </c>
      <c r="J11" s="120">
        <f>SUMIFS(SprintPlanning[HLE],SprintPlanning[Stream],$A11,SprintPlanning[Sprint],J$3)+SUMIFS('Q3 Backlog Report 2026'!$L:$L,'Q3 Backlog Report 2026'!$D:$D,$A11,'Q3 Backlog Report 2026'!$J:$J,J$3)</f>
        <v/>
      </c>
      <c r="K11" s="120">
        <f>SUMIFS(SprintPlanning[HLE],SprintPlanning[Stream],$A11,SprintPlanning[Sprint],K$3)+SUMIFS('Q3 Backlog Report 2026'!$L:$L,'Q3 Backlog Report 2026'!$D:$D,$A11,'Q3 Backlog Report 2026'!$J:$J,K$3)</f>
        <v/>
      </c>
      <c r="L11" s="120">
        <f>SUMIFS(SprintPlanning[HLE],SprintPlanning[Stream],$A11,SprintPlanning[Sprint],L$3)+SUMIFS('Q3 Backlog Report 2026'!$L:$L,'Q3 Backlog Report 2026'!$D:$D,$A11,'Q3 Backlog Report 2026'!$J:$J,L$3)</f>
        <v/>
      </c>
      <c r="M11" s="120">
        <f>SUMIFS(SprintPlanning[HLE],SprintPlanning[Stream],$A11,SprintPlanning[Sprint],M$3)+SUMIFS('Q3 Backlog Report 2026'!$L:$L,'Q3 Backlog Report 2026'!$D:$D,$A11,'Q3 Backlog Report 2026'!$J:$J,M$3)</f>
        <v/>
      </c>
      <c r="N11" s="120">
        <f>SUMIFS(SprintPlanning[HLE],SprintPlanning[Stream],$A11,SprintPlanning[Sprint],N$3)+SUMIFS('Q4 Backlog Report 2026'!$L:$L,'Q4 Backlog Report 2026'!$D:$D,$A11,'Q4 Backlog Report 2026'!$J:$J,N$3)</f>
        <v/>
      </c>
      <c r="O11" s="120">
        <f>SUMIFS(SprintPlanning[HLE],SprintPlanning[Stream],$A11,SprintPlanning[Sprint],O$3)+SUMIFS('Q4 Backlog Report 2026'!$L:$L,'Q4 Backlog Report 2026'!$D:$D,$A11,'Q4 Backlog Report 2026'!$J:$J,O$3)</f>
        <v/>
      </c>
      <c r="P11" s="120">
        <f>SUMIFS(SprintPlanning[HLE],SprintPlanning[Stream],$A11,SprintPlanning[Sprint],P$3)+SUMIFS('Q4 Backlog Report 2026'!$L:$L,'Q4 Backlog Report 2026'!$D:$D,$A11,'Q4 Backlog Report 2026'!$J:$J,P$3)</f>
        <v/>
      </c>
      <c r="Q11" s="120">
        <f>SUMIFS(SprintPlanning[HLE],SprintPlanning[Stream],$A11,SprintPlanning[Sprint],Q$3)+SUMIFS('Q4 Backlog Report 2026'!$L:$L,'Q4 Backlog Report 2026'!$D:$D,$A11,'Q4 Backlog Report 2026'!$J:$J,Q$3)</f>
        <v/>
      </c>
      <c r="R11" s="157">
        <f>SUM(B11:Q11)</f>
        <v/>
      </c>
      <c r="T11" s="92">
        <f>IF(AND('Sprint Planning'!$H11&gt;=10,'Sprint Planning'!$H11&lt;=16),IFERROR(MATCH('Sprint Planning'!$C11,Roadmap!$A$4:$A$15,0),99)*100+'Sprint Planning'!$H11+11/100000,"")</f>
        <v/>
      </c>
    </row>
    <row r="12" ht="15" customHeight="1" s="93">
      <c r="A12" s="120" t="inlineStr">
        <is>
          <t>PP</t>
        </is>
      </c>
      <c r="B12" s="120">
        <f>SUMIFS(SprintPlanning[HLE],SprintPlanning[Stream],$A12,SprintPlanning[Sprint],B$3)+SUMIFS('Q1 Backlog Report 2026'!$L:$L,'Q1 Backlog Report 2026'!$D:$D,$A12,'Q1 Backlog Report 2026'!$J:$J,B$3)</f>
        <v/>
      </c>
      <c r="C12" s="120">
        <f>SUMIFS(SprintPlanning[HLE],SprintPlanning[Stream],$A12,SprintPlanning[Sprint],C$3)+SUMIFS('Q1 Backlog Report 2026'!$L:$L,'Q1 Backlog Report 2026'!$D:$D,$A12,'Q1 Backlog Report 2026'!$J:$J,C$3)</f>
        <v/>
      </c>
      <c r="D12" s="120">
        <f>SUMIFS(SprintPlanning[HLE],SprintPlanning[Stream],$A12,SprintPlanning[Sprint],D$3)+SUMIFS('Q1 Backlog Report 2026'!$L:$L,'Q1 Backlog Report 2026'!$D:$D,$A12,'Q1 Backlog Report 2026'!$J:$J,D$3)</f>
        <v/>
      </c>
      <c r="E12" s="120">
        <f>SUMIFS(SprintPlanning[HLE],SprintPlanning[Stream],$A12,SprintPlanning[Sprint],E$3)+SUMIFS('Q1 Backlog Report 2026'!$L:$L,'Q1 Backlog Report 2026'!$D:$D,$A12,'Q1 Backlog Report 2026'!$J:$J,E$3)</f>
        <v/>
      </c>
      <c r="F12" s="120">
        <f>SUMIFS(SprintPlanning[HLE],SprintPlanning[Stream],$A12,SprintPlanning[Sprint],F$3)+SUMIFS('Q2 Backlog Report 2026'!$L:$L,'Q2 Backlog Report 2026'!$D:$D,$A12,'Q2 Backlog Report 2026'!$J:$J,F$3)</f>
        <v/>
      </c>
      <c r="G12" s="120">
        <f>SUMIFS(SprintPlanning[HLE],SprintPlanning[Stream],$A12,SprintPlanning[Sprint],G$3)+SUMIFS('Q2 Backlog Report 2026'!$L:$L,'Q2 Backlog Report 2026'!$D:$D,$A12,'Q2 Backlog Report 2026'!$J:$J,G$3)</f>
        <v/>
      </c>
      <c r="H12" s="120">
        <f>SUMIFS(SprintPlanning[HLE],SprintPlanning[Stream],$A12,SprintPlanning[Sprint],H$3)+SUMIFS('Q2 Backlog Report 2026'!$L:$L,'Q2 Backlog Report 2026'!$D:$D,$A12,'Q2 Backlog Report 2026'!$J:$J,H$3)</f>
        <v/>
      </c>
      <c r="I12" s="120">
        <f>SUMIFS(SprintPlanning[HLE],SprintPlanning[Stream],$A12,SprintPlanning[Sprint],I$3)+SUMIFS('Q2 Backlog Report 2026'!$L:$L,'Q2 Backlog Report 2026'!$D:$D,$A12,'Q2 Backlog Report 2026'!$J:$J,I$3)</f>
        <v/>
      </c>
      <c r="J12" s="120">
        <f>SUMIFS(SprintPlanning[HLE],SprintPlanning[Stream],$A12,SprintPlanning[Sprint],J$3)+SUMIFS('Q3 Backlog Report 2026'!$L:$L,'Q3 Backlog Report 2026'!$D:$D,$A12,'Q3 Backlog Report 2026'!$J:$J,J$3)</f>
        <v/>
      </c>
      <c r="K12" s="120">
        <f>SUMIFS(SprintPlanning[HLE],SprintPlanning[Stream],$A12,SprintPlanning[Sprint],K$3)+SUMIFS('Q3 Backlog Report 2026'!$L:$L,'Q3 Backlog Report 2026'!$D:$D,$A12,'Q3 Backlog Report 2026'!$J:$J,K$3)</f>
        <v/>
      </c>
      <c r="L12" s="120">
        <f>SUMIFS(SprintPlanning[HLE],SprintPlanning[Stream],$A12,SprintPlanning[Sprint],L$3)+SUMIFS('Q3 Backlog Report 2026'!$L:$L,'Q3 Backlog Report 2026'!$D:$D,$A12,'Q3 Backlog Report 2026'!$J:$J,L$3)</f>
        <v/>
      </c>
      <c r="M12" s="120">
        <f>SUMIFS(SprintPlanning[HLE],SprintPlanning[Stream],$A12,SprintPlanning[Sprint],M$3)+SUMIFS('Q3 Backlog Report 2026'!$L:$L,'Q3 Backlog Report 2026'!$D:$D,$A12,'Q3 Backlog Report 2026'!$J:$J,M$3)</f>
        <v/>
      </c>
      <c r="N12" s="120">
        <f>SUMIFS(SprintPlanning[HLE],SprintPlanning[Stream],$A12,SprintPlanning[Sprint],N$3)+SUMIFS('Q4 Backlog Report 2026'!$L:$L,'Q4 Backlog Report 2026'!$D:$D,$A12,'Q4 Backlog Report 2026'!$J:$J,N$3)</f>
        <v/>
      </c>
      <c r="O12" s="120">
        <f>SUMIFS(SprintPlanning[HLE],SprintPlanning[Stream],$A12,SprintPlanning[Sprint],O$3)+SUMIFS('Q4 Backlog Report 2026'!$L:$L,'Q4 Backlog Report 2026'!$D:$D,$A12,'Q4 Backlog Report 2026'!$J:$J,O$3)</f>
        <v/>
      </c>
      <c r="P12" s="120">
        <f>SUMIFS(SprintPlanning[HLE],SprintPlanning[Stream],$A12,SprintPlanning[Sprint],P$3)+SUMIFS('Q4 Backlog Report 2026'!$L:$L,'Q4 Backlog Report 2026'!$D:$D,$A12,'Q4 Backlog Report 2026'!$J:$J,P$3)</f>
        <v/>
      </c>
      <c r="Q12" s="120">
        <f>SUMIFS(SprintPlanning[HLE],SprintPlanning[Stream],$A12,SprintPlanning[Sprint],Q$3)+SUMIFS('Q4 Backlog Report 2026'!$L:$L,'Q4 Backlog Report 2026'!$D:$D,$A12,'Q4 Backlog Report 2026'!$J:$J,Q$3)</f>
        <v/>
      </c>
      <c r="R12" s="157">
        <f>SUM(B12:Q12)</f>
        <v/>
      </c>
      <c r="T12" s="92">
        <f>IF(AND('Sprint Planning'!$H12&gt;=10,'Sprint Planning'!$H12&lt;=16),IFERROR(MATCH('Sprint Planning'!$C12,Roadmap!$A$4:$A$15,0),99)*100+'Sprint Planning'!$H12+12/100000,"")</f>
        <v/>
      </c>
    </row>
    <row r="13" ht="15" customHeight="1" s="93">
      <c r="A13" s="120" t="inlineStr">
        <is>
          <t>HR</t>
        </is>
      </c>
      <c r="B13" s="120">
        <f>SUMIFS(SprintPlanning[HLE],SprintPlanning[Stream],$A13,SprintPlanning[Sprint],B$3)+SUMIFS('Q1 Backlog Report 2026'!$L:$L,'Q1 Backlog Report 2026'!$D:$D,$A13,'Q1 Backlog Report 2026'!$J:$J,B$3)</f>
        <v/>
      </c>
      <c r="C13" s="120">
        <f>SUMIFS(SprintPlanning[HLE],SprintPlanning[Stream],$A13,SprintPlanning[Sprint],C$3)+SUMIFS('Q1 Backlog Report 2026'!$L:$L,'Q1 Backlog Report 2026'!$D:$D,$A13,'Q1 Backlog Report 2026'!$J:$J,C$3)</f>
        <v/>
      </c>
      <c r="D13" s="120">
        <f>SUMIFS(SprintPlanning[HLE],SprintPlanning[Stream],$A13,SprintPlanning[Sprint],D$3)+SUMIFS('Q1 Backlog Report 2026'!$L:$L,'Q1 Backlog Report 2026'!$D:$D,$A13,'Q1 Backlog Report 2026'!$J:$J,D$3)</f>
        <v/>
      </c>
      <c r="E13" s="120">
        <f>SUMIFS(SprintPlanning[HLE],SprintPlanning[Stream],$A13,SprintPlanning[Sprint],E$3)+SUMIFS('Q1 Backlog Report 2026'!$L:$L,'Q1 Backlog Report 2026'!$D:$D,$A13,'Q1 Backlog Report 2026'!$J:$J,E$3)</f>
        <v/>
      </c>
      <c r="F13" s="120">
        <f>SUMIFS(SprintPlanning[HLE],SprintPlanning[Stream],$A13,SprintPlanning[Sprint],F$3)+SUMIFS('Q2 Backlog Report 2026'!$L:$L,'Q2 Backlog Report 2026'!$D:$D,$A13,'Q2 Backlog Report 2026'!$J:$J,F$3)</f>
        <v/>
      </c>
      <c r="G13" s="120">
        <f>SUMIFS(SprintPlanning[HLE],SprintPlanning[Stream],$A13,SprintPlanning[Sprint],G$3)+SUMIFS('Q2 Backlog Report 2026'!$L:$L,'Q2 Backlog Report 2026'!$D:$D,$A13,'Q2 Backlog Report 2026'!$J:$J,G$3)</f>
        <v/>
      </c>
      <c r="H13" s="120">
        <f>SUMIFS(SprintPlanning[HLE],SprintPlanning[Stream],$A13,SprintPlanning[Sprint],H$3)+SUMIFS('Q2 Backlog Report 2026'!$L:$L,'Q2 Backlog Report 2026'!$D:$D,$A13,'Q2 Backlog Report 2026'!$J:$J,H$3)</f>
        <v/>
      </c>
      <c r="I13" s="120">
        <f>SUMIFS(SprintPlanning[HLE],SprintPlanning[Stream],$A13,SprintPlanning[Sprint],I$3)+SUMIFS('Q2 Backlog Report 2026'!$L:$L,'Q2 Backlog Report 2026'!$D:$D,$A13,'Q2 Backlog Report 2026'!$J:$J,I$3)</f>
        <v/>
      </c>
      <c r="J13" s="120">
        <f>SUMIFS(SprintPlanning[HLE],SprintPlanning[Stream],$A13,SprintPlanning[Sprint],J$3)+SUMIFS('Q3 Backlog Report 2026'!$L:$L,'Q3 Backlog Report 2026'!$D:$D,$A13,'Q3 Backlog Report 2026'!$J:$J,J$3)</f>
        <v/>
      </c>
      <c r="K13" s="120">
        <f>SUMIFS(SprintPlanning[HLE],SprintPlanning[Stream],$A13,SprintPlanning[Sprint],K$3)+SUMIFS('Q3 Backlog Report 2026'!$L:$L,'Q3 Backlog Report 2026'!$D:$D,$A13,'Q3 Backlog Report 2026'!$J:$J,K$3)</f>
        <v/>
      </c>
      <c r="L13" s="120">
        <f>SUMIFS(SprintPlanning[HLE],SprintPlanning[Stream],$A13,SprintPlanning[Sprint],L$3)+SUMIFS('Q3 Backlog Report 2026'!$L:$L,'Q3 Backlog Report 2026'!$D:$D,$A13,'Q3 Backlog Report 2026'!$J:$J,L$3)</f>
        <v/>
      </c>
      <c r="M13" s="120">
        <f>SUMIFS(SprintPlanning[HLE],SprintPlanning[Stream],$A13,SprintPlanning[Sprint],M$3)+SUMIFS('Q3 Backlog Report 2026'!$L:$L,'Q3 Backlog Report 2026'!$D:$D,$A13,'Q3 Backlog Report 2026'!$J:$J,M$3)</f>
        <v/>
      </c>
      <c r="N13" s="120">
        <f>SUMIFS(SprintPlanning[HLE],SprintPlanning[Stream],$A13,SprintPlanning[Sprint],N$3)+SUMIFS('Q4 Backlog Report 2026'!$L:$L,'Q4 Backlog Report 2026'!$D:$D,$A13,'Q4 Backlog Report 2026'!$J:$J,N$3)</f>
        <v/>
      </c>
      <c r="O13" s="120">
        <f>SUMIFS(SprintPlanning[HLE],SprintPlanning[Stream],$A13,SprintPlanning[Sprint],O$3)+SUMIFS('Q4 Backlog Report 2026'!$L:$L,'Q4 Backlog Report 2026'!$D:$D,$A13,'Q4 Backlog Report 2026'!$J:$J,O$3)</f>
        <v/>
      </c>
      <c r="P13" s="120">
        <f>SUMIFS(SprintPlanning[HLE],SprintPlanning[Stream],$A13,SprintPlanning[Sprint],P$3)+SUMIFS('Q4 Backlog Report 2026'!$L:$L,'Q4 Backlog Report 2026'!$D:$D,$A13,'Q4 Backlog Report 2026'!$J:$J,P$3)</f>
        <v/>
      </c>
      <c r="Q13" s="120">
        <f>SUMIFS(SprintPlanning[HLE],SprintPlanning[Stream],$A13,SprintPlanning[Sprint],Q$3)+SUMIFS('Q4 Backlog Report 2026'!$L:$L,'Q4 Backlog Report 2026'!$D:$D,$A13,'Q4 Backlog Report 2026'!$J:$J,Q$3)</f>
        <v/>
      </c>
      <c r="R13" s="157">
        <f>SUM(B13:Q13)</f>
        <v/>
      </c>
      <c r="T13" s="92">
        <f>IF(AND('Sprint Planning'!$H13&gt;=10,'Sprint Planning'!$H13&lt;=16),IFERROR(MATCH('Sprint Planning'!$C13,Roadmap!$A$4:$A$15,0),99)*100+'Sprint Planning'!$H13+13/100000,"")</f>
        <v/>
      </c>
    </row>
    <row r="14" ht="15" customHeight="1" s="93">
      <c r="A14" s="120" t="inlineStr">
        <is>
          <t>PI9</t>
        </is>
      </c>
      <c r="B14" s="120">
        <f>SUMIFS(SprintPlanning[HLE],SprintPlanning[Stream],$A14,SprintPlanning[Sprint],B$3)+SUMIFS('Q1 Backlog Report 2026'!$L:$L,'Q1 Backlog Report 2026'!$D:$D,$A14,'Q1 Backlog Report 2026'!$J:$J,B$3)</f>
        <v/>
      </c>
      <c r="C14" s="120">
        <f>SUMIFS(SprintPlanning[HLE],SprintPlanning[Stream],$A14,SprintPlanning[Sprint],C$3)+SUMIFS('Q1 Backlog Report 2026'!$L:$L,'Q1 Backlog Report 2026'!$D:$D,$A14,'Q1 Backlog Report 2026'!$J:$J,C$3)</f>
        <v/>
      </c>
      <c r="D14" s="120">
        <f>SUMIFS(SprintPlanning[HLE],SprintPlanning[Stream],$A14,SprintPlanning[Sprint],D$3)+SUMIFS('Q1 Backlog Report 2026'!$L:$L,'Q1 Backlog Report 2026'!$D:$D,$A14,'Q1 Backlog Report 2026'!$J:$J,D$3)</f>
        <v/>
      </c>
      <c r="E14" s="120">
        <f>SUMIFS(SprintPlanning[HLE],SprintPlanning[Stream],$A14,SprintPlanning[Sprint],E$3)+SUMIFS('Q1 Backlog Report 2026'!$L:$L,'Q1 Backlog Report 2026'!$D:$D,$A14,'Q1 Backlog Report 2026'!$J:$J,E$3)</f>
        <v/>
      </c>
      <c r="F14" s="120">
        <f>SUMIFS(SprintPlanning[HLE],SprintPlanning[Stream],$A14,SprintPlanning[Sprint],F$3)+SUMIFS('Q2 Backlog Report 2026'!$L:$L,'Q2 Backlog Report 2026'!$D:$D,$A14,'Q2 Backlog Report 2026'!$J:$J,F$3)</f>
        <v/>
      </c>
      <c r="G14" s="120">
        <f>SUMIFS(SprintPlanning[HLE],SprintPlanning[Stream],$A14,SprintPlanning[Sprint],G$3)+SUMIFS('Q2 Backlog Report 2026'!$L:$L,'Q2 Backlog Report 2026'!$D:$D,$A14,'Q2 Backlog Report 2026'!$J:$J,G$3)</f>
        <v/>
      </c>
      <c r="H14" s="120">
        <f>SUMIFS(SprintPlanning[HLE],SprintPlanning[Stream],$A14,SprintPlanning[Sprint],H$3)+SUMIFS('Q2 Backlog Report 2026'!$L:$L,'Q2 Backlog Report 2026'!$D:$D,$A14,'Q2 Backlog Report 2026'!$J:$J,H$3)</f>
        <v/>
      </c>
      <c r="I14" s="120">
        <f>SUMIFS(SprintPlanning[HLE],SprintPlanning[Stream],$A14,SprintPlanning[Sprint],I$3)+SUMIFS('Q2 Backlog Report 2026'!$L:$L,'Q2 Backlog Report 2026'!$D:$D,$A14,'Q2 Backlog Report 2026'!$J:$J,I$3)</f>
        <v/>
      </c>
      <c r="J14" s="120">
        <f>SUMIFS(SprintPlanning[HLE],SprintPlanning[Stream],$A14,SprintPlanning[Sprint],J$3)+SUMIFS('Q3 Backlog Report 2026'!$L:$L,'Q3 Backlog Report 2026'!$D:$D,$A14,'Q3 Backlog Report 2026'!$J:$J,J$3)</f>
        <v/>
      </c>
      <c r="K14" s="120">
        <f>SUMIFS(SprintPlanning[HLE],SprintPlanning[Stream],$A14,SprintPlanning[Sprint],K$3)+SUMIFS('Q3 Backlog Report 2026'!$L:$L,'Q3 Backlog Report 2026'!$D:$D,$A14,'Q3 Backlog Report 2026'!$J:$J,K$3)</f>
        <v/>
      </c>
      <c r="L14" s="120">
        <f>SUMIFS(SprintPlanning[HLE],SprintPlanning[Stream],$A14,SprintPlanning[Sprint],L$3)+SUMIFS('Q3 Backlog Report 2026'!$L:$L,'Q3 Backlog Report 2026'!$D:$D,$A14,'Q3 Backlog Report 2026'!$J:$J,L$3)</f>
        <v/>
      </c>
      <c r="M14" s="120">
        <f>SUMIFS(SprintPlanning[HLE],SprintPlanning[Stream],$A14,SprintPlanning[Sprint],M$3)+SUMIFS('Q3 Backlog Report 2026'!$L:$L,'Q3 Backlog Report 2026'!$D:$D,$A14,'Q3 Backlog Report 2026'!$J:$J,M$3)</f>
        <v/>
      </c>
      <c r="N14" s="120">
        <f>SUMIFS(SprintPlanning[HLE],SprintPlanning[Stream],$A14,SprintPlanning[Sprint],N$3)+SUMIFS('Q4 Backlog Report 2026'!$L:$L,'Q4 Backlog Report 2026'!$D:$D,$A14,'Q4 Backlog Report 2026'!$J:$J,N$3)</f>
        <v/>
      </c>
      <c r="O14" s="120">
        <f>SUMIFS(SprintPlanning[HLE],SprintPlanning[Stream],$A14,SprintPlanning[Sprint],O$3)+SUMIFS('Q4 Backlog Report 2026'!$L:$L,'Q4 Backlog Report 2026'!$D:$D,$A14,'Q4 Backlog Report 2026'!$J:$J,O$3)</f>
        <v/>
      </c>
      <c r="P14" s="120">
        <f>SUMIFS(SprintPlanning[HLE],SprintPlanning[Stream],$A14,SprintPlanning[Sprint],P$3)+SUMIFS('Q4 Backlog Report 2026'!$L:$L,'Q4 Backlog Report 2026'!$D:$D,$A14,'Q4 Backlog Report 2026'!$J:$J,P$3)</f>
        <v/>
      </c>
      <c r="Q14" s="120">
        <f>SUMIFS(SprintPlanning[HLE],SprintPlanning[Stream],$A14,SprintPlanning[Sprint],Q$3)+SUMIFS('Q4 Backlog Report 2026'!$L:$L,'Q4 Backlog Report 2026'!$D:$D,$A14,'Q4 Backlog Report 2026'!$J:$J,Q$3)</f>
        <v/>
      </c>
      <c r="R14" s="157">
        <f>SUM(B14:Q14)</f>
        <v/>
      </c>
      <c r="T14" s="92">
        <f>IF(AND('Sprint Planning'!$H14&gt;=10,'Sprint Planning'!$H14&lt;=16),IFERROR(MATCH('Sprint Planning'!$C14,Roadmap!$A$4:$A$15,0),99)*100+'Sprint Planning'!$H14+14/100000,"")</f>
        <v/>
      </c>
    </row>
    <row r="15" ht="15" customHeight="1" s="93">
      <c r="A15" s="120" t="inlineStr">
        <is>
          <t>PI10</t>
        </is>
      </c>
      <c r="B15" s="120">
        <f>SUMIFS(SprintPlanning[HLE],SprintPlanning[Stream],$A15,SprintPlanning[Sprint],B$3)+SUMIFS('Q1 Backlog Report 2026'!$L:$L,'Q1 Backlog Report 2026'!$D:$D,$A15,'Q1 Backlog Report 2026'!$J:$J,B$3)</f>
        <v/>
      </c>
      <c r="C15" s="120">
        <f>SUMIFS(SprintPlanning[HLE],SprintPlanning[Stream],$A15,SprintPlanning[Sprint],C$3)+SUMIFS('Q1 Backlog Report 2026'!$L:$L,'Q1 Backlog Report 2026'!$D:$D,$A15,'Q1 Backlog Report 2026'!$J:$J,C$3)</f>
        <v/>
      </c>
      <c r="D15" s="120">
        <f>SUMIFS(SprintPlanning[HLE],SprintPlanning[Stream],$A15,SprintPlanning[Sprint],D$3)+SUMIFS('Q1 Backlog Report 2026'!$L:$L,'Q1 Backlog Report 2026'!$D:$D,$A15,'Q1 Backlog Report 2026'!$J:$J,D$3)</f>
        <v/>
      </c>
      <c r="E15" s="120">
        <f>SUMIFS(SprintPlanning[HLE],SprintPlanning[Stream],$A15,SprintPlanning[Sprint],E$3)+SUMIFS('Q1 Backlog Report 2026'!$L:$L,'Q1 Backlog Report 2026'!$D:$D,$A15,'Q1 Backlog Report 2026'!$J:$J,E$3)</f>
        <v/>
      </c>
      <c r="F15" s="120">
        <f>SUMIFS(SprintPlanning[HLE],SprintPlanning[Stream],$A15,SprintPlanning[Sprint],F$3)+SUMIFS('Q2 Backlog Report 2026'!$L:$L,'Q2 Backlog Report 2026'!$D:$D,$A15,'Q2 Backlog Report 2026'!$J:$J,F$3)</f>
        <v/>
      </c>
      <c r="G15" s="120">
        <f>SUMIFS(SprintPlanning[HLE],SprintPlanning[Stream],$A15,SprintPlanning[Sprint],G$3)+SUMIFS('Q2 Backlog Report 2026'!$L:$L,'Q2 Backlog Report 2026'!$D:$D,$A15,'Q2 Backlog Report 2026'!$J:$J,G$3)</f>
        <v/>
      </c>
      <c r="H15" s="120">
        <f>SUMIFS(SprintPlanning[HLE],SprintPlanning[Stream],$A15,SprintPlanning[Sprint],H$3)+SUMIFS('Q2 Backlog Report 2026'!$L:$L,'Q2 Backlog Report 2026'!$D:$D,$A15,'Q2 Backlog Report 2026'!$J:$J,H$3)</f>
        <v/>
      </c>
      <c r="I15" s="120">
        <f>SUMIFS(SprintPlanning[HLE],SprintPlanning[Stream],$A15,SprintPlanning[Sprint],I$3)+SUMIFS('Q2 Backlog Report 2026'!$L:$L,'Q2 Backlog Report 2026'!$D:$D,$A15,'Q2 Backlog Report 2026'!$J:$J,I$3)</f>
        <v/>
      </c>
      <c r="J15" s="120">
        <f>SUMIFS(SprintPlanning[HLE],SprintPlanning[Stream],$A15,SprintPlanning[Sprint],J$3)+SUMIFS('Q3 Backlog Report 2026'!$L:$L,'Q3 Backlog Report 2026'!$D:$D,$A15,'Q3 Backlog Report 2026'!$J:$J,J$3)</f>
        <v/>
      </c>
      <c r="K15" s="120">
        <f>SUMIFS(SprintPlanning[HLE],SprintPlanning[Stream],$A15,SprintPlanning[Sprint],K$3)+SUMIFS('Q3 Backlog Report 2026'!$L:$L,'Q3 Backlog Report 2026'!$D:$D,$A15,'Q3 Backlog Report 2026'!$J:$J,K$3)</f>
        <v/>
      </c>
      <c r="L15" s="120">
        <f>SUMIFS(SprintPlanning[HLE],SprintPlanning[Stream],$A15,SprintPlanning[Sprint],L$3)+SUMIFS('Q3 Backlog Report 2026'!$L:$L,'Q3 Backlog Report 2026'!$D:$D,$A15,'Q3 Backlog Report 2026'!$J:$J,L$3)</f>
        <v/>
      </c>
      <c r="M15" s="120">
        <f>SUMIFS(SprintPlanning[HLE],SprintPlanning[Stream],$A15,SprintPlanning[Sprint],M$3)+SUMIFS('Q3 Backlog Report 2026'!$L:$L,'Q3 Backlog Report 2026'!$D:$D,$A15,'Q3 Backlog Report 2026'!$J:$J,M$3)</f>
        <v/>
      </c>
      <c r="N15" s="120">
        <f>SUMIFS(SprintPlanning[HLE],SprintPlanning[Stream],$A15,SprintPlanning[Sprint],N$3)+SUMIFS('Q4 Backlog Report 2026'!$L:$L,'Q4 Backlog Report 2026'!$D:$D,$A15,'Q4 Backlog Report 2026'!$J:$J,N$3)</f>
        <v/>
      </c>
      <c r="O15" s="120">
        <f>SUMIFS(SprintPlanning[HLE],SprintPlanning[Stream],$A15,SprintPlanning[Sprint],O$3)+SUMIFS('Q4 Backlog Report 2026'!$L:$L,'Q4 Backlog Report 2026'!$D:$D,$A15,'Q4 Backlog Report 2026'!$J:$J,O$3)</f>
        <v/>
      </c>
      <c r="P15" s="120">
        <f>SUMIFS(SprintPlanning[HLE],SprintPlanning[Stream],$A15,SprintPlanning[Sprint],P$3)+SUMIFS('Q4 Backlog Report 2026'!$L:$L,'Q4 Backlog Report 2026'!$D:$D,$A15,'Q4 Backlog Report 2026'!$J:$J,P$3)</f>
        <v/>
      </c>
      <c r="Q15" s="120">
        <f>SUMIFS(SprintPlanning[HLE],SprintPlanning[Stream],$A15,SprintPlanning[Sprint],Q$3)+SUMIFS('Q4 Backlog Report 2026'!$L:$L,'Q4 Backlog Report 2026'!$D:$D,$A15,'Q4 Backlog Report 2026'!$J:$J,Q$3)</f>
        <v/>
      </c>
      <c r="R15" s="157">
        <f>SUM(B15:Q15)</f>
        <v/>
      </c>
      <c r="T15" s="92">
        <f>IF(AND('Sprint Planning'!$H15&gt;=10,'Sprint Planning'!$H15&lt;=16),IFERROR(MATCH('Sprint Planning'!$C15,Roadmap!$A$4:$A$15,0),99)*100+'Sprint Planning'!$H15+15/100000,"")</f>
        <v/>
      </c>
    </row>
    <row r="16" ht="15" customHeight="1" s="93">
      <c r="A16" s="157" t="inlineStr">
        <is>
          <t>Total</t>
        </is>
      </c>
      <c r="B16" s="157">
        <f>SUM(B4:B15)</f>
        <v/>
      </c>
      <c r="C16" s="157">
        <f>SUM(C4:C15)</f>
        <v/>
      </c>
      <c r="D16" s="157">
        <f>SUM(D4:D15)</f>
        <v/>
      </c>
      <c r="E16" s="157">
        <f>SUM(E4:E15)</f>
        <v/>
      </c>
      <c r="F16" s="157">
        <f>SUM(F4:F15)</f>
        <v/>
      </c>
      <c r="G16" s="157">
        <f>SUM(G4:G15)</f>
        <v/>
      </c>
      <c r="H16" s="157">
        <f>SUM(H4:H15)</f>
        <v/>
      </c>
      <c r="I16" s="157">
        <f>SUM(I4:I15)</f>
        <v/>
      </c>
      <c r="J16" s="157">
        <f>SUM(J4:J15)</f>
        <v/>
      </c>
      <c r="K16" s="157">
        <f>SUM(K4:K15)</f>
        <v/>
      </c>
      <c r="L16" s="157">
        <f>SUM(L4:L15)</f>
        <v/>
      </c>
      <c r="M16" s="157">
        <f>SUM(M4:M15)</f>
        <v/>
      </c>
      <c r="N16" s="157">
        <f>SUM(N4:N15)</f>
        <v/>
      </c>
      <c r="O16" s="157">
        <f>SUM(O4:O15)</f>
        <v/>
      </c>
      <c r="P16" s="157">
        <f>SUM(P4:P15)</f>
        <v/>
      </c>
      <c r="Q16" s="157">
        <f>SUM(Q4:Q15)</f>
        <v/>
      </c>
      <c r="R16" s="157">
        <f>SUM(R4:R15)</f>
        <v/>
      </c>
      <c r="T16" s="92">
        <f>IF(AND('Sprint Planning'!$H16&gt;=10,'Sprint Planning'!$H16&lt;=16),IFERROR(MATCH('Sprint Planning'!$C16,Roadmap!$A$4:$A$15,0),99)*100+'Sprint Planning'!$H16+16/100000,"")</f>
        <v/>
      </c>
    </row>
    <row r="17" ht="15" customHeight="1" s="93">
      <c r="T17" s="92">
        <f>IF(AND('Sprint Planning'!$H17&gt;=10,'Sprint Planning'!$H17&lt;=16),IFERROR(MATCH('Sprint Planning'!$C17,Roadmap!$A$4:$A$15,0),99)*100+'Sprint Planning'!$H17+17/100000,"")</f>
        <v/>
      </c>
    </row>
    <row r="18" ht="15" customHeight="1" s="93">
      <c r="A18" s="156" t="inlineStr">
        <is>
          <t>6-Month Look-ahead Gantt (Sprint 10 - Sprint 16, Aug 3 - Dec 24 2026) -- limited to sprints already defined on the Lists tab; extend the Sprint-&gt;Quarter mapping there to push this further into 2027.</t>
        </is>
      </c>
      <c r="T18" s="92">
        <f>IF(AND('Sprint Planning'!$H18&gt;=10,'Sprint Planning'!$H18&lt;=16),IFERROR(MATCH('Sprint Planning'!$C18,Roadmap!$A$4:$A$15,0),99)*100+'Sprint Planning'!$H18+18/100000,"")</f>
        <v/>
      </c>
    </row>
    <row r="19" ht="15" customHeight="1" s="93">
      <c r="T19" s="92">
        <f>IF(AND('Sprint Planning'!$H19&gt;=10,'Sprint Planning'!$H19&lt;=16),IFERROR(MATCH('Sprint Planning'!$C19,Roadmap!$A$4:$A$15,0),99)*100+'Sprint Planning'!$H19+19/100000,"")</f>
        <v/>
      </c>
    </row>
    <row r="20" ht="15" customHeight="1" s="93">
      <c r="A20" s="158" t="inlineStr">
        <is>
          <t>Stream</t>
        </is>
      </c>
      <c r="B20" s="159" t="inlineStr">
        <is>
          <t>Task</t>
        </is>
      </c>
      <c r="C20" s="158" t="n"/>
      <c r="D20" s="158" t="inlineStr">
        <is>
          <t>Sprint 10</t>
        </is>
      </c>
      <c r="E20" s="158" t="inlineStr">
        <is>
          <t>Sprint 11</t>
        </is>
      </c>
      <c r="F20" s="158" t="inlineStr">
        <is>
          <t>Sprint 12</t>
        </is>
      </c>
      <c r="G20" s="158" t="inlineStr">
        <is>
          <t>Sprint 13</t>
        </is>
      </c>
      <c r="H20" s="158" t="inlineStr">
        <is>
          <t>Sprint 14</t>
        </is>
      </c>
      <c r="I20" s="158" t="inlineStr">
        <is>
          <t>Sprint 15</t>
        </is>
      </c>
      <c r="J20" s="158" t="inlineStr">
        <is>
          <t>Sprint 16</t>
        </is>
      </c>
      <c r="K20" s="160" t="n"/>
      <c r="T20" s="92">
        <f>IF(AND('Sprint Planning'!$H20&gt;=10,'Sprint Planning'!$H20&lt;=16),IFERROR(MATCH('Sprint Planning'!$C20,Roadmap!$A$4:$A$15,0),99)*100+'Sprint Planning'!$H20+20/100000,"")</f>
        <v/>
      </c>
    </row>
    <row r="21" ht="15" customHeight="1" s="93">
      <c r="A21" s="92">
        <f>IFERROR(INDEX('Sprint Planning'!$C$2:$C$241,MATCH(SMALL(Roadmap!$T$2:$T$243,ROW()-20),Roadmap!$T$2:$T$243,0)),"")</f>
        <v/>
      </c>
      <c r="B21" s="97">
        <f>IFERROR(INDEX('Sprint Planning'!$B$2:$B$241,MATCH(SMALL(Roadmap!$T$2:$T$243,ROW()-20),Roadmap!$T$2:$T$243,0)),"")</f>
        <v/>
      </c>
      <c r="C21" s="92">
        <f>IFERROR(INDEX('Sprint Planning'!$H$2:$H$241,MATCH(SMALL(Roadmap!$T$2:$T$243,ROW()-20),Roadmap!$T$2:$T$243,0)),"")</f>
        <v/>
      </c>
      <c r="D21" s="92">
        <f>IF($B21="","",IF($C21=10,"●",""))</f>
        <v/>
      </c>
      <c r="E21" s="92">
        <f>IF($B21="","",IF($C21=11,"●",""))</f>
        <v/>
      </c>
      <c r="F21" s="92">
        <f>IF($B21="","",IF($C21=12,"●",""))</f>
        <v/>
      </c>
      <c r="G21" s="92">
        <f>IF($B21="","",IF($C21=13,"●",""))</f>
        <v/>
      </c>
      <c r="H21" s="92">
        <f>IF($B21="","",IF($C21=14,"●",""))</f>
        <v/>
      </c>
      <c r="I21" s="92">
        <f>IF($B21="","",IF($C21=15,"●",""))</f>
        <v/>
      </c>
      <c r="J21" s="92">
        <f>IF($B21="","",IF($C21=16,"●",""))</f>
        <v/>
      </c>
      <c r="T21" s="92">
        <f>IF(AND('Sprint Planning'!$H21&gt;=10,'Sprint Planning'!$H21&lt;=16),IFERROR(MATCH('Sprint Planning'!$C21,Roadmap!$A$4:$A$15,0),99)*100+'Sprint Planning'!$H21+21/100000,"")</f>
        <v/>
      </c>
    </row>
    <row r="22" ht="15" customHeight="1" s="93">
      <c r="A22" s="92">
        <f>IFERROR(INDEX('Sprint Planning'!$C$2:$C$241,MATCH(SMALL(Roadmap!$T$2:$T$243,ROW()-20),Roadmap!$T$2:$T$243,0)),"")</f>
        <v/>
      </c>
      <c r="B22" s="97">
        <f>IFERROR(INDEX('Sprint Planning'!$B$2:$B$241,MATCH(SMALL(Roadmap!$T$2:$T$243,ROW()-20),Roadmap!$T$2:$T$243,0)),"")</f>
        <v/>
      </c>
      <c r="C22" s="92">
        <f>IFERROR(INDEX('Sprint Planning'!$H$2:$H$241,MATCH(SMALL(Roadmap!$T$2:$T$243,ROW()-20),Roadmap!$T$2:$T$243,0)),"")</f>
        <v/>
      </c>
      <c r="D22" s="92">
        <f>IF($B22="","",IF($C22=10,"●",""))</f>
        <v/>
      </c>
      <c r="E22" s="92">
        <f>IF($B22="","",IF($C22=11,"●",""))</f>
        <v/>
      </c>
      <c r="F22" s="92">
        <f>IF($B22="","",IF($C22=12,"●",""))</f>
        <v/>
      </c>
      <c r="G22" s="92">
        <f>IF($B22="","",IF($C22=13,"●",""))</f>
        <v/>
      </c>
      <c r="H22" s="92">
        <f>IF($B22="","",IF($C22=14,"●",""))</f>
        <v/>
      </c>
      <c r="I22" s="92">
        <f>IF($B22="","",IF($C22=15,"●",""))</f>
        <v/>
      </c>
      <c r="J22" s="92">
        <f>IF($B22="","",IF($C22=16,"●",""))</f>
        <v/>
      </c>
      <c r="T22" s="92">
        <f>IF(AND('Sprint Planning'!$H22&gt;=10,'Sprint Planning'!$H22&lt;=16),IFERROR(MATCH('Sprint Planning'!$C22,Roadmap!$A$4:$A$15,0),99)*100+'Sprint Planning'!$H22+22/100000,"")</f>
        <v/>
      </c>
    </row>
    <row r="23" ht="15" customHeight="1" s="93">
      <c r="A23" s="92">
        <f>IFERROR(INDEX('Sprint Planning'!$C$2:$C$241,MATCH(SMALL(Roadmap!$T$2:$T$243,ROW()-20),Roadmap!$T$2:$T$243,0)),"")</f>
        <v/>
      </c>
      <c r="B23" s="97">
        <f>IFERROR(INDEX('Sprint Planning'!$B$2:$B$241,MATCH(SMALL(Roadmap!$T$2:$T$243,ROW()-20),Roadmap!$T$2:$T$243,0)),"")</f>
        <v/>
      </c>
      <c r="C23" s="92">
        <f>IFERROR(INDEX('Sprint Planning'!$H$2:$H$241,MATCH(SMALL(Roadmap!$T$2:$T$243,ROW()-20),Roadmap!$T$2:$T$243,0)),"")</f>
        <v/>
      </c>
      <c r="D23" s="92">
        <f>IF($B23="","",IF($C23=10,"●",""))</f>
        <v/>
      </c>
      <c r="E23" s="92">
        <f>IF($B23="","",IF($C23=11,"●",""))</f>
        <v/>
      </c>
      <c r="F23" s="92">
        <f>IF($B23="","",IF($C23=12,"●",""))</f>
        <v/>
      </c>
      <c r="G23" s="92">
        <f>IF($B23="","",IF($C23=13,"●",""))</f>
        <v/>
      </c>
      <c r="H23" s="92">
        <f>IF($B23="","",IF($C23=14,"●",""))</f>
        <v/>
      </c>
      <c r="I23" s="92">
        <f>IF($B23="","",IF($C23=15,"●",""))</f>
        <v/>
      </c>
      <c r="J23" s="92">
        <f>IF($B23="","",IF($C23=16,"●",""))</f>
        <v/>
      </c>
      <c r="T23" s="92">
        <f>IF(AND('Sprint Planning'!$H23&gt;=10,'Sprint Planning'!$H23&lt;=16),IFERROR(MATCH('Sprint Planning'!$C23,Roadmap!$A$4:$A$15,0),99)*100+'Sprint Planning'!$H23+23/100000,"")</f>
        <v/>
      </c>
    </row>
    <row r="24" ht="15" customHeight="1" s="93">
      <c r="A24" s="92">
        <f>IFERROR(INDEX('Sprint Planning'!$C$2:$C$241,MATCH(SMALL(Roadmap!$T$2:$T$243,ROW()-20),Roadmap!$T$2:$T$243,0)),"")</f>
        <v/>
      </c>
      <c r="B24" s="97">
        <f>IFERROR(INDEX('Sprint Planning'!$B$2:$B$241,MATCH(SMALL(Roadmap!$T$2:$T$243,ROW()-20),Roadmap!$T$2:$T$243,0)),"")</f>
        <v/>
      </c>
      <c r="C24" s="92">
        <f>IFERROR(INDEX('Sprint Planning'!$H$2:$H$241,MATCH(SMALL(Roadmap!$T$2:$T$243,ROW()-20),Roadmap!$T$2:$T$243,0)),"")</f>
        <v/>
      </c>
      <c r="D24" s="92">
        <f>IF($B24="","",IF($C24=10,"●",""))</f>
        <v/>
      </c>
      <c r="E24" s="92">
        <f>IF($B24="","",IF($C24=11,"●",""))</f>
        <v/>
      </c>
      <c r="F24" s="92">
        <f>IF($B24="","",IF($C24=12,"●",""))</f>
        <v/>
      </c>
      <c r="G24" s="92">
        <f>IF($B24="","",IF($C24=13,"●",""))</f>
        <v/>
      </c>
      <c r="H24" s="92">
        <f>IF($B24="","",IF($C24=14,"●",""))</f>
        <v/>
      </c>
      <c r="I24" s="92">
        <f>IF($B24="","",IF($C24=15,"●",""))</f>
        <v/>
      </c>
      <c r="J24" s="92">
        <f>IF($B24="","",IF($C24=16,"●",""))</f>
        <v/>
      </c>
      <c r="T24" s="92">
        <f>IF(AND('Sprint Planning'!$H24&gt;=10,'Sprint Planning'!$H24&lt;=16),IFERROR(MATCH('Sprint Planning'!$C24,Roadmap!$A$4:$A$15,0),99)*100+'Sprint Planning'!$H24+24/100000,"")</f>
        <v/>
      </c>
    </row>
    <row r="25" ht="15" customHeight="1" s="93">
      <c r="A25" s="92">
        <f>IFERROR(INDEX('Sprint Planning'!$C$2:$C$241,MATCH(SMALL(Roadmap!$T$2:$T$243,ROW()-20),Roadmap!$T$2:$T$243,0)),"")</f>
        <v/>
      </c>
      <c r="B25" s="97">
        <f>IFERROR(INDEX('Sprint Planning'!$B$2:$B$241,MATCH(SMALL(Roadmap!$T$2:$T$243,ROW()-20),Roadmap!$T$2:$T$243,0)),"")</f>
        <v/>
      </c>
      <c r="C25" s="92">
        <f>IFERROR(INDEX('Sprint Planning'!$H$2:$H$241,MATCH(SMALL(Roadmap!$T$2:$T$243,ROW()-20),Roadmap!$T$2:$T$243,0)),"")</f>
        <v/>
      </c>
      <c r="D25" s="92">
        <f>IF($B25="","",IF($C25=10,"●",""))</f>
        <v/>
      </c>
      <c r="E25" s="92">
        <f>IF($B25="","",IF($C25=11,"●",""))</f>
        <v/>
      </c>
      <c r="F25" s="92">
        <f>IF($B25="","",IF($C25=12,"●",""))</f>
        <v/>
      </c>
      <c r="G25" s="92">
        <f>IF($B25="","",IF($C25=13,"●",""))</f>
        <v/>
      </c>
      <c r="H25" s="92">
        <f>IF($B25="","",IF($C25=14,"●",""))</f>
        <v/>
      </c>
      <c r="I25" s="92">
        <f>IF($B25="","",IF($C25=15,"●",""))</f>
        <v/>
      </c>
      <c r="J25" s="92">
        <f>IF($B25="","",IF($C25=16,"●",""))</f>
        <v/>
      </c>
      <c r="T25" s="92">
        <f>IF(AND('Sprint Planning'!$H25&gt;=10,'Sprint Planning'!$H25&lt;=16),IFERROR(MATCH('Sprint Planning'!$C25,Roadmap!$A$4:$A$15,0),99)*100+'Sprint Planning'!$H25+25/100000,"")</f>
        <v/>
      </c>
    </row>
    <row r="26" ht="15" customHeight="1" s="93">
      <c r="A26" s="92">
        <f>IFERROR(INDEX('Sprint Planning'!$C$2:$C$241,MATCH(SMALL(Roadmap!$T$2:$T$243,ROW()-20),Roadmap!$T$2:$T$243,0)),"")</f>
        <v/>
      </c>
      <c r="B26" s="97">
        <f>IFERROR(INDEX('Sprint Planning'!$B$2:$B$241,MATCH(SMALL(Roadmap!$T$2:$T$243,ROW()-20),Roadmap!$T$2:$T$243,0)),"")</f>
        <v/>
      </c>
      <c r="C26" s="92">
        <f>IFERROR(INDEX('Sprint Planning'!$H$2:$H$241,MATCH(SMALL(Roadmap!$T$2:$T$243,ROW()-20),Roadmap!$T$2:$T$243,0)),"")</f>
        <v/>
      </c>
      <c r="D26" s="92">
        <f>IF($B26="","",IF($C26=10,"●",""))</f>
        <v/>
      </c>
      <c r="E26" s="92">
        <f>IF($B26="","",IF($C26=11,"●",""))</f>
        <v/>
      </c>
      <c r="F26" s="92">
        <f>IF($B26="","",IF($C26=12,"●",""))</f>
        <v/>
      </c>
      <c r="G26" s="92">
        <f>IF($B26="","",IF($C26=13,"●",""))</f>
        <v/>
      </c>
      <c r="H26" s="92">
        <f>IF($B26="","",IF($C26=14,"●",""))</f>
        <v/>
      </c>
      <c r="I26" s="92">
        <f>IF($B26="","",IF($C26=15,"●",""))</f>
        <v/>
      </c>
      <c r="J26" s="92">
        <f>IF($B26="","",IF($C26=16,"●",""))</f>
        <v/>
      </c>
      <c r="T26" s="92">
        <f>IF(AND('Sprint Planning'!$H26&gt;=10,'Sprint Planning'!$H26&lt;=16),IFERROR(MATCH('Sprint Planning'!$C26,Roadmap!$A$4:$A$15,0),99)*100+'Sprint Planning'!$H26+26/100000,"")</f>
        <v/>
      </c>
    </row>
    <row r="27" ht="15" customHeight="1" s="93">
      <c r="A27" s="92">
        <f>IFERROR(INDEX('Sprint Planning'!$C$2:$C$241,MATCH(SMALL(Roadmap!$T$2:$T$243,ROW()-20),Roadmap!$T$2:$T$243,0)),"")</f>
        <v/>
      </c>
      <c r="B27" s="97">
        <f>IFERROR(INDEX('Sprint Planning'!$B$2:$B$241,MATCH(SMALL(Roadmap!$T$2:$T$243,ROW()-20),Roadmap!$T$2:$T$243,0)),"")</f>
        <v/>
      </c>
      <c r="C27" s="92">
        <f>IFERROR(INDEX('Sprint Planning'!$H$2:$H$241,MATCH(SMALL(Roadmap!$T$2:$T$243,ROW()-20),Roadmap!$T$2:$T$243,0)),"")</f>
        <v/>
      </c>
      <c r="D27" s="92">
        <f>IF($B27="","",IF($C27=10,"●",""))</f>
        <v/>
      </c>
      <c r="E27" s="92">
        <f>IF($B27="","",IF($C27=11,"●",""))</f>
        <v/>
      </c>
      <c r="F27" s="92">
        <f>IF($B27="","",IF($C27=12,"●",""))</f>
        <v/>
      </c>
      <c r="G27" s="92">
        <f>IF($B27="","",IF($C27=13,"●",""))</f>
        <v/>
      </c>
      <c r="H27" s="92">
        <f>IF($B27="","",IF($C27=14,"●",""))</f>
        <v/>
      </c>
      <c r="I27" s="92">
        <f>IF($B27="","",IF($C27=15,"●",""))</f>
        <v/>
      </c>
      <c r="J27" s="92">
        <f>IF($B27="","",IF($C27=16,"●",""))</f>
        <v/>
      </c>
      <c r="T27" s="92">
        <f>IF(AND('Sprint Planning'!$H27&gt;=10,'Sprint Planning'!$H27&lt;=16),IFERROR(MATCH('Sprint Planning'!$C27,Roadmap!$A$4:$A$15,0),99)*100+'Sprint Planning'!$H27+27/100000,"")</f>
        <v/>
      </c>
    </row>
    <row r="28" ht="15" customHeight="1" s="93">
      <c r="A28" s="92">
        <f>IFERROR(INDEX('Sprint Planning'!$C$2:$C$241,MATCH(SMALL(Roadmap!$T$2:$T$243,ROW()-20),Roadmap!$T$2:$T$243,0)),"")</f>
        <v/>
      </c>
      <c r="B28" s="97">
        <f>IFERROR(INDEX('Sprint Planning'!$B$2:$B$241,MATCH(SMALL(Roadmap!$T$2:$T$243,ROW()-20),Roadmap!$T$2:$T$243,0)),"")</f>
        <v/>
      </c>
      <c r="C28" s="92">
        <f>IFERROR(INDEX('Sprint Planning'!$H$2:$H$241,MATCH(SMALL(Roadmap!$T$2:$T$243,ROW()-20),Roadmap!$T$2:$T$243,0)),"")</f>
        <v/>
      </c>
      <c r="D28" s="92">
        <f>IF($B28="","",IF($C28=10,"●",""))</f>
        <v/>
      </c>
      <c r="E28" s="92">
        <f>IF($B28="","",IF($C28=11,"●",""))</f>
        <v/>
      </c>
      <c r="F28" s="92">
        <f>IF($B28="","",IF($C28=12,"●",""))</f>
        <v/>
      </c>
      <c r="G28" s="92">
        <f>IF($B28="","",IF($C28=13,"●",""))</f>
        <v/>
      </c>
      <c r="H28" s="92">
        <f>IF($B28="","",IF($C28=14,"●",""))</f>
        <v/>
      </c>
      <c r="I28" s="92">
        <f>IF($B28="","",IF($C28=15,"●",""))</f>
        <v/>
      </c>
      <c r="J28" s="92">
        <f>IF($B28="","",IF($C28=16,"●",""))</f>
        <v/>
      </c>
      <c r="T28" s="92">
        <f>IF(AND('Sprint Planning'!$H28&gt;=10,'Sprint Planning'!$H28&lt;=16),IFERROR(MATCH('Sprint Planning'!$C28,Roadmap!$A$4:$A$15,0),99)*100+'Sprint Planning'!$H28+28/100000,"")</f>
        <v/>
      </c>
    </row>
    <row r="29" ht="15" customHeight="1" s="93">
      <c r="A29" s="92">
        <f>IFERROR(INDEX('Sprint Planning'!$C$2:$C$241,MATCH(SMALL(Roadmap!$T$2:$T$243,ROW()-20),Roadmap!$T$2:$T$243,0)),"")</f>
        <v/>
      </c>
      <c r="B29" s="97">
        <f>IFERROR(INDEX('Sprint Planning'!$B$2:$B$241,MATCH(SMALL(Roadmap!$T$2:$T$243,ROW()-20),Roadmap!$T$2:$T$243,0)),"")</f>
        <v/>
      </c>
      <c r="C29" s="92">
        <f>IFERROR(INDEX('Sprint Planning'!$H$2:$H$241,MATCH(SMALL(Roadmap!$T$2:$T$243,ROW()-20),Roadmap!$T$2:$T$243,0)),"")</f>
        <v/>
      </c>
      <c r="D29" s="92">
        <f>IF($B29="","",IF($C29=10,"●",""))</f>
        <v/>
      </c>
      <c r="E29" s="92">
        <f>IF($B29="","",IF($C29=11,"●",""))</f>
        <v/>
      </c>
      <c r="F29" s="92">
        <f>IF($B29="","",IF($C29=12,"●",""))</f>
        <v/>
      </c>
      <c r="G29" s="92">
        <f>IF($B29="","",IF($C29=13,"●",""))</f>
        <v/>
      </c>
      <c r="H29" s="92">
        <f>IF($B29="","",IF($C29=14,"●",""))</f>
        <v/>
      </c>
      <c r="I29" s="92">
        <f>IF($B29="","",IF($C29=15,"●",""))</f>
        <v/>
      </c>
      <c r="J29" s="92">
        <f>IF($B29="","",IF($C29=16,"●",""))</f>
        <v/>
      </c>
      <c r="T29" s="92">
        <f>IF(AND('Sprint Planning'!$H29&gt;=10,'Sprint Planning'!$H29&lt;=16),IFERROR(MATCH('Sprint Planning'!$C29,Roadmap!$A$4:$A$15,0),99)*100+'Sprint Planning'!$H29+29/100000,"")</f>
        <v/>
      </c>
    </row>
    <row r="30" ht="15" customHeight="1" s="93">
      <c r="A30" s="92">
        <f>IFERROR(INDEX('Sprint Planning'!$C$2:$C$241,MATCH(SMALL(Roadmap!$T$2:$T$243,ROW()-20),Roadmap!$T$2:$T$243,0)),"")</f>
        <v/>
      </c>
      <c r="B30" s="97">
        <f>IFERROR(INDEX('Sprint Planning'!$B$2:$B$241,MATCH(SMALL(Roadmap!$T$2:$T$243,ROW()-20),Roadmap!$T$2:$T$243,0)),"")</f>
        <v/>
      </c>
      <c r="C30" s="92">
        <f>IFERROR(INDEX('Sprint Planning'!$H$2:$H$241,MATCH(SMALL(Roadmap!$T$2:$T$243,ROW()-20),Roadmap!$T$2:$T$243,0)),"")</f>
        <v/>
      </c>
      <c r="D30" s="92">
        <f>IF($B30="","",IF($C30=10,"●",""))</f>
        <v/>
      </c>
      <c r="E30" s="92">
        <f>IF($B30="","",IF($C30=11,"●",""))</f>
        <v/>
      </c>
      <c r="F30" s="92">
        <f>IF($B30="","",IF($C30=12,"●",""))</f>
        <v/>
      </c>
      <c r="G30" s="92">
        <f>IF($B30="","",IF($C30=13,"●",""))</f>
        <v/>
      </c>
      <c r="H30" s="92">
        <f>IF($B30="","",IF($C30=14,"●",""))</f>
        <v/>
      </c>
      <c r="I30" s="92">
        <f>IF($B30="","",IF($C30=15,"●",""))</f>
        <v/>
      </c>
      <c r="J30" s="92">
        <f>IF($B30="","",IF($C30=16,"●",""))</f>
        <v/>
      </c>
      <c r="T30" s="92">
        <f>IF(AND('Sprint Planning'!$H30&gt;=10,'Sprint Planning'!$H30&lt;=16),IFERROR(MATCH('Sprint Planning'!$C30,Roadmap!$A$4:$A$15,0),99)*100+'Sprint Planning'!$H30+30/100000,"")</f>
        <v/>
      </c>
    </row>
    <row r="31" ht="15" customHeight="1" s="93">
      <c r="A31" s="92">
        <f>IFERROR(INDEX('Sprint Planning'!$C$2:$C$241,MATCH(SMALL(Roadmap!$T$2:$T$243,ROW()-20),Roadmap!$T$2:$T$243,0)),"")</f>
        <v/>
      </c>
      <c r="B31" s="97">
        <f>IFERROR(INDEX('Sprint Planning'!$B$2:$B$241,MATCH(SMALL(Roadmap!$T$2:$T$243,ROW()-20),Roadmap!$T$2:$T$243,0)),"")</f>
        <v/>
      </c>
      <c r="C31" s="92">
        <f>IFERROR(INDEX('Sprint Planning'!$H$2:$H$241,MATCH(SMALL(Roadmap!$T$2:$T$243,ROW()-20),Roadmap!$T$2:$T$243,0)),"")</f>
        <v/>
      </c>
      <c r="D31" s="92">
        <f>IF($B31="","",IF($C31=10,"●",""))</f>
        <v/>
      </c>
      <c r="E31" s="92">
        <f>IF($B31="","",IF($C31=11,"●",""))</f>
        <v/>
      </c>
      <c r="F31" s="92">
        <f>IF($B31="","",IF($C31=12,"●",""))</f>
        <v/>
      </c>
      <c r="G31" s="92">
        <f>IF($B31="","",IF($C31=13,"●",""))</f>
        <v/>
      </c>
      <c r="H31" s="92">
        <f>IF($B31="","",IF($C31=14,"●",""))</f>
        <v/>
      </c>
      <c r="I31" s="92">
        <f>IF($B31="","",IF($C31=15,"●",""))</f>
        <v/>
      </c>
      <c r="J31" s="92">
        <f>IF($B31="","",IF($C31=16,"●",""))</f>
        <v/>
      </c>
      <c r="T31" s="92">
        <f>IF(AND('Sprint Planning'!$H31&gt;=10,'Sprint Planning'!$H31&lt;=16),IFERROR(MATCH('Sprint Planning'!$C31,Roadmap!$A$4:$A$15,0),99)*100+'Sprint Planning'!$H31+31/100000,"")</f>
        <v/>
      </c>
    </row>
    <row r="32" ht="15" customHeight="1" s="93">
      <c r="A32" s="92">
        <f>IFERROR(INDEX('Sprint Planning'!$C$2:$C$241,MATCH(SMALL(Roadmap!$T$2:$T$243,ROW()-20),Roadmap!$T$2:$T$243,0)),"")</f>
        <v/>
      </c>
      <c r="B32" s="97">
        <f>IFERROR(INDEX('Sprint Planning'!$B$2:$B$241,MATCH(SMALL(Roadmap!$T$2:$T$243,ROW()-20),Roadmap!$T$2:$T$243,0)),"")</f>
        <v/>
      </c>
      <c r="C32" s="92">
        <f>IFERROR(INDEX('Sprint Planning'!$H$2:$H$241,MATCH(SMALL(Roadmap!$T$2:$T$243,ROW()-20),Roadmap!$T$2:$T$243,0)),"")</f>
        <v/>
      </c>
      <c r="D32" s="92">
        <f>IF($B32="","",IF($C32=10,"●",""))</f>
        <v/>
      </c>
      <c r="E32" s="92">
        <f>IF($B32="","",IF($C32=11,"●",""))</f>
        <v/>
      </c>
      <c r="F32" s="92">
        <f>IF($B32="","",IF($C32=12,"●",""))</f>
        <v/>
      </c>
      <c r="G32" s="92">
        <f>IF($B32="","",IF($C32=13,"●",""))</f>
        <v/>
      </c>
      <c r="H32" s="92">
        <f>IF($B32="","",IF($C32=14,"●",""))</f>
        <v/>
      </c>
      <c r="I32" s="92">
        <f>IF($B32="","",IF($C32=15,"●",""))</f>
        <v/>
      </c>
      <c r="J32" s="92">
        <f>IF($B32="","",IF($C32=16,"●",""))</f>
        <v/>
      </c>
      <c r="T32" s="92">
        <f>IF(AND('Sprint Planning'!$H32&gt;=10,'Sprint Planning'!$H32&lt;=16),IFERROR(MATCH('Sprint Planning'!$C32,Roadmap!$A$4:$A$15,0),99)*100+'Sprint Planning'!$H32+32/100000,"")</f>
        <v/>
      </c>
    </row>
    <row r="33" ht="15" customHeight="1" s="93">
      <c r="A33" s="92">
        <f>IFERROR(INDEX('Sprint Planning'!$C$2:$C$241,MATCH(SMALL(Roadmap!$T$2:$T$243,ROW()-20),Roadmap!$T$2:$T$243,0)),"")</f>
        <v/>
      </c>
      <c r="B33" s="97">
        <f>IFERROR(INDEX('Sprint Planning'!$B$2:$B$241,MATCH(SMALL(Roadmap!$T$2:$T$243,ROW()-20),Roadmap!$T$2:$T$243,0)),"")</f>
        <v/>
      </c>
      <c r="C33" s="92">
        <f>IFERROR(INDEX('Sprint Planning'!$H$2:$H$241,MATCH(SMALL(Roadmap!$T$2:$T$243,ROW()-20),Roadmap!$T$2:$T$243,0)),"")</f>
        <v/>
      </c>
      <c r="D33" s="92">
        <f>IF($B33="","",IF($C33=10,"●",""))</f>
        <v/>
      </c>
      <c r="E33" s="92">
        <f>IF($B33="","",IF($C33=11,"●",""))</f>
        <v/>
      </c>
      <c r="F33" s="92">
        <f>IF($B33="","",IF($C33=12,"●",""))</f>
        <v/>
      </c>
      <c r="G33" s="92">
        <f>IF($B33="","",IF($C33=13,"●",""))</f>
        <v/>
      </c>
      <c r="H33" s="92">
        <f>IF($B33="","",IF($C33=14,"●",""))</f>
        <v/>
      </c>
      <c r="I33" s="92">
        <f>IF($B33="","",IF($C33=15,"●",""))</f>
        <v/>
      </c>
      <c r="J33" s="92">
        <f>IF($B33="","",IF($C33=16,"●",""))</f>
        <v/>
      </c>
      <c r="T33" s="92">
        <f>IF(AND('Sprint Planning'!$H33&gt;=10,'Sprint Planning'!$H33&lt;=16),IFERROR(MATCH('Sprint Planning'!$C33,Roadmap!$A$4:$A$15,0),99)*100+'Sprint Planning'!$H33+33/100000,"")</f>
        <v/>
      </c>
    </row>
    <row r="34" ht="15" customHeight="1" s="93">
      <c r="A34" s="92">
        <f>IFERROR(INDEX('Sprint Planning'!$C$2:$C$241,MATCH(SMALL(Roadmap!$T$2:$T$243,ROW()-20),Roadmap!$T$2:$T$243,0)),"")</f>
        <v/>
      </c>
      <c r="B34" s="97">
        <f>IFERROR(INDEX('Sprint Planning'!$B$2:$B$241,MATCH(SMALL(Roadmap!$T$2:$T$243,ROW()-20),Roadmap!$T$2:$T$243,0)),"")</f>
        <v/>
      </c>
      <c r="C34" s="92">
        <f>IFERROR(INDEX('Sprint Planning'!$H$2:$H$241,MATCH(SMALL(Roadmap!$T$2:$T$243,ROW()-20),Roadmap!$T$2:$T$243,0)),"")</f>
        <v/>
      </c>
      <c r="D34" s="92">
        <f>IF($B34="","",IF($C34=10,"●",""))</f>
        <v/>
      </c>
      <c r="E34" s="92">
        <f>IF($B34="","",IF($C34=11,"●",""))</f>
        <v/>
      </c>
      <c r="F34" s="92">
        <f>IF($B34="","",IF($C34=12,"●",""))</f>
        <v/>
      </c>
      <c r="G34" s="92">
        <f>IF($B34="","",IF($C34=13,"●",""))</f>
        <v/>
      </c>
      <c r="H34" s="92">
        <f>IF($B34="","",IF($C34=14,"●",""))</f>
        <v/>
      </c>
      <c r="I34" s="92">
        <f>IF($B34="","",IF($C34=15,"●",""))</f>
        <v/>
      </c>
      <c r="J34" s="92">
        <f>IF($B34="","",IF($C34=16,"●",""))</f>
        <v/>
      </c>
      <c r="T34" s="92">
        <f>IF(AND('Sprint Planning'!$H34&gt;=10,'Sprint Planning'!$H34&lt;=16),IFERROR(MATCH('Sprint Planning'!$C34,Roadmap!$A$4:$A$15,0),99)*100+'Sprint Planning'!$H34+34/100000,"")</f>
        <v/>
      </c>
    </row>
    <row r="35" ht="15" customHeight="1" s="93">
      <c r="A35" s="92">
        <f>IFERROR(INDEX('Sprint Planning'!$C$2:$C$241,MATCH(SMALL(Roadmap!$T$2:$T$243,ROW()-20),Roadmap!$T$2:$T$243,0)),"")</f>
        <v/>
      </c>
      <c r="B35" s="97">
        <f>IFERROR(INDEX('Sprint Planning'!$B$2:$B$241,MATCH(SMALL(Roadmap!$T$2:$T$243,ROW()-20),Roadmap!$T$2:$T$243,0)),"")</f>
        <v/>
      </c>
      <c r="C35" s="92">
        <f>IFERROR(INDEX('Sprint Planning'!$H$2:$H$241,MATCH(SMALL(Roadmap!$T$2:$T$243,ROW()-20),Roadmap!$T$2:$T$243,0)),"")</f>
        <v/>
      </c>
      <c r="D35" s="92">
        <f>IF($B35="","",IF($C35=10,"●",""))</f>
        <v/>
      </c>
      <c r="E35" s="92">
        <f>IF($B35="","",IF($C35=11,"●",""))</f>
        <v/>
      </c>
      <c r="F35" s="92">
        <f>IF($B35="","",IF($C35=12,"●",""))</f>
        <v/>
      </c>
      <c r="G35" s="92">
        <f>IF($B35="","",IF($C35=13,"●",""))</f>
        <v/>
      </c>
      <c r="H35" s="92">
        <f>IF($B35="","",IF($C35=14,"●",""))</f>
        <v/>
      </c>
      <c r="I35" s="92">
        <f>IF($B35="","",IF($C35=15,"●",""))</f>
        <v/>
      </c>
      <c r="J35" s="92">
        <f>IF($B35="","",IF($C35=16,"●",""))</f>
        <v/>
      </c>
      <c r="T35" s="92">
        <f>IF(AND('Sprint Planning'!$H35&gt;=10,'Sprint Planning'!$H35&lt;=16),IFERROR(MATCH('Sprint Planning'!$C35,Roadmap!$A$4:$A$15,0),99)*100+'Sprint Planning'!$H35+35/100000,"")</f>
        <v/>
      </c>
    </row>
    <row r="36" ht="15" customHeight="1" s="93">
      <c r="A36" s="92">
        <f>IFERROR(INDEX('Sprint Planning'!$C$2:$C$241,MATCH(SMALL(Roadmap!$T$2:$T$243,ROW()-20),Roadmap!$T$2:$T$243,0)),"")</f>
        <v/>
      </c>
      <c r="B36" s="97">
        <f>IFERROR(INDEX('Sprint Planning'!$B$2:$B$241,MATCH(SMALL(Roadmap!$T$2:$T$243,ROW()-20),Roadmap!$T$2:$T$243,0)),"")</f>
        <v/>
      </c>
      <c r="C36" s="92">
        <f>IFERROR(INDEX('Sprint Planning'!$H$2:$H$241,MATCH(SMALL(Roadmap!$T$2:$T$243,ROW()-20),Roadmap!$T$2:$T$243,0)),"")</f>
        <v/>
      </c>
      <c r="D36" s="92">
        <f>IF($B36="","",IF($C36=10,"●",""))</f>
        <v/>
      </c>
      <c r="E36" s="92">
        <f>IF($B36="","",IF($C36=11,"●",""))</f>
        <v/>
      </c>
      <c r="F36" s="92">
        <f>IF($B36="","",IF($C36=12,"●",""))</f>
        <v/>
      </c>
      <c r="G36" s="92">
        <f>IF($B36="","",IF($C36=13,"●",""))</f>
        <v/>
      </c>
      <c r="H36" s="92">
        <f>IF($B36="","",IF($C36=14,"●",""))</f>
        <v/>
      </c>
      <c r="I36" s="92">
        <f>IF($B36="","",IF($C36=15,"●",""))</f>
        <v/>
      </c>
      <c r="J36" s="92">
        <f>IF($B36="","",IF($C36=16,"●",""))</f>
        <v/>
      </c>
      <c r="T36" s="92">
        <f>IF(AND('Sprint Planning'!$H36&gt;=10,'Sprint Planning'!$H36&lt;=16),IFERROR(MATCH('Sprint Planning'!$C36,Roadmap!$A$4:$A$15,0),99)*100+'Sprint Planning'!$H36+36/100000,"")</f>
        <v/>
      </c>
    </row>
    <row r="37" ht="15" customHeight="1" s="93">
      <c r="A37" s="92">
        <f>IFERROR(INDEX('Sprint Planning'!$C$2:$C$241,MATCH(SMALL(Roadmap!$T$2:$T$243,ROW()-20),Roadmap!$T$2:$T$243,0)),"")</f>
        <v/>
      </c>
      <c r="B37" s="97">
        <f>IFERROR(INDEX('Sprint Planning'!$B$2:$B$241,MATCH(SMALL(Roadmap!$T$2:$T$243,ROW()-20),Roadmap!$T$2:$T$243,0)),"")</f>
        <v/>
      </c>
      <c r="C37" s="92">
        <f>IFERROR(INDEX('Sprint Planning'!$H$2:$H$241,MATCH(SMALL(Roadmap!$T$2:$T$243,ROW()-20),Roadmap!$T$2:$T$243,0)),"")</f>
        <v/>
      </c>
      <c r="D37" s="92">
        <f>IF($B37="","",IF($C37=10,"●",""))</f>
        <v/>
      </c>
      <c r="E37" s="92">
        <f>IF($B37="","",IF($C37=11,"●",""))</f>
        <v/>
      </c>
      <c r="F37" s="92">
        <f>IF($B37="","",IF($C37=12,"●",""))</f>
        <v/>
      </c>
      <c r="G37" s="92">
        <f>IF($B37="","",IF($C37=13,"●",""))</f>
        <v/>
      </c>
      <c r="H37" s="92">
        <f>IF($B37="","",IF($C37=14,"●",""))</f>
        <v/>
      </c>
      <c r="I37" s="92">
        <f>IF($B37="","",IF($C37=15,"●",""))</f>
        <v/>
      </c>
      <c r="J37" s="92">
        <f>IF($B37="","",IF($C37=16,"●",""))</f>
        <v/>
      </c>
      <c r="T37" s="92">
        <f>IF(AND('Sprint Planning'!$H37&gt;=10,'Sprint Planning'!$H37&lt;=16),IFERROR(MATCH('Sprint Planning'!$C37,Roadmap!$A$4:$A$15,0),99)*100+'Sprint Planning'!$H37+37/100000,"")</f>
        <v/>
      </c>
    </row>
    <row r="38" ht="15" customHeight="1" s="93">
      <c r="A38" s="92">
        <f>IFERROR(INDEX('Sprint Planning'!$C$2:$C$241,MATCH(SMALL(Roadmap!$T$2:$T$243,ROW()-20),Roadmap!$T$2:$T$243,0)),"")</f>
        <v/>
      </c>
      <c r="B38" s="97">
        <f>IFERROR(INDEX('Sprint Planning'!$B$2:$B$241,MATCH(SMALL(Roadmap!$T$2:$T$243,ROW()-20),Roadmap!$T$2:$T$243,0)),"")</f>
        <v/>
      </c>
      <c r="C38" s="92">
        <f>IFERROR(INDEX('Sprint Planning'!$H$2:$H$241,MATCH(SMALL(Roadmap!$T$2:$T$243,ROW()-20),Roadmap!$T$2:$T$243,0)),"")</f>
        <v/>
      </c>
      <c r="D38" s="92">
        <f>IF($B38="","",IF($C38=10,"●",""))</f>
        <v/>
      </c>
      <c r="E38" s="92">
        <f>IF($B38="","",IF($C38=11,"●",""))</f>
        <v/>
      </c>
      <c r="F38" s="92">
        <f>IF($B38="","",IF($C38=12,"●",""))</f>
        <v/>
      </c>
      <c r="G38" s="92">
        <f>IF($B38="","",IF($C38=13,"●",""))</f>
        <v/>
      </c>
      <c r="H38" s="92">
        <f>IF($B38="","",IF($C38=14,"●",""))</f>
        <v/>
      </c>
      <c r="I38" s="92">
        <f>IF($B38="","",IF($C38=15,"●",""))</f>
        <v/>
      </c>
      <c r="J38" s="92">
        <f>IF($B38="","",IF($C38=16,"●",""))</f>
        <v/>
      </c>
      <c r="T38" s="92">
        <f>IF(AND('Sprint Planning'!$H38&gt;=10,'Sprint Planning'!$H38&lt;=16),IFERROR(MATCH('Sprint Planning'!$C38,Roadmap!$A$4:$A$15,0),99)*100+'Sprint Planning'!$H38+38/100000,"")</f>
        <v/>
      </c>
    </row>
    <row r="39" ht="15" customHeight="1" s="93">
      <c r="A39" s="92">
        <f>IFERROR(INDEX('Sprint Planning'!$C$2:$C$241,MATCH(SMALL(Roadmap!$T$2:$T$243,ROW()-20),Roadmap!$T$2:$T$243,0)),"")</f>
        <v/>
      </c>
      <c r="B39" s="97">
        <f>IFERROR(INDEX('Sprint Planning'!$B$2:$B$241,MATCH(SMALL(Roadmap!$T$2:$T$243,ROW()-20),Roadmap!$T$2:$T$243,0)),"")</f>
        <v/>
      </c>
      <c r="C39" s="92">
        <f>IFERROR(INDEX('Sprint Planning'!$H$2:$H$241,MATCH(SMALL(Roadmap!$T$2:$T$243,ROW()-20),Roadmap!$T$2:$T$243,0)),"")</f>
        <v/>
      </c>
      <c r="D39" s="92">
        <f>IF($B39="","",IF($C39=10,"●",""))</f>
        <v/>
      </c>
      <c r="E39" s="92">
        <f>IF($B39="","",IF($C39=11,"●",""))</f>
        <v/>
      </c>
      <c r="F39" s="92">
        <f>IF($B39="","",IF($C39=12,"●",""))</f>
        <v/>
      </c>
      <c r="G39" s="92">
        <f>IF($B39="","",IF($C39=13,"●",""))</f>
        <v/>
      </c>
      <c r="H39" s="92">
        <f>IF($B39="","",IF($C39=14,"●",""))</f>
        <v/>
      </c>
      <c r="I39" s="92">
        <f>IF($B39="","",IF($C39=15,"●",""))</f>
        <v/>
      </c>
      <c r="J39" s="92">
        <f>IF($B39="","",IF($C39=16,"●",""))</f>
        <v/>
      </c>
      <c r="T39" s="92">
        <f>IF(AND('Sprint Planning'!$H39&gt;=10,'Sprint Planning'!$H39&lt;=16),IFERROR(MATCH('Sprint Planning'!$C39,Roadmap!$A$4:$A$15,0),99)*100+'Sprint Planning'!$H39+39/100000,"")</f>
        <v/>
      </c>
    </row>
    <row r="40" ht="15" customHeight="1" s="93">
      <c r="A40" s="92">
        <f>IFERROR(INDEX('Sprint Planning'!$C$2:$C$241,MATCH(SMALL(Roadmap!$T$2:$T$243,ROW()-20),Roadmap!$T$2:$T$243,0)),"")</f>
        <v/>
      </c>
      <c r="B40" s="97">
        <f>IFERROR(INDEX('Sprint Planning'!$B$2:$B$241,MATCH(SMALL(Roadmap!$T$2:$T$243,ROW()-20),Roadmap!$T$2:$T$243,0)),"")</f>
        <v/>
      </c>
      <c r="C40" s="92">
        <f>IFERROR(INDEX('Sprint Planning'!$H$2:$H$241,MATCH(SMALL(Roadmap!$T$2:$T$243,ROW()-20),Roadmap!$T$2:$T$243,0)),"")</f>
        <v/>
      </c>
      <c r="D40" s="92">
        <f>IF($B40="","",IF($C40=10,"●",""))</f>
        <v/>
      </c>
      <c r="E40" s="92">
        <f>IF($B40="","",IF($C40=11,"●",""))</f>
        <v/>
      </c>
      <c r="F40" s="92">
        <f>IF($B40="","",IF($C40=12,"●",""))</f>
        <v/>
      </c>
      <c r="G40" s="92">
        <f>IF($B40="","",IF($C40=13,"●",""))</f>
        <v/>
      </c>
      <c r="H40" s="92">
        <f>IF($B40="","",IF($C40=14,"●",""))</f>
        <v/>
      </c>
      <c r="I40" s="92">
        <f>IF($B40="","",IF($C40=15,"●",""))</f>
        <v/>
      </c>
      <c r="J40" s="92">
        <f>IF($B40="","",IF($C40=16,"●",""))</f>
        <v/>
      </c>
      <c r="T40" s="92">
        <f>IF(AND('Sprint Planning'!$H40&gt;=10,'Sprint Planning'!$H40&lt;=16),IFERROR(MATCH('Sprint Planning'!$C40,Roadmap!$A$4:$A$15,0),99)*100+'Sprint Planning'!$H40+40/100000,"")</f>
        <v/>
      </c>
    </row>
    <row r="41" ht="15" customHeight="1" s="93">
      <c r="A41" s="92">
        <f>IFERROR(INDEX('Sprint Planning'!$C$2:$C$241,MATCH(SMALL(Roadmap!$T$2:$T$243,ROW()-20),Roadmap!$T$2:$T$243,0)),"")</f>
        <v/>
      </c>
      <c r="B41" s="97">
        <f>IFERROR(INDEX('Sprint Planning'!$B$2:$B$241,MATCH(SMALL(Roadmap!$T$2:$T$243,ROW()-20),Roadmap!$T$2:$T$243,0)),"")</f>
        <v/>
      </c>
      <c r="C41" s="92">
        <f>IFERROR(INDEX('Sprint Planning'!$H$2:$H$241,MATCH(SMALL(Roadmap!$T$2:$T$243,ROW()-20),Roadmap!$T$2:$T$243,0)),"")</f>
        <v/>
      </c>
      <c r="D41" s="92">
        <f>IF($B41="","",IF($C41=10,"●",""))</f>
        <v/>
      </c>
      <c r="E41" s="92">
        <f>IF($B41="","",IF($C41=11,"●",""))</f>
        <v/>
      </c>
      <c r="F41" s="92">
        <f>IF($B41="","",IF($C41=12,"●",""))</f>
        <v/>
      </c>
      <c r="G41" s="92">
        <f>IF($B41="","",IF($C41=13,"●",""))</f>
        <v/>
      </c>
      <c r="H41" s="92">
        <f>IF($B41="","",IF($C41=14,"●",""))</f>
        <v/>
      </c>
      <c r="I41" s="92">
        <f>IF($B41="","",IF($C41=15,"●",""))</f>
        <v/>
      </c>
      <c r="J41" s="92">
        <f>IF($B41="","",IF($C41=16,"●",""))</f>
        <v/>
      </c>
      <c r="T41" s="92">
        <f>IF(AND('Sprint Planning'!$H41&gt;=10,'Sprint Planning'!$H41&lt;=16),IFERROR(MATCH('Sprint Planning'!$C41,Roadmap!$A$4:$A$15,0),99)*100+'Sprint Planning'!$H41+41/100000,"")</f>
        <v/>
      </c>
    </row>
    <row r="42" ht="15" customHeight="1" s="93">
      <c r="A42" s="92">
        <f>IFERROR(INDEX('Sprint Planning'!$C$2:$C$241,MATCH(SMALL(Roadmap!$T$2:$T$243,ROW()-20),Roadmap!$T$2:$T$243,0)),"")</f>
        <v/>
      </c>
      <c r="B42" s="97">
        <f>IFERROR(INDEX('Sprint Planning'!$B$2:$B$241,MATCH(SMALL(Roadmap!$T$2:$T$243,ROW()-20),Roadmap!$T$2:$T$243,0)),"")</f>
        <v/>
      </c>
      <c r="C42" s="92">
        <f>IFERROR(INDEX('Sprint Planning'!$H$2:$H$241,MATCH(SMALL(Roadmap!$T$2:$T$243,ROW()-20),Roadmap!$T$2:$T$243,0)),"")</f>
        <v/>
      </c>
      <c r="D42" s="92">
        <f>IF($B42="","",IF($C42=10,"●",""))</f>
        <v/>
      </c>
      <c r="E42" s="92">
        <f>IF($B42="","",IF($C42=11,"●",""))</f>
        <v/>
      </c>
      <c r="F42" s="92">
        <f>IF($B42="","",IF($C42=12,"●",""))</f>
        <v/>
      </c>
      <c r="G42" s="92">
        <f>IF($B42="","",IF($C42=13,"●",""))</f>
        <v/>
      </c>
      <c r="H42" s="92">
        <f>IF($B42="","",IF($C42=14,"●",""))</f>
        <v/>
      </c>
      <c r="I42" s="92">
        <f>IF($B42="","",IF($C42=15,"●",""))</f>
        <v/>
      </c>
      <c r="J42" s="92">
        <f>IF($B42="","",IF($C42=16,"●",""))</f>
        <v/>
      </c>
      <c r="T42" s="92">
        <f>IF(AND('Sprint Planning'!$H42&gt;=10,'Sprint Planning'!$H42&lt;=16),IFERROR(MATCH('Sprint Planning'!$C42,Roadmap!$A$4:$A$15,0),99)*100+'Sprint Planning'!$H42+42/100000,"")</f>
        <v/>
      </c>
    </row>
    <row r="43" ht="15" customHeight="1" s="93">
      <c r="A43" s="92">
        <f>IFERROR(INDEX('Sprint Planning'!$C$2:$C$241,MATCH(SMALL(Roadmap!$T$2:$T$243,ROW()-20),Roadmap!$T$2:$T$243,0)),"")</f>
        <v/>
      </c>
      <c r="B43" s="97">
        <f>IFERROR(INDEX('Sprint Planning'!$B$2:$B$241,MATCH(SMALL(Roadmap!$T$2:$T$243,ROW()-20),Roadmap!$T$2:$T$243,0)),"")</f>
        <v/>
      </c>
      <c r="C43" s="92">
        <f>IFERROR(INDEX('Sprint Planning'!$H$2:$H$241,MATCH(SMALL(Roadmap!$T$2:$T$243,ROW()-20),Roadmap!$T$2:$T$243,0)),"")</f>
        <v/>
      </c>
      <c r="D43" s="92">
        <f>IF($B43="","",IF($C43=10,"●",""))</f>
        <v/>
      </c>
      <c r="E43" s="92">
        <f>IF($B43="","",IF($C43=11,"●",""))</f>
        <v/>
      </c>
      <c r="F43" s="92">
        <f>IF($B43="","",IF($C43=12,"●",""))</f>
        <v/>
      </c>
      <c r="G43" s="92">
        <f>IF($B43="","",IF($C43=13,"●",""))</f>
        <v/>
      </c>
      <c r="H43" s="92">
        <f>IF($B43="","",IF($C43=14,"●",""))</f>
        <v/>
      </c>
      <c r="I43" s="92">
        <f>IF($B43="","",IF($C43=15,"●",""))</f>
        <v/>
      </c>
      <c r="J43" s="92">
        <f>IF($B43="","",IF($C43=16,"●",""))</f>
        <v/>
      </c>
      <c r="T43" s="92">
        <f>IF(AND('Sprint Planning'!$H43&gt;=10,'Sprint Planning'!$H43&lt;=16),IFERROR(MATCH('Sprint Planning'!$C43,Roadmap!$A$4:$A$15,0),99)*100+'Sprint Planning'!$H43+43/100000,"")</f>
        <v/>
      </c>
    </row>
    <row r="44" ht="15" customHeight="1" s="93">
      <c r="A44" s="92">
        <f>IFERROR(INDEX('Sprint Planning'!$C$2:$C$241,MATCH(SMALL(Roadmap!$T$2:$T$243,ROW()-20),Roadmap!$T$2:$T$243,0)),"")</f>
        <v/>
      </c>
      <c r="B44" s="97">
        <f>IFERROR(INDEX('Sprint Planning'!$B$2:$B$241,MATCH(SMALL(Roadmap!$T$2:$T$243,ROW()-20),Roadmap!$T$2:$T$243,0)),"")</f>
        <v/>
      </c>
      <c r="C44" s="92">
        <f>IFERROR(INDEX('Sprint Planning'!$H$2:$H$241,MATCH(SMALL(Roadmap!$T$2:$T$243,ROW()-20),Roadmap!$T$2:$T$243,0)),"")</f>
        <v/>
      </c>
      <c r="D44" s="92">
        <f>IF($B44="","",IF($C44=10,"●",""))</f>
        <v/>
      </c>
      <c r="E44" s="92">
        <f>IF($B44="","",IF($C44=11,"●",""))</f>
        <v/>
      </c>
      <c r="F44" s="92">
        <f>IF($B44="","",IF($C44=12,"●",""))</f>
        <v/>
      </c>
      <c r="G44" s="92">
        <f>IF($B44="","",IF($C44=13,"●",""))</f>
        <v/>
      </c>
      <c r="H44" s="92">
        <f>IF($B44="","",IF($C44=14,"●",""))</f>
        <v/>
      </c>
      <c r="I44" s="92">
        <f>IF($B44="","",IF($C44=15,"●",""))</f>
        <v/>
      </c>
      <c r="J44" s="92">
        <f>IF($B44="","",IF($C44=16,"●",""))</f>
        <v/>
      </c>
      <c r="T44" s="92">
        <f>IF(AND('Sprint Planning'!$H44&gt;=10,'Sprint Planning'!$H44&lt;=16),IFERROR(MATCH('Sprint Planning'!$C44,Roadmap!$A$4:$A$15,0),99)*100+'Sprint Planning'!$H44+44/100000,"")</f>
        <v/>
      </c>
    </row>
    <row r="45" ht="15" customHeight="1" s="93">
      <c r="A45" s="92">
        <f>IFERROR(INDEX('Sprint Planning'!$C$2:$C$241,MATCH(SMALL(Roadmap!$T$2:$T$243,ROW()-20),Roadmap!$T$2:$T$243,0)),"")</f>
        <v/>
      </c>
      <c r="B45" s="97">
        <f>IFERROR(INDEX('Sprint Planning'!$B$2:$B$241,MATCH(SMALL(Roadmap!$T$2:$T$243,ROW()-20),Roadmap!$T$2:$T$243,0)),"")</f>
        <v/>
      </c>
      <c r="C45" s="92">
        <f>IFERROR(INDEX('Sprint Planning'!$H$2:$H$241,MATCH(SMALL(Roadmap!$T$2:$T$243,ROW()-20),Roadmap!$T$2:$T$243,0)),"")</f>
        <v/>
      </c>
      <c r="D45" s="92">
        <f>IF($B45="","",IF($C45=10,"●",""))</f>
        <v/>
      </c>
      <c r="E45" s="92">
        <f>IF($B45="","",IF($C45=11,"●",""))</f>
        <v/>
      </c>
      <c r="F45" s="92">
        <f>IF($B45="","",IF($C45=12,"●",""))</f>
        <v/>
      </c>
      <c r="G45" s="92">
        <f>IF($B45="","",IF($C45=13,"●",""))</f>
        <v/>
      </c>
      <c r="H45" s="92">
        <f>IF($B45="","",IF($C45=14,"●",""))</f>
        <v/>
      </c>
      <c r="I45" s="92">
        <f>IF($B45="","",IF($C45=15,"●",""))</f>
        <v/>
      </c>
      <c r="J45" s="92">
        <f>IF($B45="","",IF($C45=16,"●",""))</f>
        <v/>
      </c>
      <c r="T45" s="92">
        <f>IF(AND('Sprint Planning'!$H45&gt;=10,'Sprint Planning'!$H45&lt;=16),IFERROR(MATCH('Sprint Planning'!$C45,Roadmap!$A$4:$A$15,0),99)*100+'Sprint Planning'!$H45+45/100000,"")</f>
        <v/>
      </c>
    </row>
    <row r="46" ht="15" customHeight="1" s="93">
      <c r="A46" s="92">
        <f>IFERROR(INDEX('Sprint Planning'!$C$2:$C$241,MATCH(SMALL(Roadmap!$T$2:$T$243,ROW()-20),Roadmap!$T$2:$T$243,0)),"")</f>
        <v/>
      </c>
      <c r="B46" s="97">
        <f>IFERROR(INDEX('Sprint Planning'!$B$2:$B$241,MATCH(SMALL(Roadmap!$T$2:$T$243,ROW()-20),Roadmap!$T$2:$T$243,0)),"")</f>
        <v/>
      </c>
      <c r="C46" s="92">
        <f>IFERROR(INDEX('Sprint Planning'!$H$2:$H$241,MATCH(SMALL(Roadmap!$T$2:$T$243,ROW()-20),Roadmap!$T$2:$T$243,0)),"")</f>
        <v/>
      </c>
      <c r="D46" s="92">
        <f>IF($B46="","",IF($C46=10,"●",""))</f>
        <v/>
      </c>
      <c r="E46" s="92">
        <f>IF($B46="","",IF($C46=11,"●",""))</f>
        <v/>
      </c>
      <c r="F46" s="92">
        <f>IF($B46="","",IF($C46=12,"●",""))</f>
        <v/>
      </c>
      <c r="G46" s="92">
        <f>IF($B46="","",IF($C46=13,"●",""))</f>
        <v/>
      </c>
      <c r="H46" s="92">
        <f>IF($B46="","",IF($C46=14,"●",""))</f>
        <v/>
      </c>
      <c r="I46" s="92">
        <f>IF($B46="","",IF($C46=15,"●",""))</f>
        <v/>
      </c>
      <c r="J46" s="92">
        <f>IF($B46="","",IF($C46=16,"●",""))</f>
        <v/>
      </c>
      <c r="T46" s="92">
        <f>IF(AND('Sprint Planning'!$H46&gt;=10,'Sprint Planning'!$H46&lt;=16),IFERROR(MATCH('Sprint Planning'!$C46,Roadmap!$A$4:$A$15,0),99)*100+'Sprint Planning'!$H46+46/100000,"")</f>
        <v/>
      </c>
    </row>
    <row r="47" ht="15" customHeight="1" s="93">
      <c r="A47" s="92">
        <f>IFERROR(INDEX('Sprint Planning'!$C$2:$C$241,MATCH(SMALL(Roadmap!$T$2:$T$243,ROW()-20),Roadmap!$T$2:$T$243,0)),"")</f>
        <v/>
      </c>
      <c r="B47" s="97">
        <f>IFERROR(INDEX('Sprint Planning'!$B$2:$B$241,MATCH(SMALL(Roadmap!$T$2:$T$243,ROW()-20),Roadmap!$T$2:$T$243,0)),"")</f>
        <v/>
      </c>
      <c r="C47" s="92">
        <f>IFERROR(INDEX('Sprint Planning'!$H$2:$H$241,MATCH(SMALL(Roadmap!$T$2:$T$243,ROW()-20),Roadmap!$T$2:$T$243,0)),"")</f>
        <v/>
      </c>
      <c r="D47" s="92">
        <f>IF($B47="","",IF($C47=10,"●",""))</f>
        <v/>
      </c>
      <c r="E47" s="92">
        <f>IF($B47="","",IF($C47=11,"●",""))</f>
        <v/>
      </c>
      <c r="F47" s="92">
        <f>IF($B47="","",IF($C47=12,"●",""))</f>
        <v/>
      </c>
      <c r="G47" s="92">
        <f>IF($B47="","",IF($C47=13,"●",""))</f>
        <v/>
      </c>
      <c r="H47" s="92">
        <f>IF($B47="","",IF($C47=14,"●",""))</f>
        <v/>
      </c>
      <c r="I47" s="92">
        <f>IF($B47="","",IF($C47=15,"●",""))</f>
        <v/>
      </c>
      <c r="J47" s="92">
        <f>IF($B47="","",IF($C47=16,"●",""))</f>
        <v/>
      </c>
      <c r="T47" s="92">
        <f>IF(AND('Sprint Planning'!$H47&gt;=10,'Sprint Planning'!$H47&lt;=16),IFERROR(MATCH('Sprint Planning'!$C47,Roadmap!$A$4:$A$15,0),99)*100+'Sprint Planning'!$H47+47/100000,"")</f>
        <v/>
      </c>
    </row>
    <row r="48" ht="15" customHeight="1" s="93">
      <c r="A48" s="92">
        <f>IFERROR(INDEX('Sprint Planning'!$C$2:$C$241,MATCH(SMALL(Roadmap!$T$2:$T$243,ROW()-20),Roadmap!$T$2:$T$243,0)),"")</f>
        <v/>
      </c>
      <c r="B48" s="97">
        <f>IFERROR(INDEX('Sprint Planning'!$B$2:$B$241,MATCH(SMALL(Roadmap!$T$2:$T$243,ROW()-20),Roadmap!$T$2:$T$243,0)),"")</f>
        <v/>
      </c>
      <c r="C48" s="92">
        <f>IFERROR(INDEX('Sprint Planning'!$H$2:$H$241,MATCH(SMALL(Roadmap!$T$2:$T$243,ROW()-20),Roadmap!$T$2:$T$243,0)),"")</f>
        <v/>
      </c>
      <c r="D48" s="92">
        <f>IF($B48="","",IF($C48=10,"●",""))</f>
        <v/>
      </c>
      <c r="E48" s="92">
        <f>IF($B48="","",IF($C48=11,"●",""))</f>
        <v/>
      </c>
      <c r="G48" s="92">
        <f>IF($B48="","",IF($C48=13,"●",""))</f>
        <v/>
      </c>
      <c r="H48" s="92">
        <f>IF($B48="","",IF($C48=14,"●",""))</f>
        <v/>
      </c>
      <c r="I48" s="92">
        <f>IF($B48="","",IF($C48=15,"●",""))</f>
        <v/>
      </c>
      <c r="J48" s="92">
        <f>IF($B48="","",IF($C48=16,"●",""))</f>
        <v/>
      </c>
      <c r="T48" s="92">
        <f>IF(AND('Sprint Planning'!$H48&gt;=10,'Sprint Planning'!$H48&lt;=16),IFERROR(MATCH('Sprint Planning'!$C48,Roadmap!$A$4:$A$15,0),99)*100+'Sprint Planning'!$H48+48/100000,"")</f>
        <v/>
      </c>
    </row>
    <row r="49" ht="15" customHeight="1" s="93">
      <c r="A49" s="92">
        <f>IFERROR(INDEX('Sprint Planning'!$C$2:$C$241,MATCH(SMALL(Roadmap!$T$2:$T$243,ROW()-20),Roadmap!$T$2:$T$243,0)),"")</f>
        <v/>
      </c>
      <c r="B49" s="97">
        <f>IFERROR(INDEX('Sprint Planning'!$B$2:$B$241,MATCH(SMALL(Roadmap!$T$2:$T$243,ROW()-20),Roadmap!$T$2:$T$243,0)),"")</f>
        <v/>
      </c>
      <c r="C49" s="92">
        <f>IFERROR(INDEX('Sprint Planning'!$H$2:$H$241,MATCH(SMALL(Roadmap!$T$2:$T$243,ROW()-20),Roadmap!$T$2:$T$243,0)),"")</f>
        <v/>
      </c>
      <c r="D49" s="92">
        <f>IF($B49="","",IF($C49=10,"●",""))</f>
        <v/>
      </c>
      <c r="E49" s="92">
        <f>IF($B49="","",IF($C49=11,"●",""))</f>
        <v/>
      </c>
      <c r="F49" s="92">
        <f>IF($B49="","",IF($C49=12,"●",""))</f>
        <v/>
      </c>
      <c r="G49" s="92">
        <f>IF($B49="","",IF($C49=13,"●",""))</f>
        <v/>
      </c>
      <c r="H49" s="92">
        <f>IF($B49="","",IF($C49=14,"●",""))</f>
        <v/>
      </c>
      <c r="I49" s="92">
        <f>IF($B49="","",IF($C49=15,"●",""))</f>
        <v/>
      </c>
      <c r="J49" s="92">
        <f>IF($B49="","",IF($C49=16,"●",""))</f>
        <v/>
      </c>
      <c r="T49" s="92">
        <f>IF(AND('Sprint Planning'!$H49&gt;=10,'Sprint Planning'!$H49&lt;=16),IFERROR(MATCH('Sprint Planning'!$C49,Roadmap!$A$4:$A$15,0),99)*100+'Sprint Planning'!$H49+49/100000,"")</f>
        <v/>
      </c>
    </row>
    <row r="50" ht="15" customHeight="1" s="93">
      <c r="A50" s="92">
        <f>IFERROR(INDEX('Sprint Planning'!$C$2:$C$241,MATCH(SMALL(Roadmap!$T$2:$T$243,ROW()-20),Roadmap!$T$2:$T$243,0)),"")</f>
        <v/>
      </c>
      <c r="B50" s="97">
        <f>IFERROR(INDEX('Sprint Planning'!$B$2:$B$241,MATCH(SMALL(Roadmap!$T$2:$T$243,ROW()-20),Roadmap!$T$2:$T$243,0)),"")</f>
        <v/>
      </c>
      <c r="C50" s="92">
        <f>IFERROR(INDEX('Sprint Planning'!$H$2:$H$241,MATCH(SMALL(Roadmap!$T$2:$T$243,ROW()-20),Roadmap!$T$2:$T$243,0)),"")</f>
        <v/>
      </c>
      <c r="D50" s="92">
        <f>IF($B50="","",IF($C50=10,"●",""))</f>
        <v/>
      </c>
      <c r="E50" s="92">
        <f>IF($B50="","",IF($C50=11,"●",""))</f>
        <v/>
      </c>
      <c r="F50" s="92">
        <f>IF($B50="","",IF($C50=12,"●",""))</f>
        <v/>
      </c>
      <c r="G50" s="92">
        <f>IF($B50="","",IF($C50=13,"●",""))</f>
        <v/>
      </c>
      <c r="H50" s="92">
        <f>IF($B50="","",IF($C50=14,"●",""))</f>
        <v/>
      </c>
      <c r="I50" s="92">
        <f>IF($B50="","",IF($C50=15,"●",""))</f>
        <v/>
      </c>
      <c r="J50" s="92">
        <f>IF($B50="","",IF($C50=16,"●",""))</f>
        <v/>
      </c>
      <c r="T50" s="92">
        <f>IF(AND('Sprint Planning'!$H50&gt;=10,'Sprint Planning'!$H50&lt;=16),IFERROR(MATCH('Sprint Planning'!$C50,Roadmap!$A$4:$A$15,0),99)*100+'Sprint Planning'!$H50+50/100000,"")</f>
        <v/>
      </c>
    </row>
    <row r="51" ht="15" customHeight="1" s="93">
      <c r="A51" s="92">
        <f>IFERROR(INDEX('Sprint Planning'!$C$2:$C$241,MATCH(SMALL(Roadmap!$T$2:$T$243,ROW()-20),Roadmap!$T$2:$T$243,0)),"")</f>
        <v/>
      </c>
      <c r="B51" s="97">
        <f>IFERROR(INDEX('Sprint Planning'!$B$2:$B$241,MATCH(SMALL(Roadmap!$T$2:$T$243,ROW()-20),Roadmap!$T$2:$T$243,0)),"")</f>
        <v/>
      </c>
      <c r="C51" s="92">
        <f>IFERROR(INDEX('Sprint Planning'!$H$2:$H$241,MATCH(SMALL(Roadmap!$T$2:$T$243,ROW()-20),Roadmap!$T$2:$T$243,0)),"")</f>
        <v/>
      </c>
      <c r="D51" s="92">
        <f>IF($B51="","",IF($C51=10,"●",""))</f>
        <v/>
      </c>
      <c r="E51" s="92">
        <f>IF($B51="","",IF($C51=11,"●",""))</f>
        <v/>
      </c>
      <c r="F51" s="92">
        <f>IF($B51="","",IF($C51=12,"●",""))</f>
        <v/>
      </c>
      <c r="G51" s="92">
        <f>IF($B51="","",IF($C51=13,"●",""))</f>
        <v/>
      </c>
      <c r="H51" s="92">
        <f>IF($B51="","",IF($C51=14,"●",""))</f>
        <v/>
      </c>
      <c r="I51" s="92">
        <f>IF($B51="","",IF($C51=15,"●",""))</f>
        <v/>
      </c>
      <c r="J51" s="92">
        <f>IF($B51="","",IF($C51=16,"●",""))</f>
        <v/>
      </c>
      <c r="T51" s="92">
        <f>IF(AND('Sprint Planning'!$H51&gt;=10,'Sprint Planning'!$H51&lt;=16),IFERROR(MATCH('Sprint Planning'!$C51,Roadmap!$A$4:$A$15,0),99)*100+'Sprint Planning'!$H51+51/100000,"")</f>
        <v/>
      </c>
    </row>
    <row r="52" ht="15" customHeight="1" s="93">
      <c r="A52" s="92">
        <f>IFERROR(INDEX('Sprint Planning'!$C$2:$C$241,MATCH(SMALL(Roadmap!$T$2:$T$243,ROW()-20),Roadmap!$T$2:$T$243,0)),"")</f>
        <v/>
      </c>
      <c r="B52" s="97">
        <f>IFERROR(INDEX('Sprint Planning'!$B$2:$B$241,MATCH(SMALL(Roadmap!$T$2:$T$243,ROW()-20),Roadmap!$T$2:$T$243,0)),"")</f>
        <v/>
      </c>
      <c r="C52" s="92">
        <f>IFERROR(INDEX('Sprint Planning'!$H$2:$H$241,MATCH(SMALL(Roadmap!$T$2:$T$243,ROW()-20),Roadmap!$T$2:$T$243,0)),"")</f>
        <v/>
      </c>
      <c r="D52" s="92">
        <f>IF($B52="","",IF($C52=10,"●",""))</f>
        <v/>
      </c>
      <c r="E52" s="92">
        <f>IF($B52="","",IF($C52=11,"●",""))</f>
        <v/>
      </c>
      <c r="F52" s="92">
        <f>IF($B52="","",IF($C52=12,"●",""))</f>
        <v/>
      </c>
      <c r="G52" s="92">
        <f>IF($B52="","",IF($C52=13,"●",""))</f>
        <v/>
      </c>
      <c r="H52" s="92">
        <f>IF($B52="","",IF($C52=14,"●",""))</f>
        <v/>
      </c>
      <c r="I52" s="92">
        <f>IF($B52="","",IF($C52=15,"●",""))</f>
        <v/>
      </c>
      <c r="J52" s="92">
        <f>IF($B52="","",IF($C52=16,"●",""))</f>
        <v/>
      </c>
      <c r="T52" s="92">
        <f>IF(AND('Sprint Planning'!$H52&gt;=10,'Sprint Planning'!$H52&lt;=16),IFERROR(MATCH('Sprint Planning'!$C52,Roadmap!$A$4:$A$15,0),99)*100+'Sprint Planning'!$H52+52/100000,"")</f>
        <v/>
      </c>
    </row>
    <row r="53" ht="15" customHeight="1" s="93">
      <c r="A53" s="92">
        <f>IFERROR(INDEX('Sprint Planning'!$C$2:$C$241,MATCH(SMALL(Roadmap!$T$2:$T$243,ROW()-20),Roadmap!$T$2:$T$243,0)),"")</f>
        <v/>
      </c>
      <c r="B53" s="97">
        <f>IFERROR(INDEX('Sprint Planning'!$B$2:$B$241,MATCH(SMALL(Roadmap!$T$2:$T$243,ROW()-20),Roadmap!$T$2:$T$243,0)),"")</f>
        <v/>
      </c>
      <c r="C53" s="92">
        <f>IFERROR(INDEX('Sprint Planning'!$H$2:$H$241,MATCH(SMALL(Roadmap!$T$2:$T$243,ROW()-20),Roadmap!$T$2:$T$243,0)),"")</f>
        <v/>
      </c>
      <c r="D53" s="92">
        <f>IF($B53="","",IF($C53=10,"●",""))</f>
        <v/>
      </c>
      <c r="E53" s="92">
        <f>IF($B53="","",IF($C53=11,"●",""))</f>
        <v/>
      </c>
      <c r="F53" s="92">
        <f>IF($B53="","",IF($C53=12,"●",""))</f>
        <v/>
      </c>
      <c r="G53" s="92">
        <f>IF($B53="","",IF($C53=13,"●",""))</f>
        <v/>
      </c>
      <c r="H53" s="92">
        <f>IF($B53="","",IF($C53=14,"●",""))</f>
        <v/>
      </c>
      <c r="I53" s="92">
        <f>IF($B53="","",IF($C53=15,"●",""))</f>
        <v/>
      </c>
      <c r="J53" s="92">
        <f>IF($B53="","",IF($C53=16,"●",""))</f>
        <v/>
      </c>
      <c r="T53" s="92">
        <f>IF(AND('Sprint Planning'!$H53&gt;=10,'Sprint Planning'!$H53&lt;=16),IFERROR(MATCH('Sprint Planning'!$C53,Roadmap!$A$4:$A$15,0),99)*100+'Sprint Planning'!$H53+53/100000,"")</f>
        <v/>
      </c>
    </row>
    <row r="54" ht="15" customHeight="1" s="93">
      <c r="A54" s="92">
        <f>IFERROR(INDEX('Sprint Planning'!$C$2:$C$241,MATCH(SMALL(Roadmap!$T$2:$T$243,ROW()-20),Roadmap!$T$2:$T$243,0)),"")</f>
        <v/>
      </c>
      <c r="B54" s="97">
        <f>IFERROR(INDEX('Sprint Planning'!$B$2:$B$241,MATCH(SMALL(Roadmap!$T$2:$T$243,ROW()-20),Roadmap!$T$2:$T$243,0)),"")</f>
        <v/>
      </c>
      <c r="C54" s="92">
        <f>IFERROR(INDEX('Sprint Planning'!$H$2:$H$241,MATCH(SMALL(Roadmap!$T$2:$T$243,ROW()-20),Roadmap!$T$2:$T$243,0)),"")</f>
        <v/>
      </c>
      <c r="D54" s="92">
        <f>IF($B54="","",IF($C54=10,"●",""))</f>
        <v/>
      </c>
      <c r="E54" s="92">
        <f>IF($B54="","",IF($C54=11,"●",""))</f>
        <v/>
      </c>
      <c r="F54" s="92">
        <f>IF($B54="","",IF($C54=12,"●",""))</f>
        <v/>
      </c>
      <c r="G54" s="92">
        <f>IF($B54="","",IF($C54=13,"●",""))</f>
        <v/>
      </c>
      <c r="H54" s="92">
        <f>IF($B54="","",IF($C54=14,"●",""))</f>
        <v/>
      </c>
      <c r="I54" s="92">
        <f>IF($B54="","",IF($C54=15,"●",""))</f>
        <v/>
      </c>
      <c r="J54" s="92">
        <f>IF($B54="","",IF($C54=16,"●",""))</f>
        <v/>
      </c>
      <c r="T54" s="92">
        <f>IF(AND('Sprint Planning'!$H54&gt;=10,'Sprint Planning'!$H54&lt;=16),IFERROR(MATCH('Sprint Planning'!$C54,Roadmap!$A$4:$A$15,0),99)*100+'Sprint Planning'!$H54+54/100000,"")</f>
        <v/>
      </c>
    </row>
    <row r="55" ht="15" customHeight="1" s="93">
      <c r="A55" s="92">
        <f>IFERROR(INDEX('Sprint Planning'!$C$2:$C$241,MATCH(SMALL(Roadmap!$T$2:$T$243,ROW()-20),Roadmap!$T$2:$T$243,0)),"")</f>
        <v/>
      </c>
      <c r="B55" s="97">
        <f>IFERROR(INDEX('Sprint Planning'!$B$2:$B$241,MATCH(SMALL(Roadmap!$T$2:$T$243,ROW()-20),Roadmap!$T$2:$T$243,0)),"")</f>
        <v/>
      </c>
      <c r="C55" s="92">
        <f>IFERROR(INDEX('Sprint Planning'!$H$2:$H$241,MATCH(SMALL(Roadmap!$T$2:$T$243,ROW()-20),Roadmap!$T$2:$T$243,0)),"")</f>
        <v/>
      </c>
      <c r="D55" s="92">
        <f>IF($B55="","",IF($C55=10,"●",""))</f>
        <v/>
      </c>
      <c r="E55" s="92">
        <f>IF($B55="","",IF($C55=11,"●",""))</f>
        <v/>
      </c>
      <c r="F55" s="92">
        <f>IF($B55="","",IF($C55=12,"●",""))</f>
        <v/>
      </c>
      <c r="G55" s="92">
        <f>IF($B55="","",IF($C55=13,"●",""))</f>
        <v/>
      </c>
      <c r="H55" s="92">
        <f>IF($B55="","",IF($C55=14,"●",""))</f>
        <v/>
      </c>
      <c r="I55" s="92">
        <f>IF($B55="","",IF($C55=15,"●",""))</f>
        <v/>
      </c>
      <c r="J55" s="92">
        <f>IF($B55="","",IF($C55=16,"●",""))</f>
        <v/>
      </c>
      <c r="T55" s="92">
        <f>IF(AND('Sprint Planning'!$H55&gt;=10,'Sprint Planning'!$H55&lt;=16),IFERROR(MATCH('Sprint Planning'!$C55,Roadmap!$A$4:$A$15,0),99)*100+'Sprint Planning'!$H55+55/100000,"")</f>
        <v/>
      </c>
    </row>
    <row r="56" ht="15" customHeight="1" s="93">
      <c r="A56" s="92">
        <f>IFERROR(INDEX('Sprint Planning'!$C$2:$C$241,MATCH(SMALL(Roadmap!$T$2:$T$243,ROW()-20),Roadmap!$T$2:$T$243,0)),"")</f>
        <v/>
      </c>
      <c r="B56" s="97">
        <f>IFERROR(INDEX('Sprint Planning'!$B$2:$B$241,MATCH(SMALL(Roadmap!$T$2:$T$243,ROW()-20),Roadmap!$T$2:$T$243,0)),"")</f>
        <v/>
      </c>
      <c r="C56" s="92">
        <f>IFERROR(INDEX('Sprint Planning'!$H$2:$H$241,MATCH(SMALL(Roadmap!$T$2:$T$243,ROW()-20),Roadmap!$T$2:$T$243,0)),"")</f>
        <v/>
      </c>
      <c r="D56" s="92">
        <f>IF($B56="","",IF($C56=10,"●",""))</f>
        <v/>
      </c>
      <c r="E56" s="92">
        <f>IF($B56="","",IF($C56=11,"●",""))</f>
        <v/>
      </c>
      <c r="F56" s="92">
        <f>IF($B56="","",IF($C56=12,"●",""))</f>
        <v/>
      </c>
      <c r="G56" s="92">
        <f>IF($B56="","",IF($C56=13,"●",""))</f>
        <v/>
      </c>
      <c r="H56" s="92">
        <f>IF($B56="","",IF($C56=14,"●",""))</f>
        <v/>
      </c>
      <c r="I56" s="92">
        <f>IF($B56="","",IF($C56=15,"●",""))</f>
        <v/>
      </c>
      <c r="J56" s="92">
        <f>IF($B56="","",IF($C56=16,"●",""))</f>
        <v/>
      </c>
      <c r="T56" s="92">
        <f>IF(AND('Sprint Planning'!$H56&gt;=10,'Sprint Planning'!$H56&lt;=16),IFERROR(MATCH('Sprint Planning'!$C56,Roadmap!$A$4:$A$15,0),99)*100+'Sprint Planning'!$H56+56/100000,"")</f>
        <v/>
      </c>
    </row>
    <row r="57" ht="15" customHeight="1" s="93">
      <c r="A57" s="92">
        <f>IFERROR(INDEX('Sprint Planning'!$C$2:$C$241,MATCH(SMALL(Roadmap!$T$2:$T$243,ROW()-20),Roadmap!$T$2:$T$243,0)),"")</f>
        <v/>
      </c>
      <c r="B57" s="97">
        <f>IFERROR(INDEX('Sprint Planning'!$B$2:$B$241,MATCH(SMALL(Roadmap!$T$2:$T$243,ROW()-20),Roadmap!$T$2:$T$243,0)),"")</f>
        <v/>
      </c>
      <c r="C57" s="92">
        <f>IFERROR(INDEX('Sprint Planning'!$H$2:$H$241,MATCH(SMALL(Roadmap!$T$2:$T$243,ROW()-20),Roadmap!$T$2:$T$243,0)),"")</f>
        <v/>
      </c>
      <c r="D57" s="92">
        <f>IF($B57="","",IF($C57=10,"●",""))</f>
        <v/>
      </c>
      <c r="E57" s="92">
        <f>IF($B57="","",IF($C57=11,"●",""))</f>
        <v/>
      </c>
      <c r="F57" s="92">
        <f>IF($B57="","",IF($C57=12,"●",""))</f>
        <v/>
      </c>
      <c r="G57" s="92">
        <f>IF($B57="","",IF($C57=13,"●",""))</f>
        <v/>
      </c>
      <c r="H57" s="92">
        <f>IF($B57="","",IF($C57=14,"●",""))</f>
        <v/>
      </c>
      <c r="I57" s="92">
        <f>IF($B57="","",IF($C57=15,"●",""))</f>
        <v/>
      </c>
      <c r="J57" s="92">
        <f>IF($B57="","",IF($C57=16,"●",""))</f>
        <v/>
      </c>
      <c r="T57" s="92">
        <f>IF(AND('Sprint Planning'!$H57&gt;=10,'Sprint Planning'!$H57&lt;=16),IFERROR(MATCH('Sprint Planning'!$C57,Roadmap!$A$4:$A$15,0),99)*100+'Sprint Planning'!$H57+57/100000,"")</f>
        <v/>
      </c>
    </row>
    <row r="58" ht="15" customHeight="1" s="93">
      <c r="A58" s="92">
        <f>IFERROR(INDEX('Sprint Planning'!$C$2:$C$241,MATCH(SMALL(Roadmap!$T$2:$T$243,ROW()-20),Roadmap!$T$2:$T$243,0)),"")</f>
        <v/>
      </c>
      <c r="B58" s="97">
        <f>IFERROR(INDEX('Sprint Planning'!$B$2:$B$241,MATCH(SMALL(Roadmap!$T$2:$T$243,ROW()-20),Roadmap!$T$2:$T$243,0)),"")</f>
        <v/>
      </c>
      <c r="C58" s="92">
        <f>IFERROR(INDEX('Sprint Planning'!$H$2:$H$241,MATCH(SMALL(Roadmap!$T$2:$T$243,ROW()-20),Roadmap!$T$2:$T$243,0)),"")</f>
        <v/>
      </c>
      <c r="D58" s="92">
        <f>IF($B58="","",IF($C58=10,"●",""))</f>
        <v/>
      </c>
      <c r="E58" s="92">
        <f>IF($B58="","",IF($C58=11,"●",""))</f>
        <v/>
      </c>
      <c r="F58" s="92">
        <f>IF($B58="","",IF($C58=12,"●",""))</f>
        <v/>
      </c>
      <c r="G58" s="92">
        <f>IF($B58="","",IF($C58=13,"●",""))</f>
        <v/>
      </c>
      <c r="H58" s="92">
        <f>IF($B58="","",IF($C58=14,"●",""))</f>
        <v/>
      </c>
      <c r="I58" s="92">
        <f>IF($B58="","",IF($C58=15,"●",""))</f>
        <v/>
      </c>
      <c r="J58" s="92">
        <f>IF($B58="","",IF($C58=16,"●",""))</f>
        <v/>
      </c>
      <c r="T58" s="92">
        <f>IF(AND('Sprint Planning'!$H58&gt;=10,'Sprint Planning'!$H58&lt;=16),IFERROR(MATCH('Sprint Planning'!$C58,Roadmap!$A$4:$A$15,0),99)*100+'Sprint Planning'!$H58+58/100000,"")</f>
        <v/>
      </c>
    </row>
    <row r="59" ht="15" customHeight="1" s="93">
      <c r="A59" s="92">
        <f>IFERROR(INDEX('Sprint Planning'!$C$2:$C$241,MATCH(SMALL(Roadmap!$T$2:$T$243,ROW()-20),Roadmap!$T$2:$T$243,0)),"")</f>
        <v/>
      </c>
      <c r="B59" s="97">
        <f>IFERROR(INDEX('Sprint Planning'!$B$2:$B$241,MATCH(SMALL(Roadmap!$T$2:$T$243,ROW()-20),Roadmap!$T$2:$T$243,0)),"")</f>
        <v/>
      </c>
      <c r="C59" s="92">
        <f>IFERROR(INDEX('Sprint Planning'!$H$2:$H$241,MATCH(SMALL(Roadmap!$T$2:$T$243,ROW()-20),Roadmap!$T$2:$T$243,0)),"")</f>
        <v/>
      </c>
      <c r="D59" s="92">
        <f>IF($B59="","",IF($C59=10,"●",""))</f>
        <v/>
      </c>
      <c r="E59" s="92">
        <f>IF($B59="","",IF($C59=11,"●",""))</f>
        <v/>
      </c>
      <c r="F59" s="92">
        <f>IF($B59="","",IF($C59=12,"●",""))</f>
        <v/>
      </c>
      <c r="G59" s="92">
        <f>IF($B59="","",IF($C59=13,"●",""))</f>
        <v/>
      </c>
      <c r="H59" s="92">
        <f>IF($B59="","",IF($C59=14,"●",""))</f>
        <v/>
      </c>
      <c r="I59" s="92">
        <f>IF($B59="","",IF($C59=15,"●",""))</f>
        <v/>
      </c>
      <c r="J59" s="92">
        <f>IF($B59="","",IF($C59=16,"●",""))</f>
        <v/>
      </c>
      <c r="T59" s="92">
        <f>IF(AND('Sprint Planning'!$H59&gt;=10,'Sprint Planning'!$H59&lt;=16),IFERROR(MATCH('Sprint Planning'!$C59,Roadmap!$A$4:$A$15,0),99)*100+'Sprint Planning'!$H59+59/100000,"")</f>
        <v/>
      </c>
    </row>
    <row r="60" ht="15" customHeight="1" s="93">
      <c r="A60" s="92">
        <f>IFERROR(INDEX('Sprint Planning'!$C$2:$C$241,MATCH(SMALL(Roadmap!$T$2:$T$243,ROW()-20),Roadmap!$T$2:$T$243,0)),"")</f>
        <v/>
      </c>
      <c r="B60" s="97">
        <f>IFERROR(INDEX('Sprint Planning'!$B$2:$B$241,MATCH(SMALL(Roadmap!$T$2:$T$243,ROW()-20),Roadmap!$T$2:$T$243,0)),"")</f>
        <v/>
      </c>
      <c r="C60" s="92">
        <f>IFERROR(INDEX('Sprint Planning'!$H$2:$H$241,MATCH(SMALL(Roadmap!$T$2:$T$243,ROW()-20),Roadmap!$T$2:$T$243,0)),"")</f>
        <v/>
      </c>
      <c r="D60" s="92">
        <f>IF($B60="","",IF($C60=10,"●",""))</f>
        <v/>
      </c>
      <c r="E60" s="92">
        <f>IF($B60="","",IF($C60=11,"●",""))</f>
        <v/>
      </c>
      <c r="F60" s="92">
        <f>IF($B60="","",IF($C60=12,"●",""))</f>
        <v/>
      </c>
      <c r="G60" s="92">
        <f>IF($B60="","",IF($C60=13,"●",""))</f>
        <v/>
      </c>
      <c r="H60" s="92">
        <f>IF($B60="","",IF($C60=14,"●",""))</f>
        <v/>
      </c>
      <c r="I60" s="92">
        <f>IF($B60="","",IF($C60=15,"●",""))</f>
        <v/>
      </c>
      <c r="J60" s="92">
        <f>IF($B60="","",IF($C60=16,"●",""))</f>
        <v/>
      </c>
      <c r="T60" s="92">
        <f>IF(AND('Sprint Planning'!$H60&gt;=10,'Sprint Planning'!$H60&lt;=16),IFERROR(MATCH('Sprint Planning'!$C60,Roadmap!$A$4:$A$15,0),99)*100+'Sprint Planning'!$H60+60/100000,"")</f>
        <v/>
      </c>
    </row>
    <row r="61" ht="15" customHeight="1" s="93">
      <c r="A61" s="92">
        <f>IFERROR(INDEX('Sprint Planning'!$C$2:$C$241,MATCH(SMALL(Roadmap!$T$2:$T$243,ROW()-20),Roadmap!$T$2:$T$243,0)),"")</f>
        <v/>
      </c>
      <c r="B61" s="97">
        <f>IFERROR(INDEX('Sprint Planning'!$B$2:$B$241,MATCH(SMALL(Roadmap!$T$2:$T$243,ROW()-20),Roadmap!$T$2:$T$243,0)),"")</f>
        <v/>
      </c>
      <c r="C61" s="92">
        <f>IFERROR(INDEX('Sprint Planning'!$H$2:$H$241,MATCH(SMALL(Roadmap!$T$2:$T$243,ROW()-20),Roadmap!$T$2:$T$243,0)),"")</f>
        <v/>
      </c>
      <c r="D61" s="92">
        <f>IF($B61="","",IF($C61=10,"●",""))</f>
        <v/>
      </c>
      <c r="E61" s="92">
        <f>IF($B61="","",IF($C61=11,"●",""))</f>
        <v/>
      </c>
      <c r="F61" s="92">
        <f>IF($B61="","",IF($C61=12,"●",""))</f>
        <v/>
      </c>
      <c r="G61" s="92">
        <f>IF($B61="","",IF($C61=13,"●",""))</f>
        <v/>
      </c>
      <c r="H61" s="92">
        <f>IF($B61="","",IF($C61=14,"●",""))</f>
        <v/>
      </c>
      <c r="I61" s="92">
        <f>IF($B61="","",IF($C61=15,"●",""))</f>
        <v/>
      </c>
      <c r="J61" s="92">
        <f>IF($B61="","",IF($C61=16,"●",""))</f>
        <v/>
      </c>
      <c r="T61" s="92">
        <f>IF(AND('Sprint Planning'!$H61&gt;=10,'Sprint Planning'!$H61&lt;=16),IFERROR(MATCH('Sprint Planning'!$C61,Roadmap!$A$4:$A$15,0),99)*100+'Sprint Planning'!$H61+61/100000,"")</f>
        <v/>
      </c>
    </row>
    <row r="62" ht="15" customHeight="1" s="93">
      <c r="A62" s="92">
        <f>IFERROR(INDEX('Sprint Planning'!$C$2:$C$241,MATCH(SMALL(Roadmap!$T$2:$T$243,ROW()-20),Roadmap!$T$2:$T$243,0)),"")</f>
        <v/>
      </c>
      <c r="B62" s="92">
        <f>IFERROR(INDEX('Sprint Planning'!$B$2:$B$241,MATCH(SMALL(Roadmap!$T$2:$T$243,ROW()-20),Roadmap!$T$2:$T$243,0)),"")</f>
        <v/>
      </c>
      <c r="C62" s="92">
        <f>IFERROR(INDEX('Sprint Planning'!$H$2:$H$241,MATCH(SMALL(Roadmap!$T$2:$T$243,ROW()-20),Roadmap!$T$2:$T$243,0)),"")</f>
        <v/>
      </c>
      <c r="D62" s="92">
        <f>IF($B62="","",IF($C62=10,"●",""))</f>
        <v/>
      </c>
      <c r="E62" s="92">
        <f>IF($B62="","",IF($C62=11,"●",""))</f>
        <v/>
      </c>
      <c r="F62" s="92">
        <f>IF($B62="","",IF($C62=12,"●",""))</f>
        <v/>
      </c>
      <c r="G62" s="92">
        <f>IF($B62="","",IF($C62=13,"●",""))</f>
        <v/>
      </c>
      <c r="H62" s="92">
        <f>IF($B62="","",IF($C62=14,"●",""))</f>
        <v/>
      </c>
      <c r="I62" s="92">
        <f>IF($B62="","",IF($C62=15,"●",""))</f>
        <v/>
      </c>
      <c r="J62" s="92">
        <f>IF($B62="","",IF($C62=16,"●",""))</f>
        <v/>
      </c>
      <c r="T62" s="92">
        <f>IF(AND('Sprint Planning'!$H62&gt;=10,'Sprint Planning'!$H62&lt;=16),IFERROR(MATCH('Sprint Planning'!$C62,Roadmap!$A$4:$A$15,0),99)*100+'Sprint Planning'!$H62+62/100000,"")</f>
        <v/>
      </c>
    </row>
    <row r="63" ht="15" customHeight="1" s="93">
      <c r="A63" s="92">
        <f>IFERROR(INDEX('Sprint Planning'!$C$2:$C$241,MATCH(SMALL(Roadmap!$T$2:$T$243,ROW()-20),Roadmap!$T$2:$T$243,0)),"")</f>
        <v/>
      </c>
      <c r="B63" s="92">
        <f>IFERROR(INDEX('Sprint Planning'!$B$2:$B$241,MATCH(SMALL(Roadmap!$T$2:$T$243,ROW()-20),Roadmap!$T$2:$T$243,0)),"")</f>
        <v/>
      </c>
      <c r="C63" s="92">
        <f>IFERROR(INDEX('Sprint Planning'!$H$2:$H$241,MATCH(SMALL(Roadmap!$T$2:$T$243,ROW()-20),Roadmap!$T$2:$T$243,0)),"")</f>
        <v/>
      </c>
      <c r="D63" s="92">
        <f>IF($B63="","",IF($C63=10,"●",""))</f>
        <v/>
      </c>
      <c r="E63" s="92">
        <f>IF($B63="","",IF($C63=11,"●",""))</f>
        <v/>
      </c>
      <c r="F63" s="92">
        <f>IF($B63="","",IF($C63=12,"●",""))</f>
        <v/>
      </c>
      <c r="G63" s="92">
        <f>IF($B63="","",IF($C63=13,"●",""))</f>
        <v/>
      </c>
      <c r="H63" s="92">
        <f>IF($B63="","",IF($C63=14,"●",""))</f>
        <v/>
      </c>
      <c r="I63" s="92">
        <f>IF($B63="","",IF($C63=15,"●",""))</f>
        <v/>
      </c>
      <c r="J63" s="92">
        <f>IF($B63="","",IF($C63=16,"●",""))</f>
        <v/>
      </c>
      <c r="T63" s="92">
        <f>IF(AND('Sprint Planning'!$H63&gt;=10,'Sprint Planning'!$H63&lt;=16),IFERROR(MATCH('Sprint Planning'!$C63,Roadmap!$A$4:$A$15,0),99)*100+'Sprint Planning'!$H63+63/100000,"")</f>
        <v/>
      </c>
    </row>
    <row r="64" ht="15" customHeight="1" s="93">
      <c r="A64" s="92">
        <f>IFERROR(INDEX('Sprint Planning'!$C$2:$C$241,MATCH(SMALL(Roadmap!$T$2:$T$243,ROW()-20),Roadmap!$T$2:$T$243,0)),"")</f>
        <v/>
      </c>
      <c r="B64" s="92">
        <f>IFERROR(INDEX('Sprint Planning'!$B$2:$B$241,MATCH(SMALL(Roadmap!$T$2:$T$243,ROW()-20),Roadmap!$T$2:$T$243,0)),"")</f>
        <v/>
      </c>
      <c r="C64" s="92">
        <f>IFERROR(INDEX('Sprint Planning'!$H$2:$H$241,MATCH(SMALL(Roadmap!$T$2:$T$243,ROW()-20),Roadmap!$T$2:$T$243,0)),"")</f>
        <v/>
      </c>
      <c r="D64" s="92">
        <f>IF($B64="","",IF($C64=10,"●",""))</f>
        <v/>
      </c>
      <c r="E64" s="92">
        <f>IF($B64="","",IF($C64=11,"●",""))</f>
        <v/>
      </c>
      <c r="F64" s="92">
        <f>IF($B64="","",IF($C64=12,"●",""))</f>
        <v/>
      </c>
      <c r="G64" s="92">
        <f>IF($B64="","",IF($C64=13,"●",""))</f>
        <v/>
      </c>
      <c r="H64" s="92">
        <f>IF($B64="","",IF($C64=14,"●",""))</f>
        <v/>
      </c>
      <c r="I64" s="92">
        <f>IF($B64="","",IF($C64=15,"●",""))</f>
        <v/>
      </c>
      <c r="J64" s="92">
        <f>IF($B64="","",IF($C64=16,"●",""))</f>
        <v/>
      </c>
      <c r="T64" s="92">
        <f>IF(AND('Sprint Planning'!$H64&gt;=10,'Sprint Planning'!$H64&lt;=16),IFERROR(MATCH('Sprint Planning'!$C64,Roadmap!$A$4:$A$15,0),99)*100+'Sprint Planning'!$H64+64/100000,"")</f>
        <v/>
      </c>
    </row>
    <row r="65" ht="15" customHeight="1" s="93">
      <c r="A65" s="92">
        <f>IFERROR(INDEX('Sprint Planning'!$C$2:$C$241,MATCH(SMALL(Roadmap!$T$2:$T$243,ROW()-20),Roadmap!$T$2:$T$243,0)),"")</f>
        <v/>
      </c>
      <c r="B65" s="92">
        <f>IFERROR(INDEX('Sprint Planning'!$B$2:$B$241,MATCH(SMALL(Roadmap!$T$2:$T$243,ROW()-20),Roadmap!$T$2:$T$243,0)),"")</f>
        <v/>
      </c>
      <c r="C65" s="92">
        <f>IFERROR(INDEX('Sprint Planning'!$H$2:$H$241,MATCH(SMALL(Roadmap!$T$2:$T$243,ROW()-20),Roadmap!$T$2:$T$243,0)),"")</f>
        <v/>
      </c>
      <c r="D65" s="92">
        <f>IF($B65="","",IF($C65=10,"●",""))</f>
        <v/>
      </c>
      <c r="E65" s="92">
        <f>IF($B65="","",IF($C65=11,"●",""))</f>
        <v/>
      </c>
      <c r="F65" s="92">
        <f>IF($B65="","",IF($C65=12,"●",""))</f>
        <v/>
      </c>
      <c r="G65" s="92">
        <f>IF($B65="","",IF($C65=13,"●",""))</f>
        <v/>
      </c>
      <c r="H65" s="92">
        <f>IF($B65="","",IF($C65=14,"●",""))</f>
        <v/>
      </c>
      <c r="I65" s="92">
        <f>IF($B65="","",IF($C65=15,"●",""))</f>
        <v/>
      </c>
      <c r="J65" s="92">
        <f>IF($B65="","",IF($C65=16,"●",""))</f>
        <v/>
      </c>
      <c r="T65" s="92">
        <f>IF(AND('Sprint Planning'!$H65&gt;=10,'Sprint Planning'!$H65&lt;=16),IFERROR(MATCH('Sprint Planning'!$C65,Roadmap!$A$4:$A$15,0),99)*100+'Sprint Planning'!$H65+65/100000,"")</f>
        <v/>
      </c>
    </row>
    <row r="66" ht="15" customHeight="1" s="93">
      <c r="A66" s="92">
        <f>IFERROR(INDEX('Sprint Planning'!$C$2:$C$241,MATCH(SMALL(Roadmap!$T$2:$T$243,ROW()-20),Roadmap!$T$2:$T$243,0)),"")</f>
        <v/>
      </c>
      <c r="B66" s="92">
        <f>IFERROR(INDEX('Sprint Planning'!$B$2:$B$241,MATCH(SMALL(Roadmap!$T$2:$T$243,ROW()-20),Roadmap!$T$2:$T$243,0)),"")</f>
        <v/>
      </c>
      <c r="C66" s="92">
        <f>IFERROR(INDEX('Sprint Planning'!$H$2:$H$241,MATCH(SMALL(Roadmap!$T$2:$T$243,ROW()-20),Roadmap!$T$2:$T$243,0)),"")</f>
        <v/>
      </c>
      <c r="D66" s="92">
        <f>IF($B66="","",IF($C66=10,"●",""))</f>
        <v/>
      </c>
      <c r="E66" s="92">
        <f>IF($B66="","",IF($C66=11,"●",""))</f>
        <v/>
      </c>
      <c r="F66" s="92">
        <f>IF($B66="","",IF($C66=12,"●",""))</f>
        <v/>
      </c>
      <c r="G66" s="92">
        <f>IF($B66="","",IF($C66=13,"●",""))</f>
        <v/>
      </c>
      <c r="H66" s="92">
        <f>IF($B66="","",IF($C66=14,"●",""))</f>
        <v/>
      </c>
      <c r="I66" s="92">
        <f>IF($B66="","",IF($C66=15,"●",""))</f>
        <v/>
      </c>
      <c r="J66" s="92">
        <f>IF($B66="","",IF($C66=16,"●",""))</f>
        <v/>
      </c>
      <c r="T66" s="92">
        <f>IF(AND('Sprint Planning'!$H66&gt;=10,'Sprint Planning'!$H66&lt;=16),IFERROR(MATCH('Sprint Planning'!$C66,Roadmap!$A$4:$A$15,0),99)*100+'Sprint Planning'!$H66+66/100000,"")</f>
        <v/>
      </c>
    </row>
    <row r="67" ht="15" customHeight="1" s="93">
      <c r="A67" s="92">
        <f>IFERROR(INDEX('Sprint Planning'!$C$2:$C$241,MATCH(SMALL(Roadmap!$T$2:$T$243,ROW()-20),Roadmap!$T$2:$T$243,0)),"")</f>
        <v/>
      </c>
      <c r="B67" s="92">
        <f>IFERROR(INDEX('Sprint Planning'!$B$2:$B$241,MATCH(SMALL(Roadmap!$T$2:$T$243,ROW()-20),Roadmap!$T$2:$T$243,0)),"")</f>
        <v/>
      </c>
      <c r="C67" s="92">
        <f>IFERROR(INDEX('Sprint Planning'!$H$2:$H$241,MATCH(SMALL(Roadmap!$T$2:$T$243,ROW()-20),Roadmap!$T$2:$T$243,0)),"")</f>
        <v/>
      </c>
      <c r="D67" s="92">
        <f>IF($B67="","",IF($C67=10,"●",""))</f>
        <v/>
      </c>
      <c r="E67" s="92">
        <f>IF($B67="","",IF($C67=11,"●",""))</f>
        <v/>
      </c>
      <c r="F67" s="92">
        <f>IF($B67="","",IF($C67=12,"●",""))</f>
        <v/>
      </c>
      <c r="G67" s="92">
        <f>IF($B67="","",IF($C67=13,"●",""))</f>
        <v/>
      </c>
      <c r="H67" s="92">
        <f>IF($B67="","",IF($C67=14,"●",""))</f>
        <v/>
      </c>
      <c r="I67" s="92">
        <f>IF($B67="","",IF($C67=15,"●",""))</f>
        <v/>
      </c>
      <c r="J67" s="92">
        <f>IF($B67="","",IF($C67=16,"●",""))</f>
        <v/>
      </c>
      <c r="T67" s="92">
        <f>IF(AND('Sprint Planning'!$H67&gt;=10,'Sprint Planning'!$H67&lt;=16),IFERROR(MATCH('Sprint Planning'!$C67,Roadmap!$A$4:$A$15,0),99)*100+'Sprint Planning'!$H67+67/100000,"")</f>
        <v/>
      </c>
    </row>
    <row r="68" ht="15" customHeight="1" s="93">
      <c r="A68" s="92">
        <f>IFERROR(INDEX('Sprint Planning'!$C$2:$C$241,MATCH(SMALL(Roadmap!$T$2:$T$243,ROW()-20),Roadmap!$T$2:$T$243,0)),"")</f>
        <v/>
      </c>
      <c r="B68" s="92">
        <f>IFERROR(INDEX('Sprint Planning'!$B$2:$B$241,MATCH(SMALL(Roadmap!$T$2:$T$243,ROW()-20),Roadmap!$T$2:$T$243,0)),"")</f>
        <v/>
      </c>
      <c r="C68" s="92">
        <f>IFERROR(INDEX('Sprint Planning'!$H$2:$H$241,MATCH(SMALL(Roadmap!$T$2:$T$243,ROW()-20),Roadmap!$T$2:$T$243,0)),"")</f>
        <v/>
      </c>
      <c r="D68" s="92">
        <f>IF($B68="","",IF($C68=10,"●",""))</f>
        <v/>
      </c>
      <c r="E68" s="92">
        <f>IF($B68="","",IF($C68=11,"●",""))</f>
        <v/>
      </c>
      <c r="F68" s="92">
        <f>IF($B68="","",IF($C68=12,"●",""))</f>
        <v/>
      </c>
      <c r="G68" s="92">
        <f>IF($B68="","",IF($C68=13,"●",""))</f>
        <v/>
      </c>
      <c r="H68" s="92">
        <f>IF($B68="","",IF($C68=14,"●",""))</f>
        <v/>
      </c>
      <c r="I68" s="92">
        <f>IF($B68="","",IF($C68=15,"●",""))</f>
        <v/>
      </c>
      <c r="J68" s="92">
        <f>IF($B68="","",IF($C68=16,"●",""))</f>
        <v/>
      </c>
      <c r="T68" s="92">
        <f>IF(AND('Sprint Planning'!$H68&gt;=10,'Sprint Planning'!$H68&lt;=16),IFERROR(MATCH('Sprint Planning'!$C68,Roadmap!$A$4:$A$15,0),99)*100+'Sprint Planning'!$H68+68/100000,"")</f>
        <v/>
      </c>
    </row>
    <row r="69" ht="15" customHeight="1" s="93">
      <c r="A69" s="92">
        <f>IFERROR(INDEX('Sprint Planning'!$C$2:$C$241,MATCH(SMALL(Roadmap!$T$2:$T$243,ROW()-20),Roadmap!$T$2:$T$243,0)),"")</f>
        <v/>
      </c>
      <c r="B69" s="92">
        <f>IFERROR(INDEX('Sprint Planning'!$B$2:$B$241,MATCH(SMALL(Roadmap!$T$2:$T$243,ROW()-20),Roadmap!$T$2:$T$243,0)),"")</f>
        <v/>
      </c>
      <c r="C69" s="92">
        <f>IFERROR(INDEX('Sprint Planning'!$H$2:$H$241,MATCH(SMALL(Roadmap!$T$2:$T$243,ROW()-20),Roadmap!$T$2:$T$243,0)),"")</f>
        <v/>
      </c>
      <c r="D69" s="92">
        <f>IF($B69="","",IF($C69=10,"●",""))</f>
        <v/>
      </c>
      <c r="E69" s="92">
        <f>IF($B69="","",IF($C69=11,"●",""))</f>
        <v/>
      </c>
      <c r="F69" s="92">
        <f>IF($B69="","",IF($C69=12,"●",""))</f>
        <v/>
      </c>
      <c r="G69" s="92">
        <f>IF($B69="","",IF($C69=13,"●",""))</f>
        <v/>
      </c>
      <c r="H69" s="92">
        <f>IF($B69="","",IF($C69=14,"●",""))</f>
        <v/>
      </c>
      <c r="I69" s="92">
        <f>IF($B69="","",IF($C69=15,"●",""))</f>
        <v/>
      </c>
      <c r="J69" s="92">
        <f>IF($B69="","",IF($C69=16,"●",""))</f>
        <v/>
      </c>
      <c r="T69" s="92">
        <f>IF(AND('Sprint Planning'!$H69&gt;=10,'Sprint Planning'!$H69&lt;=16),IFERROR(MATCH('Sprint Planning'!$C69,Roadmap!$A$4:$A$15,0),99)*100+'Sprint Planning'!$H69+69/100000,"")</f>
        <v/>
      </c>
    </row>
    <row r="70" ht="15" customHeight="1" s="93">
      <c r="A70" s="92">
        <f>IFERROR(INDEX('Sprint Planning'!$C$2:$C$241,MATCH(SMALL(Roadmap!$T$2:$T$243,ROW()-20),Roadmap!$T$2:$T$243,0)),"")</f>
        <v/>
      </c>
      <c r="B70" s="92">
        <f>IFERROR(INDEX('Sprint Planning'!$B$2:$B$241,MATCH(SMALL(Roadmap!$T$2:$T$243,ROW()-20),Roadmap!$T$2:$T$243,0)),"")</f>
        <v/>
      </c>
      <c r="C70" s="92">
        <f>IFERROR(INDEX('Sprint Planning'!$H$2:$H$241,MATCH(SMALL(Roadmap!$T$2:$T$243,ROW()-20),Roadmap!$T$2:$T$243,0)),"")</f>
        <v/>
      </c>
      <c r="D70" s="92">
        <f>IF($B70="","",IF($C70=10,"●",""))</f>
        <v/>
      </c>
      <c r="E70" s="92">
        <f>IF($B70="","",IF($C70=11,"●",""))</f>
        <v/>
      </c>
      <c r="F70" s="92">
        <f>IF($B70="","",IF($C70=12,"●",""))</f>
        <v/>
      </c>
      <c r="G70" s="92">
        <f>IF($B70="","",IF($C70=13,"●",""))</f>
        <v/>
      </c>
      <c r="H70" s="92">
        <f>IF($B70="","",IF($C70=14,"●",""))</f>
        <v/>
      </c>
      <c r="I70" s="92">
        <f>IF($B70="","",IF($C70=15,"●",""))</f>
        <v/>
      </c>
      <c r="J70" s="92">
        <f>IF($B70="","",IF($C70=16,"●",""))</f>
        <v/>
      </c>
      <c r="T70" s="92">
        <f>IF(AND('Sprint Planning'!$H70&gt;=10,'Sprint Planning'!$H70&lt;=16),IFERROR(MATCH('Sprint Planning'!$C70,Roadmap!$A$4:$A$15,0),99)*100+'Sprint Planning'!$H70+70/100000,"")</f>
        <v/>
      </c>
    </row>
    <row r="71" ht="15" customHeight="1" s="93">
      <c r="A71" s="92">
        <f>IFERROR(INDEX('Sprint Planning'!$C$2:$C$241,MATCH(SMALL(Roadmap!$T$2:$T$243,ROW()-20),Roadmap!$T$2:$T$243,0)),"")</f>
        <v/>
      </c>
      <c r="B71" s="92">
        <f>IFERROR(INDEX('Sprint Planning'!$B$2:$B$241,MATCH(SMALL(Roadmap!$T$2:$T$243,ROW()-20),Roadmap!$T$2:$T$243,0)),"")</f>
        <v/>
      </c>
      <c r="C71" s="92">
        <f>IFERROR(INDEX('Sprint Planning'!$H$2:$H$241,MATCH(SMALL(Roadmap!$T$2:$T$243,ROW()-20),Roadmap!$T$2:$T$243,0)),"")</f>
        <v/>
      </c>
      <c r="D71" s="92">
        <f>IF($B71="","",IF($C71=10,"●",""))</f>
        <v/>
      </c>
      <c r="E71" s="92">
        <f>IF($B71="","",IF($C71=11,"●",""))</f>
        <v/>
      </c>
      <c r="F71" s="92">
        <f>IF($B71="","",IF($C71=12,"●",""))</f>
        <v/>
      </c>
      <c r="G71" s="92">
        <f>IF($B71="","",IF($C71=13,"●",""))</f>
        <v/>
      </c>
      <c r="H71" s="92">
        <f>IF($B71="","",IF($C71=14,"●",""))</f>
        <v/>
      </c>
      <c r="I71" s="92">
        <f>IF($B71="","",IF($C71=15,"●",""))</f>
        <v/>
      </c>
      <c r="J71" s="92">
        <f>IF($B71="","",IF($C71=16,"●",""))</f>
        <v/>
      </c>
      <c r="T71" s="92">
        <f>IF(AND('Sprint Planning'!$H71&gt;=10,'Sprint Planning'!$H71&lt;=16),IFERROR(MATCH('Sprint Planning'!$C71,Roadmap!$A$4:$A$15,0),99)*100+'Sprint Planning'!$H71+71/100000,"")</f>
        <v/>
      </c>
    </row>
    <row r="72" ht="15" customHeight="1" s="93">
      <c r="A72" s="92">
        <f>IFERROR(INDEX('Sprint Planning'!$C$2:$C$241,MATCH(SMALL(Roadmap!$T$2:$T$243,ROW()-20),Roadmap!$T$2:$T$243,0)),"")</f>
        <v/>
      </c>
      <c r="B72" s="92">
        <f>IFERROR(INDEX('Sprint Planning'!$B$2:$B$241,MATCH(SMALL(Roadmap!$T$2:$T$243,ROW()-20),Roadmap!$T$2:$T$243,0)),"")</f>
        <v/>
      </c>
      <c r="C72" s="92">
        <f>IFERROR(INDEX('Sprint Planning'!$H$2:$H$241,MATCH(SMALL(Roadmap!$T$2:$T$243,ROW()-20),Roadmap!$T$2:$T$243,0)),"")</f>
        <v/>
      </c>
      <c r="D72" s="92">
        <f>IF($B72="","",IF($C72=10,"●",""))</f>
        <v/>
      </c>
      <c r="E72" s="92">
        <f>IF($B72="","",IF($C72=11,"●",""))</f>
        <v/>
      </c>
      <c r="F72" s="92">
        <f>IF($B72="","",IF($C72=12,"●",""))</f>
        <v/>
      </c>
      <c r="G72" s="92">
        <f>IF($B72="","",IF($C72=13,"●",""))</f>
        <v/>
      </c>
      <c r="H72" s="92">
        <f>IF($B72="","",IF($C72=14,"●",""))</f>
        <v/>
      </c>
      <c r="I72" s="92">
        <f>IF($B72="","",IF($C72=15,"●",""))</f>
        <v/>
      </c>
      <c r="J72" s="92">
        <f>IF($B72="","",IF($C72=16,"●",""))</f>
        <v/>
      </c>
      <c r="T72" s="92">
        <f>IF(AND('Sprint Planning'!$H72&gt;=10,'Sprint Planning'!$H72&lt;=16),IFERROR(MATCH('Sprint Planning'!$C72,Roadmap!$A$4:$A$15,0),99)*100+'Sprint Planning'!$H72+72/100000,"")</f>
        <v/>
      </c>
    </row>
    <row r="73" ht="15" customHeight="1" s="93">
      <c r="A73" s="92">
        <f>IFERROR(INDEX('Sprint Planning'!$C$2:$C$241,MATCH(SMALL(Roadmap!$T$2:$T$243,ROW()-20),Roadmap!$T$2:$T$243,0)),"")</f>
        <v/>
      </c>
      <c r="B73" s="92">
        <f>IFERROR(INDEX('Sprint Planning'!$B$2:$B$241,MATCH(SMALL(Roadmap!$T$2:$T$243,ROW()-20),Roadmap!$T$2:$T$243,0)),"")</f>
        <v/>
      </c>
      <c r="C73" s="92">
        <f>IFERROR(INDEX('Sprint Planning'!$H$2:$H$241,MATCH(SMALL(Roadmap!$T$2:$T$243,ROW()-20),Roadmap!$T$2:$T$243,0)),"")</f>
        <v/>
      </c>
      <c r="D73" s="92">
        <f>IF($B73="","",IF($C73=10,"●",""))</f>
        <v/>
      </c>
      <c r="E73" s="92">
        <f>IF($B73="","",IF($C73=11,"●",""))</f>
        <v/>
      </c>
      <c r="F73" s="92">
        <f>IF($B73="","",IF($C73=12,"●",""))</f>
        <v/>
      </c>
      <c r="G73" s="92">
        <f>IF($B73="","",IF($C73=13,"●",""))</f>
        <v/>
      </c>
      <c r="H73" s="92">
        <f>IF($B73="","",IF($C73=14,"●",""))</f>
        <v/>
      </c>
      <c r="I73" s="92">
        <f>IF($B73="","",IF($C73=15,"●",""))</f>
        <v/>
      </c>
      <c r="J73" s="92">
        <f>IF($B73="","",IF($C73=16,"●",""))</f>
        <v/>
      </c>
      <c r="T73" s="92">
        <f>IF(AND('Sprint Planning'!$H73&gt;=10,'Sprint Planning'!$H73&lt;=16),IFERROR(MATCH('Sprint Planning'!$C73,Roadmap!$A$4:$A$15,0),99)*100+'Sprint Planning'!$H73+73/100000,"")</f>
        <v/>
      </c>
    </row>
    <row r="74" ht="15" customHeight="1" s="93">
      <c r="A74" s="92">
        <f>IFERROR(INDEX('Sprint Planning'!$C$2:$C$241,MATCH(SMALL(Roadmap!$T$2:$T$243,ROW()-20),Roadmap!$T$2:$T$243,0)),"")</f>
        <v/>
      </c>
      <c r="B74" s="92">
        <f>IFERROR(INDEX('Sprint Planning'!$B$2:$B$241,MATCH(SMALL(Roadmap!$T$2:$T$243,ROW()-20),Roadmap!$T$2:$T$243,0)),"")</f>
        <v/>
      </c>
      <c r="C74" s="92">
        <f>IFERROR(INDEX('Sprint Planning'!$H$2:$H$241,MATCH(SMALL(Roadmap!$T$2:$T$243,ROW()-20),Roadmap!$T$2:$T$243,0)),"")</f>
        <v/>
      </c>
      <c r="D74" s="92">
        <f>IF($B74="","",IF($C74=10,"●",""))</f>
        <v/>
      </c>
      <c r="E74" s="92">
        <f>IF($B74="","",IF($C74=11,"●",""))</f>
        <v/>
      </c>
      <c r="F74" s="92">
        <f>IF($B74="","",IF($C74=12,"●",""))</f>
        <v/>
      </c>
      <c r="G74" s="92">
        <f>IF($B74="","",IF($C74=13,"●",""))</f>
        <v/>
      </c>
      <c r="H74" s="92">
        <f>IF($B74="","",IF($C74=14,"●",""))</f>
        <v/>
      </c>
      <c r="I74" s="92">
        <f>IF($B74="","",IF($C74=15,"●",""))</f>
        <v/>
      </c>
      <c r="J74" s="92">
        <f>IF($B74="","",IF($C74=16,"●",""))</f>
        <v/>
      </c>
      <c r="T74" s="92">
        <f>IF(AND('Sprint Planning'!$H74&gt;=10,'Sprint Planning'!$H74&lt;=16),IFERROR(MATCH('Sprint Planning'!$C74,Roadmap!$A$4:$A$15,0),99)*100+'Sprint Planning'!$H74+74/100000,"")</f>
        <v/>
      </c>
    </row>
    <row r="75" ht="15" customHeight="1" s="93">
      <c r="A75" s="92">
        <f>IFERROR(INDEX('Sprint Planning'!$C$2:$C$241,MATCH(SMALL(Roadmap!$T$2:$T$243,ROW()-20),Roadmap!$T$2:$T$243,0)),"")</f>
        <v/>
      </c>
      <c r="B75" s="92">
        <f>IFERROR(INDEX('Sprint Planning'!$B$2:$B$241,MATCH(SMALL(Roadmap!$T$2:$T$243,ROW()-20),Roadmap!$T$2:$T$243,0)),"")</f>
        <v/>
      </c>
      <c r="C75" s="92">
        <f>IFERROR(INDEX('Sprint Planning'!$H$2:$H$241,MATCH(SMALL(Roadmap!$T$2:$T$243,ROW()-20),Roadmap!$T$2:$T$243,0)),"")</f>
        <v/>
      </c>
      <c r="D75" s="92">
        <f>IF($B75="","",IF($C75=10,"●",""))</f>
        <v/>
      </c>
      <c r="E75" s="92">
        <f>IF($B75="","",IF($C75=11,"●",""))</f>
        <v/>
      </c>
      <c r="F75" s="92">
        <f>IF($B75="","",IF($C75=12,"●",""))</f>
        <v/>
      </c>
      <c r="G75" s="92">
        <f>IF($B75="","",IF($C75=13,"●",""))</f>
        <v/>
      </c>
      <c r="H75" s="92">
        <f>IF($B75="","",IF($C75=14,"●",""))</f>
        <v/>
      </c>
      <c r="I75" s="92">
        <f>IF($B75="","",IF($C75=15,"●",""))</f>
        <v/>
      </c>
      <c r="J75" s="92">
        <f>IF($B75="","",IF($C75=16,"●",""))</f>
        <v/>
      </c>
      <c r="T75" s="92">
        <f>IF(AND('Sprint Planning'!$H75&gt;=10,'Sprint Planning'!$H75&lt;=16),IFERROR(MATCH('Sprint Planning'!$C75,Roadmap!$A$4:$A$15,0),99)*100+'Sprint Planning'!$H75+75/100000,"")</f>
        <v/>
      </c>
    </row>
    <row r="76" ht="15" customHeight="1" s="93">
      <c r="A76" s="92">
        <f>IFERROR(INDEX('Sprint Planning'!$C$2:$C$241,MATCH(SMALL(Roadmap!$T$2:$T$243,ROW()-20),Roadmap!$T$2:$T$243,0)),"")</f>
        <v/>
      </c>
      <c r="B76" s="92">
        <f>IFERROR(INDEX('Sprint Planning'!$B$2:$B$241,MATCH(SMALL(Roadmap!$T$2:$T$243,ROW()-20),Roadmap!$T$2:$T$243,0)),"")</f>
        <v/>
      </c>
      <c r="C76" s="92">
        <f>IFERROR(INDEX('Sprint Planning'!$H$2:$H$241,MATCH(SMALL(Roadmap!$T$2:$T$243,ROW()-20),Roadmap!$T$2:$T$243,0)),"")</f>
        <v/>
      </c>
      <c r="D76" s="92">
        <f>IF($B76="","",IF($C76=10,"●",""))</f>
        <v/>
      </c>
      <c r="E76" s="92">
        <f>IF($B76="","",IF($C76=11,"●",""))</f>
        <v/>
      </c>
      <c r="F76" s="92">
        <f>IF($B76="","",IF($C76=12,"●",""))</f>
        <v/>
      </c>
      <c r="G76" s="92">
        <f>IF($B76="","",IF($C76=13,"●",""))</f>
        <v/>
      </c>
      <c r="H76" s="92">
        <f>IF($B76="","",IF($C76=14,"●",""))</f>
        <v/>
      </c>
      <c r="I76" s="92">
        <f>IF($B76="","",IF($C76=15,"●",""))</f>
        <v/>
      </c>
      <c r="J76" s="92">
        <f>IF($B76="","",IF($C76=16,"●",""))</f>
        <v/>
      </c>
      <c r="T76" s="92">
        <f>IF(AND('Sprint Planning'!$H76&gt;=10,'Sprint Planning'!$H76&lt;=16),IFERROR(MATCH('Sprint Planning'!$C76,Roadmap!$A$4:$A$15,0),99)*100+'Sprint Planning'!$H76+76/100000,"")</f>
        <v/>
      </c>
    </row>
    <row r="77" ht="15" customHeight="1" s="93">
      <c r="A77" s="92">
        <f>IFERROR(INDEX('Sprint Planning'!$C$2:$C$241,MATCH(SMALL(Roadmap!$T$2:$T$243,ROW()-20),Roadmap!$T$2:$T$243,0)),"")</f>
        <v/>
      </c>
      <c r="B77" s="92">
        <f>IFERROR(INDEX('Sprint Planning'!$B$2:$B$241,MATCH(SMALL(Roadmap!$T$2:$T$243,ROW()-20),Roadmap!$T$2:$T$243,0)),"")</f>
        <v/>
      </c>
      <c r="C77" s="92">
        <f>IFERROR(INDEX('Sprint Planning'!$H$2:$H$241,MATCH(SMALL(Roadmap!$T$2:$T$243,ROW()-20),Roadmap!$T$2:$T$243,0)),"")</f>
        <v/>
      </c>
      <c r="D77" s="92">
        <f>IF($B77="","",IF($C77=10,"●",""))</f>
        <v/>
      </c>
      <c r="E77" s="92">
        <f>IF($B77="","",IF($C77=11,"●",""))</f>
        <v/>
      </c>
      <c r="F77" s="92">
        <f>IF($B77="","",IF($C77=12,"●",""))</f>
        <v/>
      </c>
      <c r="G77" s="92">
        <f>IF($B77="","",IF($C77=13,"●",""))</f>
        <v/>
      </c>
      <c r="H77" s="92">
        <f>IF($B77="","",IF($C77=14,"●",""))</f>
        <v/>
      </c>
      <c r="I77" s="92">
        <f>IF($B77="","",IF($C77=15,"●",""))</f>
        <v/>
      </c>
      <c r="J77" s="92">
        <f>IF($B77="","",IF($C77=16,"●",""))</f>
        <v/>
      </c>
      <c r="T77" s="92">
        <f>IF(AND('Sprint Planning'!$H77&gt;=10,'Sprint Planning'!$H77&lt;=16),IFERROR(MATCH('Sprint Planning'!$C77,Roadmap!$A$4:$A$15,0),99)*100+'Sprint Planning'!$H77+77/100000,"")</f>
        <v/>
      </c>
    </row>
    <row r="78" ht="15" customHeight="1" s="93">
      <c r="A78" s="92">
        <f>IFERROR(INDEX('Sprint Planning'!$C$2:$C$241,MATCH(SMALL(Roadmap!$T$2:$T$243,ROW()-20),Roadmap!$T$2:$T$243,0)),"")</f>
        <v/>
      </c>
      <c r="B78" s="92">
        <f>IFERROR(INDEX('Sprint Planning'!$B$2:$B$241,MATCH(SMALL(Roadmap!$T$2:$T$243,ROW()-20),Roadmap!$T$2:$T$243,0)),"")</f>
        <v/>
      </c>
      <c r="C78" s="92">
        <f>IFERROR(INDEX('Sprint Planning'!$H$2:$H$241,MATCH(SMALL(Roadmap!$T$2:$T$243,ROW()-20),Roadmap!$T$2:$T$243,0)),"")</f>
        <v/>
      </c>
      <c r="D78" s="92">
        <f>IF($B78="","",IF($C78=10,"●",""))</f>
        <v/>
      </c>
      <c r="E78" s="92">
        <f>IF($B78="","",IF($C78=11,"●",""))</f>
        <v/>
      </c>
      <c r="F78" s="92">
        <f>IF($B78="","",IF($C78=12,"●",""))</f>
        <v/>
      </c>
      <c r="G78" s="92">
        <f>IF($B78="","",IF($C78=13,"●",""))</f>
        <v/>
      </c>
      <c r="H78" s="92">
        <f>IF($B78="","",IF($C78=14,"●",""))</f>
        <v/>
      </c>
      <c r="I78" s="92">
        <f>IF($B78="","",IF($C78=15,"●",""))</f>
        <v/>
      </c>
      <c r="J78" s="92">
        <f>IF($B78="","",IF($C78=16,"●",""))</f>
        <v/>
      </c>
      <c r="T78" s="92">
        <f>IF(AND('Sprint Planning'!$H78&gt;=10,'Sprint Planning'!$H78&lt;=16),IFERROR(MATCH('Sprint Planning'!$C78,Roadmap!$A$4:$A$15,0),99)*100+'Sprint Planning'!$H78+78/100000,"")</f>
        <v/>
      </c>
    </row>
    <row r="79" ht="15" customHeight="1" s="93">
      <c r="A79" s="92">
        <f>IFERROR(INDEX('Sprint Planning'!$C$2:$C$241,MATCH(SMALL(Roadmap!$T$2:$T$243,ROW()-20),Roadmap!$T$2:$T$243,0)),"")</f>
        <v/>
      </c>
      <c r="B79" s="92">
        <f>IFERROR(INDEX('Sprint Planning'!$B$2:$B$241,MATCH(SMALL(Roadmap!$T$2:$T$243,ROW()-20),Roadmap!$T$2:$T$243,0)),"")</f>
        <v/>
      </c>
      <c r="C79" s="92">
        <f>IFERROR(INDEX('Sprint Planning'!$H$2:$H$241,MATCH(SMALL(Roadmap!$T$2:$T$243,ROW()-20),Roadmap!$T$2:$T$243,0)),"")</f>
        <v/>
      </c>
      <c r="D79" s="92">
        <f>IF($B79="","",IF($C79=10,"●",""))</f>
        <v/>
      </c>
      <c r="E79" s="92">
        <f>IF($B79="","",IF($C79=11,"●",""))</f>
        <v/>
      </c>
      <c r="F79" s="92">
        <f>IF($B79="","",IF($C79=12,"●",""))</f>
        <v/>
      </c>
      <c r="G79" s="92">
        <f>IF($B79="","",IF($C79=13,"●",""))</f>
        <v/>
      </c>
      <c r="H79" s="92">
        <f>IF($B79="","",IF($C79=14,"●",""))</f>
        <v/>
      </c>
      <c r="I79" s="92">
        <f>IF($B79="","",IF($C79=15,"●",""))</f>
        <v/>
      </c>
      <c r="J79" s="92">
        <f>IF($B79="","",IF($C79=16,"●",""))</f>
        <v/>
      </c>
      <c r="T79" s="92">
        <f>IF(AND('Sprint Planning'!$H79&gt;=10,'Sprint Planning'!$H79&lt;=16),IFERROR(MATCH('Sprint Planning'!$C79,Roadmap!$A$4:$A$15,0),99)*100+'Sprint Planning'!$H79+79/100000,"")</f>
        <v/>
      </c>
    </row>
    <row r="80" ht="15" customHeight="1" s="93">
      <c r="A80" s="92">
        <f>IFERROR(INDEX('Sprint Planning'!$C$2:$C$241,MATCH(SMALL(Roadmap!$T$2:$T$243,ROW()-20),Roadmap!$T$2:$T$243,0)),"")</f>
        <v/>
      </c>
      <c r="B80" s="92">
        <f>IFERROR(INDEX('Sprint Planning'!$B$2:$B$241,MATCH(SMALL(Roadmap!$T$2:$T$243,ROW()-20),Roadmap!$T$2:$T$243,0)),"")</f>
        <v/>
      </c>
      <c r="C80" s="92">
        <f>IFERROR(INDEX('Sprint Planning'!$H$2:$H$241,MATCH(SMALL(Roadmap!$T$2:$T$243,ROW()-20),Roadmap!$T$2:$T$243,0)),"")</f>
        <v/>
      </c>
      <c r="D80" s="92">
        <f>IF($B80="","",IF($C80=10,"●",""))</f>
        <v/>
      </c>
      <c r="E80" s="92">
        <f>IF($B80="","",IF($C80=11,"●",""))</f>
        <v/>
      </c>
      <c r="F80" s="92">
        <f>IF($B80="","",IF($C80=12,"●",""))</f>
        <v/>
      </c>
      <c r="G80" s="92">
        <f>IF($B80="","",IF($C80=13,"●",""))</f>
        <v/>
      </c>
      <c r="H80" s="92">
        <f>IF($B80="","",IF($C80=14,"●",""))</f>
        <v/>
      </c>
      <c r="I80" s="92">
        <f>IF($B80="","",IF($C80=15,"●",""))</f>
        <v/>
      </c>
      <c r="J80" s="92">
        <f>IF($B80="","",IF($C80=16,"●",""))</f>
        <v/>
      </c>
      <c r="T80" s="92">
        <f>IF(AND('Sprint Planning'!$H80&gt;=10,'Sprint Planning'!$H80&lt;=16),IFERROR(MATCH('Sprint Planning'!$C80,Roadmap!$A$4:$A$15,0),99)*100+'Sprint Planning'!$H80+80/100000,"")</f>
        <v/>
      </c>
    </row>
    <row r="81" ht="15" customHeight="1" s="93">
      <c r="A81" s="92">
        <f>IFERROR(INDEX('Sprint Planning'!$C$2:$C$241,MATCH(SMALL(Roadmap!$T$2:$T$243,ROW()-20),Roadmap!$T$2:$T$243,0)),"")</f>
        <v/>
      </c>
      <c r="B81" s="92">
        <f>IFERROR(INDEX('Sprint Planning'!$B$2:$B$241,MATCH(SMALL(Roadmap!$T$2:$T$243,ROW()-20),Roadmap!$T$2:$T$243,0)),"")</f>
        <v/>
      </c>
      <c r="C81" s="92">
        <f>IFERROR(INDEX('Sprint Planning'!$H$2:$H$241,MATCH(SMALL(Roadmap!$T$2:$T$243,ROW()-20),Roadmap!$T$2:$T$243,0)),"")</f>
        <v/>
      </c>
      <c r="D81" s="92">
        <f>IF($B81="","",IF($C81=10,"●",""))</f>
        <v/>
      </c>
      <c r="E81" s="92">
        <f>IF($B81="","",IF($C81=11,"●",""))</f>
        <v/>
      </c>
      <c r="F81" s="92">
        <f>IF($B81="","",IF($C81=12,"●",""))</f>
        <v/>
      </c>
      <c r="G81" s="92">
        <f>IF($B81="","",IF($C81=13,"●",""))</f>
        <v/>
      </c>
      <c r="H81" s="92">
        <f>IF($B81="","",IF($C81=14,"●",""))</f>
        <v/>
      </c>
      <c r="I81" s="92">
        <f>IF($B81="","",IF($C81=15,"●",""))</f>
        <v/>
      </c>
      <c r="J81" s="92">
        <f>IF($B81="","",IF($C81=16,"●",""))</f>
        <v/>
      </c>
      <c r="T81" s="92">
        <f>IF(AND('Sprint Planning'!$H81&gt;=10,'Sprint Planning'!$H81&lt;=16),IFERROR(MATCH('Sprint Planning'!$C81,Roadmap!$A$4:$A$15,0),99)*100+'Sprint Planning'!$H81+81/100000,"")</f>
        <v/>
      </c>
    </row>
    <row r="82" ht="15" customHeight="1" s="93">
      <c r="A82" s="92">
        <f>IFERROR(INDEX('Sprint Planning'!$C$2:$C$241,MATCH(SMALL(Roadmap!$T$2:$T$243,ROW()-20),Roadmap!$T$2:$T$243,0)),"")</f>
        <v/>
      </c>
      <c r="B82" s="92">
        <f>IFERROR(INDEX('Sprint Planning'!$B$2:$B$241,MATCH(SMALL(Roadmap!$T$2:$T$243,ROW()-20),Roadmap!$T$2:$T$243,0)),"")</f>
        <v/>
      </c>
      <c r="C82" s="92">
        <f>IFERROR(INDEX('Sprint Planning'!$H$2:$H$241,MATCH(SMALL(Roadmap!$T$2:$T$243,ROW()-20),Roadmap!$T$2:$T$243,0)),"")</f>
        <v/>
      </c>
      <c r="D82" s="92">
        <f>IF($B82="","",IF($C82=10,"●",""))</f>
        <v/>
      </c>
      <c r="E82" s="92">
        <f>IF($B82="","",IF($C82=11,"●",""))</f>
        <v/>
      </c>
      <c r="F82" s="92">
        <f>IF($B82="","",IF($C82=12,"●",""))</f>
        <v/>
      </c>
      <c r="G82" s="92">
        <f>IF($B82="","",IF($C82=13,"●",""))</f>
        <v/>
      </c>
      <c r="H82" s="92">
        <f>IF($B82="","",IF($C82=14,"●",""))</f>
        <v/>
      </c>
      <c r="I82" s="92">
        <f>IF($B82="","",IF($C82=15,"●",""))</f>
        <v/>
      </c>
      <c r="J82" s="92">
        <f>IF($B82="","",IF($C82=16,"●",""))</f>
        <v/>
      </c>
      <c r="T82" s="92">
        <f>IF(AND('Sprint Planning'!$H82&gt;=10,'Sprint Planning'!$H82&lt;=16),IFERROR(MATCH('Sprint Planning'!$C82,Roadmap!$A$4:$A$15,0),99)*100+'Sprint Planning'!$H82+82/100000,"")</f>
        <v/>
      </c>
    </row>
    <row r="83" ht="15" customHeight="1" s="93">
      <c r="A83" s="92">
        <f>IFERROR(INDEX('Sprint Planning'!$C$2:$C$241,MATCH(SMALL(Roadmap!$T$2:$T$243,ROW()-20),Roadmap!$T$2:$T$243,0)),"")</f>
        <v/>
      </c>
      <c r="B83" s="92">
        <f>IFERROR(INDEX('Sprint Planning'!$B$2:$B$241,MATCH(SMALL(Roadmap!$T$2:$T$243,ROW()-20),Roadmap!$T$2:$T$243,0)),"")</f>
        <v/>
      </c>
      <c r="C83" s="92">
        <f>IFERROR(INDEX('Sprint Planning'!$H$2:$H$241,MATCH(SMALL(Roadmap!$T$2:$T$243,ROW()-20),Roadmap!$T$2:$T$243,0)),"")</f>
        <v/>
      </c>
      <c r="D83" s="92">
        <f>IF($B83="","",IF($C83=10,"●",""))</f>
        <v/>
      </c>
      <c r="E83" s="92">
        <f>IF($B83="","",IF($C83=11,"●",""))</f>
        <v/>
      </c>
      <c r="F83" s="92">
        <f>IF($B83="","",IF($C83=12,"●",""))</f>
        <v/>
      </c>
      <c r="G83" s="92">
        <f>IF($B83="","",IF($C83=13,"●",""))</f>
        <v/>
      </c>
      <c r="H83" s="92">
        <f>IF($B83="","",IF($C83=14,"●",""))</f>
        <v/>
      </c>
      <c r="I83" s="92">
        <f>IF($B83="","",IF($C83=15,"●",""))</f>
        <v/>
      </c>
      <c r="J83" s="92">
        <f>IF($B83="","",IF($C83=16,"●",""))</f>
        <v/>
      </c>
      <c r="T83" s="92">
        <f>IF(AND('Sprint Planning'!$H83&gt;=10,'Sprint Planning'!$H83&lt;=16),IFERROR(MATCH('Sprint Planning'!$C83,Roadmap!$A$4:$A$15,0),99)*100+'Sprint Planning'!$H83+83/100000,"")</f>
        <v/>
      </c>
    </row>
    <row r="84" ht="15" customHeight="1" s="93">
      <c r="A84" s="92">
        <f>IFERROR(INDEX('Sprint Planning'!$C$2:$C$241,MATCH(SMALL(Roadmap!$T$2:$T$243,ROW()-20),Roadmap!$T$2:$T$243,0)),"")</f>
        <v/>
      </c>
      <c r="B84" s="92">
        <f>IFERROR(INDEX('Sprint Planning'!$B$2:$B$241,MATCH(SMALL(Roadmap!$T$2:$T$243,ROW()-20),Roadmap!$T$2:$T$243,0)),"")</f>
        <v/>
      </c>
      <c r="C84" s="92">
        <f>IFERROR(INDEX('Sprint Planning'!$H$2:$H$241,MATCH(SMALL(Roadmap!$T$2:$T$243,ROW()-20),Roadmap!$T$2:$T$243,0)),"")</f>
        <v/>
      </c>
      <c r="D84" s="92">
        <f>IF($B84="","",IF($C84=10,"●",""))</f>
        <v/>
      </c>
      <c r="E84" s="92">
        <f>IF($B84="","",IF($C84=11,"●",""))</f>
        <v/>
      </c>
      <c r="F84" s="92">
        <f>IF($B84="","",IF($C84=12,"●",""))</f>
        <v/>
      </c>
      <c r="G84" s="92">
        <f>IF($B84="","",IF($C84=13,"●",""))</f>
        <v/>
      </c>
      <c r="H84" s="92">
        <f>IF($B84="","",IF($C84=14,"●",""))</f>
        <v/>
      </c>
      <c r="I84" s="92">
        <f>IF($B84="","",IF($C84=15,"●",""))</f>
        <v/>
      </c>
      <c r="J84" s="92">
        <f>IF($B84="","",IF($C84=16,"●",""))</f>
        <v/>
      </c>
      <c r="T84" s="92">
        <f>IF(AND('Sprint Planning'!$H84&gt;=10,'Sprint Planning'!$H84&lt;=16),IFERROR(MATCH('Sprint Planning'!$C84,Roadmap!$A$4:$A$15,0),99)*100+'Sprint Planning'!$H84+84/100000,"")</f>
        <v/>
      </c>
    </row>
    <row r="85" ht="15" customHeight="1" s="93">
      <c r="A85" s="92">
        <f>IFERROR(INDEX('Sprint Planning'!$C$2:$C$241,MATCH(SMALL(Roadmap!$T$2:$T$243,ROW()-20),Roadmap!$T$2:$T$243,0)),"")</f>
        <v/>
      </c>
      <c r="B85" s="92">
        <f>IFERROR(INDEX('Sprint Planning'!$B$2:$B$241,MATCH(SMALL(Roadmap!$T$2:$T$243,ROW()-20),Roadmap!$T$2:$T$243,0)),"")</f>
        <v/>
      </c>
      <c r="C85" s="92">
        <f>IFERROR(INDEX('Sprint Planning'!$H$2:$H$241,MATCH(SMALL(Roadmap!$T$2:$T$243,ROW()-20),Roadmap!$T$2:$T$243,0)),"")</f>
        <v/>
      </c>
      <c r="D85" s="92">
        <f>IF($B85="","",IF($C85=10,"●",""))</f>
        <v/>
      </c>
      <c r="E85" s="92">
        <f>IF($B85="","",IF($C85=11,"●",""))</f>
        <v/>
      </c>
      <c r="F85" s="92">
        <f>IF($B85="","",IF($C85=12,"●",""))</f>
        <v/>
      </c>
      <c r="G85" s="92">
        <f>IF($B85="","",IF($C85=13,"●",""))</f>
        <v/>
      </c>
      <c r="H85" s="92">
        <f>IF($B85="","",IF($C85=14,"●",""))</f>
        <v/>
      </c>
      <c r="I85" s="92">
        <f>IF($B85="","",IF($C85=15,"●",""))</f>
        <v/>
      </c>
      <c r="J85" s="92">
        <f>IF($B85="","",IF($C85=16,"●",""))</f>
        <v/>
      </c>
      <c r="T85" s="92">
        <f>IF(AND('Sprint Planning'!$H85&gt;=10,'Sprint Planning'!$H85&lt;=16),IFERROR(MATCH('Sprint Planning'!$C85,Roadmap!$A$4:$A$15,0),99)*100+'Sprint Planning'!$H85+85/100000,"")</f>
        <v/>
      </c>
    </row>
    <row r="86" ht="15" customHeight="1" s="93">
      <c r="A86" s="92">
        <f>IFERROR(INDEX('Sprint Planning'!$C$2:$C$241,MATCH(SMALL(Roadmap!$T$2:$T$243,ROW()-20),Roadmap!$T$2:$T$243,0)),"")</f>
        <v/>
      </c>
      <c r="B86" s="92">
        <f>IFERROR(INDEX('Sprint Planning'!$B$2:$B$241,MATCH(SMALL(Roadmap!$T$2:$T$243,ROW()-20),Roadmap!$T$2:$T$243,0)),"")</f>
        <v/>
      </c>
      <c r="C86" s="92">
        <f>IFERROR(INDEX('Sprint Planning'!$H$2:$H$241,MATCH(SMALL(Roadmap!$T$2:$T$243,ROW()-20),Roadmap!$T$2:$T$243,0)),"")</f>
        <v/>
      </c>
      <c r="D86" s="92">
        <f>IF($B86="","",IF($C86=10,"●",""))</f>
        <v/>
      </c>
      <c r="E86" s="92">
        <f>IF($B86="","",IF($C86=11,"●",""))</f>
        <v/>
      </c>
      <c r="F86" s="92">
        <f>IF($B86="","",IF($C86=12,"●",""))</f>
        <v/>
      </c>
      <c r="G86" s="92">
        <f>IF($B86="","",IF($C86=13,"●",""))</f>
        <v/>
      </c>
      <c r="H86" s="92">
        <f>IF($B86="","",IF($C86=14,"●",""))</f>
        <v/>
      </c>
      <c r="I86" s="92">
        <f>IF($B86="","",IF($C86=15,"●",""))</f>
        <v/>
      </c>
      <c r="J86" s="92">
        <f>IF($B86="","",IF($C86=16,"●",""))</f>
        <v/>
      </c>
      <c r="T86" s="92">
        <f>IF(AND('Sprint Planning'!$H86&gt;=10,'Sprint Planning'!$H86&lt;=16),IFERROR(MATCH('Sprint Planning'!$C86,Roadmap!$A$4:$A$15,0),99)*100+'Sprint Planning'!$H86+86/100000,"")</f>
        <v/>
      </c>
    </row>
    <row r="87" ht="15" customHeight="1" s="93">
      <c r="A87" s="92">
        <f>IFERROR(INDEX('Sprint Planning'!$C$2:$C$241,MATCH(SMALL(Roadmap!$T$2:$T$243,ROW()-20),Roadmap!$T$2:$T$243,0)),"")</f>
        <v/>
      </c>
      <c r="B87" s="92">
        <f>IFERROR(INDEX('Sprint Planning'!$B$2:$B$241,MATCH(SMALL(Roadmap!$T$2:$T$243,ROW()-20),Roadmap!$T$2:$T$243,0)),"")</f>
        <v/>
      </c>
      <c r="C87" s="92">
        <f>IFERROR(INDEX('Sprint Planning'!$H$2:$H$241,MATCH(SMALL(Roadmap!$T$2:$T$243,ROW()-20),Roadmap!$T$2:$T$243,0)),"")</f>
        <v/>
      </c>
      <c r="D87" s="92">
        <f>IF($B87="","",IF($C87=10,"●",""))</f>
        <v/>
      </c>
      <c r="E87" s="92">
        <f>IF($B87="","",IF($C87=11,"●",""))</f>
        <v/>
      </c>
      <c r="F87" s="92">
        <f>IF($B87="","",IF($C87=12,"●",""))</f>
        <v/>
      </c>
      <c r="G87" s="92">
        <f>IF($B87="","",IF($C87=13,"●",""))</f>
        <v/>
      </c>
      <c r="H87" s="92">
        <f>IF($B87="","",IF($C87=14,"●",""))</f>
        <v/>
      </c>
      <c r="I87" s="92">
        <f>IF($B87="","",IF($C87=15,"●",""))</f>
        <v/>
      </c>
      <c r="J87" s="92">
        <f>IF($B87="","",IF($C87=16,"●",""))</f>
        <v/>
      </c>
      <c r="T87" s="92">
        <f>IF(AND('Sprint Planning'!$H87&gt;=10,'Sprint Planning'!$H87&lt;=16),IFERROR(MATCH('Sprint Planning'!$C87,Roadmap!$A$4:$A$15,0),99)*100+'Sprint Planning'!$H87+87/100000,"")</f>
        <v/>
      </c>
    </row>
    <row r="88" ht="15" customHeight="1" s="93">
      <c r="A88" s="92">
        <f>IFERROR(INDEX('Sprint Planning'!$C$2:$C$241,MATCH(SMALL(Roadmap!$T$2:$T$243,ROW()-20),Roadmap!$T$2:$T$243,0)),"")</f>
        <v/>
      </c>
      <c r="B88" s="92">
        <f>IFERROR(INDEX('Sprint Planning'!$B$2:$B$241,MATCH(SMALL(Roadmap!$T$2:$T$243,ROW()-20),Roadmap!$T$2:$T$243,0)),"")</f>
        <v/>
      </c>
      <c r="C88" s="92">
        <f>IFERROR(INDEX('Sprint Planning'!$H$2:$H$241,MATCH(SMALL(Roadmap!$T$2:$T$243,ROW()-20),Roadmap!$T$2:$T$243,0)),"")</f>
        <v/>
      </c>
      <c r="D88" s="92">
        <f>IF($B88="","",IF($C88=10,"●",""))</f>
        <v/>
      </c>
      <c r="E88" s="92">
        <f>IF($B88="","",IF($C88=11,"●",""))</f>
        <v/>
      </c>
      <c r="F88" s="92">
        <f>IF($B88="","",IF($C88=12,"●",""))</f>
        <v/>
      </c>
      <c r="G88" s="92">
        <f>IF($B88="","",IF($C88=13,"●",""))</f>
        <v/>
      </c>
      <c r="H88" s="92">
        <f>IF($B88="","",IF($C88=14,"●",""))</f>
        <v/>
      </c>
      <c r="I88" s="92">
        <f>IF($B88="","",IF($C88=15,"●",""))</f>
        <v/>
      </c>
      <c r="J88" s="92">
        <f>IF($B88="","",IF($C88=16,"●",""))</f>
        <v/>
      </c>
      <c r="T88" s="92">
        <f>IF(AND('Sprint Planning'!$H88&gt;=10,'Sprint Planning'!$H88&lt;=16),IFERROR(MATCH('Sprint Planning'!$C88,Roadmap!$A$4:$A$15,0),99)*100+'Sprint Planning'!$H88+88/100000,"")</f>
        <v/>
      </c>
    </row>
    <row r="89" ht="15" customHeight="1" s="93">
      <c r="A89" s="92">
        <f>IFERROR(INDEX('Sprint Planning'!$C$2:$C$241,MATCH(SMALL(Roadmap!$T$2:$T$243,ROW()-20),Roadmap!$T$2:$T$243,0)),"")</f>
        <v/>
      </c>
      <c r="B89" s="92">
        <f>IFERROR(INDEX('Sprint Planning'!$B$2:$B$241,MATCH(SMALL(Roadmap!$T$2:$T$243,ROW()-20),Roadmap!$T$2:$T$243,0)),"")</f>
        <v/>
      </c>
      <c r="C89" s="92">
        <f>IFERROR(INDEX('Sprint Planning'!$H$2:$H$241,MATCH(SMALL(Roadmap!$T$2:$T$243,ROW()-20),Roadmap!$T$2:$T$243,0)),"")</f>
        <v/>
      </c>
      <c r="D89" s="92">
        <f>IF($B89="","",IF($C89=10,"●",""))</f>
        <v/>
      </c>
      <c r="E89" s="92">
        <f>IF($B89="","",IF($C89=11,"●",""))</f>
        <v/>
      </c>
      <c r="F89" s="92">
        <f>IF($B89="","",IF($C89=12,"●",""))</f>
        <v/>
      </c>
      <c r="G89" s="92">
        <f>IF($B89="","",IF($C89=13,"●",""))</f>
        <v/>
      </c>
      <c r="H89" s="92">
        <f>IF($B89="","",IF($C89=14,"●",""))</f>
        <v/>
      </c>
      <c r="I89" s="92">
        <f>IF($B89="","",IF($C89=15,"●",""))</f>
        <v/>
      </c>
      <c r="J89" s="92">
        <f>IF($B89="","",IF($C89=16,"●",""))</f>
        <v/>
      </c>
      <c r="T89" s="92">
        <f>IF(AND('Sprint Planning'!$H89&gt;=10,'Sprint Planning'!$H89&lt;=16),IFERROR(MATCH('Sprint Planning'!$C89,Roadmap!$A$4:$A$15,0),99)*100+'Sprint Planning'!$H89+89/100000,"")</f>
        <v/>
      </c>
    </row>
    <row r="90" ht="15" customHeight="1" s="93">
      <c r="A90" s="92">
        <f>IFERROR(INDEX('Sprint Planning'!$C$2:$C$241,MATCH(SMALL(Roadmap!$T$2:$T$243,ROW()-20),Roadmap!$T$2:$T$243,0)),"")</f>
        <v/>
      </c>
      <c r="B90" s="92">
        <f>IFERROR(INDEX('Sprint Planning'!$B$2:$B$241,MATCH(SMALL(Roadmap!$T$2:$T$243,ROW()-20),Roadmap!$T$2:$T$243,0)),"")</f>
        <v/>
      </c>
      <c r="C90" s="92">
        <f>IFERROR(INDEX('Sprint Planning'!$H$2:$H$241,MATCH(SMALL(Roadmap!$T$2:$T$243,ROW()-20),Roadmap!$T$2:$T$243,0)),"")</f>
        <v/>
      </c>
      <c r="D90" s="92">
        <f>IF($B90="","",IF($C90=10,"●",""))</f>
        <v/>
      </c>
      <c r="E90" s="92">
        <f>IF($B90="","",IF($C90=11,"●",""))</f>
        <v/>
      </c>
      <c r="F90" s="92">
        <f>IF($B90="","",IF($C90=12,"●",""))</f>
        <v/>
      </c>
      <c r="G90" s="92">
        <f>IF($B90="","",IF($C90=13,"●",""))</f>
        <v/>
      </c>
      <c r="H90" s="92">
        <f>IF($B90="","",IF($C90=14,"●",""))</f>
        <v/>
      </c>
      <c r="I90" s="92">
        <f>IF($B90="","",IF($C90=15,"●",""))</f>
        <v/>
      </c>
      <c r="J90" s="92">
        <f>IF($B90="","",IF($C90=16,"●",""))</f>
        <v/>
      </c>
      <c r="T90" s="92">
        <f>IF(AND('Sprint Planning'!$H90&gt;=10,'Sprint Planning'!$H90&lt;=16),IFERROR(MATCH('Sprint Planning'!$C90,Roadmap!$A$4:$A$15,0),99)*100+'Sprint Planning'!$H90+90/100000,"")</f>
        <v/>
      </c>
    </row>
    <row r="91" ht="15" customHeight="1" s="93">
      <c r="A91" s="92">
        <f>IFERROR(INDEX('Sprint Planning'!$C$2:$C$241,MATCH(SMALL(Roadmap!$T$2:$T$243,ROW()-20),Roadmap!$T$2:$T$243,0)),"")</f>
        <v/>
      </c>
      <c r="B91" s="92">
        <f>IFERROR(INDEX('Sprint Planning'!$B$2:$B$241,MATCH(SMALL(Roadmap!$T$2:$T$243,ROW()-20),Roadmap!$T$2:$T$243,0)),"")</f>
        <v/>
      </c>
      <c r="C91" s="92">
        <f>IFERROR(INDEX('Sprint Planning'!$H$2:$H$241,MATCH(SMALL(Roadmap!$T$2:$T$243,ROW()-20),Roadmap!$T$2:$T$243,0)),"")</f>
        <v/>
      </c>
      <c r="D91" s="92">
        <f>IF($B91="","",IF($C91=10,"●",""))</f>
        <v/>
      </c>
      <c r="E91" s="92">
        <f>IF($B91="","",IF($C91=11,"●",""))</f>
        <v/>
      </c>
      <c r="F91" s="92">
        <f>IF($B91="","",IF($C91=12,"●",""))</f>
        <v/>
      </c>
      <c r="G91" s="92">
        <f>IF($B91="","",IF($C91=13,"●",""))</f>
        <v/>
      </c>
      <c r="H91" s="92">
        <f>IF($B91="","",IF($C91=14,"●",""))</f>
        <v/>
      </c>
      <c r="I91" s="92">
        <f>IF($B91="","",IF($C91=15,"●",""))</f>
        <v/>
      </c>
      <c r="J91" s="92">
        <f>IF($B91="","",IF($C91=16,"●",""))</f>
        <v/>
      </c>
      <c r="T91" s="92">
        <f>IF(AND('Sprint Planning'!$H91&gt;=10,'Sprint Planning'!$H91&lt;=16),IFERROR(MATCH('Sprint Planning'!$C91,Roadmap!$A$4:$A$15,0),99)*100+'Sprint Planning'!$H91+91/100000,"")</f>
        <v/>
      </c>
    </row>
    <row r="92" ht="15" customHeight="1" s="93">
      <c r="A92" s="92">
        <f>IFERROR(INDEX('Sprint Planning'!$C$2:$C$241,MATCH(SMALL(Roadmap!$T$2:$T$243,ROW()-20),Roadmap!$T$2:$T$243,0)),"")</f>
        <v/>
      </c>
      <c r="B92" s="92">
        <f>IFERROR(INDEX('Sprint Planning'!$B$2:$B$241,MATCH(SMALL(Roadmap!$T$2:$T$243,ROW()-20),Roadmap!$T$2:$T$243,0)),"")</f>
        <v/>
      </c>
      <c r="C92" s="92">
        <f>IFERROR(INDEX('Sprint Planning'!$H$2:$H$241,MATCH(SMALL(Roadmap!$T$2:$T$243,ROW()-20),Roadmap!$T$2:$T$243,0)),"")</f>
        <v/>
      </c>
      <c r="D92" s="92">
        <f>IF($B92="","",IF($C92=10,"●",""))</f>
        <v/>
      </c>
      <c r="E92" s="92">
        <f>IF($B92="","",IF($C92=11,"●",""))</f>
        <v/>
      </c>
      <c r="F92" s="92">
        <f>IF($B92="","",IF($C92=12,"●",""))</f>
        <v/>
      </c>
      <c r="G92" s="92">
        <f>IF($B92="","",IF($C92=13,"●",""))</f>
        <v/>
      </c>
      <c r="H92" s="92">
        <f>IF($B92="","",IF($C92=14,"●",""))</f>
        <v/>
      </c>
      <c r="I92" s="92">
        <f>IF($B92="","",IF($C92=15,"●",""))</f>
        <v/>
      </c>
      <c r="J92" s="92">
        <f>IF($B92="","",IF($C92=16,"●",""))</f>
        <v/>
      </c>
      <c r="T92" s="92">
        <f>IF(AND('Sprint Planning'!$H92&gt;=10,'Sprint Planning'!$H92&lt;=16),IFERROR(MATCH('Sprint Planning'!$C92,Roadmap!$A$4:$A$15,0),99)*100+'Sprint Planning'!$H92+92/100000,"")</f>
        <v/>
      </c>
    </row>
    <row r="93" ht="15" customHeight="1" s="93">
      <c r="A93" s="92">
        <f>IFERROR(INDEX('Sprint Planning'!$C$2:$C$241,MATCH(SMALL(Roadmap!$T$2:$T$243,ROW()-20),Roadmap!$T$2:$T$243,0)),"")</f>
        <v/>
      </c>
      <c r="B93" s="92">
        <f>IFERROR(INDEX('Sprint Planning'!$B$2:$B$241,MATCH(SMALL(Roadmap!$T$2:$T$243,ROW()-20),Roadmap!$T$2:$T$243,0)),"")</f>
        <v/>
      </c>
      <c r="C93" s="92">
        <f>IFERROR(INDEX('Sprint Planning'!$H$2:$H$241,MATCH(SMALL(Roadmap!$T$2:$T$243,ROW()-20),Roadmap!$T$2:$T$243,0)),"")</f>
        <v/>
      </c>
      <c r="D93" s="92">
        <f>IF($B93="","",IF($C93=10,"●",""))</f>
        <v/>
      </c>
      <c r="E93" s="92">
        <f>IF($B93="","",IF($C93=11,"●",""))</f>
        <v/>
      </c>
      <c r="F93" s="92">
        <f>IF($B93="","",IF($C93=12,"●",""))</f>
        <v/>
      </c>
      <c r="G93" s="92">
        <f>IF($B93="","",IF($C93=13,"●",""))</f>
        <v/>
      </c>
      <c r="H93" s="92">
        <f>IF($B93="","",IF($C93=14,"●",""))</f>
        <v/>
      </c>
      <c r="I93" s="92">
        <f>IF($B93="","",IF($C93=15,"●",""))</f>
        <v/>
      </c>
      <c r="J93" s="92">
        <f>IF($B93="","",IF($C93=16,"●",""))</f>
        <v/>
      </c>
      <c r="T93" s="92">
        <f>IF(AND('Sprint Planning'!$H93&gt;=10,'Sprint Planning'!$H93&lt;=16),IFERROR(MATCH('Sprint Planning'!$C93,Roadmap!$A$4:$A$15,0),99)*100+'Sprint Planning'!$H93+93/100000,"")</f>
        <v/>
      </c>
    </row>
    <row r="94" ht="15" customHeight="1" s="93">
      <c r="A94" s="92">
        <f>IFERROR(INDEX('Sprint Planning'!$C$2:$C$241,MATCH(SMALL(Roadmap!$T$2:$T$243,ROW()-20),Roadmap!$T$2:$T$243,0)),"")</f>
        <v/>
      </c>
      <c r="B94" s="92">
        <f>IFERROR(INDEX('Sprint Planning'!$B$2:$B$241,MATCH(SMALL(Roadmap!$T$2:$T$243,ROW()-20),Roadmap!$T$2:$T$243,0)),"")</f>
        <v/>
      </c>
      <c r="C94" s="92">
        <f>IFERROR(INDEX('Sprint Planning'!$H$2:$H$241,MATCH(SMALL(Roadmap!$T$2:$T$243,ROW()-20),Roadmap!$T$2:$T$243,0)),"")</f>
        <v/>
      </c>
      <c r="D94" s="92">
        <f>IF($B94="","",IF($C94=10,"●",""))</f>
        <v/>
      </c>
      <c r="E94" s="92">
        <f>IF($B94="","",IF($C94=11,"●",""))</f>
        <v/>
      </c>
      <c r="F94" s="92">
        <f>IF($B94="","",IF($C94=12,"●",""))</f>
        <v/>
      </c>
      <c r="G94" s="92">
        <f>IF($B94="","",IF($C94=13,"●",""))</f>
        <v/>
      </c>
      <c r="H94" s="92">
        <f>IF($B94="","",IF($C94=14,"●",""))</f>
        <v/>
      </c>
      <c r="I94" s="92">
        <f>IF($B94="","",IF($C94=15,"●",""))</f>
        <v/>
      </c>
      <c r="J94" s="92">
        <f>IF($B94="","",IF($C94=16,"●",""))</f>
        <v/>
      </c>
      <c r="T94" s="92">
        <f>IF(AND('Sprint Planning'!$H94&gt;=10,'Sprint Planning'!$H94&lt;=16),IFERROR(MATCH('Sprint Planning'!$C94,Roadmap!$A$4:$A$15,0),99)*100+'Sprint Planning'!$H94+94/100000,"")</f>
        <v/>
      </c>
    </row>
    <row r="95" ht="15" customHeight="1" s="93">
      <c r="A95" s="92">
        <f>IFERROR(INDEX('Sprint Planning'!$C$2:$C$241,MATCH(SMALL(Roadmap!$T$2:$T$243,ROW()-20),Roadmap!$T$2:$T$243,0)),"")</f>
        <v/>
      </c>
      <c r="B95" s="92">
        <f>IFERROR(INDEX('Sprint Planning'!$B$2:$B$241,MATCH(SMALL(Roadmap!$T$2:$T$243,ROW()-20),Roadmap!$T$2:$T$243,0)),"")</f>
        <v/>
      </c>
      <c r="C95" s="92">
        <f>IFERROR(INDEX('Sprint Planning'!$H$2:$H$241,MATCH(SMALL(Roadmap!$T$2:$T$243,ROW()-20),Roadmap!$T$2:$T$243,0)),"")</f>
        <v/>
      </c>
      <c r="D95" s="92">
        <f>IF($B95="","",IF($C95=10,"●",""))</f>
        <v/>
      </c>
      <c r="E95" s="92">
        <f>IF($B95="","",IF($C95=11,"●",""))</f>
        <v/>
      </c>
      <c r="F95" s="92">
        <f>IF($B95="","",IF($C95=12,"●",""))</f>
        <v/>
      </c>
      <c r="G95" s="92">
        <f>IF($B95="","",IF($C95=13,"●",""))</f>
        <v/>
      </c>
      <c r="H95" s="92">
        <f>IF($B95="","",IF($C95=14,"●",""))</f>
        <v/>
      </c>
      <c r="I95" s="92">
        <f>IF($B95="","",IF($C95=15,"●",""))</f>
        <v/>
      </c>
      <c r="J95" s="92">
        <f>IF($B95="","",IF($C95=16,"●",""))</f>
        <v/>
      </c>
      <c r="T95" s="92">
        <f>IF(AND('Sprint Planning'!$H95&gt;=10,'Sprint Planning'!$H95&lt;=16),IFERROR(MATCH('Sprint Planning'!$C95,Roadmap!$A$4:$A$15,0),99)*100+'Sprint Planning'!$H95+95/100000,"")</f>
        <v/>
      </c>
    </row>
    <row r="96" ht="15" customHeight="1" s="93">
      <c r="A96" s="92">
        <f>IFERROR(INDEX('Sprint Planning'!$C$2:$C$241,MATCH(SMALL(Roadmap!$T$2:$T$243,ROW()-20),Roadmap!$T$2:$T$243,0)),"")</f>
        <v/>
      </c>
      <c r="B96" s="92">
        <f>IFERROR(INDEX('Sprint Planning'!$B$2:$B$241,MATCH(SMALL(Roadmap!$T$2:$T$243,ROW()-20),Roadmap!$T$2:$T$243,0)),"")</f>
        <v/>
      </c>
      <c r="C96" s="92">
        <f>IFERROR(INDEX('Sprint Planning'!$H$2:$H$241,MATCH(SMALL(Roadmap!$T$2:$T$243,ROW()-20),Roadmap!$T$2:$T$243,0)),"")</f>
        <v/>
      </c>
      <c r="D96" s="92">
        <f>IF($B96="","",IF($C96=10,"●",""))</f>
        <v/>
      </c>
      <c r="E96" s="92">
        <f>IF($B96="","",IF($C96=11,"●",""))</f>
        <v/>
      </c>
      <c r="F96" s="92">
        <f>IF($B96="","",IF($C96=12,"●",""))</f>
        <v/>
      </c>
      <c r="G96" s="92">
        <f>IF($B96="","",IF($C96=13,"●",""))</f>
        <v/>
      </c>
      <c r="H96" s="92">
        <f>IF($B96="","",IF($C96=14,"●",""))</f>
        <v/>
      </c>
      <c r="I96" s="92">
        <f>IF($B96="","",IF($C96=15,"●",""))</f>
        <v/>
      </c>
      <c r="J96" s="92">
        <f>IF($B96="","",IF($C96=16,"●",""))</f>
        <v/>
      </c>
      <c r="T96" s="92">
        <f>IF(AND('Sprint Planning'!$H96&gt;=10,'Sprint Planning'!$H96&lt;=16),IFERROR(MATCH('Sprint Planning'!$C96,Roadmap!$A$4:$A$15,0),99)*100+'Sprint Planning'!$H96+96/100000,"")</f>
        <v/>
      </c>
    </row>
    <row r="97" ht="15" customHeight="1" s="93">
      <c r="A97" s="92">
        <f>IFERROR(INDEX('Sprint Planning'!$C$2:$C$241,MATCH(SMALL(Roadmap!$T$2:$T$243,ROW()-20),Roadmap!$T$2:$T$243,0)),"")</f>
        <v/>
      </c>
      <c r="B97" s="92">
        <f>IFERROR(INDEX('Sprint Planning'!$B$2:$B$241,MATCH(SMALL(Roadmap!$T$2:$T$243,ROW()-20),Roadmap!$T$2:$T$243,0)),"")</f>
        <v/>
      </c>
      <c r="C97" s="92">
        <f>IFERROR(INDEX('Sprint Planning'!$H$2:$H$241,MATCH(SMALL(Roadmap!$T$2:$T$243,ROW()-20),Roadmap!$T$2:$T$243,0)),"")</f>
        <v/>
      </c>
      <c r="D97" s="92">
        <f>IF($B97="","",IF($C97=10,"●",""))</f>
        <v/>
      </c>
      <c r="E97" s="92">
        <f>IF($B97="","",IF($C97=11,"●",""))</f>
        <v/>
      </c>
      <c r="F97" s="92">
        <f>IF($B97="","",IF($C97=12,"●",""))</f>
        <v/>
      </c>
      <c r="G97" s="92">
        <f>IF($B97="","",IF($C97=13,"●",""))</f>
        <v/>
      </c>
      <c r="H97" s="92">
        <f>IF($B97="","",IF($C97=14,"●",""))</f>
        <v/>
      </c>
      <c r="I97" s="92">
        <f>IF($B97="","",IF($C97=15,"●",""))</f>
        <v/>
      </c>
      <c r="J97" s="92">
        <f>IF($B97="","",IF($C97=16,"●",""))</f>
        <v/>
      </c>
      <c r="T97" s="92">
        <f>IF(AND('Sprint Planning'!$H97&gt;=10,'Sprint Planning'!$H97&lt;=16),IFERROR(MATCH('Sprint Planning'!$C97,Roadmap!$A$4:$A$15,0),99)*100+'Sprint Planning'!$H97+97/100000,"")</f>
        <v/>
      </c>
    </row>
    <row r="98" ht="15" customHeight="1" s="93">
      <c r="A98" s="92">
        <f>IFERROR(INDEX('Sprint Planning'!$C$2:$C$241,MATCH(SMALL(Roadmap!$T$2:$T$243,ROW()-20),Roadmap!$T$2:$T$243,0)),"")</f>
        <v/>
      </c>
      <c r="B98" s="92">
        <f>IFERROR(INDEX('Sprint Planning'!$B$2:$B$241,MATCH(SMALL(Roadmap!$T$2:$T$243,ROW()-20),Roadmap!$T$2:$T$243,0)),"")</f>
        <v/>
      </c>
      <c r="C98" s="92">
        <f>IFERROR(INDEX('Sprint Planning'!$H$2:$H$241,MATCH(SMALL(Roadmap!$T$2:$T$243,ROW()-20),Roadmap!$T$2:$T$243,0)),"")</f>
        <v/>
      </c>
      <c r="D98" s="92">
        <f>IF($B98="","",IF($C98=10,"●",""))</f>
        <v/>
      </c>
      <c r="E98" s="92">
        <f>IF($B98="","",IF($C98=11,"●",""))</f>
        <v/>
      </c>
      <c r="F98" s="92">
        <f>IF($B98="","",IF($C98=12,"●",""))</f>
        <v/>
      </c>
      <c r="G98" s="92">
        <f>IF($B98="","",IF($C98=13,"●",""))</f>
        <v/>
      </c>
      <c r="H98" s="92">
        <f>IF($B98="","",IF($C98=14,"●",""))</f>
        <v/>
      </c>
      <c r="I98" s="92">
        <f>IF($B98="","",IF($C98=15,"●",""))</f>
        <v/>
      </c>
      <c r="J98" s="92">
        <f>IF($B98="","",IF($C98=16,"●",""))</f>
        <v/>
      </c>
      <c r="T98" s="92">
        <f>IF(AND('sprint planning'!#ref!&gt;=10,'sprint planning'!#ref!&lt;=16),IFERROR(MATCH('sprint planning'!#ref!,Roadmap!$A$4:$A$15,0),99)*100+'sprint planning'!#ref!+98/100000,"")</f>
        <v/>
      </c>
    </row>
    <row r="99" ht="15" customHeight="1" s="93">
      <c r="A99" s="92">
        <f>IFERROR(INDEX('Sprint Planning'!$C$2:$C$241,MATCH(SMALL(Roadmap!$T$2:$T$243,ROW()-20),Roadmap!$T$2:$T$243,0)),"")</f>
        <v/>
      </c>
      <c r="B99" s="92">
        <f>IFERROR(INDEX('Sprint Planning'!$B$2:$B$241,MATCH(SMALL(Roadmap!$T$2:$T$243,ROW()-20),Roadmap!$T$2:$T$243,0)),"")</f>
        <v/>
      </c>
      <c r="C99" s="92">
        <f>IFERROR(INDEX('Sprint Planning'!$H$2:$H$241,MATCH(SMALL(Roadmap!$T$2:$T$243,ROW()-20),Roadmap!$T$2:$T$243,0)),"")</f>
        <v/>
      </c>
      <c r="D99" s="92">
        <f>IF($B99="","",IF($C99=10,"●",""))</f>
        <v/>
      </c>
      <c r="E99" s="92">
        <f>IF($B99="","",IF($C99=11,"●",""))</f>
        <v/>
      </c>
      <c r="F99" s="92">
        <f>IF($B99="","",IF($C99=12,"●",""))</f>
        <v/>
      </c>
      <c r="G99" s="92">
        <f>IF($B99="","",IF($C99=13,"●",""))</f>
        <v/>
      </c>
      <c r="H99" s="92">
        <f>IF($B99="","",IF($C99=14,"●",""))</f>
        <v/>
      </c>
      <c r="I99" s="92">
        <f>IF($B99="","",IF($C99=15,"●",""))</f>
        <v/>
      </c>
      <c r="J99" s="92">
        <f>IF($B99="","",IF($C99=16,"●",""))</f>
        <v/>
      </c>
      <c r="T99" s="92">
        <f>IF(AND('sprint planning'!#ref!&gt;=10,'sprint planning'!#ref!&lt;=16),IFERROR(MATCH('sprint planning'!#ref!,Roadmap!$A$4:$A$15,0),99)*100+'sprint planning'!#ref!+99/100000,"")</f>
        <v/>
      </c>
    </row>
    <row r="100" ht="15" customHeight="1" s="93">
      <c r="A100" s="92">
        <f>IFERROR(INDEX('Sprint Planning'!$C$2:$C$241,MATCH(SMALL(Roadmap!$T$2:$T$243,ROW()-20),Roadmap!$T$2:$T$243,0)),"")</f>
        <v/>
      </c>
      <c r="B100" s="92">
        <f>IFERROR(INDEX('Sprint Planning'!$B$2:$B$241,MATCH(SMALL(Roadmap!$T$2:$T$243,ROW()-20),Roadmap!$T$2:$T$243,0)),"")</f>
        <v/>
      </c>
      <c r="C100" s="92">
        <f>IFERROR(INDEX('Sprint Planning'!$H$2:$H$241,MATCH(SMALL(Roadmap!$T$2:$T$243,ROW()-20),Roadmap!$T$2:$T$243,0)),"")</f>
        <v/>
      </c>
      <c r="D100" s="92">
        <f>IF($B100="","",IF($C100=10,"●",""))</f>
        <v/>
      </c>
      <c r="E100" s="92">
        <f>IF($B100="","",IF($C100=11,"●",""))</f>
        <v/>
      </c>
      <c r="F100" s="92">
        <f>IF($B100="","",IF($C100=12,"●",""))</f>
        <v/>
      </c>
      <c r="G100" s="92">
        <f>IF($B100="","",IF($C100=13,"●",""))</f>
        <v/>
      </c>
      <c r="H100" s="92">
        <f>IF($B100="","",IF($C100=14,"●",""))</f>
        <v/>
      </c>
      <c r="I100" s="92">
        <f>IF($B100="","",IF($C100=15,"●",""))</f>
        <v/>
      </c>
      <c r="J100" s="92">
        <f>IF($B100="","",IF($C100=16,"●",""))</f>
        <v/>
      </c>
      <c r="T100" s="92">
        <f>IF(AND('Sprint Planning'!$H98&gt;=10,'Sprint Planning'!$H98&lt;=16),IFERROR(MATCH('Sprint Planning'!$C98,Roadmap!$A$4:$A$15,0),99)*100+'Sprint Planning'!$H98+100/100000,"")</f>
        <v/>
      </c>
    </row>
    <row r="101" ht="15" customHeight="1" s="93">
      <c r="T101" s="92">
        <f>IF(AND('Sprint Planning'!$H99&gt;=10,'Sprint Planning'!$H99&lt;=16),IFERROR(MATCH('Sprint Planning'!$C99,Roadmap!$A$4:$A$15,0),99)*100+'Sprint Planning'!$H99+101/100000,"")</f>
        <v/>
      </c>
    </row>
    <row r="102" ht="15" customHeight="1" s="93">
      <c r="T102" s="92">
        <f>IF(AND('Sprint Planning'!$H100&gt;=10,'Sprint Planning'!$H100&lt;=16),IFERROR(MATCH('Sprint Planning'!$C100,Roadmap!$A$4:$A$15,0),99)*100+'Sprint Planning'!$H100+102/100000,"")</f>
        <v/>
      </c>
    </row>
    <row r="103" ht="15" customHeight="1" s="93">
      <c r="T103" s="92">
        <f>IF(AND('Sprint Planning'!$H101&gt;=10,'Sprint Planning'!$H101&lt;=16),IFERROR(MATCH('Sprint Planning'!$C101,Roadmap!$A$4:$A$15,0),99)*100+'Sprint Planning'!$H101+103/100000,"")</f>
        <v/>
      </c>
    </row>
    <row r="104" ht="15" customHeight="1" s="93">
      <c r="T104" s="92">
        <f>IF(AND('Sprint Planning'!$H102&gt;=10,'Sprint Planning'!$H102&lt;=16),IFERROR(MATCH('Sprint Planning'!$C102,Roadmap!$A$4:$A$15,0),99)*100+'Sprint Planning'!$H102+104/100000,"")</f>
        <v/>
      </c>
    </row>
    <row r="105" ht="15" customHeight="1" s="93">
      <c r="T105" s="92">
        <f>IF(AND('Sprint Planning'!$H103&gt;=10,'Sprint Planning'!$H103&lt;=16),IFERROR(MATCH('Sprint Planning'!$C103,Roadmap!$A$4:$A$15,0),99)*100+'Sprint Planning'!$H103+105/100000,"")</f>
        <v/>
      </c>
    </row>
    <row r="106" ht="15" customHeight="1" s="93">
      <c r="T106" s="92">
        <f>IF(AND('Sprint Planning'!$H104&gt;=10,'Sprint Planning'!$H104&lt;=16),IFERROR(MATCH('Sprint Planning'!$C104,Roadmap!$A$4:$A$15,0),99)*100+'Sprint Planning'!$H104+106/100000,"")</f>
        <v/>
      </c>
    </row>
    <row r="107" ht="15" customHeight="1" s="93">
      <c r="T107" s="92">
        <f>IF(AND('Sprint Planning'!$H105&gt;=10,'Sprint Planning'!$H105&lt;=16),IFERROR(MATCH('Sprint Planning'!$C105,Roadmap!$A$4:$A$15,0),99)*100+'Sprint Planning'!$H105+107/100000,"")</f>
        <v/>
      </c>
    </row>
    <row r="108" ht="15" customHeight="1" s="93">
      <c r="T108" s="92">
        <f>IF(AND('Sprint Planning'!$H106&gt;=10,'Sprint Planning'!$H106&lt;=16),IFERROR(MATCH('Sprint Planning'!$C106,Roadmap!$A$4:$A$15,0),99)*100+'Sprint Planning'!$H106+108/100000,"")</f>
        <v/>
      </c>
    </row>
    <row r="109" ht="15" customHeight="1" s="93">
      <c r="T109" s="92">
        <f>IF(AND('Sprint Planning'!$H107&gt;=10,'Sprint Planning'!$H107&lt;=16),IFERROR(MATCH('Sprint Planning'!$C107,Roadmap!$A$4:$A$15,0),99)*100+'Sprint Planning'!$H107+109/100000,"")</f>
        <v/>
      </c>
    </row>
    <row r="110" ht="15" customHeight="1" s="93">
      <c r="T110" s="92">
        <f>IF(AND('Sprint Planning'!$H108&gt;=10,'Sprint Planning'!$H108&lt;=16),IFERROR(MATCH('Sprint Planning'!$C108,Roadmap!$A$4:$A$15,0),99)*100+'Sprint Planning'!$H108+110/100000,"")</f>
        <v/>
      </c>
    </row>
    <row r="111" ht="15" customHeight="1" s="93">
      <c r="T111" s="92">
        <f>IF(AND('Sprint Planning'!$H109&gt;=10,'Sprint Planning'!$H109&lt;=16),IFERROR(MATCH('Sprint Planning'!$C109,Roadmap!$A$4:$A$15,0),99)*100+'Sprint Planning'!$H109+111/100000,"")</f>
        <v/>
      </c>
    </row>
    <row r="112" ht="15" customHeight="1" s="93">
      <c r="T112" s="92">
        <f>IF(AND('Sprint Planning'!$H110&gt;=10,'Sprint Planning'!$H110&lt;=16),IFERROR(MATCH('Sprint Planning'!$C110,Roadmap!$A$4:$A$15,0),99)*100+'Sprint Planning'!$H110+112/100000,"")</f>
        <v/>
      </c>
    </row>
    <row r="113" ht="15" customHeight="1" s="93">
      <c r="T113" s="92">
        <f>IF(AND('Sprint Planning'!$H111&gt;=10,'Sprint Planning'!$H111&lt;=16),IFERROR(MATCH('Sprint Planning'!$C111,Roadmap!$A$4:$A$15,0),99)*100+'Sprint Planning'!$H111+113/100000,"")</f>
        <v/>
      </c>
    </row>
    <row r="114" ht="15" customHeight="1" s="93">
      <c r="T114" s="92">
        <f>IF(AND('Sprint Planning'!$H112&gt;=10,'Sprint Planning'!$H112&lt;=16),IFERROR(MATCH('Sprint Planning'!$C112,Roadmap!$A$4:$A$15,0),99)*100+'Sprint Planning'!$H112+114/100000,"")</f>
        <v/>
      </c>
    </row>
    <row r="115" ht="15" customHeight="1" s="93">
      <c r="T115" s="92">
        <f>IF(AND('Sprint Planning'!$H113&gt;=10,'Sprint Planning'!$H113&lt;=16),IFERROR(MATCH('Sprint Planning'!$C113,Roadmap!$A$4:$A$15,0),99)*100+'Sprint Planning'!$H113+115/100000,"")</f>
        <v/>
      </c>
    </row>
    <row r="116" ht="15" customHeight="1" s="93">
      <c r="T116" s="92">
        <f>IF(AND('Sprint Planning'!$H114&gt;=10,'Sprint Planning'!$H114&lt;=16),IFERROR(MATCH('Sprint Planning'!$C114,Roadmap!$A$4:$A$15,0),99)*100+'Sprint Planning'!$H114+116/100000,"")</f>
        <v/>
      </c>
    </row>
    <row r="117" ht="15" customHeight="1" s="93">
      <c r="T117" s="92">
        <f>IF(AND('Sprint Planning'!$H115&gt;=10,'Sprint Planning'!$H115&lt;=16),IFERROR(MATCH('Sprint Planning'!$C115,Roadmap!$A$4:$A$15,0),99)*100+'Sprint Planning'!$H115+117/100000,"")</f>
        <v/>
      </c>
    </row>
    <row r="118" ht="15" customHeight="1" s="93">
      <c r="T118" s="92">
        <f>IF(AND('Sprint Planning'!$H116&gt;=10,'Sprint Planning'!$H116&lt;=16),IFERROR(MATCH('Sprint Planning'!$C116,Roadmap!$A$4:$A$15,0),99)*100+'Sprint Planning'!$H116+118/100000,"")</f>
        <v/>
      </c>
    </row>
    <row r="119" ht="15" customHeight="1" s="93">
      <c r="T119" s="92">
        <f>IF(AND('Sprint Planning'!$H117&gt;=10,'Sprint Planning'!$H117&lt;=16),IFERROR(MATCH('Sprint Planning'!$C117,Roadmap!$A$4:$A$15,0),99)*100+'Sprint Planning'!$H117+119/100000,"")</f>
        <v/>
      </c>
    </row>
    <row r="120" ht="15" customHeight="1" s="93">
      <c r="T120" s="92">
        <f>IF(AND('Sprint Planning'!$H118&gt;=10,'Sprint Planning'!$H118&lt;=16),IFERROR(MATCH('Sprint Planning'!$C118,Roadmap!$A$4:$A$15,0),99)*100+'Sprint Planning'!$H118+120/100000,"")</f>
        <v/>
      </c>
    </row>
    <row r="121" ht="15" customHeight="1" s="93">
      <c r="T121" s="92">
        <f>IF(AND('Sprint Planning'!$H119&gt;=10,'Sprint Planning'!$H119&lt;=16),IFERROR(MATCH('Sprint Planning'!$C119,Roadmap!$A$4:$A$15,0),99)*100+'Sprint Planning'!$H119+121/100000,"")</f>
        <v/>
      </c>
    </row>
    <row r="122" ht="15" customHeight="1" s="93">
      <c r="T122" s="92">
        <f>IF(AND('Sprint Planning'!$H120&gt;=10,'Sprint Planning'!$H120&lt;=16),IFERROR(MATCH('Sprint Planning'!$C120,Roadmap!$A$4:$A$15,0),99)*100+'Sprint Planning'!$H120+122/100000,"")</f>
        <v/>
      </c>
    </row>
    <row r="123" ht="15" customHeight="1" s="93">
      <c r="T123" s="92">
        <f>IF(AND('Sprint Planning'!$H121&gt;=10,'Sprint Planning'!$H121&lt;=16),IFERROR(MATCH('Sprint Planning'!$C121,Roadmap!$A$4:$A$15,0),99)*100+'Sprint Planning'!$H121+123/100000,"")</f>
        <v/>
      </c>
    </row>
    <row r="124" ht="15" customHeight="1" s="93">
      <c r="T124" s="92">
        <f>IF(AND('Sprint Planning'!$H122&gt;=10,'Sprint Planning'!$H122&lt;=16),IFERROR(MATCH('Sprint Planning'!$C122,Roadmap!$A$4:$A$15,0),99)*100+'Sprint Planning'!$H122+124/100000,"")</f>
        <v/>
      </c>
    </row>
    <row r="125" ht="15" customHeight="1" s="93">
      <c r="T125" s="92">
        <f>IF(AND('Sprint Planning'!$H123&gt;=10,'Sprint Planning'!$H123&lt;=16),IFERROR(MATCH('Sprint Planning'!$C123,Roadmap!$A$4:$A$15,0),99)*100+'Sprint Planning'!$H123+125/100000,"")</f>
        <v/>
      </c>
    </row>
    <row r="126" ht="15" customHeight="1" s="93">
      <c r="T126" s="92">
        <f>IF(AND('Sprint Planning'!$H124&gt;=10,'Sprint Planning'!$H124&lt;=16),IFERROR(MATCH('Sprint Planning'!$C124,Roadmap!$A$4:$A$15,0),99)*100+'Sprint Planning'!$H124+126/100000,"")</f>
        <v/>
      </c>
    </row>
    <row r="127" ht="15" customHeight="1" s="93">
      <c r="T127" s="92">
        <f>IF(AND('Sprint Planning'!$H125&gt;=10,'Sprint Planning'!$H125&lt;=16),IFERROR(MATCH('Sprint Planning'!$C125,Roadmap!$A$4:$A$15,0),99)*100+'Sprint Planning'!$H125+127/100000,"")</f>
        <v/>
      </c>
    </row>
    <row r="128" ht="15" customHeight="1" s="93">
      <c r="T128" s="92">
        <f>IF(AND('Sprint Planning'!$H126&gt;=10,'Sprint Planning'!$H126&lt;=16),IFERROR(MATCH('Sprint Planning'!$C126,Roadmap!$A$4:$A$15,0),99)*100+'Sprint Planning'!$H126+128/100000,"")</f>
        <v/>
      </c>
    </row>
    <row r="129" ht="15" customHeight="1" s="93">
      <c r="T129" s="92">
        <f>IF(AND('Sprint Planning'!$H127&gt;=10,'Sprint Planning'!$H127&lt;=16),IFERROR(MATCH('Sprint Planning'!$C127,Roadmap!$A$4:$A$15,0),99)*100+'Sprint Planning'!$H127+129/100000,"")</f>
        <v/>
      </c>
    </row>
    <row r="130" ht="15" customHeight="1" s="93">
      <c r="T130" s="92">
        <f>IF(AND('Sprint Planning'!$H128&gt;=10,'Sprint Planning'!$H128&lt;=16),IFERROR(MATCH('Sprint Planning'!$C128,Roadmap!$A$4:$A$15,0),99)*100+'Sprint Planning'!$H128+130/100000,"")</f>
        <v/>
      </c>
    </row>
    <row r="131" ht="15" customHeight="1" s="93">
      <c r="T131" s="92">
        <f>IF(AND('Sprint Planning'!$H129&gt;=10,'Sprint Planning'!$H129&lt;=16),IFERROR(MATCH('Sprint Planning'!$C129,Roadmap!$A$4:$A$15,0),99)*100+'Sprint Planning'!$H129+131/100000,"")</f>
        <v/>
      </c>
    </row>
    <row r="132" ht="15" customHeight="1" s="93">
      <c r="T132" s="92">
        <f>IF(AND('Sprint Planning'!$H130&gt;=10,'Sprint Planning'!$H130&lt;=16),IFERROR(MATCH('Sprint Planning'!$C130,Roadmap!$A$4:$A$15,0),99)*100+'Sprint Planning'!$H130+132/100000,"")</f>
        <v/>
      </c>
    </row>
    <row r="133" ht="15" customHeight="1" s="93">
      <c r="T133" s="92">
        <f>IF(AND('Sprint Planning'!$H131&gt;=10,'Sprint Planning'!$H131&lt;=16),IFERROR(MATCH('Sprint Planning'!$C131,Roadmap!$A$4:$A$15,0),99)*100+'Sprint Planning'!$H131+133/100000,"")</f>
        <v/>
      </c>
    </row>
    <row r="134" ht="15" customHeight="1" s="93">
      <c r="T134" s="92">
        <f>IF(AND('Sprint Planning'!$H132&gt;=10,'Sprint Planning'!$H132&lt;=16),IFERROR(MATCH('Sprint Planning'!$C132,Roadmap!$A$4:$A$15,0),99)*100+'Sprint Planning'!$H132+134/100000,"")</f>
        <v/>
      </c>
    </row>
    <row r="135" ht="15" customHeight="1" s="93">
      <c r="T135" s="92">
        <f>IF(AND('Sprint Planning'!$H133&gt;=10,'Sprint Planning'!$H133&lt;=16),IFERROR(MATCH('Sprint Planning'!$C133,Roadmap!$A$4:$A$15,0),99)*100+'Sprint Planning'!$H133+135/100000,"")</f>
        <v/>
      </c>
    </row>
    <row r="136" ht="15" customHeight="1" s="93">
      <c r="T136" s="92">
        <f>IF(AND('Sprint Planning'!$H134&gt;=10,'Sprint Planning'!$H134&lt;=16),IFERROR(MATCH('Sprint Planning'!$C134,Roadmap!$A$4:$A$15,0),99)*100+'Sprint Planning'!$H134+136/100000,"")</f>
        <v/>
      </c>
    </row>
    <row r="137" ht="15" customHeight="1" s="93">
      <c r="T137" s="92">
        <f>IF(AND('Sprint Planning'!$H135&gt;=10,'Sprint Planning'!$H135&lt;=16),IFERROR(MATCH('Sprint Planning'!$C135,Roadmap!$A$4:$A$15,0),99)*100+'Sprint Planning'!$H135+137/100000,"")</f>
        <v/>
      </c>
    </row>
    <row r="138" ht="15" customHeight="1" s="93">
      <c r="T138" s="92">
        <f>IF(AND('Sprint Planning'!$H136&gt;=10,'Sprint Planning'!$H136&lt;=16),IFERROR(MATCH('Sprint Planning'!$C136,Roadmap!$A$4:$A$15,0),99)*100+'Sprint Planning'!$H136+138/100000,"")</f>
        <v/>
      </c>
    </row>
    <row r="139" ht="15" customHeight="1" s="93">
      <c r="T139" s="92">
        <f>IF(AND('Sprint Planning'!$H137&gt;=10,'Sprint Planning'!$H137&lt;=16),IFERROR(MATCH('Sprint Planning'!$C137,Roadmap!$A$4:$A$15,0),99)*100+'Sprint Planning'!$H137+139/100000,"")</f>
        <v/>
      </c>
    </row>
    <row r="140" ht="15" customHeight="1" s="93">
      <c r="T140" s="92">
        <f>IF(AND('Sprint Planning'!$H138&gt;=10,'Sprint Planning'!$H138&lt;=16),IFERROR(MATCH('Sprint Planning'!$C138,Roadmap!$A$4:$A$15,0),99)*100+'Sprint Planning'!$H138+140/100000,"")</f>
        <v/>
      </c>
    </row>
    <row r="141" ht="15" customHeight="1" s="93">
      <c r="T141" s="92">
        <f>IF(AND('Sprint Planning'!$H139&gt;=10,'Sprint Planning'!$H139&lt;=16),IFERROR(MATCH('Sprint Planning'!$C139,Roadmap!$A$4:$A$15,0),99)*100+'Sprint Planning'!$H139+141/100000,"")</f>
        <v/>
      </c>
    </row>
    <row r="142" ht="15" customHeight="1" s="93">
      <c r="T142" s="92">
        <f>IF(AND('Sprint Planning'!$H140&gt;=10,'Sprint Planning'!$H140&lt;=16),IFERROR(MATCH('Sprint Planning'!$C140,Roadmap!$A$4:$A$15,0),99)*100+'Sprint Planning'!$H140+142/100000,"")</f>
        <v/>
      </c>
    </row>
    <row r="143" ht="15" customHeight="1" s="93">
      <c r="T143" s="92">
        <f>IF(AND('Sprint Planning'!$H141&gt;=10,'Sprint Planning'!$H141&lt;=16),IFERROR(MATCH('Sprint Planning'!$C141,Roadmap!$A$4:$A$15,0),99)*100+'Sprint Planning'!$H141+143/100000,"")</f>
        <v/>
      </c>
    </row>
    <row r="144" ht="15" customHeight="1" s="93">
      <c r="T144" s="92">
        <f>IF(AND('Sprint Planning'!$H142&gt;=10,'Sprint Planning'!$H142&lt;=16),IFERROR(MATCH('Sprint Planning'!$C142,Roadmap!$A$4:$A$15,0),99)*100+'Sprint Planning'!$H142+144/100000,"")</f>
        <v/>
      </c>
    </row>
    <row r="145" ht="15" customHeight="1" s="93">
      <c r="T145" s="92">
        <f>IF(AND('Sprint Planning'!$H143&gt;=10,'Sprint Planning'!$H143&lt;=16),IFERROR(MATCH('Sprint Planning'!$C143,Roadmap!$A$4:$A$15,0),99)*100+'Sprint Planning'!$H143+145/100000,"")</f>
        <v/>
      </c>
    </row>
    <row r="146" ht="15" customHeight="1" s="93">
      <c r="T146" s="92">
        <f>IF(AND('Sprint Planning'!$H144&gt;=10,'Sprint Planning'!$H144&lt;=16),IFERROR(MATCH('Sprint Planning'!$C144,Roadmap!$A$4:$A$15,0),99)*100+'Sprint Planning'!$H144+146/100000,"")</f>
        <v/>
      </c>
    </row>
    <row r="147" ht="15" customHeight="1" s="93">
      <c r="T147" s="92">
        <f>IF(AND('Sprint Planning'!$H145&gt;=10,'Sprint Planning'!$H145&lt;=16),IFERROR(MATCH('Sprint Planning'!$C145,Roadmap!$A$4:$A$15,0),99)*100+'Sprint Planning'!$H145+147/100000,"")</f>
        <v/>
      </c>
    </row>
    <row r="148" ht="15" customHeight="1" s="93">
      <c r="T148" s="92">
        <f>IF(AND('Sprint Planning'!$H146&gt;=10,'Sprint Planning'!$H146&lt;=16),IFERROR(MATCH('Sprint Planning'!$C146,Roadmap!$A$4:$A$15,0),99)*100+'Sprint Planning'!$H146+148/100000,"")</f>
        <v/>
      </c>
    </row>
    <row r="149" ht="15" customHeight="1" s="93">
      <c r="T149" s="92">
        <f>IF(AND('Sprint Planning'!$H147&gt;=10,'Sprint Planning'!$H147&lt;=16),IFERROR(MATCH('Sprint Planning'!$C147,Roadmap!$A$4:$A$15,0),99)*100+'Sprint Planning'!$H147+149/100000,"")</f>
        <v/>
      </c>
    </row>
    <row r="150" ht="15" customHeight="1" s="93">
      <c r="T150" s="92">
        <f>IF(AND('Sprint Planning'!$H148&gt;=10,'Sprint Planning'!$H148&lt;=16),IFERROR(MATCH('Sprint Planning'!$C148,Roadmap!$A$4:$A$15,0),99)*100+'Sprint Planning'!$H148+150/100000,"")</f>
        <v/>
      </c>
    </row>
    <row r="151" ht="15" customHeight="1" s="93">
      <c r="T151" s="92">
        <f>IF(AND('Sprint Planning'!$H149&gt;=10,'Sprint Planning'!$H149&lt;=16),IFERROR(MATCH('Sprint Planning'!$C149,Roadmap!$A$4:$A$15,0),99)*100+'Sprint Planning'!$H149+151/100000,"")</f>
        <v/>
      </c>
    </row>
    <row r="152" ht="15" customHeight="1" s="93">
      <c r="T152" s="92">
        <f>IF(AND('Sprint Planning'!$H150&gt;=10,'Sprint Planning'!$H150&lt;=16),IFERROR(MATCH('Sprint Planning'!$C150,Roadmap!$A$4:$A$15,0),99)*100+'Sprint Planning'!$H150+152/100000,"")</f>
        <v/>
      </c>
    </row>
    <row r="153" ht="15" customHeight="1" s="93">
      <c r="T153" s="92">
        <f>IF(AND('Sprint Planning'!$H151&gt;=10,'Sprint Planning'!$H151&lt;=16),IFERROR(MATCH('Sprint Planning'!$C151,Roadmap!$A$4:$A$15,0),99)*100+'Sprint Planning'!$H151+153/100000,"")</f>
        <v/>
      </c>
    </row>
    <row r="154" ht="15" customHeight="1" s="93">
      <c r="T154" s="92">
        <f>IF(AND('Sprint Planning'!$H152&gt;=10,'Sprint Planning'!$H152&lt;=16),IFERROR(MATCH('Sprint Planning'!$C152,Roadmap!$A$4:$A$15,0),99)*100+'Sprint Planning'!$H152+154/100000,"")</f>
        <v/>
      </c>
    </row>
    <row r="155" ht="15" customHeight="1" s="93">
      <c r="T155" s="92">
        <f>IF(AND('Sprint Planning'!$H153&gt;=10,'Sprint Planning'!$H153&lt;=16),IFERROR(MATCH('Sprint Planning'!$C153,Roadmap!$A$4:$A$15,0),99)*100+'Sprint Planning'!$H153+155/100000,"")</f>
        <v/>
      </c>
    </row>
    <row r="156" ht="15" customHeight="1" s="93">
      <c r="T156" s="92">
        <f>IF(AND('Sprint Planning'!$H154&gt;=10,'Sprint Planning'!$H154&lt;=16),IFERROR(MATCH('Sprint Planning'!$C154,Roadmap!$A$4:$A$15,0),99)*100+'Sprint Planning'!$H154+156/100000,"")</f>
        <v/>
      </c>
    </row>
    <row r="157" ht="15" customHeight="1" s="93">
      <c r="T157" s="92">
        <f>IF(AND('Sprint Planning'!$H155&gt;=10,'Sprint Planning'!$H155&lt;=16),IFERROR(MATCH('Sprint Planning'!$C155,Roadmap!$A$4:$A$15,0),99)*100+'Sprint Planning'!$H155+157/100000,"")</f>
        <v/>
      </c>
    </row>
    <row r="158" ht="15" customHeight="1" s="93">
      <c r="T158" s="92">
        <f>IF(AND('Sprint Planning'!$H156&gt;=10,'Sprint Planning'!$H156&lt;=16),IFERROR(MATCH('Sprint Planning'!$C156,Roadmap!$A$4:$A$15,0),99)*100+'Sprint Planning'!$H156+158/100000,"")</f>
        <v/>
      </c>
    </row>
    <row r="159" ht="15" customHeight="1" s="93">
      <c r="T159" s="92">
        <f>IF(AND('Sprint Planning'!$H157&gt;=10,'Sprint Planning'!$H157&lt;=16),IFERROR(MATCH('Sprint Planning'!$C157,Roadmap!$A$4:$A$15,0),99)*100+'Sprint Planning'!$H157+159/100000,"")</f>
        <v/>
      </c>
    </row>
    <row r="160" ht="15" customHeight="1" s="93">
      <c r="T160" s="92">
        <f>IF(AND('Sprint Planning'!$H158&gt;=10,'Sprint Planning'!$H158&lt;=16),IFERROR(MATCH('Sprint Planning'!$C158,Roadmap!$A$4:$A$15,0),99)*100+'Sprint Planning'!$H158+160/100000,"")</f>
        <v/>
      </c>
    </row>
    <row r="161" ht="15" customHeight="1" s="93">
      <c r="T161" s="92">
        <f>IF(AND('Sprint Planning'!$H159&gt;=10,'Sprint Planning'!$H159&lt;=16),IFERROR(MATCH('Sprint Planning'!$C159,Roadmap!$A$4:$A$15,0),99)*100+'Sprint Planning'!$H159+161/100000,"")</f>
        <v/>
      </c>
    </row>
    <row r="162" ht="15" customHeight="1" s="93">
      <c r="T162" s="92">
        <f>IF(AND('Sprint Planning'!$H160&gt;=10,'Sprint Planning'!$H160&lt;=16),IFERROR(MATCH('Sprint Planning'!$C160,Roadmap!$A$4:$A$15,0),99)*100+'Sprint Planning'!$H160+162/100000,"")</f>
        <v/>
      </c>
    </row>
    <row r="163" ht="15" customHeight="1" s="93">
      <c r="T163" s="92">
        <f>IF(AND('Sprint Planning'!$H161&gt;=10,'Sprint Planning'!$H161&lt;=16),IFERROR(MATCH('Sprint Planning'!$C161,Roadmap!$A$4:$A$15,0),99)*100+'Sprint Planning'!$H161+163/100000,"")</f>
        <v/>
      </c>
    </row>
    <row r="164" ht="15" customHeight="1" s="93">
      <c r="T164" s="92">
        <f>IF(AND('Sprint Planning'!$H162&gt;=10,'Sprint Planning'!$H162&lt;=16),IFERROR(MATCH('Sprint Planning'!$C162,Roadmap!$A$4:$A$15,0),99)*100+'Sprint Planning'!$H162+164/100000,"")</f>
        <v/>
      </c>
    </row>
    <row r="165" ht="15" customHeight="1" s="93">
      <c r="T165" s="92">
        <f>IF(AND('Sprint Planning'!$H163&gt;=10,'Sprint Planning'!$H163&lt;=16),IFERROR(MATCH('Sprint Planning'!$C163,Roadmap!$A$4:$A$15,0),99)*100+'Sprint Planning'!$H163+165/100000,"")</f>
        <v/>
      </c>
    </row>
    <row r="166" ht="15" customHeight="1" s="93">
      <c r="T166" s="92">
        <f>IF(AND('Sprint Planning'!$H164&gt;=10,'Sprint Planning'!$H164&lt;=16),IFERROR(MATCH('Sprint Planning'!$C164,Roadmap!$A$4:$A$15,0),99)*100+'Sprint Planning'!$H164+166/100000,"")</f>
        <v/>
      </c>
    </row>
    <row r="167" ht="15" customHeight="1" s="93">
      <c r="T167" s="92">
        <f>IF(AND('Sprint Planning'!$H165&gt;=10,'Sprint Planning'!$H165&lt;=16),IFERROR(MATCH('Sprint Planning'!$C165,Roadmap!$A$4:$A$15,0),99)*100+'Sprint Planning'!$H165+167/100000,"")</f>
        <v/>
      </c>
    </row>
    <row r="168" ht="15" customHeight="1" s="93">
      <c r="T168" s="92">
        <f>IF(AND('Sprint Planning'!$H166&gt;=10,'Sprint Planning'!$H166&lt;=16),IFERROR(MATCH('Sprint Planning'!$C166,Roadmap!$A$4:$A$15,0),99)*100+'Sprint Planning'!$H166+168/100000,"")</f>
        <v/>
      </c>
    </row>
    <row r="169" ht="15" customHeight="1" s="93">
      <c r="T169" s="92">
        <f>IF(AND('Sprint Planning'!$H167&gt;=10,'Sprint Planning'!$H167&lt;=16),IFERROR(MATCH('Sprint Planning'!$C167,Roadmap!$A$4:$A$15,0),99)*100+'Sprint Planning'!$H167+169/100000,"")</f>
        <v/>
      </c>
    </row>
    <row r="170" ht="15" customHeight="1" s="93">
      <c r="T170" s="92">
        <f>IF(AND('Sprint Planning'!$H168&gt;=10,'Sprint Planning'!$H168&lt;=16),IFERROR(MATCH('Sprint Planning'!$C168,Roadmap!$A$4:$A$15,0),99)*100+'Sprint Planning'!$H168+170/100000,"")</f>
        <v/>
      </c>
    </row>
    <row r="171" ht="15" customHeight="1" s="93">
      <c r="T171" s="92">
        <f>IF(AND('Sprint Planning'!$H169&gt;=10,'Sprint Planning'!$H169&lt;=16),IFERROR(MATCH('Sprint Planning'!$C169,Roadmap!$A$4:$A$15,0),99)*100+'Sprint Planning'!$H169+171/100000,"")</f>
        <v/>
      </c>
    </row>
    <row r="172" ht="15" customHeight="1" s="93">
      <c r="T172" s="92">
        <f>IF(AND('Sprint Planning'!$H170&gt;=10,'Sprint Planning'!$H170&lt;=16),IFERROR(MATCH('Sprint Planning'!$C170,Roadmap!$A$4:$A$15,0),99)*100+'Sprint Planning'!$H170+172/100000,"")</f>
        <v/>
      </c>
    </row>
    <row r="173" ht="15" customHeight="1" s="93">
      <c r="T173" s="92">
        <f>IF(AND('Sprint Planning'!$H171&gt;=10,'Sprint Planning'!$H171&lt;=16),IFERROR(MATCH('Sprint Planning'!$C171,Roadmap!$A$4:$A$15,0),99)*100+'Sprint Planning'!$H171+173/100000,"")</f>
        <v/>
      </c>
    </row>
    <row r="174" ht="15" customHeight="1" s="93">
      <c r="T174" s="92">
        <f>IF(AND('Sprint Planning'!$H172&gt;=10,'Sprint Planning'!$H172&lt;=16),IFERROR(MATCH('Sprint Planning'!$C172,Roadmap!$A$4:$A$15,0),99)*100+'Sprint Planning'!$H172+174/100000,"")</f>
        <v/>
      </c>
    </row>
    <row r="175" ht="15" customHeight="1" s="93">
      <c r="T175" s="92">
        <f>IF(AND('Sprint Planning'!$H173&gt;=10,'Sprint Planning'!$H173&lt;=16),IFERROR(MATCH('Sprint Planning'!$C173,Roadmap!$A$4:$A$15,0),99)*100+'Sprint Planning'!$H173+175/100000,"")</f>
        <v/>
      </c>
    </row>
    <row r="176" ht="15" customHeight="1" s="93">
      <c r="T176" s="92">
        <f>IF(AND('Sprint Planning'!$H174&gt;=10,'Sprint Planning'!$H174&lt;=16),IFERROR(MATCH('Sprint Planning'!$C174,Roadmap!$A$4:$A$15,0),99)*100+'Sprint Planning'!$H174+176/100000,"")</f>
        <v/>
      </c>
    </row>
    <row r="177" ht="15" customHeight="1" s="93">
      <c r="T177" s="92">
        <f>IF(AND('Sprint Planning'!$H175&gt;=10,'Sprint Planning'!$H175&lt;=16),IFERROR(MATCH('Sprint Planning'!$C175,Roadmap!$A$4:$A$15,0),99)*100+'Sprint Planning'!$H175+177/100000,"")</f>
        <v/>
      </c>
    </row>
    <row r="178" ht="15" customHeight="1" s="93">
      <c r="T178" s="92">
        <f>IF(AND('Sprint Planning'!$H176&gt;=10,'Sprint Planning'!$H176&lt;=16),IFERROR(MATCH('Sprint Planning'!$C176,Roadmap!$A$4:$A$15,0),99)*100+'Sprint Planning'!$H176+178/100000,"")</f>
        <v/>
      </c>
    </row>
    <row r="179" ht="15" customHeight="1" s="93">
      <c r="T179" s="92">
        <f>IF(AND('Sprint Planning'!$H177&gt;=10,'Sprint Planning'!$H177&lt;=16),IFERROR(MATCH('Sprint Planning'!$C177,Roadmap!$A$4:$A$15,0),99)*100+'Sprint Planning'!$H177+179/100000,"")</f>
        <v/>
      </c>
    </row>
    <row r="180" ht="15" customHeight="1" s="93">
      <c r="T180" s="92">
        <f>IF(AND('Sprint Planning'!$H178&gt;=10,'Sprint Planning'!$H178&lt;=16),IFERROR(MATCH('Sprint Planning'!$C178,Roadmap!$A$4:$A$15,0),99)*100+'Sprint Planning'!$H178+180/100000,"")</f>
        <v/>
      </c>
    </row>
    <row r="181" ht="15" customHeight="1" s="93">
      <c r="T181" s="92">
        <f>IF(AND('Sprint Planning'!$H179&gt;=10,'Sprint Planning'!$H179&lt;=16),IFERROR(MATCH('Sprint Planning'!$C179,Roadmap!$A$4:$A$15,0),99)*100+'Sprint Planning'!$H179+181/100000,"")</f>
        <v/>
      </c>
    </row>
    <row r="182" ht="15" customHeight="1" s="93">
      <c r="T182" s="92">
        <f>IF(AND('Sprint Planning'!$H180&gt;=10,'Sprint Planning'!$H180&lt;=16),IFERROR(MATCH('Sprint Planning'!$C180,Roadmap!$A$4:$A$15,0),99)*100+'Sprint Planning'!$H180+182/100000,"")</f>
        <v/>
      </c>
    </row>
    <row r="183" ht="15" customHeight="1" s="93">
      <c r="T183" s="92">
        <f>IF(AND('Sprint Planning'!$H181&gt;=10,'Sprint Planning'!$H181&lt;=16),IFERROR(MATCH('Sprint Planning'!$C181,Roadmap!$A$4:$A$15,0),99)*100+'Sprint Planning'!$H181+183/100000,"")</f>
        <v/>
      </c>
    </row>
    <row r="184" ht="15" customHeight="1" s="93">
      <c r="T184" s="92">
        <f>IF(AND('Sprint Planning'!$H182&gt;=10,'Sprint Planning'!$H182&lt;=16),IFERROR(MATCH('Sprint Planning'!$C182,Roadmap!$A$4:$A$15,0),99)*100+'Sprint Planning'!$H182+184/100000,"")</f>
        <v/>
      </c>
    </row>
    <row r="185" ht="15" customHeight="1" s="93">
      <c r="T185" s="92">
        <f>IF(AND('Sprint Planning'!$H183&gt;=10,'Sprint Planning'!$H183&lt;=16),IFERROR(MATCH('Sprint Planning'!$C183,Roadmap!$A$4:$A$15,0),99)*100+'Sprint Planning'!$H183+185/100000,"")</f>
        <v/>
      </c>
    </row>
    <row r="186" ht="15" customHeight="1" s="93">
      <c r="T186" s="92">
        <f>IF(AND('Sprint Planning'!$H184&gt;=10,'Sprint Planning'!$H184&lt;=16),IFERROR(MATCH('Sprint Planning'!$C184,Roadmap!$A$4:$A$15,0),99)*100+'Sprint Planning'!$H184+186/100000,"")</f>
        <v/>
      </c>
    </row>
    <row r="187" ht="15" customHeight="1" s="93">
      <c r="T187" s="92">
        <f>IF(AND('Sprint Planning'!$H185&gt;=10,'Sprint Planning'!$H185&lt;=16),IFERROR(MATCH('Sprint Planning'!$C185,Roadmap!$A$4:$A$15,0),99)*100+'Sprint Planning'!$H185+187/100000,"")</f>
        <v/>
      </c>
    </row>
    <row r="188" ht="15" customHeight="1" s="93">
      <c r="T188" s="92">
        <f>IF(AND('Sprint Planning'!$H186&gt;=10,'Sprint Planning'!$H186&lt;=16),IFERROR(MATCH('Sprint Planning'!$C186,Roadmap!$A$4:$A$15,0),99)*100+'Sprint Planning'!$H186+188/100000,"")</f>
        <v/>
      </c>
    </row>
    <row r="189" ht="15" customHeight="1" s="93">
      <c r="T189" s="92">
        <f>IF(AND('Sprint Planning'!$H187&gt;=10,'Sprint Planning'!$H187&lt;=16),IFERROR(MATCH('Sprint Planning'!$C187,Roadmap!$A$4:$A$15,0),99)*100+'Sprint Planning'!$H187+189/100000,"")</f>
        <v/>
      </c>
    </row>
    <row r="190" ht="15" customHeight="1" s="93">
      <c r="T190" s="92">
        <f>IF(AND('Sprint Planning'!$H188&gt;=10,'Sprint Planning'!$H188&lt;=16),IFERROR(MATCH('Sprint Planning'!$C188,Roadmap!$A$4:$A$15,0),99)*100+'Sprint Planning'!$H188+190/100000,"")</f>
        <v/>
      </c>
    </row>
    <row r="191" ht="15" customHeight="1" s="93">
      <c r="T191" s="92">
        <f>IF(AND('Sprint Planning'!$H189&gt;=10,'Sprint Planning'!$H189&lt;=16),IFERROR(MATCH('Sprint Planning'!$C189,Roadmap!$A$4:$A$15,0),99)*100+'Sprint Planning'!$H189+191/100000,"")</f>
        <v/>
      </c>
    </row>
    <row r="192" ht="15" customHeight="1" s="93">
      <c r="T192" s="92">
        <f>IF(AND('Sprint Planning'!$H190&gt;=10,'Sprint Planning'!$H190&lt;=16),IFERROR(MATCH('Sprint Planning'!$C190,Roadmap!$A$4:$A$15,0),99)*100+'Sprint Planning'!$H190+192/100000,"")</f>
        <v/>
      </c>
    </row>
    <row r="193" ht="15" customHeight="1" s="93">
      <c r="T193" s="92">
        <f>IF(AND('Sprint Planning'!$H191&gt;=10,'Sprint Planning'!$H191&lt;=16),IFERROR(MATCH('Sprint Planning'!$C191,Roadmap!$A$4:$A$15,0),99)*100+'Sprint Planning'!$H191+193/100000,"")</f>
        <v/>
      </c>
    </row>
    <row r="194" ht="15" customHeight="1" s="93">
      <c r="T194" s="92">
        <f>IF(AND('Sprint Planning'!$H192&gt;=10,'Sprint Planning'!$H192&lt;=16),IFERROR(MATCH('Sprint Planning'!$C192,Roadmap!$A$4:$A$15,0),99)*100+'Sprint Planning'!$H192+194/100000,"")</f>
        <v/>
      </c>
    </row>
    <row r="195" ht="15" customHeight="1" s="93">
      <c r="T195" s="92">
        <f>IF(AND('Sprint Planning'!$H193&gt;=10,'Sprint Planning'!$H193&lt;=16),IFERROR(MATCH('Sprint Planning'!$C193,Roadmap!$A$4:$A$15,0),99)*100+'Sprint Planning'!$H193+195/100000,"")</f>
        <v/>
      </c>
    </row>
    <row r="196" ht="15" customHeight="1" s="93">
      <c r="T196" s="92">
        <f>IF(AND('Sprint Planning'!$H194&gt;=10,'Sprint Planning'!$H194&lt;=16),IFERROR(MATCH('Sprint Planning'!$C194,Roadmap!$A$4:$A$15,0),99)*100+'Sprint Planning'!$H194+196/100000,"")</f>
        <v/>
      </c>
    </row>
    <row r="197" ht="15" customHeight="1" s="93">
      <c r="T197" s="92">
        <f>IF(AND('Sprint Planning'!$H195&gt;=10,'Sprint Planning'!$H195&lt;=16),IFERROR(MATCH('Sprint Planning'!$C195,Roadmap!$A$4:$A$15,0),99)*100+'Sprint Planning'!$H195+197/100000,"")</f>
        <v/>
      </c>
    </row>
    <row r="198" ht="15" customHeight="1" s="93">
      <c r="T198" s="92">
        <f>IF(AND('Sprint Planning'!$H196&gt;=10,'Sprint Planning'!$H196&lt;=16),IFERROR(MATCH('Sprint Planning'!$C196,Roadmap!$A$4:$A$15,0),99)*100+'Sprint Planning'!$H196+198/100000,"")</f>
        <v/>
      </c>
    </row>
    <row r="199" ht="15" customHeight="1" s="93">
      <c r="T199" s="92">
        <f>IF(AND('Sprint Planning'!$H197&gt;=10,'Sprint Planning'!$H197&lt;=16),IFERROR(MATCH('Sprint Planning'!$C197,Roadmap!$A$4:$A$15,0),99)*100+'Sprint Planning'!$H197+199/100000,"")</f>
        <v/>
      </c>
    </row>
    <row r="200" ht="15" customHeight="1" s="93">
      <c r="T200" s="92">
        <f>IF(AND('Sprint Planning'!$H198&gt;=10,'Sprint Planning'!$H198&lt;=16),IFERROR(MATCH('Sprint Planning'!$C198,Roadmap!$A$4:$A$15,0),99)*100+'Sprint Planning'!$H198+200/100000,"")</f>
        <v/>
      </c>
    </row>
    <row r="201" ht="15" customHeight="1" s="93">
      <c r="T201" s="92">
        <f>IF(AND('Sprint Planning'!$H199&gt;=10,'Sprint Planning'!$H199&lt;=16),IFERROR(MATCH('Sprint Planning'!$C199,Roadmap!$A$4:$A$15,0),99)*100+'Sprint Planning'!$H199+201/100000,"")</f>
        <v/>
      </c>
    </row>
    <row r="202" ht="15" customHeight="1" s="93">
      <c r="T202" s="92">
        <f>IF(AND('Sprint Planning'!$H200&gt;=10,'Sprint Planning'!$H200&lt;=16),IFERROR(MATCH('Sprint Planning'!$C200,Roadmap!$A$4:$A$15,0),99)*100+'Sprint Planning'!$H200+202/100000,"")</f>
        <v/>
      </c>
    </row>
    <row r="203" ht="15" customHeight="1" s="93">
      <c r="T203" s="92">
        <f>IF(AND('Sprint Planning'!$H201&gt;=10,'Sprint Planning'!$H201&lt;=16),IFERROR(MATCH('Sprint Planning'!$C201,Roadmap!$A$4:$A$15,0),99)*100+'Sprint Planning'!$H201+203/100000,"")</f>
        <v/>
      </c>
    </row>
    <row r="204" ht="15" customHeight="1" s="93">
      <c r="T204" s="92">
        <f>IF(AND('Sprint Planning'!$H202&gt;=10,'Sprint Planning'!$H202&lt;=16),IFERROR(MATCH('Sprint Planning'!$C202,Roadmap!$A$4:$A$15,0),99)*100+'Sprint Planning'!$H202+204/100000,"")</f>
        <v/>
      </c>
    </row>
    <row r="205" ht="15" customHeight="1" s="93">
      <c r="T205" s="92">
        <f>IF(AND('Sprint Planning'!$H203&gt;=10,'Sprint Planning'!$H203&lt;=16),IFERROR(MATCH('Sprint Planning'!$C203,Roadmap!$A$4:$A$15,0),99)*100+'Sprint Planning'!$H203+205/100000,"")</f>
        <v/>
      </c>
    </row>
    <row r="206" ht="15" customHeight="1" s="93">
      <c r="T206" s="92">
        <f>IF(AND('Sprint Planning'!$H204&gt;=10,'Sprint Planning'!$H204&lt;=16),IFERROR(MATCH('Sprint Planning'!$C204,Roadmap!$A$4:$A$15,0),99)*100+'Sprint Planning'!$H204+206/100000,"")</f>
        <v/>
      </c>
    </row>
    <row r="207" ht="15" customHeight="1" s="93">
      <c r="T207" s="92">
        <f>IF(AND('Sprint Planning'!$H205&gt;=10,'Sprint Planning'!$H205&lt;=16),IFERROR(MATCH('Sprint Planning'!$C205,Roadmap!$A$4:$A$15,0),99)*100+'Sprint Planning'!$H205+207/100000,"")</f>
        <v/>
      </c>
    </row>
    <row r="208" ht="15" customHeight="1" s="93">
      <c r="T208" s="92">
        <f>IF(AND('Sprint Planning'!$H206&gt;=10,'Sprint Planning'!$H206&lt;=16),IFERROR(MATCH('Sprint Planning'!$C206,Roadmap!$A$4:$A$15,0),99)*100+'Sprint Planning'!$H206+208/100000,"")</f>
        <v/>
      </c>
    </row>
    <row r="209" ht="15" customHeight="1" s="93">
      <c r="T209" s="92">
        <f>IF(AND('Sprint Planning'!$H207&gt;=10,'Sprint Planning'!$H207&lt;=16),IFERROR(MATCH('Sprint Planning'!$C207,Roadmap!$A$4:$A$15,0),99)*100+'Sprint Planning'!$H207+209/100000,"")</f>
        <v/>
      </c>
    </row>
    <row r="210" ht="15" customHeight="1" s="93">
      <c r="T210" s="92">
        <f>IF(AND('Sprint Planning'!$H208&gt;=10,'Sprint Planning'!$H208&lt;=16),IFERROR(MATCH('Sprint Planning'!$C208,Roadmap!$A$4:$A$15,0),99)*100+'Sprint Planning'!$H208+210/100000,"")</f>
        <v/>
      </c>
    </row>
    <row r="211" ht="15" customHeight="1" s="93">
      <c r="T211" s="92">
        <f>IF(AND('Sprint Planning'!$H209&gt;=10,'Sprint Planning'!$H209&lt;=16),IFERROR(MATCH('Sprint Planning'!$C209,Roadmap!$A$4:$A$15,0),99)*100+'Sprint Planning'!$H209+211/100000,"")</f>
        <v/>
      </c>
    </row>
    <row r="212" ht="15" customHeight="1" s="93">
      <c r="T212" s="92">
        <f>IF(AND('Sprint Planning'!$H210&gt;=10,'Sprint Planning'!$H210&lt;=16),IFERROR(MATCH('Sprint Planning'!$C210,Roadmap!$A$4:$A$15,0),99)*100+'Sprint Planning'!$H210+212/100000,"")</f>
        <v/>
      </c>
    </row>
    <row r="213" ht="15" customHeight="1" s="93">
      <c r="T213" s="92">
        <f>IF(AND('Sprint Planning'!$H211&gt;=10,'Sprint Planning'!$H211&lt;=16),IFERROR(MATCH('Sprint Planning'!$C211,Roadmap!$A$4:$A$15,0),99)*100+'Sprint Planning'!$H211+213/100000,"")</f>
        <v/>
      </c>
    </row>
    <row r="214" ht="15" customHeight="1" s="93">
      <c r="T214" s="92">
        <f>IF(AND('Sprint Planning'!$H212&gt;=10,'Sprint Planning'!$H212&lt;=16),IFERROR(MATCH('Sprint Planning'!$C212,Roadmap!$A$4:$A$15,0),99)*100+'Sprint Planning'!$H212+214/100000,"")</f>
        <v/>
      </c>
    </row>
    <row r="215" ht="15" customHeight="1" s="93">
      <c r="T215" s="92">
        <f>IF(AND('Sprint Planning'!$H213&gt;=10,'Sprint Planning'!$H213&lt;=16),IFERROR(MATCH('Sprint Planning'!$C213,Roadmap!$A$4:$A$15,0),99)*100+'Sprint Planning'!$H213+215/100000,"")</f>
        <v/>
      </c>
    </row>
    <row r="216" ht="15" customHeight="1" s="93">
      <c r="T216" s="92">
        <f>IF(AND('Sprint Planning'!$H214&gt;=10,'Sprint Planning'!$H214&lt;=16),IFERROR(MATCH('Sprint Planning'!$C214,Roadmap!$A$4:$A$15,0),99)*100+'Sprint Planning'!$H214+216/100000,"")</f>
        <v/>
      </c>
    </row>
    <row r="217" ht="15" customHeight="1" s="93">
      <c r="T217" s="92">
        <f>IF(AND('Sprint Planning'!$H215&gt;=10,'Sprint Planning'!$H215&lt;=16),IFERROR(MATCH('Sprint Planning'!$C215,Roadmap!$A$4:$A$15,0),99)*100+'Sprint Planning'!$H215+217/100000,"")</f>
        <v/>
      </c>
    </row>
    <row r="218" ht="15" customHeight="1" s="93">
      <c r="T218" s="92">
        <f>IF(AND('Sprint Planning'!$H216&gt;=10,'Sprint Planning'!$H216&lt;=16),IFERROR(MATCH('Sprint Planning'!$C216,Roadmap!$A$4:$A$15,0),99)*100+'Sprint Planning'!$H216+218/100000,"")</f>
        <v/>
      </c>
    </row>
    <row r="219" ht="15" customHeight="1" s="93">
      <c r="T219" s="92">
        <f>IF(AND('Sprint Planning'!$H217&gt;=10,'Sprint Planning'!$H217&lt;=16),IFERROR(MATCH('Sprint Planning'!$C217,Roadmap!$A$4:$A$15,0),99)*100+'Sprint Planning'!$H217+219/100000,"")</f>
        <v/>
      </c>
    </row>
    <row r="220" ht="15" customHeight="1" s="93">
      <c r="T220" s="92">
        <f>IF(AND('Sprint Planning'!$H218&gt;=10,'Sprint Planning'!$H218&lt;=16),IFERROR(MATCH('Sprint Planning'!$C218,Roadmap!$A$4:$A$15,0),99)*100+'Sprint Planning'!$H218+220/100000,"")</f>
        <v/>
      </c>
    </row>
    <row r="221" ht="15" customHeight="1" s="93">
      <c r="T221" s="92">
        <f>IF(AND('Sprint Planning'!$H219&gt;=10,'Sprint Planning'!$H219&lt;=16),IFERROR(MATCH('Sprint Planning'!$C219,Roadmap!$A$4:$A$15,0),99)*100+'Sprint Planning'!$H219+221/100000,"")</f>
        <v/>
      </c>
    </row>
    <row r="222" ht="15" customHeight="1" s="93">
      <c r="T222" s="92">
        <f>IF(AND('Sprint Planning'!$H220&gt;=10,'Sprint Planning'!$H220&lt;=16),IFERROR(MATCH('Sprint Planning'!$C220,Roadmap!$A$4:$A$15,0),99)*100+'Sprint Planning'!$H220+222/100000,"")</f>
        <v/>
      </c>
    </row>
    <row r="223" ht="15" customHeight="1" s="93">
      <c r="T223" s="92">
        <f>IF(AND('Sprint Planning'!$H221&gt;=10,'Sprint Planning'!$H221&lt;=16),IFERROR(MATCH('Sprint Planning'!$C221,Roadmap!$A$4:$A$15,0),99)*100+'Sprint Planning'!$H221+223/100000,"")</f>
        <v/>
      </c>
    </row>
    <row r="224" ht="15" customHeight="1" s="93">
      <c r="T224" s="92">
        <f>IF(AND('Sprint Planning'!$H222&gt;=10,'Sprint Planning'!$H222&lt;=16),IFERROR(MATCH('Sprint Planning'!$C222,Roadmap!$A$4:$A$15,0),99)*100+'Sprint Planning'!$H222+224/100000,"")</f>
        <v/>
      </c>
    </row>
    <row r="225" ht="15" customHeight="1" s="93">
      <c r="T225" s="92">
        <f>IF(AND('Sprint Planning'!$H223&gt;=10,'Sprint Planning'!$H223&lt;=16),IFERROR(MATCH('Sprint Planning'!$C223,Roadmap!$A$4:$A$15,0),99)*100+'Sprint Planning'!$H223+225/100000,"")</f>
        <v/>
      </c>
    </row>
    <row r="226" ht="15" customHeight="1" s="93">
      <c r="T226" s="92">
        <f>IF(AND('Sprint Planning'!$H224&gt;=10,'Sprint Planning'!$H224&lt;=16),IFERROR(MATCH('Sprint Planning'!$C224,Roadmap!$A$4:$A$15,0),99)*100+'Sprint Planning'!$H224+226/100000,"")</f>
        <v/>
      </c>
    </row>
    <row r="227" ht="15" customHeight="1" s="93">
      <c r="T227" s="92">
        <f>IF(AND('Sprint Planning'!$H225&gt;=10,'Sprint Planning'!$H225&lt;=16),IFERROR(MATCH('Sprint Planning'!$C225,Roadmap!$A$4:$A$15,0),99)*100+'Sprint Planning'!$H225+227/100000,"")</f>
        <v/>
      </c>
    </row>
    <row r="228" ht="15" customHeight="1" s="93">
      <c r="T228" s="92">
        <f>IF(AND('Sprint Planning'!$H226&gt;=10,'Sprint Planning'!$H226&lt;=16),IFERROR(MATCH('Sprint Planning'!$C226,Roadmap!$A$4:$A$15,0),99)*100+'Sprint Planning'!$H226+228/100000,"")</f>
        <v/>
      </c>
    </row>
    <row r="229" ht="15" customHeight="1" s="93">
      <c r="T229" s="92">
        <f>IF(AND('Sprint Planning'!$H227&gt;=10,'Sprint Planning'!$H227&lt;=16),IFERROR(MATCH('Sprint Planning'!$C227,Roadmap!$A$4:$A$15,0),99)*100+'Sprint Planning'!$H227+229/100000,"")</f>
        <v/>
      </c>
    </row>
    <row r="230" ht="15" customHeight="1" s="93">
      <c r="T230" s="92">
        <f>IF(AND('Sprint Planning'!$H228&gt;=10,'Sprint Planning'!$H228&lt;=16),IFERROR(MATCH('Sprint Planning'!$C228,Roadmap!$A$4:$A$15,0),99)*100+'Sprint Planning'!$H228+230/100000,"")</f>
        <v/>
      </c>
    </row>
    <row r="231" ht="15" customHeight="1" s="93">
      <c r="T231" s="92">
        <f>IF(AND('Sprint Planning'!$H229&gt;=10,'Sprint Planning'!$H229&lt;=16),IFERROR(MATCH('Sprint Planning'!$C229,Roadmap!$A$4:$A$15,0),99)*100+'Sprint Planning'!$H229+231/100000,"")</f>
        <v/>
      </c>
    </row>
    <row r="232" ht="15" customHeight="1" s="93">
      <c r="T232" s="92">
        <f>IF(AND('Sprint Planning'!$H230&gt;=10,'Sprint Planning'!$H230&lt;=16),IFERROR(MATCH('Sprint Planning'!$C230,Roadmap!$A$4:$A$15,0),99)*100+'Sprint Planning'!$H230+232/100000,"")</f>
        <v/>
      </c>
    </row>
    <row r="233" ht="15" customHeight="1" s="93">
      <c r="T233" s="92">
        <f>IF(AND('Sprint Planning'!$H231&gt;=10,'Sprint Planning'!$H231&lt;=16),IFERROR(MATCH('Sprint Planning'!$C231,Roadmap!$A$4:$A$15,0),99)*100+'Sprint Planning'!$H231+233/100000,"")</f>
        <v/>
      </c>
    </row>
    <row r="234" ht="15" customHeight="1" s="93">
      <c r="T234" s="92">
        <f>IF(AND('Sprint Planning'!$H232&gt;=10,'Sprint Planning'!$H232&lt;=16),IFERROR(MATCH('Sprint Planning'!$C232,Roadmap!$A$4:$A$15,0),99)*100+'Sprint Planning'!$H232+234/100000,"")</f>
        <v/>
      </c>
    </row>
    <row r="235" ht="15" customHeight="1" s="93">
      <c r="T235" s="92">
        <f>IF(AND('Sprint Planning'!$H233&gt;=10,'Sprint Planning'!$H233&lt;=16),IFERROR(MATCH('Sprint Planning'!$C233,Roadmap!$A$4:$A$15,0),99)*100+'Sprint Planning'!$H233+235/100000,"")</f>
        <v/>
      </c>
    </row>
    <row r="236" ht="15" customHeight="1" s="93">
      <c r="T236" s="92">
        <f>IF(AND('Sprint Planning'!$H234&gt;=10,'Sprint Planning'!$H234&lt;=16),IFERROR(MATCH('Sprint Planning'!$C234,Roadmap!$A$4:$A$15,0),99)*100+'Sprint Planning'!$H234+236/100000,"")</f>
        <v/>
      </c>
    </row>
    <row r="237" ht="15" customHeight="1" s="93">
      <c r="T237" s="92">
        <f>IF(AND('Sprint Planning'!$H235&gt;=10,'Sprint Planning'!$H235&lt;=16),IFERROR(MATCH('Sprint Planning'!$C235,Roadmap!$A$4:$A$15,0),99)*100+'Sprint Planning'!$H235+237/100000,"")</f>
        <v/>
      </c>
    </row>
    <row r="238" ht="15" customHeight="1" s="93">
      <c r="T238" s="92">
        <f>IF(AND('Sprint Planning'!$H236&gt;=10,'Sprint Planning'!$H236&lt;=16),IFERROR(MATCH('Sprint Planning'!$C236,Roadmap!$A$4:$A$15,0),99)*100+'Sprint Planning'!$H236+238/100000,"")</f>
        <v/>
      </c>
    </row>
    <row r="239" ht="15" customHeight="1" s="93">
      <c r="T239" s="92">
        <f>IF(AND('Sprint Planning'!$H237&gt;=10,'Sprint Planning'!$H237&lt;=16),IFERROR(MATCH('Sprint Planning'!$C237,Roadmap!$A$4:$A$15,0),99)*100+'Sprint Planning'!$H237+239/100000,"")</f>
        <v/>
      </c>
    </row>
    <row r="240" ht="15" customHeight="1" s="93">
      <c r="T240" s="92">
        <f>IF(AND('Sprint Planning'!$H238&gt;=10,'Sprint Planning'!$H238&lt;=16),IFERROR(MATCH('Sprint Planning'!$C238,Roadmap!$A$4:$A$15,0),99)*100+'Sprint Planning'!$H238+240/100000,"")</f>
        <v/>
      </c>
    </row>
    <row r="241" ht="15" customHeight="1" s="93">
      <c r="T241" s="92">
        <f>IF(AND('Sprint Planning'!$H239&gt;=10,'Sprint Planning'!$H239&lt;=16),IFERROR(MATCH('Sprint Planning'!$C239,Roadmap!$A$4:$A$15,0),99)*100+'Sprint Planning'!$H239+241/100000,"")</f>
        <v/>
      </c>
    </row>
    <row r="242" ht="15" customHeight="1" s="93">
      <c r="T242" s="92">
        <f>IF(AND('Sprint Planning'!$H240&gt;=10,'Sprint Planning'!$H240&lt;=16),IFERROR(MATCH('Sprint Planning'!$C240,Roadmap!$A$4:$A$15,0),99)*100+'Sprint Planning'!$H240+242/100000,"")</f>
        <v/>
      </c>
    </row>
    <row r="243" ht="15" customHeight="1" s="93">
      <c r="T243" s="92">
        <f>IF(AND('Sprint Planning'!$H241&gt;=10,'Sprint Planning'!$H241&lt;=16),IFERROR(MATCH('Sprint Planning'!$C241,Roadmap!$A$4:$A$15,0),99)*100+'Sprint Planning'!$H241+243/100000,"")</f>
        <v/>
      </c>
    </row>
    <row r="244" ht="15" customHeight="1" s="93">
      <c r="T244" s="92">
        <f>IF(AND('Sprint Planning'!$H242&gt;=10,'Sprint Planning'!$H242&lt;=16),IFERROR(MATCH('Sprint Planning'!$C242,Roadmap!$A$4:$A$15,0),99)*100+'Sprint Planning'!$H242+244/100000,"")</f>
        <v/>
      </c>
    </row>
    <row r="245" ht="15" customHeight="1" s="93">
      <c r="T245" s="92">
        <f>IF(AND('Sprint Planning'!$H243&gt;=10,'Sprint Planning'!$H243&lt;=16),IFERROR(MATCH('Sprint Planning'!$C243,Roadmap!$A$4:$A$15,0),99)*100+'Sprint Planning'!$H243+245/100000,"")</f>
        <v/>
      </c>
    </row>
    <row r="246" ht="15" customHeight="1" s="93">
      <c r="T246" s="92">
        <f>IF(AND('Sprint Planning'!$H244&gt;=10,'Sprint Planning'!$H244&lt;=16),IFERROR(MATCH('Sprint Planning'!$C244,Roadmap!$A$4:$A$15,0),99)*100+'Sprint Planning'!$H244+246/100000,"")</f>
        <v/>
      </c>
    </row>
    <row r="247" ht="15" customHeight="1" s="93">
      <c r="T247" s="92">
        <f>IF(AND('Sprint Planning'!$H245&gt;=10,'Sprint Planning'!$H245&lt;=16),IFERROR(MATCH('Sprint Planning'!$C245,Roadmap!$A$4:$A$15,0),99)*100+'Sprint Planning'!$H245+247/100000,"")</f>
        <v/>
      </c>
    </row>
    <row r="248" ht="15" customHeight="1" s="93">
      <c r="T248" s="92">
        <f>IF(AND('Sprint Planning'!$H246&gt;=10,'Sprint Planning'!$H246&lt;=16),IFERROR(MATCH('Sprint Planning'!$C246,Roadmap!$A$4:$A$15,0),99)*100+'Sprint Planning'!$H246+248/100000,"")</f>
        <v/>
      </c>
    </row>
    <row r="249" ht="15" customHeight="1" s="93">
      <c r="T249" s="92">
        <f>IF(AND('Sprint Planning'!$H247&gt;=10,'Sprint Planning'!$H247&lt;=16),IFERROR(MATCH('Sprint Planning'!$C247,Roadmap!$A$4:$A$15,0),99)*100+'Sprint Planning'!$H247+249/100000,"")</f>
        <v/>
      </c>
    </row>
    <row r="250" ht="15" customHeight="1" s="93">
      <c r="T250" s="92">
        <f>IF(AND('Sprint Planning'!$H248&gt;=10,'Sprint Planning'!$H248&lt;=16),IFERROR(MATCH('Sprint Planning'!$C248,Roadmap!$A$4:$A$15,0),99)*100+'Sprint Planning'!$H248+250/100000,"")</f>
        <v/>
      </c>
    </row>
    <row r="251" ht="15" customHeight="1" s="93">
      <c r="T251" s="92">
        <f>IF(AND('Sprint Planning'!$H249&gt;=10,'Sprint Planning'!$H249&lt;=16),IFERROR(MATCH('Sprint Planning'!$C249,Roadmap!$A$4:$A$15,0),99)*100+'Sprint Planning'!$H249+251/100000,"")</f>
        <v/>
      </c>
    </row>
    <row r="252" ht="15" customHeight="1" s="93">
      <c r="T252" s="92">
        <f>IF(AND('Sprint Planning'!$H250&gt;=10,'Sprint Planning'!$H250&lt;=16),IFERROR(MATCH('Sprint Planning'!$C250,Roadmap!$A$4:$A$15,0),99)*100+'Sprint Planning'!$H250+252/100000,"")</f>
        <v/>
      </c>
    </row>
    <row r="253" ht="15" customHeight="1" s="93">
      <c r="T253" s="92">
        <f>IF(AND('Sprint Planning'!$H251&gt;=10,'Sprint Planning'!$H251&lt;=16),IFERROR(MATCH('Sprint Planning'!$C251,Roadmap!$A$4:$A$15,0),99)*100+'Sprint Planning'!$H251+253/100000,"")</f>
        <v/>
      </c>
    </row>
    <row r="254" ht="15" customHeight="1" s="93">
      <c r="T254" s="92">
        <f>IF(AND('Sprint Planning'!$H252&gt;=10,'Sprint Planning'!$H252&lt;=16),IFERROR(MATCH('Sprint Planning'!$C252,Roadmap!$A$4:$A$15,0),99)*100+'Sprint Planning'!$H252+254/100000,"")</f>
        <v/>
      </c>
    </row>
    <row r="255" ht="15" customHeight="1" s="93">
      <c r="T255" s="92">
        <f>IF(AND('Sprint Planning'!$H253&gt;=10,'Sprint Planning'!$H253&lt;=16),IFERROR(MATCH('Sprint Planning'!$C253,Roadmap!$A$4:$A$15,0),99)*100+'Sprint Planning'!$H253+255/100000,"")</f>
        <v/>
      </c>
    </row>
    <row r="256" ht="15" customHeight="1" s="93">
      <c r="T256" s="92">
        <f>IF(AND('Sprint Planning'!$H254&gt;=10,'Sprint Planning'!$H254&lt;=16),IFERROR(MATCH('Sprint Planning'!$C254,Roadmap!$A$4:$A$15,0),99)*100+'Sprint Planning'!$H254+256/100000,"")</f>
        <v/>
      </c>
    </row>
    <row r="257" ht="15" customHeight="1" s="93">
      <c r="T257" s="92">
        <f>IF(AND('Sprint Planning'!$H255&gt;=10,'Sprint Planning'!$H255&lt;=16),IFERROR(MATCH('Sprint Planning'!$C255,Roadmap!$A$4:$A$15,0),99)*100+'Sprint Planning'!$H255+257/100000,"")</f>
        <v/>
      </c>
    </row>
    <row r="258" ht="15" customHeight="1" s="93">
      <c r="T258" s="92">
        <f>IF(AND('Sprint Planning'!$H256&gt;=10,'Sprint Planning'!$H256&lt;=16),IFERROR(MATCH('Sprint Planning'!$C256,Roadmap!$A$4:$A$15,0),99)*100+'Sprint Planning'!$H256+258/100000,"")</f>
        <v/>
      </c>
    </row>
    <row r="259" ht="15" customHeight="1" s="93">
      <c r="T259" s="92">
        <f>IF(AND('Sprint Planning'!$H257&gt;=10,'Sprint Planning'!$H257&lt;=16),IFERROR(MATCH('Sprint Planning'!$C257,Roadmap!$A$4:$A$15,0),99)*100+'Sprint Planning'!$H257+259/100000,"")</f>
        <v/>
      </c>
    </row>
    <row r="260" ht="15" customHeight="1" s="93">
      <c r="T260" s="92">
        <f>IF(AND('Sprint Planning'!$H258&gt;=10,'Sprint Planning'!$H258&lt;=16),IFERROR(MATCH('Sprint Planning'!$C258,Roadmap!$A$4:$A$15,0),99)*100+'Sprint Planning'!$H258+260/100000,"")</f>
        <v/>
      </c>
    </row>
    <row r="261" ht="15" customHeight="1" s="93">
      <c r="T261" s="92">
        <f>IF(AND('Sprint Planning'!$H259&gt;=10,'Sprint Planning'!$H259&lt;=16),IFERROR(MATCH('Sprint Planning'!$C259,Roadmap!$A$4:$A$15,0),99)*100+'Sprint Planning'!$H259+261/100000,"")</f>
        <v/>
      </c>
    </row>
    <row r="262" ht="15" customHeight="1" s="93">
      <c r="T262" s="92">
        <f>IF(AND('Sprint Planning'!$H260&gt;=10,'Sprint Planning'!$H260&lt;=16),IFERROR(MATCH('Sprint Planning'!$C260,Roadmap!$A$4:$A$15,0),99)*100+'Sprint Planning'!$H260+262/100000,"")</f>
        <v/>
      </c>
    </row>
    <row r="263" ht="15" customHeight="1" s="93">
      <c r="T263" s="92">
        <f>IF(AND('Sprint Planning'!$H261&gt;=10,'Sprint Planning'!$H261&lt;=16),IFERROR(MATCH('Sprint Planning'!$C261,Roadmap!$A$4:$A$15,0),99)*100+'Sprint Planning'!$H261+263/100000,"")</f>
        <v/>
      </c>
    </row>
    <row r="264" ht="15" customHeight="1" s="93">
      <c r="T264" s="92">
        <f>IF(AND('Sprint Planning'!$H262&gt;=10,'Sprint Planning'!$H262&lt;=16),IFERROR(MATCH('Sprint Planning'!$C262,Roadmap!$A$4:$A$15,0),99)*100+'Sprint Planning'!$H262+264/100000,"")</f>
        <v/>
      </c>
    </row>
    <row r="265" ht="15" customHeight="1" s="93">
      <c r="T265" s="92">
        <f>IF(AND('Sprint Planning'!$H263&gt;=10,'Sprint Planning'!$H263&lt;=16),IFERROR(MATCH('Sprint Planning'!$C263,Roadmap!$A$4:$A$15,0),99)*100+'Sprint Planning'!$H263+265/100000,"")</f>
        <v/>
      </c>
    </row>
    <row r="266" ht="15" customHeight="1" s="93">
      <c r="T266" s="92">
        <f>IF(AND('Sprint Planning'!$H264&gt;=10,'Sprint Planning'!$H264&lt;=16),IFERROR(MATCH('Sprint Planning'!$C264,Roadmap!$A$4:$A$15,0),99)*100+'Sprint Planning'!$H264+266/100000,"")</f>
        <v/>
      </c>
    </row>
    <row r="267" ht="15" customHeight="1" s="93">
      <c r="T267" s="92">
        <f>IF(AND('Sprint Planning'!$H265&gt;=10,'Sprint Planning'!$H265&lt;=16),IFERROR(MATCH('Sprint Planning'!$C265,Roadmap!$A$4:$A$15,0),99)*100+'Sprint Planning'!$H265+267/100000,"")</f>
        <v/>
      </c>
    </row>
    <row r="268" ht="15" customHeight="1" s="93">
      <c r="T268" s="92">
        <f>IF(AND('Sprint Planning'!$H266&gt;=10,'Sprint Planning'!$H266&lt;=16),IFERROR(MATCH('Sprint Planning'!$C266,Roadmap!$A$4:$A$15,0),99)*100+'Sprint Planning'!$H266+268/100000,"")</f>
        <v/>
      </c>
    </row>
    <row r="269" ht="15" customHeight="1" s="93">
      <c r="T269" s="92">
        <f>IF(AND('Sprint Planning'!$H267&gt;=10,'Sprint Planning'!$H267&lt;=16),IFERROR(MATCH('Sprint Planning'!$C267,Roadmap!$A$4:$A$15,0),99)*100+'Sprint Planning'!$H267+269/100000,"")</f>
        <v/>
      </c>
    </row>
    <row r="270" ht="15" customHeight="1" s="93">
      <c r="T270" s="92">
        <f>IF(AND('Sprint Planning'!$H268&gt;=10,'Sprint Planning'!$H268&lt;=16),IFERROR(MATCH('Sprint Planning'!$C268,Roadmap!$A$4:$A$15,0),99)*100+'Sprint Planning'!$H268+270/100000,"")</f>
        <v/>
      </c>
    </row>
    <row r="271" ht="15" customHeight="1" s="93">
      <c r="T271" s="92">
        <f>IF(AND('Sprint Planning'!$H269&gt;=10,'Sprint Planning'!$H269&lt;=16),IFERROR(MATCH('Sprint Planning'!$C269,Roadmap!$A$4:$A$15,0),99)*100+'Sprint Planning'!$H269+271/100000,"")</f>
        <v/>
      </c>
    </row>
    <row r="272" ht="15" customHeight="1" s="93">
      <c r="T272" s="92">
        <f>IF(AND('Sprint Planning'!$H270&gt;=10,'Sprint Planning'!$H270&lt;=16),IFERROR(MATCH('Sprint Planning'!$C270,Roadmap!$A$4:$A$15,0),99)*100+'Sprint Planning'!$H270+272/100000,"")</f>
        <v/>
      </c>
    </row>
    <row r="273" ht="15" customHeight="1" s="93">
      <c r="T273" s="92">
        <f>IF(AND('Sprint Planning'!$H271&gt;=10,'Sprint Planning'!$H271&lt;=16),IFERROR(MATCH('Sprint Planning'!$C271,Roadmap!$A$4:$A$15,0),99)*100+'Sprint Planning'!$H271+273/100000,"")</f>
        <v/>
      </c>
    </row>
    <row r="274" ht="15" customHeight="1" s="93">
      <c r="T274" s="92">
        <f>IF(AND('Sprint Planning'!$H272&gt;=10,'Sprint Planning'!$H272&lt;=16),IFERROR(MATCH('Sprint Planning'!$C272,Roadmap!$A$4:$A$15,0),99)*100+'Sprint Planning'!$H272+274/100000,"")</f>
        <v/>
      </c>
    </row>
    <row r="275" ht="15" customHeight="1" s="93">
      <c r="T275" s="92">
        <f>IF(AND('Sprint Planning'!$H273&gt;=10,'Sprint Planning'!$H273&lt;=16),IFERROR(MATCH('Sprint Planning'!$C273,Roadmap!$A$4:$A$15,0),99)*100+'Sprint Planning'!$H273+275/100000,"")</f>
        <v/>
      </c>
    </row>
    <row r="276" ht="15" customHeight="1" s="93">
      <c r="T276" s="92">
        <f>IF(AND('Sprint Planning'!$H274&gt;=10,'Sprint Planning'!$H274&lt;=16),IFERROR(MATCH('Sprint Planning'!$C274,Roadmap!$A$4:$A$15,0),99)*100+'Sprint Planning'!$H274+276/100000,"")</f>
        <v/>
      </c>
    </row>
    <row r="277" ht="15" customHeight="1" s="93">
      <c r="T277" s="92">
        <f>IF(AND('Sprint Planning'!$H275&gt;=10,'Sprint Planning'!$H275&lt;=16),IFERROR(MATCH('Sprint Planning'!$C275,Roadmap!$A$4:$A$15,0),99)*100+'Sprint Planning'!$H275+277/100000,"")</f>
        <v/>
      </c>
    </row>
    <row r="278" ht="15" customHeight="1" s="93">
      <c r="T278" s="92">
        <f>IF(AND('Sprint Planning'!$H276&gt;=10,'Sprint Planning'!$H276&lt;=16),IFERROR(MATCH('Sprint Planning'!$C276,Roadmap!$A$4:$A$15,0),99)*100+'Sprint Planning'!$H276+278/100000,"")</f>
        <v/>
      </c>
    </row>
    <row r="279" ht="15" customHeight="1" s="93">
      <c r="T279" s="92">
        <f>IF(AND('Sprint Planning'!$H277&gt;=10,'Sprint Planning'!$H277&lt;=16),IFERROR(MATCH('Sprint Planning'!$C277,Roadmap!$A$4:$A$15,0),99)*100+'Sprint Planning'!$H277+279/100000,"")</f>
        <v/>
      </c>
    </row>
    <row r="280" ht="15" customHeight="1" s="93">
      <c r="T280" s="92">
        <f>IF(AND('Sprint Planning'!$H278&gt;=10,'Sprint Planning'!$H278&lt;=16),IFERROR(MATCH('Sprint Planning'!$C278,Roadmap!$A$4:$A$15,0),99)*100+'Sprint Planning'!$H278+280/100000,"")</f>
        <v/>
      </c>
    </row>
    <row r="281" ht="15" customHeight="1" s="93">
      <c r="T281" s="92">
        <f>IF(AND('Sprint Planning'!$H279&gt;=10,'Sprint Planning'!$H279&lt;=16),IFERROR(MATCH('Sprint Planning'!$C279,Roadmap!$A$4:$A$15,0),99)*100+'Sprint Planning'!$H279+281/100000,"")</f>
        <v/>
      </c>
    </row>
    <row r="282" ht="15" customHeight="1" s="93">
      <c r="T282" s="92">
        <f>IF(AND('Sprint Planning'!$H280&gt;=10,'Sprint Planning'!$H280&lt;=16),IFERROR(MATCH('Sprint Planning'!$C280,Roadmap!$A$4:$A$15,0),99)*100+'Sprint Planning'!$H280+282/100000,"")</f>
        <v/>
      </c>
    </row>
    <row r="283" ht="15" customHeight="1" s="93">
      <c r="T283" s="92">
        <f>IF(AND('Sprint Planning'!$H281&gt;=10,'Sprint Planning'!$H281&lt;=16),IFERROR(MATCH('Sprint Planning'!$C281,Roadmap!$A$4:$A$15,0),99)*100+'Sprint Planning'!$H281+283/100000,"")</f>
        <v/>
      </c>
    </row>
    <row r="284" ht="15" customHeight="1" s="93">
      <c r="T284" s="92">
        <f>IF(AND('Sprint Planning'!$H282&gt;=10,'Sprint Planning'!$H282&lt;=16),IFERROR(MATCH('Sprint Planning'!$C282,Roadmap!$A$4:$A$15,0),99)*100+'Sprint Planning'!$H282+284/100000,"")</f>
        <v/>
      </c>
    </row>
    <row r="285" ht="15" customHeight="1" s="93">
      <c r="T285" s="92">
        <f>IF(AND('Sprint Planning'!$H283&gt;=10,'Sprint Planning'!$H283&lt;=16),IFERROR(MATCH('Sprint Planning'!$C283,Roadmap!$A$4:$A$15,0),99)*100+'Sprint Planning'!$H283+285/100000,"")</f>
        <v/>
      </c>
    </row>
    <row r="286" ht="15" customHeight="1" s="93">
      <c r="T286" s="92">
        <f>IF(AND('Sprint Planning'!$H284&gt;=10,'Sprint Planning'!$H284&lt;=16),IFERROR(MATCH('Sprint Planning'!$C284,Roadmap!$A$4:$A$15,0),99)*100+'Sprint Planning'!$H284+286/100000,"")</f>
        <v/>
      </c>
    </row>
    <row r="287" ht="15" customHeight="1" s="93">
      <c r="T287" s="92">
        <f>IF(AND('Sprint Planning'!$H285&gt;=10,'Sprint Planning'!$H285&lt;=16),IFERROR(MATCH('Sprint Planning'!$C285,Roadmap!$A$4:$A$15,0),99)*100+'Sprint Planning'!$H285+287/100000,"")</f>
        <v/>
      </c>
    </row>
    <row r="288" ht="15" customHeight="1" s="93">
      <c r="T288" s="92">
        <f>IF(AND('Sprint Planning'!$H286&gt;=10,'Sprint Planning'!$H286&lt;=16),IFERROR(MATCH('Sprint Planning'!$C286,Roadmap!$A$4:$A$15,0),99)*100+'Sprint Planning'!$H286+288/100000,"")</f>
        <v/>
      </c>
    </row>
    <row r="289" ht="15" customHeight="1" s="93">
      <c r="T289" s="92">
        <f>IF(AND('Sprint Planning'!$H287&gt;=10,'Sprint Planning'!$H287&lt;=16),IFERROR(MATCH('Sprint Planning'!$C287,Roadmap!$A$4:$A$15,0),99)*100+'Sprint Planning'!$H287+289/100000,"")</f>
        <v/>
      </c>
    </row>
    <row r="290" ht="15" customHeight="1" s="93">
      <c r="T290" s="92">
        <f>IF(AND('Sprint Planning'!$H288&gt;=10,'Sprint Planning'!$H288&lt;=16),IFERROR(MATCH('Sprint Planning'!$C288,Roadmap!$A$4:$A$15,0),99)*100+'Sprint Planning'!$H288+290/100000,"")</f>
        <v/>
      </c>
    </row>
    <row r="291" ht="15" customHeight="1" s="93">
      <c r="T291" s="92">
        <f>IF(AND('Sprint Planning'!$H289&gt;=10,'Sprint Planning'!$H289&lt;=16),IFERROR(MATCH('Sprint Planning'!$C289,Roadmap!$A$4:$A$15,0),99)*100+'Sprint Planning'!$H289+291/100000,"")</f>
        <v/>
      </c>
    </row>
    <row r="292" ht="15" customHeight="1" s="93">
      <c r="T292" s="92">
        <f>IF(AND('Sprint Planning'!$H290&gt;=10,'Sprint Planning'!$H290&lt;=16),IFERROR(MATCH('Sprint Planning'!$C290,Roadmap!$A$4:$A$15,0),99)*100+'Sprint Planning'!$H290+292/100000,"")</f>
        <v/>
      </c>
    </row>
    <row r="293" ht="15" customHeight="1" s="93">
      <c r="T293" s="92">
        <f>IF(AND('Sprint Planning'!$H291&gt;=10,'Sprint Planning'!$H291&lt;=16),IFERROR(MATCH('Sprint Planning'!$C291,Roadmap!$A$4:$A$15,0),99)*100+'Sprint Planning'!$H291+293/100000,"")</f>
        <v/>
      </c>
    </row>
    <row r="294" ht="15" customHeight="1" s="93">
      <c r="T294" s="92">
        <f>IF(AND('Sprint Planning'!$H292&gt;=10,'Sprint Planning'!$H292&lt;=16),IFERROR(MATCH('Sprint Planning'!$C292,Roadmap!$A$4:$A$15,0),99)*100+'Sprint Planning'!$H292+294/100000,"")</f>
        <v/>
      </c>
    </row>
    <row r="295" ht="15" customHeight="1" s="93">
      <c r="T295" s="92">
        <f>IF(AND('Sprint Planning'!$H293&gt;=10,'Sprint Planning'!$H293&lt;=16),IFERROR(MATCH('Sprint Planning'!$C293,Roadmap!$A$4:$A$15,0),99)*100+'Sprint Planning'!$H293+295/100000,"")</f>
        <v/>
      </c>
    </row>
    <row r="296" ht="15" customHeight="1" s="93">
      <c r="T296" s="92">
        <f>IF(AND('Sprint Planning'!$H294&gt;=10,'Sprint Planning'!$H294&lt;=16),IFERROR(MATCH('Sprint Planning'!$C294,Roadmap!$A$4:$A$15,0),99)*100+'Sprint Planning'!$H294+296/100000,"")</f>
        <v/>
      </c>
    </row>
    <row r="297" ht="15" customHeight="1" s="93">
      <c r="T297" s="92">
        <f>IF(AND('Sprint Planning'!$H295&gt;=10,'Sprint Planning'!$H295&lt;=16),IFERROR(MATCH('Sprint Planning'!$C295,Roadmap!$A$4:$A$15,0),99)*100+'Sprint Planning'!$H295+297/100000,"")</f>
        <v/>
      </c>
    </row>
    <row r="298" ht="15" customHeight="1" s="93">
      <c r="T298" s="92">
        <f>IF(AND('Sprint Planning'!$H296&gt;=10,'Sprint Planning'!$H296&lt;=16),IFERROR(MATCH('Sprint Planning'!$C296,Roadmap!$A$4:$A$15,0),99)*100+'Sprint Planning'!$H296+298/100000,"")</f>
        <v/>
      </c>
    </row>
    <row r="299" ht="15" customHeight="1" s="93">
      <c r="T299" s="92">
        <f>IF(AND('Sprint Planning'!$H297&gt;=10,'Sprint Planning'!$H297&lt;=16),IFERROR(MATCH('Sprint Planning'!$C297,Roadmap!$A$4:$A$15,0),99)*100+'Sprint Planning'!$H297+299/100000,"")</f>
        <v/>
      </c>
    </row>
    <row r="300" ht="15" customHeight="1" s="93">
      <c r="T300" s="92">
        <f>IF(AND('Sprint Planning'!$H298&gt;=10,'Sprint Planning'!$H298&lt;=16),IFERROR(MATCH('Sprint Planning'!$C298,Roadmap!$A$4:$A$15,0),99)*100+'Sprint Planning'!$H298+300/100000,"")</f>
        <v/>
      </c>
    </row>
    <row r="301" ht="15" customHeight="1" s="93">
      <c r="T301" s="92">
        <f>IF(AND('Sprint Planning'!$H299&gt;=10,'Sprint Planning'!$H299&lt;=16),IFERROR(MATCH('Sprint Planning'!$C299,Roadmap!$A$4:$A$15,0),99)*100+'Sprint Planning'!$H299+301/100000,"")</f>
        <v/>
      </c>
    </row>
    <row r="302" ht="15" customHeight="1" s="93">
      <c r="T302" s="92">
        <f>IF(AND('Sprint Planning'!$H300&gt;=10,'Sprint Planning'!$H300&lt;=16),IFERROR(MATCH('Sprint Planning'!$C300,Roadmap!$A$4:$A$15,0),99)*100+'Sprint Planning'!$H300+302/100000,"")</f>
        <v/>
      </c>
    </row>
    <row r="303" ht="15" customHeight="1" s="93">
      <c r="T303" s="92">
        <f>IF(AND('Sprint Planning'!$H301&gt;=10,'Sprint Planning'!$H301&lt;=16),IFERROR(MATCH('Sprint Planning'!$C301,Roadmap!$A$4:$A$15,0),99)*100+'Sprint Planning'!$H301+303/100000,"")</f>
        <v/>
      </c>
    </row>
    <row r="304" ht="15" customHeight="1" s="93">
      <c r="T304" s="92">
        <f>IF(AND('Sprint Planning'!$H302&gt;=10,'Sprint Planning'!$H302&lt;=16),IFERROR(MATCH('Sprint Planning'!$C302,Roadmap!$A$4:$A$15,0),99)*100+'Sprint Planning'!$H302+304/100000,"")</f>
        <v/>
      </c>
    </row>
    <row r="305" ht="15" customHeight="1" s="93">
      <c r="T305" s="92">
        <f>IF(AND('Sprint Planning'!$H303&gt;=10,'Sprint Planning'!$H303&lt;=16),IFERROR(MATCH('Sprint Planning'!$C303,Roadmap!$A$4:$A$15,0),99)*100+'Sprint Planning'!$H303+305/100000,"")</f>
        <v/>
      </c>
    </row>
    <row r="306" ht="15" customHeight="1" s="93">
      <c r="T306" s="92">
        <f>IF(AND('Sprint Planning'!$H304&gt;=10,'Sprint Planning'!$H304&lt;=16),IFERROR(MATCH('Sprint Planning'!$C304,Roadmap!$A$4:$A$15,0),99)*100+'Sprint Planning'!$H304+306/100000,"")</f>
        <v/>
      </c>
    </row>
    <row r="307" ht="15" customHeight="1" s="93">
      <c r="T307" s="92">
        <f>IF(AND('Sprint Planning'!$H305&gt;=10,'Sprint Planning'!$H305&lt;=16),IFERROR(MATCH('Sprint Planning'!$C305,Roadmap!$A$4:$A$15,0),99)*100+'Sprint Planning'!$H305+307/100000,"")</f>
        <v/>
      </c>
    </row>
    <row r="308" ht="15" customHeight="1" s="93">
      <c r="T308" s="92">
        <f>IF(AND('Sprint Planning'!$H306&gt;=10,'Sprint Planning'!$H306&lt;=16),IFERROR(MATCH('Sprint Planning'!$C306,Roadmap!$A$4:$A$15,0),99)*100+'Sprint Planning'!$H306+308/100000,"")</f>
        <v/>
      </c>
    </row>
    <row r="309" ht="15" customHeight="1" s="93">
      <c r="T309" s="92">
        <f>IF(AND('Sprint Planning'!$H307&gt;=10,'Sprint Planning'!$H307&lt;=16),IFERROR(MATCH('Sprint Planning'!$C307,Roadmap!$A$4:$A$15,0),99)*100+'Sprint Planning'!$H307+309/100000,"")</f>
        <v/>
      </c>
    </row>
    <row r="310" ht="15" customHeight="1" s="93">
      <c r="T310" s="92">
        <f>IF(AND('Sprint Planning'!$H308&gt;=10,'Sprint Planning'!$H308&lt;=16),IFERROR(MATCH('Sprint Planning'!$C308,Roadmap!$A$4:$A$15,0),99)*100+'Sprint Planning'!$H308+310/100000,"")</f>
        <v/>
      </c>
    </row>
    <row r="311" ht="15" customHeight="1" s="93">
      <c r="T311" s="92">
        <f>IF(AND('Sprint Planning'!$H309&gt;=10,'Sprint Planning'!$H309&lt;=16),IFERROR(MATCH('Sprint Planning'!$C309,Roadmap!$A$4:$A$15,0),99)*100+'Sprint Planning'!$H309+311/100000,"")</f>
        <v/>
      </c>
    </row>
    <row r="312" ht="15" customHeight="1" s="93">
      <c r="T312" s="92">
        <f>IF(AND('Sprint Planning'!$H310&gt;=10,'Sprint Planning'!$H310&lt;=16),IFERROR(MATCH('Sprint Planning'!$C310,Roadmap!$A$4:$A$15,0),99)*100+'Sprint Planning'!$H310+312/100000,"")</f>
        <v/>
      </c>
    </row>
    <row r="313" ht="15" customHeight="1" s="93">
      <c r="T313" s="92">
        <f>IF(AND('Sprint Planning'!$H311&gt;=10,'Sprint Planning'!$H311&lt;=16),IFERROR(MATCH('Sprint Planning'!$C311,Roadmap!$A$4:$A$15,0),99)*100+'Sprint Planning'!$H311+313/100000,"")</f>
        <v/>
      </c>
    </row>
    <row r="314" ht="15" customHeight="1" s="93">
      <c r="T314" s="92">
        <f>IF(AND('Sprint Planning'!$H312&gt;=10,'Sprint Planning'!$H312&lt;=16),IFERROR(MATCH('Sprint Planning'!$C312,Roadmap!$A$4:$A$15,0),99)*100+'Sprint Planning'!$H312+314/100000,"")</f>
        <v/>
      </c>
    </row>
    <row r="315" ht="15" customHeight="1" s="93">
      <c r="T315" s="92">
        <f>IF(AND('Sprint Planning'!$H313&gt;=10,'Sprint Planning'!$H313&lt;=16),IFERROR(MATCH('Sprint Planning'!$C313,Roadmap!$A$4:$A$15,0),99)*100+'Sprint Planning'!$H313+315/100000,"")</f>
        <v/>
      </c>
    </row>
    <row r="316" ht="15" customHeight="1" s="93">
      <c r="T316" s="92">
        <f>IF(AND('Sprint Planning'!$H314&gt;=10,'Sprint Planning'!$H314&lt;=16),IFERROR(MATCH('Sprint Planning'!$C314,Roadmap!$A$4:$A$15,0),99)*100+'Sprint Planning'!$H314+316/100000,"")</f>
        <v/>
      </c>
    </row>
    <row r="317" ht="15" customHeight="1" s="93">
      <c r="T317" s="92">
        <f>IF(AND('Sprint Planning'!$H315&gt;=10,'Sprint Planning'!$H315&lt;=16),IFERROR(MATCH('Sprint Planning'!$C315,Roadmap!$A$4:$A$15,0),99)*100+'Sprint Planning'!$H315+317/100000,"")</f>
        <v/>
      </c>
    </row>
    <row r="318" ht="15" customHeight="1" s="93">
      <c r="T318" s="92">
        <f>IF(AND('Sprint Planning'!$H316&gt;=10,'Sprint Planning'!$H316&lt;=16),IFERROR(MATCH('Sprint Planning'!$C316,Roadmap!$A$4:$A$15,0),99)*100+'Sprint Planning'!$H316+318/100000,"")</f>
        <v/>
      </c>
    </row>
    <row r="319" ht="15" customHeight="1" s="93">
      <c r="T319" s="92">
        <f>IF(AND('Sprint Planning'!$H317&gt;=10,'Sprint Planning'!$H317&lt;=16),IFERROR(MATCH('Sprint Planning'!$C317,Roadmap!$A$4:$A$15,0),99)*100+'Sprint Planning'!$H317+319/100000,"")</f>
        <v/>
      </c>
    </row>
    <row r="320" ht="15" customHeight="1" s="93">
      <c r="T320" s="92">
        <f>IF(AND('Sprint Planning'!$H318&gt;=10,'Sprint Planning'!$H318&lt;=16),IFERROR(MATCH('Sprint Planning'!$C318,Roadmap!$A$4:$A$15,0),99)*100+'Sprint Planning'!$H318+320/100000,"")</f>
        <v/>
      </c>
    </row>
    <row r="321" ht="15" customHeight="1" s="93">
      <c r="T321" s="92">
        <f>IF(AND('Sprint Planning'!$H319&gt;=10,'Sprint Planning'!$H319&lt;=16),IFERROR(MATCH('Sprint Planning'!$C319,Roadmap!$A$4:$A$15,0),99)*100+'Sprint Planning'!$H319+321/100000,"")</f>
        <v/>
      </c>
    </row>
    <row r="322" ht="15" customHeight="1" s="93">
      <c r="T322" s="92">
        <f>IF(AND('Sprint Planning'!$H320&gt;=10,'Sprint Planning'!$H320&lt;=16),IFERROR(MATCH('Sprint Planning'!$C320,Roadmap!$A$4:$A$15,0),99)*100+'Sprint Planning'!$H320+322/100000,"")</f>
        <v/>
      </c>
    </row>
    <row r="323" ht="15" customHeight="1" s="93">
      <c r="T323" s="92">
        <f>IF(AND('Sprint Planning'!$H321&gt;=10,'Sprint Planning'!$H321&lt;=16),IFERROR(MATCH('Sprint Planning'!$C321,Roadmap!$A$4:$A$15,0),99)*100+'Sprint Planning'!$H321+323/100000,"")</f>
        <v/>
      </c>
    </row>
    <row r="324" ht="15" customHeight="1" s="93">
      <c r="T324" s="92">
        <f>IF(AND('Sprint Planning'!$H322&gt;=10,'Sprint Planning'!$H322&lt;=16),IFERROR(MATCH('Sprint Planning'!$C322,Roadmap!$A$4:$A$15,0),99)*100+'Sprint Planning'!$H322+324/100000,"")</f>
        <v/>
      </c>
    </row>
    <row r="325" ht="15" customHeight="1" s="93">
      <c r="T325" s="92">
        <f>IF(AND('Sprint Planning'!$H323&gt;=10,'Sprint Planning'!$H323&lt;=16),IFERROR(MATCH('Sprint Planning'!$C323,Roadmap!$A$4:$A$15,0),99)*100+'Sprint Planning'!$H323+325/100000,"")</f>
        <v/>
      </c>
    </row>
    <row r="326" ht="15" customHeight="1" s="93">
      <c r="T326" s="92">
        <f>IF(AND('Sprint Planning'!$H324&gt;=10,'Sprint Planning'!$H324&lt;=16),IFERROR(MATCH('Sprint Planning'!$C324,Roadmap!$A$4:$A$15,0),99)*100+'Sprint Planning'!$H324+326/100000,"")</f>
        <v/>
      </c>
    </row>
    <row r="327" ht="15" customHeight="1" s="93">
      <c r="T327" s="92">
        <f>IF(AND('Sprint Planning'!$H325&gt;=10,'Sprint Planning'!$H325&lt;=16),IFERROR(MATCH('Sprint Planning'!$C325,Roadmap!$A$4:$A$15,0),99)*100+'Sprint Planning'!$H325+327/100000,"")</f>
        <v/>
      </c>
    </row>
    <row r="328" ht="15" customHeight="1" s="93">
      <c r="T328" s="92">
        <f>IF(AND('Sprint Planning'!$H326&gt;=10,'Sprint Planning'!$H326&lt;=16),IFERROR(MATCH('Sprint Planning'!$C326,Roadmap!$A$4:$A$15,0),99)*100+'Sprint Planning'!$H326+328/100000,"")</f>
        <v/>
      </c>
    </row>
    <row r="329" ht="15" customHeight="1" s="93">
      <c r="T329" s="92">
        <f>IF(AND('Sprint Planning'!$H327&gt;=10,'Sprint Planning'!$H327&lt;=16),IFERROR(MATCH('Sprint Planning'!$C327,Roadmap!$A$4:$A$15,0),99)*100+'Sprint Planning'!$H327+329/100000,"")</f>
        <v/>
      </c>
    </row>
    <row r="330" ht="15" customHeight="1" s="93">
      <c r="T330" s="92">
        <f>IF(AND('Sprint Planning'!$H328&gt;=10,'Sprint Planning'!$H328&lt;=16),IFERROR(MATCH('Sprint Planning'!$C328,Roadmap!$A$4:$A$15,0),99)*100+'Sprint Planning'!$H328+330/100000,"")</f>
        <v/>
      </c>
    </row>
    <row r="331" ht="15" customHeight="1" s="93">
      <c r="T331" s="92">
        <f>IF(AND('Sprint Planning'!$H329&gt;=10,'Sprint Planning'!$H329&lt;=16),IFERROR(MATCH('Sprint Planning'!$C329,Roadmap!$A$4:$A$15,0),99)*100+'Sprint Planning'!$H329+331/100000,"")</f>
        <v/>
      </c>
    </row>
    <row r="332" ht="15" customHeight="1" s="93">
      <c r="T332" s="92">
        <f>IF(AND('Sprint Planning'!$H330&gt;=10,'Sprint Planning'!$H330&lt;=16),IFERROR(MATCH('Sprint Planning'!$C330,Roadmap!$A$4:$A$15,0),99)*100+'Sprint Planning'!$H330+332/100000,"")</f>
        <v/>
      </c>
    </row>
    <row r="333" ht="15" customHeight="1" s="93">
      <c r="T333" s="92">
        <f>IF(AND('Sprint Planning'!$H331&gt;=10,'Sprint Planning'!$H331&lt;=16),IFERROR(MATCH('Sprint Planning'!$C331,Roadmap!$A$4:$A$15,0),99)*100+'Sprint Planning'!$H331+333/100000,"")</f>
        <v/>
      </c>
    </row>
    <row r="334" ht="15" customHeight="1" s="93">
      <c r="T334" s="92">
        <f>IF(AND('Sprint Planning'!$H332&gt;=10,'Sprint Planning'!$H332&lt;=16),IFERROR(MATCH('Sprint Planning'!$C332,Roadmap!$A$4:$A$15,0),99)*100+'Sprint Planning'!$H332+334/100000,"")</f>
        <v/>
      </c>
    </row>
    <row r="335" ht="15" customHeight="1" s="93">
      <c r="T335" s="92">
        <f>IF(AND('Sprint Planning'!$H333&gt;=10,'Sprint Planning'!$H333&lt;=16),IFERROR(MATCH('Sprint Planning'!$C333,Roadmap!$A$4:$A$15,0),99)*100+'Sprint Planning'!$H333+335/100000,"")</f>
        <v/>
      </c>
    </row>
    <row r="336" ht="15" customHeight="1" s="93">
      <c r="T336" s="92">
        <f>IF(AND('Sprint Planning'!$H334&gt;=10,'Sprint Planning'!$H334&lt;=16),IFERROR(MATCH('Sprint Planning'!$C334,Roadmap!$A$4:$A$15,0),99)*100+'Sprint Planning'!$H334+336/100000,"")</f>
        <v/>
      </c>
    </row>
    <row r="337" ht="15" customHeight="1" s="93">
      <c r="T337" s="92">
        <f>IF(AND('Sprint Planning'!$H335&gt;=10,'Sprint Planning'!$H335&lt;=16),IFERROR(MATCH('Sprint Planning'!$C335,Roadmap!$A$4:$A$15,0),99)*100+'Sprint Planning'!$H335+337/100000,"")</f>
        <v/>
      </c>
    </row>
    <row r="338" ht="15" customHeight="1" s="93">
      <c r="T338" s="92">
        <f>IF(AND('Sprint Planning'!$H336&gt;=10,'Sprint Planning'!$H336&lt;=16),IFERROR(MATCH('Sprint Planning'!$C336,Roadmap!$A$4:$A$15,0),99)*100+'Sprint Planning'!$H336+338/100000,"")</f>
        <v/>
      </c>
    </row>
    <row r="339" ht="15" customHeight="1" s="93">
      <c r="T339" s="92">
        <f>IF(AND('Sprint Planning'!$H337&gt;=10,'Sprint Planning'!$H337&lt;=16),IFERROR(MATCH('Sprint Planning'!$C337,Roadmap!$A$4:$A$15,0),99)*100+'Sprint Planning'!$H337+339/100000,"")</f>
        <v/>
      </c>
    </row>
    <row r="340" ht="15" customHeight="1" s="93">
      <c r="T340" s="92">
        <f>IF(AND('Sprint Planning'!$H338&gt;=10,'Sprint Planning'!$H338&lt;=16),IFERROR(MATCH('Sprint Planning'!$C338,Roadmap!$A$4:$A$15,0),99)*100+'Sprint Planning'!$H338+340/100000,"")</f>
        <v/>
      </c>
    </row>
    <row r="341" ht="15" customHeight="1" s="93">
      <c r="T341" s="92">
        <f>IF(AND('Sprint Planning'!$H339&gt;=10,'Sprint Planning'!$H339&lt;=16),IFERROR(MATCH('Sprint Planning'!$C339,Roadmap!$A$4:$A$15,0),99)*100+'Sprint Planning'!$H339+341/100000,"")</f>
        <v/>
      </c>
    </row>
    <row r="342" ht="15" customHeight="1" s="93">
      <c r="T342" s="92">
        <f>IF(AND('Sprint Planning'!$H340&gt;=10,'Sprint Planning'!$H340&lt;=16),IFERROR(MATCH('Sprint Planning'!$C340,Roadmap!$A$4:$A$15,0),99)*100+'Sprint Planning'!$H340+342/100000,"")</f>
        <v/>
      </c>
    </row>
    <row r="343" ht="15" customHeight="1" s="93">
      <c r="T343" s="92">
        <f>IF(AND('Sprint Planning'!$H341&gt;=10,'Sprint Planning'!$H341&lt;=16),IFERROR(MATCH('Sprint Planning'!$C341,Roadmap!$A$4:$A$15,0),99)*100+'Sprint Planning'!$H341+343/100000,"")</f>
        <v/>
      </c>
    </row>
    <row r="344" ht="15" customHeight="1" s="93">
      <c r="T344" s="92">
        <f>IF(AND('Sprint Planning'!$H342&gt;=10,'Sprint Planning'!$H342&lt;=16),IFERROR(MATCH('Sprint Planning'!$C342,Roadmap!$A$4:$A$15,0),99)*100+'Sprint Planning'!$H342+344/100000,"")</f>
        <v/>
      </c>
    </row>
    <row r="345" ht="15" customHeight="1" s="93">
      <c r="T345" s="92">
        <f>IF(AND('Sprint Planning'!$H343&gt;=10,'Sprint Planning'!$H343&lt;=16),IFERROR(MATCH('Sprint Planning'!$C343,Roadmap!$A$4:$A$15,0),99)*100+'Sprint Planning'!$H343+345/100000,"")</f>
        <v/>
      </c>
    </row>
    <row r="346" ht="15" customHeight="1" s="93">
      <c r="T346" s="92">
        <f>IF(AND('Sprint Planning'!$H344&gt;=10,'Sprint Planning'!$H344&lt;=16),IFERROR(MATCH('Sprint Planning'!$C344,Roadmap!$A$4:$A$15,0),99)*100+'Sprint Planning'!$H344+346/100000,"")</f>
        <v/>
      </c>
    </row>
    <row r="347" ht="15" customHeight="1" s="93">
      <c r="T347" s="92">
        <f>IF(AND('Sprint Planning'!$H345&gt;=10,'Sprint Planning'!$H345&lt;=16),IFERROR(MATCH('Sprint Planning'!$C345,Roadmap!$A$4:$A$15,0),99)*100+'Sprint Planning'!$H345+347/100000,"")</f>
        <v/>
      </c>
    </row>
    <row r="348" ht="15" customHeight="1" s="93">
      <c r="T348" s="92">
        <f>IF(AND('Sprint Planning'!$H346&gt;=10,'Sprint Planning'!$H346&lt;=16),IFERROR(MATCH('Sprint Planning'!$C346,Roadmap!$A$4:$A$15,0),99)*100+'Sprint Planning'!$H346+348/100000,"")</f>
        <v/>
      </c>
    </row>
    <row r="349" ht="15" customHeight="1" s="93">
      <c r="T349" s="92">
        <f>IF(AND('Sprint Planning'!$H347&gt;=10,'Sprint Planning'!$H347&lt;=16),IFERROR(MATCH('Sprint Planning'!$C347,Roadmap!$A$4:$A$15,0),99)*100+'Sprint Planning'!$H347+349/100000,"")</f>
        <v/>
      </c>
    </row>
    <row r="350" ht="15" customHeight="1" s="93">
      <c r="T350" s="92">
        <f>IF(AND('Sprint Planning'!$H348&gt;=10,'Sprint Planning'!$H348&lt;=16),IFERROR(MATCH('Sprint Planning'!$C348,Roadmap!$A$4:$A$15,0),99)*100+'Sprint Planning'!$H348+350/100000,"")</f>
        <v/>
      </c>
    </row>
    <row r="351" ht="15" customHeight="1" s="93">
      <c r="T351" s="92">
        <f>IF(AND('Sprint Planning'!$H349&gt;=10,'Sprint Planning'!$H349&lt;=16),IFERROR(MATCH('Sprint Planning'!$C349,Roadmap!$A$4:$A$15,0),99)*100+'Sprint Planning'!$H349+351/100000,"")</f>
        <v/>
      </c>
    </row>
    <row r="352" ht="15" customHeight="1" s="93">
      <c r="T352" s="92">
        <f>IF(AND('Sprint Planning'!$H350&gt;=10,'Sprint Planning'!$H350&lt;=16),IFERROR(MATCH('Sprint Planning'!$C350,Roadmap!$A$4:$A$15,0),99)*100+'Sprint Planning'!$H350+352/100000,"")</f>
        <v/>
      </c>
    </row>
    <row r="353" ht="15" customHeight="1" s="93">
      <c r="T353" s="92">
        <f>IF(AND('Sprint Planning'!$H351&gt;=10,'Sprint Planning'!$H351&lt;=16),IFERROR(MATCH('Sprint Planning'!$C351,Roadmap!$A$4:$A$15,0),99)*100+'Sprint Planning'!$H351+353/100000,"")</f>
        <v/>
      </c>
    </row>
    <row r="354" ht="15" customHeight="1" s="93">
      <c r="T354" s="92">
        <f>IF(AND('Sprint Planning'!$H352&gt;=10,'Sprint Planning'!$H352&lt;=16),IFERROR(MATCH('Sprint Planning'!$C352,Roadmap!$A$4:$A$15,0),99)*100+'Sprint Planning'!$H352+354/100000,"")</f>
        <v/>
      </c>
    </row>
    <row r="355" ht="15" customHeight="1" s="93">
      <c r="T355" s="92">
        <f>IF(AND('Sprint Planning'!$H353&gt;=10,'Sprint Planning'!$H353&lt;=16),IFERROR(MATCH('Sprint Planning'!$C353,Roadmap!$A$4:$A$15,0),99)*100+'Sprint Planning'!$H353+355/100000,"")</f>
        <v/>
      </c>
    </row>
    <row r="356" ht="15" customHeight="1" s="93">
      <c r="T356" s="92">
        <f>IF(AND('Sprint Planning'!$H354&gt;=10,'Sprint Planning'!$H354&lt;=16),IFERROR(MATCH('Sprint Planning'!$C354,Roadmap!$A$4:$A$15,0),99)*100+'Sprint Planning'!$H354+356/100000,"")</f>
        <v/>
      </c>
    </row>
    <row r="357" ht="15" customHeight="1" s="93">
      <c r="T357" s="92">
        <f>IF(AND('Sprint Planning'!$H355&gt;=10,'Sprint Planning'!$H355&lt;=16),IFERROR(MATCH('Sprint Planning'!$C355,Roadmap!$A$4:$A$15,0),99)*100+'Sprint Planning'!$H355+357/100000,"")</f>
        <v/>
      </c>
    </row>
    <row r="358" ht="15" customHeight="1" s="93">
      <c r="T358" s="92">
        <f>IF(AND('Sprint Planning'!$H356&gt;=10,'Sprint Planning'!$H356&lt;=16),IFERROR(MATCH('Sprint Planning'!$C356,Roadmap!$A$4:$A$15,0),99)*100+'Sprint Planning'!$H356+358/100000,"")</f>
        <v/>
      </c>
    </row>
    <row r="359" ht="15" customHeight="1" s="93">
      <c r="T359" s="92">
        <f>IF(AND('Sprint Planning'!$H357&gt;=10,'Sprint Planning'!$H357&lt;=16),IFERROR(MATCH('Sprint Planning'!$C357,Roadmap!$A$4:$A$15,0),99)*100+'Sprint Planning'!$H357+359/100000,"")</f>
        <v/>
      </c>
    </row>
    <row r="360" ht="15" customHeight="1" s="93">
      <c r="T360" s="92">
        <f>IF(AND('Sprint Planning'!$H358&gt;=10,'Sprint Planning'!$H358&lt;=16),IFERROR(MATCH('Sprint Planning'!$C358,Roadmap!$A$4:$A$15,0),99)*100+'Sprint Planning'!$H358+360/100000,"")</f>
        <v/>
      </c>
    </row>
    <row r="361" ht="15" customHeight="1" s="93">
      <c r="T361" s="92">
        <f>IF(AND('Sprint Planning'!$H359&gt;=10,'Sprint Planning'!$H359&lt;=16),IFERROR(MATCH('Sprint Planning'!$C359,Roadmap!$A$4:$A$15,0),99)*100+'Sprint Planning'!$H359+361/100000,"")</f>
        <v/>
      </c>
    </row>
    <row r="362" ht="15" customHeight="1" s="93">
      <c r="T362" s="92">
        <f>IF(AND('Sprint Planning'!$H360&gt;=10,'Sprint Planning'!$H360&lt;=16),IFERROR(MATCH('Sprint Planning'!$C360,Roadmap!$A$4:$A$15,0),99)*100+'Sprint Planning'!$H360+362/100000,"")</f>
        <v/>
      </c>
    </row>
    <row r="363" ht="15" customHeight="1" s="93">
      <c r="T363" s="92">
        <f>IF(AND('Sprint Planning'!$H361&gt;=10,'Sprint Planning'!$H361&lt;=16),IFERROR(MATCH('Sprint Planning'!$C361,Roadmap!$A$4:$A$15,0),99)*100+'Sprint Planning'!$H361+363/100000,"")</f>
        <v/>
      </c>
    </row>
    <row r="364" ht="15" customHeight="1" s="93">
      <c r="T364" s="92">
        <f>IF(AND('Sprint Planning'!$H362&gt;=10,'Sprint Planning'!$H362&lt;=16),IFERROR(MATCH('Sprint Planning'!$C362,Roadmap!$A$4:$A$15,0),99)*100+'Sprint Planning'!$H362+364/100000,"")</f>
        <v/>
      </c>
    </row>
    <row r="365" ht="15" customHeight="1" s="93">
      <c r="T365" s="92">
        <f>IF(AND('Sprint Planning'!$H363&gt;=10,'Sprint Planning'!$H363&lt;=16),IFERROR(MATCH('Sprint Planning'!$C363,Roadmap!$A$4:$A$15,0),99)*100+'Sprint Planning'!$H363+365/100000,"")</f>
        <v/>
      </c>
    </row>
    <row r="366" ht="15" customHeight="1" s="93">
      <c r="T366" s="92">
        <f>IF(AND('Sprint Planning'!$H364&gt;=10,'Sprint Planning'!$H364&lt;=16),IFERROR(MATCH('Sprint Planning'!$C364,Roadmap!$A$4:$A$15,0),99)*100+'Sprint Planning'!$H364+366/100000,"")</f>
        <v/>
      </c>
    </row>
    <row r="367" ht="15" customHeight="1" s="93">
      <c r="T367" s="92">
        <f>IF(AND('Sprint Planning'!$H365&gt;=10,'Sprint Planning'!$H365&lt;=16),IFERROR(MATCH('Sprint Planning'!$C365,Roadmap!$A$4:$A$15,0),99)*100+'Sprint Planning'!$H365+367/100000,"")</f>
        <v/>
      </c>
    </row>
    <row r="368" ht="15" customHeight="1" s="93">
      <c r="T368" s="92">
        <f>IF(AND('Sprint Planning'!$H366&gt;=10,'Sprint Planning'!$H366&lt;=16),IFERROR(MATCH('Sprint Planning'!$C366,Roadmap!$A$4:$A$15,0),99)*100+'Sprint Planning'!$H366+368/100000,"")</f>
        <v/>
      </c>
    </row>
    <row r="369" ht="15" customHeight="1" s="93">
      <c r="T369" s="92">
        <f>IF(AND('Sprint Planning'!$H367&gt;=10,'Sprint Planning'!$H367&lt;=16),IFERROR(MATCH('Sprint Planning'!$C367,Roadmap!$A$4:$A$15,0),99)*100+'Sprint Planning'!$H367+369/100000,"")</f>
        <v/>
      </c>
    </row>
    <row r="370" ht="15" customHeight="1" s="93">
      <c r="T370" s="92">
        <f>IF(AND('Sprint Planning'!$H368&gt;=10,'Sprint Planning'!$H368&lt;=16),IFERROR(MATCH('Sprint Planning'!$C368,Roadmap!$A$4:$A$15,0),99)*100+'Sprint Planning'!$H368+370/100000,"")</f>
        <v/>
      </c>
    </row>
    <row r="371" ht="15" customHeight="1" s="93">
      <c r="T371" s="92">
        <f>IF(AND('Sprint Planning'!$H369&gt;=10,'Sprint Planning'!$H369&lt;=16),IFERROR(MATCH('Sprint Planning'!$C369,Roadmap!$A$4:$A$15,0),99)*100+'Sprint Planning'!$H369+371/100000,"")</f>
        <v/>
      </c>
    </row>
    <row r="372" ht="15" customHeight="1" s="93">
      <c r="T372" s="92">
        <f>IF(AND('Sprint Planning'!$H370&gt;=10,'Sprint Planning'!$H370&lt;=16),IFERROR(MATCH('Sprint Planning'!$C370,Roadmap!$A$4:$A$15,0),99)*100+'Sprint Planning'!$H370+372/100000,"")</f>
        <v/>
      </c>
    </row>
    <row r="373" ht="15" customHeight="1" s="93">
      <c r="T373" s="92">
        <f>IF(AND('Sprint Planning'!$H371&gt;=10,'Sprint Planning'!$H371&lt;=16),IFERROR(MATCH('Sprint Planning'!$C371,Roadmap!$A$4:$A$15,0),99)*100+'Sprint Planning'!$H371+373/100000,"")</f>
        <v/>
      </c>
    </row>
    <row r="374" ht="15" customHeight="1" s="93">
      <c r="T374" s="92">
        <f>IF(AND('Sprint Planning'!$H372&gt;=10,'Sprint Planning'!$H372&lt;=16),IFERROR(MATCH('Sprint Planning'!$C372,Roadmap!$A$4:$A$15,0),99)*100+'Sprint Planning'!$H372+374/100000,"")</f>
        <v/>
      </c>
    </row>
    <row r="375" ht="15" customHeight="1" s="93">
      <c r="T375" s="92">
        <f>IF(AND('Sprint Planning'!$H373&gt;=10,'Sprint Planning'!$H373&lt;=16),IFERROR(MATCH('Sprint Planning'!$C373,Roadmap!$A$4:$A$15,0),99)*100+'Sprint Planning'!$H373+375/100000,"")</f>
        <v/>
      </c>
    </row>
    <row r="376" ht="15" customHeight="1" s="93">
      <c r="T376" s="92">
        <f>IF(AND('Sprint Planning'!$H374&gt;=10,'Sprint Planning'!$H374&lt;=16),IFERROR(MATCH('Sprint Planning'!$C374,Roadmap!$A$4:$A$15,0),99)*100+'Sprint Planning'!$H374+376/100000,"")</f>
        <v/>
      </c>
    </row>
    <row r="377" ht="15" customHeight="1" s="93">
      <c r="T377" s="92">
        <f>IF(AND('Sprint Planning'!$H375&gt;=10,'Sprint Planning'!$H375&lt;=16),IFERROR(MATCH('Sprint Planning'!$C375,Roadmap!$A$4:$A$15,0),99)*100+'Sprint Planning'!$H375+377/100000,"")</f>
        <v/>
      </c>
    </row>
    <row r="378" ht="15" customHeight="1" s="93">
      <c r="T378" s="92">
        <f>IF(AND('Sprint Planning'!$H376&gt;=10,'Sprint Planning'!$H376&lt;=16),IFERROR(MATCH('Sprint Planning'!$C376,Roadmap!$A$4:$A$15,0),99)*100+'Sprint Planning'!$H376+378/100000,"")</f>
        <v/>
      </c>
    </row>
    <row r="379" ht="15" customHeight="1" s="93">
      <c r="T379" s="92">
        <f>IF(AND('Sprint Planning'!$H377&gt;=10,'Sprint Planning'!$H377&lt;=16),IFERROR(MATCH('Sprint Planning'!$C377,Roadmap!$A$4:$A$15,0),99)*100+'Sprint Planning'!$H377+379/100000,"")</f>
        <v/>
      </c>
    </row>
    <row r="380" ht="15" customHeight="1" s="93">
      <c r="T380" s="92">
        <f>IF(AND('Sprint Planning'!$H378&gt;=10,'Sprint Planning'!$H378&lt;=16),IFERROR(MATCH('Sprint Planning'!$C378,Roadmap!$A$4:$A$15,0),99)*100+'Sprint Planning'!$H378+380/100000,"")</f>
        <v/>
      </c>
    </row>
    <row r="381" ht="15" customHeight="1" s="93">
      <c r="T381" s="92">
        <f>IF(AND('Sprint Planning'!$H379&gt;=10,'Sprint Planning'!$H379&lt;=16),IFERROR(MATCH('Sprint Planning'!$C379,Roadmap!$A$4:$A$15,0),99)*100+'Sprint Planning'!$H379+381/100000,"")</f>
        <v/>
      </c>
    </row>
    <row r="382" ht="15" customHeight="1" s="93">
      <c r="T382" s="92">
        <f>IF(AND('Sprint Planning'!$H380&gt;=10,'Sprint Planning'!$H380&lt;=16),IFERROR(MATCH('Sprint Planning'!$C380,Roadmap!$A$4:$A$15,0),99)*100+'Sprint Planning'!$H380+382/100000,"")</f>
        <v/>
      </c>
    </row>
    <row r="383" ht="15" customHeight="1" s="93">
      <c r="T383" s="92">
        <f>IF(AND('Sprint Planning'!$H381&gt;=10,'Sprint Planning'!$H381&lt;=16),IFERROR(MATCH('Sprint Planning'!$C381,Roadmap!$A$4:$A$15,0),99)*100+'Sprint Planning'!$H381+383/100000,"")</f>
        <v/>
      </c>
    </row>
    <row r="384" ht="15" customHeight="1" s="93">
      <c r="T384" s="92">
        <f>IF(AND('Sprint Planning'!$H382&gt;=10,'Sprint Planning'!$H382&lt;=16),IFERROR(MATCH('Sprint Planning'!$C382,Roadmap!$A$4:$A$15,0),99)*100+'Sprint Planning'!$H382+384/100000,"")</f>
        <v/>
      </c>
    </row>
    <row r="385" ht="15" customHeight="1" s="93">
      <c r="T385" s="92">
        <f>IF(AND('Sprint Planning'!$H383&gt;=10,'Sprint Planning'!$H383&lt;=16),IFERROR(MATCH('Sprint Planning'!$C383,Roadmap!$A$4:$A$15,0),99)*100+'Sprint Planning'!$H383+385/100000,"")</f>
        <v/>
      </c>
    </row>
    <row r="386" ht="15" customHeight="1" s="93">
      <c r="T386" s="92">
        <f>IF(AND('Sprint Planning'!$H384&gt;=10,'Sprint Planning'!$H384&lt;=16),IFERROR(MATCH('Sprint Planning'!$C384,Roadmap!$A$4:$A$15,0),99)*100+'Sprint Planning'!$H384+386/100000,"")</f>
        <v/>
      </c>
    </row>
    <row r="387" ht="15" customHeight="1" s="93">
      <c r="T387" s="92">
        <f>IF(AND('Sprint Planning'!$H385&gt;=10,'Sprint Planning'!$H385&lt;=16),IFERROR(MATCH('Sprint Planning'!$C385,Roadmap!$A$4:$A$15,0),99)*100+'Sprint Planning'!$H385+387/100000,"")</f>
        <v/>
      </c>
    </row>
    <row r="388" ht="15" customHeight="1" s="93">
      <c r="T388" s="92">
        <f>IF(AND('Sprint Planning'!$H386&gt;=10,'Sprint Planning'!$H386&lt;=16),IFERROR(MATCH('Sprint Planning'!$C386,Roadmap!$A$4:$A$15,0),99)*100+'Sprint Planning'!$H386+388/100000,"")</f>
        <v/>
      </c>
    </row>
    <row r="389" ht="15" customHeight="1" s="93">
      <c r="T389" s="92">
        <f>IF(AND('Sprint Planning'!$H387&gt;=10,'Sprint Planning'!$H387&lt;=16),IFERROR(MATCH('Sprint Planning'!$C387,Roadmap!$A$4:$A$15,0),99)*100+'Sprint Planning'!$H387+389/100000,"")</f>
        <v/>
      </c>
    </row>
    <row r="390" ht="15" customHeight="1" s="93">
      <c r="T390" s="92">
        <f>IF(AND('Sprint Planning'!$H388&gt;=10,'Sprint Planning'!$H388&lt;=16),IFERROR(MATCH('Sprint Planning'!$C388,Roadmap!$A$4:$A$15,0),99)*100+'Sprint Planning'!$H388+390/100000,"")</f>
        <v/>
      </c>
    </row>
    <row r="391" ht="15" customHeight="1" s="93">
      <c r="T391" s="92">
        <f>IF(AND('Sprint Planning'!$H389&gt;=10,'Sprint Planning'!$H389&lt;=16),IFERROR(MATCH('Sprint Planning'!$C389,Roadmap!$A$4:$A$15,0),99)*100+'Sprint Planning'!$H389+391/100000,"")</f>
        <v/>
      </c>
    </row>
    <row r="392" ht="15" customHeight="1" s="93">
      <c r="T392" s="92">
        <f>IF(AND('Sprint Planning'!$H390&gt;=10,'Sprint Planning'!$H390&lt;=16),IFERROR(MATCH('Sprint Planning'!$C390,Roadmap!$A$4:$A$15,0),99)*100+'Sprint Planning'!$H390+392/100000,"")</f>
        <v/>
      </c>
    </row>
    <row r="393" ht="15" customHeight="1" s="93">
      <c r="T393" s="92">
        <f>IF(AND('Sprint Planning'!$H391&gt;=10,'Sprint Planning'!$H391&lt;=16),IFERROR(MATCH('Sprint Planning'!$C391,Roadmap!$A$4:$A$15,0),99)*100+'Sprint Planning'!$H391+393/100000,"")</f>
        <v/>
      </c>
    </row>
    <row r="394" ht="15" customHeight="1" s="93">
      <c r="T394" s="92">
        <f>IF(AND('Sprint Planning'!$H392&gt;=10,'Sprint Planning'!$H392&lt;=16),IFERROR(MATCH('Sprint Planning'!$C392,Roadmap!$A$4:$A$15,0),99)*100+'Sprint Planning'!$H392+394/100000,"")</f>
        <v/>
      </c>
    </row>
    <row r="395" ht="15" customHeight="1" s="93">
      <c r="T395" s="92">
        <f>IF(AND('Sprint Planning'!$H393&gt;=10,'Sprint Planning'!$H393&lt;=16),IFERROR(MATCH('Sprint Planning'!$C393,Roadmap!$A$4:$A$15,0),99)*100+'Sprint Planning'!$H393+395/100000,"")</f>
        <v/>
      </c>
    </row>
    <row r="396" ht="15" customHeight="1" s="93">
      <c r="T396" s="92">
        <f>IF(AND('Sprint Planning'!$H394&gt;=10,'Sprint Planning'!$H394&lt;=16),IFERROR(MATCH('Sprint Planning'!$C394,Roadmap!$A$4:$A$15,0),99)*100+'Sprint Planning'!$H394+396/100000,"")</f>
        <v/>
      </c>
    </row>
    <row r="397" ht="15" customHeight="1" s="93">
      <c r="T397" s="92">
        <f>IF(AND('Sprint Planning'!$H395&gt;=10,'Sprint Planning'!$H395&lt;=16),IFERROR(MATCH('Sprint Planning'!$C395,Roadmap!$A$4:$A$15,0),99)*100+'Sprint Planning'!$H395+397/100000,"")</f>
        <v/>
      </c>
    </row>
    <row r="398" ht="15" customHeight="1" s="93">
      <c r="T398" s="92">
        <f>IF(AND('Sprint Planning'!$H396&gt;=10,'Sprint Planning'!$H396&lt;=16),IFERROR(MATCH('Sprint Planning'!$C396,Roadmap!$A$4:$A$15,0),99)*100+'Sprint Planning'!$H396+398/100000,"")</f>
        <v/>
      </c>
    </row>
    <row r="399" ht="15" customHeight="1" s="93">
      <c r="T399" s="92">
        <f>IF(AND('Sprint Planning'!$H397&gt;=10,'Sprint Planning'!$H397&lt;=16),IFERROR(MATCH('Sprint Planning'!$C397,Roadmap!$A$4:$A$15,0),99)*100+'Sprint Planning'!$H397+399/100000,"")</f>
        <v/>
      </c>
    </row>
    <row r="400" ht="15" customHeight="1" s="93">
      <c r="T400" s="92">
        <f>IF(AND('Sprint Planning'!$H398&gt;=10,'Sprint Planning'!$H398&lt;=16),IFERROR(MATCH('Sprint Planning'!$C398,Roadmap!$A$4:$A$15,0),99)*100+'Sprint Planning'!$H398+400/100000,"")</f>
        <v/>
      </c>
    </row>
    <row r="401" ht="15" customHeight="1" s="93">
      <c r="T401" s="92">
        <f>IF(AND('Sprint Planning'!$H399&gt;=10,'Sprint Planning'!$H399&lt;=16),IFERROR(MATCH('Sprint Planning'!$C399,Roadmap!$A$4:$A$15,0),99)*100+'Sprint Planning'!$H399+401/100000,"")</f>
        <v/>
      </c>
    </row>
    <row r="402" ht="15" customHeight="1" s="93">
      <c r="T402" s="92">
        <f>IF(AND('Sprint Planning'!$H400&gt;=10,'Sprint Planning'!$H400&lt;=16),IFERROR(MATCH('Sprint Planning'!$C400,Roadmap!$A$4:$A$15,0),99)*100+'Sprint Planning'!$H400+402/100000,"")</f>
        <v/>
      </c>
    </row>
    <row r="403" ht="15" customHeight="1" s="93">
      <c r="T403" s="92">
        <f>IF(AND('Sprint Planning'!$H401&gt;=10,'Sprint Planning'!$H401&lt;=16),IFERROR(MATCH('Sprint Planning'!$C401,Roadmap!$A$4:$A$15,0),99)*100+'Sprint Planning'!$H401+403/100000,"")</f>
        <v/>
      </c>
    </row>
    <row r="404" ht="15" customHeight="1" s="93">
      <c r="T404" s="92">
        <f>IF(AND('Sprint Planning'!$H402&gt;=10,'Sprint Planning'!$H402&lt;=16),IFERROR(MATCH('Sprint Planning'!$C402,Roadmap!$A$4:$A$15,0),99)*100+'Sprint Planning'!$H402+404/100000,"")</f>
        <v/>
      </c>
    </row>
    <row r="405" ht="15" customHeight="1" s="93">
      <c r="T405" s="92">
        <f>IF(AND('Sprint Planning'!$H403&gt;=10,'Sprint Planning'!$H403&lt;=16),IFERROR(MATCH('Sprint Planning'!$C403,Roadmap!$A$4:$A$15,0),99)*100+'Sprint Planning'!$H403+405/100000,"")</f>
        <v/>
      </c>
    </row>
    <row r="406" ht="15" customHeight="1" s="93">
      <c r="T406" s="92">
        <f>IF(AND('Sprint Planning'!$H404&gt;=10,'Sprint Planning'!$H404&lt;=16),IFERROR(MATCH('Sprint Planning'!$C404,Roadmap!$A$4:$A$15,0),99)*100+'Sprint Planning'!$H404+406/100000,"")</f>
        <v/>
      </c>
    </row>
    <row r="407" ht="15" customHeight="1" s="93">
      <c r="T407" s="92">
        <f>IF(AND('Sprint Planning'!$H405&gt;=10,'Sprint Planning'!$H405&lt;=16),IFERROR(MATCH('Sprint Planning'!$C405,Roadmap!$A$4:$A$15,0),99)*100+'Sprint Planning'!$H405+407/100000,"")</f>
        <v/>
      </c>
    </row>
    <row r="408" ht="15" customHeight="1" s="93">
      <c r="T408" s="92">
        <f>IF(AND('Sprint Planning'!$H406&gt;=10,'Sprint Planning'!$H406&lt;=16),IFERROR(MATCH('Sprint Planning'!$C406,Roadmap!$A$4:$A$15,0),99)*100+'Sprint Planning'!$H406+408/100000,"")</f>
        <v/>
      </c>
    </row>
    <row r="409" ht="15" customHeight="1" s="93">
      <c r="T409" s="92">
        <f>IF(AND('Sprint Planning'!$H407&gt;=10,'Sprint Planning'!$H407&lt;=16),IFERROR(MATCH('Sprint Planning'!$C407,Roadmap!$A$4:$A$15,0),99)*100+'Sprint Planning'!$H407+409/100000,"")</f>
        <v/>
      </c>
    </row>
    <row r="410" ht="15" customHeight="1" s="93">
      <c r="T410" s="92">
        <f>IF(AND('Sprint Planning'!$H408&gt;=10,'Sprint Planning'!$H408&lt;=16),IFERROR(MATCH('Sprint Planning'!$C408,Roadmap!$A$4:$A$15,0),99)*100+'Sprint Planning'!$H408+410/100000,"")</f>
        <v/>
      </c>
    </row>
    <row r="411" ht="15" customHeight="1" s="93">
      <c r="T411" s="92">
        <f>IF(AND('Sprint Planning'!$H409&gt;=10,'Sprint Planning'!$H409&lt;=16),IFERROR(MATCH('Sprint Planning'!$C409,Roadmap!$A$4:$A$15,0),99)*100+'Sprint Planning'!$H409+411/100000,"")</f>
        <v/>
      </c>
    </row>
    <row r="412" ht="15" customHeight="1" s="93">
      <c r="T412" s="92">
        <f>IF(AND('Sprint Planning'!$H410&gt;=10,'Sprint Planning'!$H410&lt;=16),IFERROR(MATCH('Sprint Planning'!$C410,Roadmap!$A$4:$A$15,0),99)*100+'Sprint Planning'!$H410+412/100000,"")</f>
        <v/>
      </c>
    </row>
    <row r="413" ht="15" customHeight="1" s="93">
      <c r="T413" s="92">
        <f>IF(AND('Sprint Planning'!$H411&gt;=10,'Sprint Planning'!$H411&lt;=16),IFERROR(MATCH('Sprint Planning'!$C411,Roadmap!$A$4:$A$15,0),99)*100+'Sprint Planning'!$H411+413/100000,"")</f>
        <v/>
      </c>
    </row>
    <row r="414" ht="15" customHeight="1" s="93">
      <c r="T414" s="92">
        <f>IF(AND('Sprint Planning'!$H412&gt;=10,'Sprint Planning'!$H412&lt;=16),IFERROR(MATCH('Sprint Planning'!$C412,Roadmap!$A$4:$A$15,0),99)*100+'Sprint Planning'!$H412+414/100000,"")</f>
        <v/>
      </c>
    </row>
    <row r="415" ht="15" customHeight="1" s="93">
      <c r="T415" s="92">
        <f>IF(AND('Sprint Planning'!$H413&gt;=10,'Sprint Planning'!$H413&lt;=16),IFERROR(MATCH('Sprint Planning'!$C413,Roadmap!$A$4:$A$15,0),99)*100+'Sprint Planning'!$H413+415/100000,"")</f>
        <v/>
      </c>
    </row>
    <row r="416" ht="15" customHeight="1" s="93">
      <c r="T416" s="92">
        <f>IF(AND('Sprint Planning'!$H414&gt;=10,'Sprint Planning'!$H414&lt;=16),IFERROR(MATCH('Sprint Planning'!$C414,Roadmap!$A$4:$A$15,0),99)*100+'Sprint Planning'!$H414+416/100000,"")</f>
        <v/>
      </c>
    </row>
    <row r="417" ht="15" customHeight="1" s="93">
      <c r="T417" s="92">
        <f>IF(AND('Sprint Planning'!$H415&gt;=10,'Sprint Planning'!$H415&lt;=16),IFERROR(MATCH('Sprint Planning'!$C415,Roadmap!$A$4:$A$15,0),99)*100+'Sprint Planning'!$H415+417/100000,"")</f>
        <v/>
      </c>
    </row>
    <row r="418" ht="15" customHeight="1" s="93">
      <c r="T418" s="92">
        <f>IF(AND('Sprint Planning'!$H416&gt;=10,'Sprint Planning'!$H416&lt;=16),IFERROR(MATCH('Sprint Planning'!$C416,Roadmap!$A$4:$A$15,0),99)*100+'Sprint Planning'!$H416+418/100000,"")</f>
        <v/>
      </c>
    </row>
    <row r="419" ht="15" customHeight="1" s="93">
      <c r="T419" s="92">
        <f>IF(AND('Sprint Planning'!$H417&gt;=10,'Sprint Planning'!$H417&lt;=16),IFERROR(MATCH('Sprint Planning'!$C417,Roadmap!$A$4:$A$15,0),99)*100+'Sprint Planning'!$H417+419/100000,"")</f>
        <v/>
      </c>
    </row>
    <row r="420" ht="15" customHeight="1" s="93">
      <c r="T420" s="92">
        <f>IF(AND('Sprint Planning'!$H418&gt;=10,'Sprint Planning'!$H418&lt;=16),IFERROR(MATCH('Sprint Planning'!$C418,Roadmap!$A$4:$A$15,0),99)*100+'Sprint Planning'!$H418+420/100000,"")</f>
        <v/>
      </c>
    </row>
    <row r="421" ht="15" customHeight="1" s="93">
      <c r="T421" s="92">
        <f>IF(AND('Sprint Planning'!$H419&gt;=10,'Sprint Planning'!$H419&lt;=16),IFERROR(MATCH('Sprint Planning'!$C419,Roadmap!$A$4:$A$15,0),99)*100+'Sprint Planning'!$H419+421/100000,"")</f>
        <v/>
      </c>
    </row>
    <row r="422" ht="15" customHeight="1" s="93">
      <c r="T422" s="92">
        <f>IF(AND('Sprint Planning'!$H420&gt;=10,'Sprint Planning'!$H420&lt;=16),IFERROR(MATCH('Sprint Planning'!$C420,Roadmap!$A$4:$A$15,0),99)*100+'Sprint Planning'!$H420+422/100000,"")</f>
        <v/>
      </c>
    </row>
    <row r="423" ht="15" customHeight="1" s="93">
      <c r="T423" s="92">
        <f>IF(AND('Sprint Planning'!$H421&gt;=10,'Sprint Planning'!$H421&lt;=16),IFERROR(MATCH('Sprint Planning'!$C421,Roadmap!$A$4:$A$15,0),99)*100+'Sprint Planning'!$H421+423/100000,"")</f>
        <v/>
      </c>
    </row>
    <row r="424" ht="15" customHeight="1" s="93">
      <c r="T424" s="92">
        <f>IF(AND('Sprint Planning'!$H422&gt;=10,'Sprint Planning'!$H422&lt;=16),IFERROR(MATCH('Sprint Planning'!$C422,Roadmap!$A$4:$A$15,0),99)*100+'Sprint Planning'!$H422+424/100000,"")</f>
        <v/>
      </c>
    </row>
    <row r="425" ht="15" customHeight="1" s="93">
      <c r="T425" s="92">
        <f>IF(AND('Sprint Planning'!$H423&gt;=10,'Sprint Planning'!$H423&lt;=16),IFERROR(MATCH('Sprint Planning'!$C423,Roadmap!$A$4:$A$15,0),99)*100+'Sprint Planning'!$H423+425/100000,"")</f>
        <v/>
      </c>
    </row>
    <row r="426" ht="15" customHeight="1" s="93">
      <c r="T426" s="92">
        <f>IF(AND('Sprint Planning'!$H424&gt;=10,'Sprint Planning'!$H424&lt;=16),IFERROR(MATCH('Sprint Planning'!$C424,Roadmap!$A$4:$A$15,0),99)*100+'Sprint Planning'!$H424+426/100000,"")</f>
        <v/>
      </c>
    </row>
    <row r="427" ht="15" customHeight="1" s="93">
      <c r="T427" s="92">
        <f>IF(AND('Sprint Planning'!$H425&gt;=10,'Sprint Planning'!$H425&lt;=16),IFERROR(MATCH('Sprint Planning'!$C425,Roadmap!$A$4:$A$15,0),99)*100+'Sprint Planning'!$H425+427/100000,"")</f>
        <v/>
      </c>
    </row>
    <row r="428" ht="15" customHeight="1" s="93">
      <c r="T428" s="92">
        <f>IF(AND('Sprint Planning'!$H426&gt;=10,'Sprint Planning'!$H426&lt;=16),IFERROR(MATCH('Sprint Planning'!$C426,Roadmap!$A$4:$A$15,0),99)*100+'Sprint Planning'!$H426+428/100000,"")</f>
        <v/>
      </c>
    </row>
    <row r="429" ht="15" customHeight="1" s="93">
      <c r="T429" s="92">
        <f>IF(AND('Sprint Planning'!$H427&gt;=10,'Sprint Planning'!$H427&lt;=16),IFERROR(MATCH('Sprint Planning'!$C427,Roadmap!$A$4:$A$15,0),99)*100+'Sprint Planning'!$H427+429/100000,"")</f>
        <v/>
      </c>
    </row>
    <row r="430" ht="15" customHeight="1" s="93">
      <c r="T430" s="92">
        <f>IF(AND('Sprint Planning'!$H428&gt;=10,'Sprint Planning'!$H428&lt;=16),IFERROR(MATCH('Sprint Planning'!$C428,Roadmap!$A$4:$A$15,0),99)*100+'Sprint Planning'!$H428+430/100000,"")</f>
        <v/>
      </c>
    </row>
    <row r="431" ht="15" customHeight="1" s="93">
      <c r="T431" s="92">
        <f>IF(AND('Sprint Planning'!$H429&gt;=10,'Sprint Planning'!$H429&lt;=16),IFERROR(MATCH('Sprint Planning'!$C429,Roadmap!$A$4:$A$15,0),99)*100+'Sprint Planning'!$H429+431/100000,"")</f>
        <v/>
      </c>
    </row>
    <row r="432" ht="15" customHeight="1" s="93">
      <c r="T432" s="92">
        <f>IF(AND('Sprint Planning'!$H430&gt;=10,'Sprint Planning'!$H430&lt;=16),IFERROR(MATCH('Sprint Planning'!$C430,Roadmap!$A$4:$A$15,0),99)*100+'Sprint Planning'!$H430+432/100000,"")</f>
        <v/>
      </c>
    </row>
    <row r="433" ht="15" customHeight="1" s="93">
      <c r="T433" s="92">
        <f>IF(AND('Sprint Planning'!$H431&gt;=10,'Sprint Planning'!$H431&lt;=16),IFERROR(MATCH('Sprint Planning'!$C431,Roadmap!$A$4:$A$15,0),99)*100+'Sprint Planning'!$H431+433/100000,"")</f>
        <v/>
      </c>
    </row>
    <row r="434" ht="15" customHeight="1" s="93">
      <c r="T434" s="92">
        <f>IF(AND('Sprint Planning'!$H432&gt;=10,'Sprint Planning'!$H432&lt;=16),IFERROR(MATCH('Sprint Planning'!$C432,Roadmap!$A$4:$A$15,0),99)*100+'Sprint Planning'!$H432+434/100000,"")</f>
        <v/>
      </c>
    </row>
    <row r="435" ht="15" customHeight="1" s="93">
      <c r="T435" s="92">
        <f>IF(AND('Sprint Planning'!$H433&gt;=10,'Sprint Planning'!$H433&lt;=16),IFERROR(MATCH('Sprint Planning'!$C433,Roadmap!$A$4:$A$15,0),99)*100+'Sprint Planning'!$H433+435/100000,"")</f>
        <v/>
      </c>
    </row>
    <row r="436" ht="15" customHeight="1" s="93">
      <c r="T436" s="92">
        <f>IF(AND('Sprint Planning'!$H434&gt;=10,'Sprint Planning'!$H434&lt;=16),IFERROR(MATCH('Sprint Planning'!$C434,Roadmap!$A$4:$A$15,0),99)*100+'Sprint Planning'!$H434+436/100000,"")</f>
        <v/>
      </c>
    </row>
    <row r="437" ht="15" customHeight="1" s="93">
      <c r="T437" s="92">
        <f>IF(AND('Sprint Planning'!$H435&gt;=10,'Sprint Planning'!$H435&lt;=16),IFERROR(MATCH('Sprint Planning'!$C435,Roadmap!$A$4:$A$15,0),99)*100+'Sprint Planning'!$H435+437/100000,"")</f>
        <v/>
      </c>
    </row>
    <row r="438" ht="15" customHeight="1" s="93">
      <c r="T438" s="92">
        <f>IF(AND('Sprint Planning'!$H436&gt;=10,'Sprint Planning'!$H436&lt;=16),IFERROR(MATCH('Sprint Planning'!$C436,Roadmap!$A$4:$A$15,0),99)*100+'Sprint Planning'!$H436+438/100000,"")</f>
        <v/>
      </c>
    </row>
    <row r="439" ht="15" customHeight="1" s="93">
      <c r="T439" s="92">
        <f>IF(AND('Sprint Planning'!$H437&gt;=10,'Sprint Planning'!$H437&lt;=16),IFERROR(MATCH('Sprint Planning'!$C437,Roadmap!$A$4:$A$15,0),99)*100+'Sprint Planning'!$H437+439/100000,"")</f>
        <v/>
      </c>
    </row>
    <row r="440" ht="15" customHeight="1" s="93">
      <c r="T440" s="92">
        <f>IF(AND('Sprint Planning'!$H438&gt;=10,'Sprint Planning'!$H438&lt;=16),IFERROR(MATCH('Sprint Planning'!$C438,Roadmap!$A$4:$A$15,0),99)*100+'Sprint Planning'!$H438+440/100000,"")</f>
        <v/>
      </c>
    </row>
    <row r="441" ht="15" customHeight="1" s="93">
      <c r="T441" s="92">
        <f>IF(AND('Sprint Planning'!$H439&gt;=10,'Sprint Planning'!$H439&lt;=16),IFERROR(MATCH('Sprint Planning'!$C439,Roadmap!$A$4:$A$15,0),99)*100+'Sprint Planning'!$H439+441/100000,"")</f>
        <v/>
      </c>
    </row>
    <row r="442" ht="15" customHeight="1" s="93">
      <c r="T442" s="92">
        <f>IF(AND('Sprint Planning'!$H440&gt;=10,'Sprint Planning'!$H440&lt;=16),IFERROR(MATCH('Sprint Planning'!$C440,Roadmap!$A$4:$A$15,0),99)*100+'Sprint Planning'!$H440+442/100000,"")</f>
        <v/>
      </c>
    </row>
    <row r="443" ht="15" customHeight="1" s="93">
      <c r="T443" s="92">
        <f>IF(AND('Sprint Planning'!$H441&gt;=10,'Sprint Planning'!$H441&lt;=16),IFERROR(MATCH('Sprint Planning'!$C441,Roadmap!$A$4:$A$15,0),99)*100+'Sprint Planning'!$H441+443/100000,"")</f>
        <v/>
      </c>
    </row>
    <row r="444" ht="15" customHeight="1" s="93">
      <c r="T444" s="92">
        <f>IF(AND('Sprint Planning'!$H442&gt;=10,'Sprint Planning'!$H442&lt;=16),IFERROR(MATCH('Sprint Planning'!$C442,Roadmap!$A$4:$A$15,0),99)*100+'Sprint Planning'!$H442+444/100000,"")</f>
        <v/>
      </c>
    </row>
    <row r="445" ht="15" customHeight="1" s="93">
      <c r="T445" s="92">
        <f>IF(AND('Sprint Planning'!$H443&gt;=10,'Sprint Planning'!$H443&lt;=16),IFERROR(MATCH('Sprint Planning'!$C443,Roadmap!$A$4:$A$15,0),99)*100+'Sprint Planning'!$H443+445/100000,"")</f>
        <v/>
      </c>
    </row>
    <row r="446" ht="15" customHeight="1" s="93">
      <c r="T446" s="92">
        <f>IF(AND('Sprint Planning'!$H444&gt;=10,'Sprint Planning'!$H444&lt;=16),IFERROR(MATCH('Sprint Planning'!$C444,Roadmap!$A$4:$A$15,0),99)*100+'Sprint Planning'!$H444+446/100000,"")</f>
        <v/>
      </c>
    </row>
    <row r="447" ht="15" customHeight="1" s="93">
      <c r="T447" s="92">
        <f>IF(AND('Sprint Planning'!$H445&gt;=10,'Sprint Planning'!$H445&lt;=16),IFERROR(MATCH('Sprint Planning'!$C445,Roadmap!$A$4:$A$15,0),99)*100+'Sprint Planning'!$H445+447/100000,"")</f>
        <v/>
      </c>
    </row>
    <row r="448" ht="15" customHeight="1" s="93">
      <c r="T448" s="92">
        <f>IF(AND('Sprint Planning'!$H446&gt;=10,'Sprint Planning'!$H446&lt;=16),IFERROR(MATCH('Sprint Planning'!$C446,Roadmap!$A$4:$A$15,0),99)*100+'Sprint Planning'!$H446+448/100000,"")</f>
        <v/>
      </c>
    </row>
    <row r="449" ht="15" customHeight="1" s="93">
      <c r="T449" s="92">
        <f>IF(AND('Sprint Planning'!$H447&gt;=10,'Sprint Planning'!$H447&lt;=16),IFERROR(MATCH('Sprint Planning'!$C447,Roadmap!$A$4:$A$15,0),99)*100+'Sprint Planning'!$H447+449/100000,"")</f>
        <v/>
      </c>
    </row>
    <row r="450" ht="15" customHeight="1" s="93">
      <c r="T450" s="92">
        <f>IF(AND('Sprint Planning'!$H448&gt;=10,'Sprint Planning'!$H448&lt;=16),IFERROR(MATCH('Sprint Planning'!$C448,Roadmap!$A$4:$A$15,0),99)*100+'Sprint Planning'!$H448+450/100000,"")</f>
        <v/>
      </c>
    </row>
    <row r="451" ht="15" customHeight="1" s="93">
      <c r="T451" s="92">
        <f>IF(AND('Sprint Planning'!$H449&gt;=10,'Sprint Planning'!$H449&lt;=16),IFERROR(MATCH('Sprint Planning'!$C449,Roadmap!$A$4:$A$15,0),99)*100+'Sprint Planning'!$H449+451/100000,"")</f>
        <v/>
      </c>
    </row>
    <row r="452" ht="15" customHeight="1" s="93">
      <c r="T452" s="92">
        <f>IF(AND('Sprint Planning'!$H450&gt;=10,'Sprint Planning'!$H450&lt;=16),IFERROR(MATCH('Sprint Planning'!$C450,Roadmap!$A$4:$A$15,0),99)*100+'Sprint Planning'!$H450+452/100000,"")</f>
        <v/>
      </c>
    </row>
    <row r="453" ht="15" customHeight="1" s="93">
      <c r="T453" s="92">
        <f>IF(AND('Sprint Planning'!$H451&gt;=10,'Sprint Planning'!$H451&lt;=16),IFERROR(MATCH('Sprint Planning'!$C451,Roadmap!$A$4:$A$15,0),99)*100+'Sprint Planning'!$H451+453/100000,"")</f>
        <v/>
      </c>
    </row>
    <row r="454" ht="15" customHeight="1" s="93">
      <c r="T454" s="92">
        <f>IF(AND('Sprint Planning'!$H452&gt;=10,'Sprint Planning'!$H452&lt;=16),IFERROR(MATCH('Sprint Planning'!$C452,Roadmap!$A$4:$A$15,0),99)*100+'Sprint Planning'!$H452+454/100000,"")</f>
        <v/>
      </c>
    </row>
    <row r="455" ht="15" customHeight="1" s="93">
      <c r="T455" s="92">
        <f>IF(AND('Sprint Planning'!$H453&gt;=10,'Sprint Planning'!$H453&lt;=16),IFERROR(MATCH('Sprint Planning'!$C453,Roadmap!$A$4:$A$15,0),99)*100+'Sprint Planning'!$H453+455/100000,"")</f>
        <v/>
      </c>
    </row>
    <row r="456" ht="15" customHeight="1" s="93">
      <c r="T456" s="92">
        <f>IF(AND('Sprint Planning'!$H454&gt;=10,'Sprint Planning'!$H454&lt;=16),IFERROR(MATCH('Sprint Planning'!$C454,Roadmap!$A$4:$A$15,0),99)*100+'Sprint Planning'!$H454+456/100000,"")</f>
        <v/>
      </c>
    </row>
    <row r="457" ht="15" customHeight="1" s="93">
      <c r="T457" s="92">
        <f>IF(AND('Sprint Planning'!$H455&gt;=10,'Sprint Planning'!$H455&lt;=16),IFERROR(MATCH('Sprint Planning'!$C455,Roadmap!$A$4:$A$15,0),99)*100+'Sprint Planning'!$H455+457/100000,"")</f>
        <v/>
      </c>
    </row>
    <row r="458" ht="15" customHeight="1" s="93">
      <c r="T458" s="92">
        <f>IF(AND('Sprint Planning'!$H456&gt;=10,'Sprint Planning'!$H456&lt;=16),IFERROR(MATCH('Sprint Planning'!$C456,Roadmap!$A$4:$A$15,0),99)*100+'Sprint Planning'!$H456+458/100000,"")</f>
        <v/>
      </c>
    </row>
    <row r="459" ht="15" customHeight="1" s="93">
      <c r="T459" s="92">
        <f>IF(AND('Sprint Planning'!$H457&gt;=10,'Sprint Planning'!$H457&lt;=16),IFERROR(MATCH('Sprint Planning'!$C457,Roadmap!$A$4:$A$15,0),99)*100+'Sprint Planning'!$H457+459/100000,"")</f>
        <v/>
      </c>
    </row>
    <row r="460" ht="15" customHeight="1" s="93">
      <c r="T460" s="92">
        <f>IF(AND('Sprint Planning'!$H458&gt;=10,'Sprint Planning'!$H458&lt;=16),IFERROR(MATCH('Sprint Planning'!$C458,Roadmap!$A$4:$A$15,0),99)*100+'Sprint Planning'!$H458+460/100000,"")</f>
        <v/>
      </c>
    </row>
    <row r="461" ht="15" customHeight="1" s="93">
      <c r="T461" s="92">
        <f>IF(AND('Sprint Planning'!$H459&gt;=10,'Sprint Planning'!$H459&lt;=16),IFERROR(MATCH('Sprint Planning'!$C459,Roadmap!$A$4:$A$15,0),99)*100+'Sprint Planning'!$H459+461/100000,"")</f>
        <v/>
      </c>
    </row>
    <row r="462" ht="15" customHeight="1" s="93">
      <c r="T462" s="92">
        <f>IF(AND('Sprint Planning'!$H460&gt;=10,'Sprint Planning'!$H460&lt;=16),IFERROR(MATCH('Sprint Planning'!$C460,Roadmap!$A$4:$A$15,0),99)*100+'Sprint Planning'!$H460+462/100000,"")</f>
        <v/>
      </c>
    </row>
    <row r="463" ht="15" customHeight="1" s="93">
      <c r="T463" s="92">
        <f>IF(AND('Sprint Planning'!$H461&gt;=10,'Sprint Planning'!$H461&lt;=16),IFERROR(MATCH('Sprint Planning'!$C461,Roadmap!$A$4:$A$15,0),99)*100+'Sprint Planning'!$H461+463/100000,"")</f>
        <v/>
      </c>
    </row>
    <row r="464" ht="15" customHeight="1" s="93">
      <c r="T464" s="92">
        <f>IF(AND('Sprint Planning'!$H462&gt;=10,'Sprint Planning'!$H462&lt;=16),IFERROR(MATCH('Sprint Planning'!$C462,Roadmap!$A$4:$A$15,0),99)*100+'Sprint Planning'!$H462+464/100000,"")</f>
        <v/>
      </c>
    </row>
    <row r="465" ht="15" customHeight="1" s="93">
      <c r="T465" s="92">
        <f>IF(AND('Sprint Planning'!$H463&gt;=10,'Sprint Planning'!$H463&lt;=16),IFERROR(MATCH('Sprint Planning'!$C463,Roadmap!$A$4:$A$15,0),99)*100+'Sprint Planning'!$H463+465/100000,"")</f>
        <v/>
      </c>
    </row>
    <row r="466" ht="15" customHeight="1" s="93">
      <c r="T466" s="92">
        <f>IF(AND('Sprint Planning'!$H464&gt;=10,'Sprint Planning'!$H464&lt;=16),IFERROR(MATCH('Sprint Planning'!$C464,Roadmap!$A$4:$A$15,0),99)*100+'Sprint Planning'!$H464+466/100000,"")</f>
        <v/>
      </c>
    </row>
    <row r="467" ht="15" customHeight="1" s="93">
      <c r="T467" s="92">
        <f>IF(AND('Sprint Planning'!$H465&gt;=10,'Sprint Planning'!$H465&lt;=16),IFERROR(MATCH('Sprint Planning'!$C465,Roadmap!$A$4:$A$15,0),99)*100+'Sprint Planning'!$H465+467/100000,"")</f>
        <v/>
      </c>
    </row>
    <row r="468" ht="15" customHeight="1" s="93">
      <c r="T468" s="92">
        <f>IF(AND('Sprint Planning'!$H466&gt;=10,'Sprint Planning'!$H466&lt;=16),IFERROR(MATCH('Sprint Planning'!$C466,Roadmap!$A$4:$A$15,0),99)*100+'Sprint Planning'!$H466+468/100000,"")</f>
        <v/>
      </c>
    </row>
    <row r="469" ht="15" customHeight="1" s="93">
      <c r="T469" s="92">
        <f>IF(AND('Sprint Planning'!$H467&gt;=10,'Sprint Planning'!$H467&lt;=16),IFERROR(MATCH('Sprint Planning'!$C467,Roadmap!$A$4:$A$15,0),99)*100+'Sprint Planning'!$H467+469/100000,"")</f>
        <v/>
      </c>
    </row>
    <row r="470" ht="15" customHeight="1" s="93">
      <c r="T470" s="92">
        <f>IF(AND('Sprint Planning'!$H468&gt;=10,'Sprint Planning'!$H468&lt;=16),IFERROR(MATCH('Sprint Planning'!$C468,Roadmap!$A$4:$A$15,0),99)*100+'Sprint Planning'!$H468+470/100000,"")</f>
        <v/>
      </c>
    </row>
    <row r="471" ht="15" customHeight="1" s="93">
      <c r="T471" s="92">
        <f>IF(AND('Sprint Planning'!$H469&gt;=10,'Sprint Planning'!$H469&lt;=16),IFERROR(MATCH('Sprint Planning'!$C469,Roadmap!$A$4:$A$15,0),99)*100+'Sprint Planning'!$H469+471/100000,"")</f>
        <v/>
      </c>
    </row>
    <row r="472" ht="15" customHeight="1" s="93">
      <c r="T472" s="92">
        <f>IF(AND('Sprint Planning'!$H470&gt;=10,'Sprint Planning'!$H470&lt;=16),IFERROR(MATCH('Sprint Planning'!$C470,Roadmap!$A$4:$A$15,0),99)*100+'Sprint Planning'!$H470+472/100000,"")</f>
        <v/>
      </c>
    </row>
    <row r="473" ht="15" customHeight="1" s="93">
      <c r="T473" s="92">
        <f>IF(AND('Sprint Planning'!$H471&gt;=10,'Sprint Planning'!$H471&lt;=16),IFERROR(MATCH('Sprint Planning'!$C471,Roadmap!$A$4:$A$15,0),99)*100+'Sprint Planning'!$H471+473/100000,"")</f>
        <v/>
      </c>
    </row>
    <row r="474" ht="15" customHeight="1" s="93">
      <c r="T474" s="92">
        <f>IF(AND('Sprint Planning'!$H472&gt;=10,'Sprint Planning'!$H472&lt;=16),IFERROR(MATCH('Sprint Planning'!$C472,Roadmap!$A$4:$A$15,0),99)*100+'Sprint Planning'!$H472+474/100000,"")</f>
        <v/>
      </c>
    </row>
    <row r="475" ht="15" customHeight="1" s="93">
      <c r="T475" s="92">
        <f>IF(AND('Sprint Planning'!$H473&gt;=10,'Sprint Planning'!$H473&lt;=16),IFERROR(MATCH('Sprint Planning'!$C473,Roadmap!$A$4:$A$15,0),99)*100+'Sprint Planning'!$H473+475/100000,"")</f>
        <v/>
      </c>
    </row>
    <row r="476" ht="15" customHeight="1" s="93">
      <c r="T476" s="92">
        <f>IF(AND('Sprint Planning'!$H474&gt;=10,'Sprint Planning'!$H474&lt;=16),IFERROR(MATCH('Sprint Planning'!$C474,Roadmap!$A$4:$A$15,0),99)*100+'Sprint Planning'!$H474+476/100000,"")</f>
        <v/>
      </c>
    </row>
    <row r="477" ht="15" customHeight="1" s="93">
      <c r="T477" s="92">
        <f>IF(AND('Sprint Planning'!$H475&gt;=10,'Sprint Planning'!$H475&lt;=16),IFERROR(MATCH('Sprint Planning'!$C475,Roadmap!$A$4:$A$15,0),99)*100+'Sprint Planning'!$H475+477/100000,"")</f>
        <v/>
      </c>
    </row>
    <row r="478" ht="15" customHeight="1" s="93">
      <c r="T478" s="92">
        <f>IF(AND('Sprint Planning'!$H476&gt;=10,'Sprint Planning'!$H476&lt;=16),IFERROR(MATCH('Sprint Planning'!$C476,Roadmap!$A$4:$A$15,0),99)*100+'Sprint Planning'!$H476+478/100000,"")</f>
        <v/>
      </c>
    </row>
    <row r="479" ht="15" customHeight="1" s="93">
      <c r="T479" s="92">
        <f>IF(AND('Sprint Planning'!$H477&gt;=10,'Sprint Planning'!$H477&lt;=16),IFERROR(MATCH('Sprint Planning'!$C477,Roadmap!$A$4:$A$15,0),99)*100+'Sprint Planning'!$H477+479/100000,"")</f>
        <v/>
      </c>
    </row>
    <row r="480" ht="15" customHeight="1" s="93">
      <c r="T480" s="92">
        <f>IF(AND('Sprint Planning'!$H478&gt;=10,'Sprint Planning'!$H478&lt;=16),IFERROR(MATCH('Sprint Planning'!$C478,Roadmap!$A$4:$A$15,0),99)*100+'Sprint Planning'!$H478+480/100000,"")</f>
        <v/>
      </c>
    </row>
    <row r="481" ht="15" customHeight="1" s="93">
      <c r="T481" s="92">
        <f>IF(AND('Sprint Planning'!$H479&gt;=10,'Sprint Planning'!$H479&lt;=16),IFERROR(MATCH('Sprint Planning'!$C479,Roadmap!$A$4:$A$15,0),99)*100+'Sprint Planning'!$H479+481/100000,"")</f>
        <v/>
      </c>
    </row>
    <row r="482" ht="15" customHeight="1" s="93">
      <c r="T482" s="92">
        <f>IF(AND('Sprint Planning'!$H480&gt;=10,'Sprint Planning'!$H480&lt;=16),IFERROR(MATCH('Sprint Planning'!$C480,Roadmap!$A$4:$A$15,0),99)*100+'Sprint Planning'!$H480+482/100000,"")</f>
        <v/>
      </c>
    </row>
    <row r="483" ht="15" customHeight="1" s="93">
      <c r="T483" s="92">
        <f>IF(AND('Sprint Planning'!$H481&gt;=10,'Sprint Planning'!$H481&lt;=16),IFERROR(MATCH('Sprint Planning'!$C481,Roadmap!$A$4:$A$15,0),99)*100+'Sprint Planning'!$H481+483/100000,"")</f>
        <v/>
      </c>
    </row>
    <row r="484" ht="15" customHeight="1" s="93">
      <c r="T484" s="92">
        <f>IF(AND('Sprint Planning'!$H482&gt;=10,'Sprint Planning'!$H482&lt;=16),IFERROR(MATCH('Sprint Planning'!$C482,Roadmap!$A$4:$A$15,0),99)*100+'Sprint Planning'!$H482+484/100000,"")</f>
        <v/>
      </c>
    </row>
    <row r="485" ht="15" customHeight="1" s="93">
      <c r="T485" s="92">
        <f>IF(AND('Sprint Planning'!$H483&gt;=10,'Sprint Planning'!$H483&lt;=16),IFERROR(MATCH('Sprint Planning'!$C483,Roadmap!$A$4:$A$15,0),99)*100+'Sprint Planning'!$H483+485/100000,"")</f>
        <v/>
      </c>
    </row>
    <row r="486" ht="15" customHeight="1" s="93">
      <c r="T486" s="92">
        <f>IF(AND('Sprint Planning'!$H484&gt;=10,'Sprint Planning'!$H484&lt;=16),IFERROR(MATCH('Sprint Planning'!$C484,Roadmap!$A$4:$A$15,0),99)*100+'Sprint Planning'!$H484+486/100000,"")</f>
        <v/>
      </c>
    </row>
    <row r="487" ht="15" customHeight="1" s="93">
      <c r="T487" s="92">
        <f>IF(AND('Sprint Planning'!$H485&gt;=10,'Sprint Planning'!$H485&lt;=16),IFERROR(MATCH('Sprint Planning'!$C485,Roadmap!$A$4:$A$15,0),99)*100+'Sprint Planning'!$H485+487/100000,"")</f>
        <v/>
      </c>
    </row>
    <row r="488" ht="15" customHeight="1" s="93">
      <c r="T488" s="92">
        <f>IF(AND('Sprint Planning'!$H486&gt;=10,'Sprint Planning'!$H486&lt;=16),IFERROR(MATCH('Sprint Planning'!$C486,Roadmap!$A$4:$A$15,0),99)*100+'Sprint Planning'!$H486+488/100000,"")</f>
        <v/>
      </c>
    </row>
    <row r="489" ht="15" customHeight="1" s="93">
      <c r="T489" s="92">
        <f>IF(AND('Sprint Planning'!$H487&gt;=10,'Sprint Planning'!$H487&lt;=16),IFERROR(MATCH('Sprint Planning'!$C487,Roadmap!$A$4:$A$15,0),99)*100+'Sprint Planning'!$H487+489/100000,"")</f>
        <v/>
      </c>
    </row>
    <row r="490" ht="15" customHeight="1" s="93">
      <c r="T490" s="92">
        <f>IF(AND('Sprint Planning'!$H488&gt;=10,'Sprint Planning'!$H488&lt;=16),IFERROR(MATCH('Sprint Planning'!$C488,Roadmap!$A$4:$A$15,0),99)*100+'Sprint Planning'!$H488+490/100000,"")</f>
        <v/>
      </c>
    </row>
    <row r="491" ht="15" customHeight="1" s="93">
      <c r="T491" s="92">
        <f>IF(AND('Sprint Planning'!$H489&gt;=10,'Sprint Planning'!$H489&lt;=16),IFERROR(MATCH('Sprint Planning'!$C489,Roadmap!$A$4:$A$15,0),99)*100+'Sprint Planning'!$H489+491/100000,"")</f>
        <v/>
      </c>
    </row>
    <row r="492" ht="15" customHeight="1" s="93">
      <c r="T492" s="92">
        <f>IF(AND('Sprint Planning'!$H490&gt;=10,'Sprint Planning'!$H490&lt;=16),IFERROR(MATCH('Sprint Planning'!$C490,Roadmap!$A$4:$A$15,0),99)*100+'Sprint Planning'!$H490+492/100000,"")</f>
        <v/>
      </c>
    </row>
    <row r="493" ht="15" customHeight="1" s="93">
      <c r="T493" s="92">
        <f>IF(AND('Sprint Planning'!$H491&gt;=10,'Sprint Planning'!$H491&lt;=16),IFERROR(MATCH('Sprint Planning'!$C491,Roadmap!$A$4:$A$15,0),99)*100+'Sprint Planning'!$H491+493/100000,"")</f>
        <v/>
      </c>
    </row>
    <row r="494" ht="15" customHeight="1" s="93">
      <c r="T494" s="92">
        <f>IF(AND('Sprint Planning'!$H492&gt;=10,'Sprint Planning'!$H492&lt;=16),IFERROR(MATCH('Sprint Planning'!$C492,Roadmap!$A$4:$A$15,0),99)*100+'Sprint Planning'!$H492+494/100000,"")</f>
        <v/>
      </c>
    </row>
    <row r="495" ht="15" customHeight="1" s="93">
      <c r="T495" s="92">
        <f>IF(AND('Sprint Planning'!$H493&gt;=10,'Sprint Planning'!$H493&lt;=16),IFERROR(MATCH('Sprint Planning'!$C493,Roadmap!$A$4:$A$15,0),99)*100+'Sprint Planning'!$H493+495/100000,"")</f>
        <v/>
      </c>
    </row>
    <row r="496" ht="15" customHeight="1" s="93">
      <c r="T496" s="92">
        <f>IF(AND('Sprint Planning'!$H494&gt;=10,'Sprint Planning'!$H494&lt;=16),IFERROR(MATCH('Sprint Planning'!$C494,Roadmap!$A$4:$A$15,0),99)*100+'Sprint Planning'!$H494+496/100000,"")</f>
        <v/>
      </c>
    </row>
    <row r="497" ht="15" customHeight="1" s="93">
      <c r="T497" s="92">
        <f>IF(AND('Sprint Planning'!$H495&gt;=10,'Sprint Planning'!$H495&lt;=16),IFERROR(MATCH('Sprint Planning'!$C495,Roadmap!$A$4:$A$15,0),99)*100+'Sprint Planning'!$H495+497/100000,"")</f>
        <v/>
      </c>
    </row>
    <row r="498" ht="15" customHeight="1" s="93">
      <c r="T498" s="92">
        <f>IF(AND('Sprint Planning'!$H496&gt;=10,'Sprint Planning'!$H496&lt;=16),IFERROR(MATCH('Sprint Planning'!$C496,Roadmap!$A$4:$A$15,0),99)*100+'Sprint Planning'!$H496+498/100000,"")</f>
        <v/>
      </c>
    </row>
    <row r="499" ht="15" customHeight="1" s="93">
      <c r="T499" s="92">
        <f>IF(AND('Sprint Planning'!$H497&gt;=10,'Sprint Planning'!$H497&lt;=16),IFERROR(MATCH('Sprint Planning'!$C497,Roadmap!$A$4:$A$15,0),99)*100+'Sprint Planning'!$H497+499/100000,"")</f>
        <v/>
      </c>
    </row>
    <row r="500" ht="15" customHeight="1" s="93">
      <c r="T500" s="92">
        <f>IF(AND('Sprint Planning'!$H498&gt;=10,'Sprint Planning'!$H498&lt;=16),IFERROR(MATCH('Sprint Planning'!$C498,Roadmap!$A$4:$A$15,0),99)*100+'Sprint Planning'!$H498+500/100000,"")</f>
        <v/>
      </c>
    </row>
  </sheetData>
  <mergeCells count="1">
    <mergeCell ref="A1:R1"/>
  </mergeCells>
  <conditionalFormatting sqref="A4:R15">
    <cfRule type="expression" rank="0" priority="2" equalAverage="0" aboveAverage="0" dxfId="11" text="" percent="0" bottom="0">
      <formula>$A4="US"</formula>
    </cfRule>
    <cfRule type="expression" rank="0" priority="3" equalAverage="0" aboveAverage="0" dxfId="12" text="" percent="0" bottom="0">
      <formula>$A4="MyMSC"</formula>
    </cfRule>
    <cfRule type="expression" rank="0" priority="4" equalAverage="0" aboveAverage="0" dxfId="13" text="" percent="0" bottom="0">
      <formula>$A4="Rollout"</formula>
    </cfRule>
    <cfRule type="expression" rank="0" priority="5" equalAverage="0" aboveAverage="0" dxfId="13" text="" percent="0" bottom="0">
      <formula>$A4="MVP Rollout"</formula>
    </cfRule>
    <cfRule type="expression" rank="0" priority="6" equalAverage="0" aboveAverage="0" dxfId="14" text="" percent="0" bottom="0">
      <formula>$A4="Backlog"</formula>
    </cfRule>
    <cfRule type="expression" rank="0" priority="7" equalAverage="0" aboveAverage="0" dxfId="14" text="" percent="0" bottom="0">
      <formula>$A4="Growth"</formula>
    </cfRule>
    <cfRule type="expression" rank="0" priority="8" equalAverage="0" aboveAverage="0" dxfId="15" text="" percent="0" bottom="0">
      <formula>$A4="Tech Enhancements"</formula>
    </cfRule>
    <cfRule type="expression" rank="0" priority="9" equalAverage="0" aboveAverage="0" dxfId="16" text="" percent="0" bottom="0">
      <formula>LEFT($A4,2)="PI"</formula>
    </cfRule>
  </conditionalFormatting>
  <conditionalFormatting sqref="A21:J100">
    <cfRule type="expression" rank="0" priority="10" equalAverage="0" aboveAverage="0" dxfId="11" text="" percent="0" bottom="0">
      <formula>$A21="US"</formula>
    </cfRule>
    <cfRule type="expression" rank="0" priority="11" equalAverage="0" aboveAverage="0" dxfId="12" text="" percent="0" bottom="0">
      <formula>$A21="MyMSC"</formula>
    </cfRule>
    <cfRule type="expression" rank="0" priority="12" equalAverage="0" aboveAverage="0" dxfId="13" text="" percent="0" bottom="0">
      <formula>$A21="Rollout"</formula>
    </cfRule>
    <cfRule type="expression" rank="0" priority="13" equalAverage="0" aboveAverage="0" dxfId="13" text="" percent="0" bottom="0">
      <formula>$A21="MVP Rollout"</formula>
    </cfRule>
    <cfRule type="expression" rank="0" priority="14" equalAverage="0" aboveAverage="0" dxfId="14" text="" percent="0" bottom="0">
      <formula>$A21="Backlog"</formula>
    </cfRule>
    <cfRule type="expression" rank="0" priority="15" equalAverage="0" aboveAverage="0" dxfId="14" text="" percent="0" bottom="0">
      <formula>$A21="Growth"</formula>
    </cfRule>
    <cfRule type="expression" rank="0" priority="16" equalAverage="0" aboveAverage="0" dxfId="15" text="" percent="0" bottom="0">
      <formula>$A21="Tech Enhancements"</formula>
    </cfRule>
    <cfRule type="expression" rank="0" priority="17" equalAverage="0" aboveAverage="0" dxfId="16" text="" percent="0" bottom="0">
      <formula>LEFT($A21,2)="PI"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P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baseColWidth="8" defaultColWidth="8.66796875" defaultRowHeight="15" customHeight="0" zeroHeight="0" outlineLevelRow="0"/>
  <cols>
    <col width="16" customWidth="1" style="92" min="1" max="1"/>
    <col width="93" customWidth="1" style="92" min="2" max="2"/>
    <col width="12" customWidth="1" style="92" min="3" max="3"/>
    <col width="14" customWidth="1" style="92" min="4" max="5"/>
    <col width="12" customWidth="1" style="92" min="6" max="6"/>
    <col width="14" customWidth="1" style="92" min="7" max="7"/>
    <col width="8" customWidth="1" style="92" min="8" max="8"/>
    <col width="14" customWidth="1" style="92" min="10" max="10"/>
    <col width="12" customWidth="1" style="92" min="11" max="12"/>
    <col width="14" customWidth="1" style="92" min="13" max="15"/>
    <col width="16" customWidth="1" style="92" min="16" max="16"/>
  </cols>
  <sheetData>
    <row r="1" ht="30" customHeight="1" s="93">
      <c r="A1" s="113" t="inlineStr">
        <is>
          <t>Requirement ID</t>
        </is>
      </c>
      <c r="B1" s="114" t="inlineStr">
        <is>
          <t>Requirement Name</t>
        </is>
      </c>
      <c r="C1" s="114" t="inlineStr">
        <is>
          <t>Stream</t>
        </is>
      </c>
      <c r="D1" s="114" t="inlineStr">
        <is>
          <t>Sprint</t>
        </is>
      </c>
      <c r="E1" s="114" t="inlineStr">
        <is>
          <t>Status</t>
        </is>
      </c>
      <c r="F1" s="114" t="inlineStr">
        <is>
          <t>Priority</t>
        </is>
      </c>
      <c r="G1" s="113" t="inlineStr">
        <is>
          <t>Release</t>
        </is>
      </c>
      <c r="H1" s="114" t="inlineStr">
        <is>
          <t>HLE</t>
        </is>
      </c>
      <c r="J1" s="161" t="inlineStr">
        <is>
          <t>Breakdown by Release</t>
        </is>
      </c>
      <c r="K1" s="162" t="n"/>
      <c r="L1" s="162" t="n"/>
      <c r="M1" s="162" t="n"/>
      <c r="N1" s="162" t="n"/>
      <c r="O1" s="162" t="n"/>
      <c r="P1" s="151" t="n"/>
    </row>
    <row r="2" ht="15" customHeight="1" s="93">
      <c r="A2" s="115" t="inlineStr">
        <is>
          <t>NEW-0090</t>
        </is>
      </c>
      <c r="B2" s="117" t="inlineStr">
        <is>
          <t>API Configurations for US market</t>
        </is>
      </c>
      <c r="C2" s="117" t="inlineStr">
        <is>
          <t>US</t>
        </is>
      </c>
      <c r="D2" s="117" t="inlineStr">
        <is>
          <t>Sprint 1</t>
        </is>
      </c>
      <c r="E2" s="117" t="inlineStr">
        <is>
          <t>DONE</t>
        </is>
      </c>
      <c r="F2" s="117" t="inlineStr">
        <is>
          <t>Medium</t>
        </is>
      </c>
      <c r="G2" s="115" t="inlineStr">
        <is>
          <t>Release 18</t>
        </is>
      </c>
      <c r="H2" s="117" t="n">
        <v>8</v>
      </c>
      <c r="J2" s="163" t="inlineStr">
        <is>
          <t>Release</t>
        </is>
      </c>
      <c r="K2" s="163" t="inlineStr">
        <is>
          <t>Item Count</t>
        </is>
      </c>
      <c r="L2" s="163" t="inlineStr">
        <is>
          <t>Total HLE</t>
        </is>
      </c>
      <c r="M2" s="164" t="inlineStr">
        <is>
          <t>Production Date</t>
        </is>
      </c>
      <c r="N2" s="164" t="inlineStr">
        <is>
          <t>Cutoff Date</t>
        </is>
      </c>
      <c r="O2" s="164" t="inlineStr">
        <is>
          <t>Status</t>
        </is>
      </c>
      <c r="P2" s="164" t="inlineStr">
        <is>
          <t>Service Now CR ID</t>
        </is>
      </c>
    </row>
    <row r="3" ht="15" customHeight="1" s="93">
      <c r="A3" s="115" t="inlineStr">
        <is>
          <t>NEW-0235</t>
        </is>
      </c>
      <c r="B3" s="117" t="inlineStr">
        <is>
          <t>Phase 1 Payment Auth CR</t>
        </is>
      </c>
      <c r="C3" s="117" t="inlineStr">
        <is>
          <t>PP</t>
        </is>
      </c>
      <c r="D3" s="117" t="inlineStr">
        <is>
          <t>Sprint 1</t>
        </is>
      </c>
      <c r="E3" s="117" t="inlineStr">
        <is>
          <t>DONE</t>
        </is>
      </c>
      <c r="F3" s="117" t="inlineStr">
        <is>
          <t>Medium</t>
        </is>
      </c>
      <c r="G3" s="115" t="inlineStr">
        <is>
          <t>Release 5B</t>
        </is>
      </c>
      <c r="H3" s="117" t="n">
        <v>21</v>
      </c>
      <c r="J3" s="154" t="inlineStr">
        <is>
          <t>Release 5</t>
        </is>
      </c>
      <c r="K3" s="154">
        <f>COUNTIFS(Release[Release],J3)</f>
        <v/>
      </c>
      <c r="L3" s="154">
        <f>SUMIFS(Release[HLE],Release[Release],J3)</f>
        <v/>
      </c>
      <c r="M3" s="165" t="n"/>
      <c r="N3" s="165" t="n"/>
      <c r="O3" s="155" t="n"/>
      <c r="P3" s="155" t="n"/>
    </row>
    <row r="4" ht="15" customHeight="1" s="93">
      <c r="A4" s="115" t="inlineStr">
        <is>
          <t>NEW-0237</t>
        </is>
      </c>
      <c r="B4" s="117" t="inlineStr">
        <is>
          <t>US configurations  - Chain 1 / Chain 2</t>
        </is>
      </c>
      <c r="C4" s="117" t="inlineStr">
        <is>
          <t>US</t>
        </is>
      </c>
      <c r="D4" s="117" t="inlineStr">
        <is>
          <t>Sprint 1</t>
        </is>
      </c>
      <c r="E4" s="117" t="inlineStr">
        <is>
          <t>DONE</t>
        </is>
      </c>
      <c r="F4" s="117" t="inlineStr">
        <is>
          <t>Medium</t>
        </is>
      </c>
      <c r="G4" s="115" t="inlineStr">
        <is>
          <t>Release 19</t>
        </is>
      </c>
      <c r="H4" s="117" t="n">
        <v>8</v>
      </c>
      <c r="J4" s="154" t="inlineStr">
        <is>
          <t>Release 5A</t>
        </is>
      </c>
      <c r="K4" s="154">
        <f>COUNTIFS(Release[Release],J4)</f>
        <v/>
      </c>
      <c r="L4" s="154">
        <f>SUMIFS(Release[HLE],Release[Release],J4)</f>
        <v/>
      </c>
      <c r="M4" s="165" t="n"/>
      <c r="N4" s="165" t="n"/>
      <c r="O4" s="155" t="n"/>
      <c r="P4" s="155" t="n"/>
    </row>
    <row r="5" ht="15" customHeight="1" s="93">
      <c r="A5" s="115" t="inlineStr">
        <is>
          <t>NEW-0238</t>
        </is>
      </c>
      <c r="B5" s="117" t="inlineStr">
        <is>
          <t>CDP Sandbox Support for US</t>
        </is>
      </c>
      <c r="C5" s="117" t="inlineStr">
        <is>
          <t>US</t>
        </is>
      </c>
      <c r="D5" s="117" t="inlineStr">
        <is>
          <t>Sprint 1</t>
        </is>
      </c>
      <c r="E5" s="117" t="inlineStr">
        <is>
          <t>DONE</t>
        </is>
      </c>
      <c r="F5" s="117" t="inlineStr">
        <is>
          <t>Medium</t>
        </is>
      </c>
      <c r="G5" s="115" t="inlineStr">
        <is>
          <t>Release 19</t>
        </is>
      </c>
      <c r="H5" s="117" t="n">
        <v>3</v>
      </c>
      <c r="J5" s="154" t="inlineStr">
        <is>
          <t>Release 5B</t>
        </is>
      </c>
      <c r="K5" s="154">
        <f>COUNTIFS(Release[Release],J5)</f>
        <v/>
      </c>
      <c r="L5" s="154">
        <f>SUMIFS(Release[HLE],Release[Release],J5)</f>
        <v/>
      </c>
      <c r="M5" s="165" t="n"/>
      <c r="N5" s="165" t="n"/>
      <c r="O5" s="155" t="n"/>
      <c r="P5" s="155" t="n"/>
    </row>
    <row r="6" ht="15" customHeight="1" s="93">
      <c r="A6" s="115" t="inlineStr">
        <is>
          <t>NEW-0329</t>
        </is>
      </c>
      <c r="B6" s="117" t="inlineStr">
        <is>
          <t>LATAM Configurations - Chain1 / Chain 2 / Prod</t>
        </is>
      </c>
      <c r="C6" s="117" t="inlineStr">
        <is>
          <t>MVP Rollout</t>
        </is>
      </c>
      <c r="D6" s="117" t="inlineStr">
        <is>
          <t>Sprint 1</t>
        </is>
      </c>
      <c r="E6" s="117" t="inlineStr">
        <is>
          <t>DONE</t>
        </is>
      </c>
      <c r="F6" s="117" t="inlineStr">
        <is>
          <t>Medium</t>
        </is>
      </c>
      <c r="G6" s="115" t="inlineStr">
        <is>
          <t>Release 5A</t>
        </is>
      </c>
      <c r="H6" s="117" t="n">
        <v>7</v>
      </c>
      <c r="J6" s="154" t="inlineStr">
        <is>
          <t>Release 5B (Hotfix)</t>
        </is>
      </c>
      <c r="K6" s="154">
        <f>COUNTIFS(Release[Release],J6)</f>
        <v/>
      </c>
      <c r="L6" s="154">
        <f>SUMIFS(Release[HLE],Release[Release],J6)</f>
        <v/>
      </c>
      <c r="M6" s="165" t="n"/>
      <c r="N6" s="165" t="n"/>
      <c r="O6" s="155" t="n"/>
      <c r="P6" s="155" t="n"/>
    </row>
    <row r="7" ht="15" customHeight="1" s="93">
      <c r="A7" s="115" t="inlineStr">
        <is>
          <t>NEW-0336</t>
        </is>
      </c>
      <c r="B7" s="117" t="inlineStr">
        <is>
          <t>Consent Management</t>
        </is>
      </c>
      <c r="C7" s="117" t="inlineStr">
        <is>
          <t>Backlog</t>
        </is>
      </c>
      <c r="D7" s="117" t="inlineStr">
        <is>
          <t>Sprint 1</t>
        </is>
      </c>
      <c r="E7" s="117" t="inlineStr">
        <is>
          <t>DONE</t>
        </is>
      </c>
      <c r="F7" s="117" t="inlineStr">
        <is>
          <t>Medium</t>
        </is>
      </c>
      <c r="G7" s="115" t="inlineStr">
        <is>
          <t>Release 7</t>
        </is>
      </c>
      <c r="H7" s="117" t="n">
        <v>23</v>
      </c>
      <c r="J7" s="154" t="inlineStr">
        <is>
          <t>Release 5C</t>
        </is>
      </c>
      <c r="K7" s="154">
        <f>COUNTIFS(Release[Release],J7)</f>
        <v/>
      </c>
      <c r="L7" s="154">
        <f>SUMIFS(Release[HLE],Release[Release],J7)</f>
        <v/>
      </c>
      <c r="M7" s="165" t="n"/>
      <c r="N7" s="165" t="n"/>
      <c r="O7" s="155" t="n"/>
      <c r="P7" s="155" t="n"/>
    </row>
    <row r="8" ht="15" customHeight="1" s="93">
      <c r="A8" s="115" t="inlineStr">
        <is>
          <t>NEW-0372</t>
        </is>
      </c>
      <c r="B8" s="117" t="inlineStr">
        <is>
          <t>Booking Funnel - Market Segregation</t>
        </is>
      </c>
      <c r="C8" s="117" t="inlineStr">
        <is>
          <t>Backlog / Tech Enh</t>
        </is>
      </c>
      <c r="D8" s="117" t="inlineStr">
        <is>
          <t>Sprint 1</t>
        </is>
      </c>
      <c r="E8" s="117" t="inlineStr">
        <is>
          <t>DONE</t>
        </is>
      </c>
      <c r="F8" s="117" t="inlineStr">
        <is>
          <t>Medium</t>
        </is>
      </c>
      <c r="G8" s="115" t="n"/>
      <c r="H8" s="117" t="n">
        <v>16</v>
      </c>
      <c r="J8" s="154" t="inlineStr">
        <is>
          <t>Release 6</t>
        </is>
      </c>
      <c r="K8" s="154">
        <f>COUNTIFS(Release[Release],J8)</f>
        <v/>
      </c>
      <c r="L8" s="154">
        <f>SUMIFS(Release[HLE],Release[Release],J8)</f>
        <v/>
      </c>
      <c r="M8" s="165" t="n"/>
      <c r="N8" s="165" t="n"/>
      <c r="O8" s="155" t="n"/>
      <c r="P8" s="155" t="n"/>
    </row>
    <row r="9" ht="15" customHeight="1" s="93">
      <c r="A9" s="115" t="inlineStr">
        <is>
          <t>NEW-0379</t>
        </is>
      </c>
      <c r="B9" s="117" t="inlineStr">
        <is>
          <t>Attentive Marketo CR</t>
        </is>
      </c>
      <c r="C9" s="117" t="inlineStr">
        <is>
          <t>PI9</t>
        </is>
      </c>
      <c r="D9" s="117" t="inlineStr">
        <is>
          <t>Sprint 1</t>
        </is>
      </c>
      <c r="E9" s="117" t="inlineStr">
        <is>
          <t>DONE</t>
        </is>
      </c>
      <c r="F9" s="117" t="inlineStr">
        <is>
          <t>Medium</t>
        </is>
      </c>
      <c r="G9" s="115" t="n"/>
      <c r="H9" s="117" t="n">
        <v>8</v>
      </c>
      <c r="J9" s="154" t="inlineStr">
        <is>
          <t>Release 7</t>
        </is>
      </c>
      <c r="K9" s="154">
        <f>COUNTIFS(Release[Release],J9)</f>
        <v/>
      </c>
      <c r="L9" s="154">
        <f>SUMIFS(Release[HLE],Release[Release],J9)</f>
        <v/>
      </c>
      <c r="M9" s="165" t="n"/>
      <c r="N9" s="165" t="n"/>
      <c r="O9" s="155" t="n"/>
      <c r="P9" s="155" t="n"/>
    </row>
    <row r="10" ht="15" customHeight="1" s="93">
      <c r="A10" s="115" t="inlineStr">
        <is>
          <t>NEW-0381</t>
        </is>
      </c>
      <c r="B10" s="117" t="inlineStr">
        <is>
          <t>ALT Text - Enhancement</t>
        </is>
      </c>
      <c r="C10" s="117" t="inlineStr">
        <is>
          <t>PI9</t>
        </is>
      </c>
      <c r="D10" s="117" t="inlineStr">
        <is>
          <t>Sprint 1</t>
        </is>
      </c>
      <c r="E10" s="117" t="inlineStr">
        <is>
          <t>DONE</t>
        </is>
      </c>
      <c r="F10" s="117" t="inlineStr">
        <is>
          <t>Medium</t>
        </is>
      </c>
      <c r="G10" s="115" t="n"/>
      <c r="H10" s="117" t="n">
        <v>2</v>
      </c>
      <c r="J10" s="154" t="inlineStr">
        <is>
          <t>Release 7A (Hotfix)</t>
        </is>
      </c>
      <c r="K10" s="154">
        <f>COUNTIFS(Release[Release],J10)</f>
        <v/>
      </c>
      <c r="L10" s="154">
        <f>SUMIFS(Release[HLE],Release[Release],J10)</f>
        <v/>
      </c>
      <c r="M10" s="165" t="n"/>
      <c r="N10" s="165" t="n"/>
      <c r="O10" s="155" t="n"/>
      <c r="P10" s="155" t="n"/>
    </row>
    <row r="11" ht="15" customHeight="1" s="93">
      <c r="A11" s="115" t="inlineStr">
        <is>
          <t>NEW-0391</t>
        </is>
      </c>
      <c r="B11" s="117" t="inlineStr">
        <is>
          <t>Rosetta Stone</t>
        </is>
      </c>
      <c r="C11" s="117" t="inlineStr">
        <is>
          <t>HR</t>
        </is>
      </c>
      <c r="D11" s="117" t="inlineStr">
        <is>
          <t>Sprint 1</t>
        </is>
      </c>
      <c r="E11" s="117" t="inlineStr">
        <is>
          <t>DONE</t>
        </is>
      </c>
      <c r="F11" s="117" t="inlineStr">
        <is>
          <t>Medium</t>
        </is>
      </c>
      <c r="G11" s="115" t="n"/>
      <c r="H11" s="117" t="n">
        <v>8</v>
      </c>
      <c r="J11" s="154" t="inlineStr">
        <is>
          <t>Release 7B (Hotfix)</t>
        </is>
      </c>
      <c r="K11" s="154">
        <f>COUNTIFS(Release[Release],J11)</f>
        <v/>
      </c>
      <c r="L11" s="154">
        <f>SUMIFS(Release[HLE],Release[Release],J11)</f>
        <v/>
      </c>
      <c r="M11" s="165" t="n"/>
      <c r="N11" s="165" t="n"/>
      <c r="O11" s="155" t="n"/>
      <c r="P11" s="155" t="n"/>
    </row>
    <row r="12" ht="15" customHeight="1" s="93">
      <c r="A12" s="115" t="inlineStr">
        <is>
          <t>NEW-0093</t>
        </is>
      </c>
      <c r="B12" s="117" t="inlineStr">
        <is>
          <t>[CR] [EAINT] INT069: Marketing SAPI / CRM EAPI updates to support routing to CDP based on market code</t>
        </is>
      </c>
      <c r="C12" s="117" t="inlineStr">
        <is>
          <t>US</t>
        </is>
      </c>
      <c r="D12" s="117" t="inlineStr">
        <is>
          <t>Sprint 2</t>
        </is>
      </c>
      <c r="E12" s="117" t="inlineStr">
        <is>
          <t>DONE</t>
        </is>
      </c>
      <c r="F12" s="117" t="inlineStr">
        <is>
          <t>Medium</t>
        </is>
      </c>
      <c r="G12" s="115" t="inlineStr">
        <is>
          <t>Release 19</t>
        </is>
      </c>
      <c r="H12" s="117" t="n">
        <v>2</v>
      </c>
      <c r="J12" s="154" t="inlineStr">
        <is>
          <t>Release 8</t>
        </is>
      </c>
      <c r="K12" s="154">
        <f>COUNTIFS(Release[Release],J12)</f>
        <v/>
      </c>
      <c r="L12" s="154">
        <f>SUMIFS(Release[HLE],Release[Release],J12)</f>
        <v/>
      </c>
      <c r="M12" s="165" t="n"/>
      <c r="N12" s="165" t="n"/>
      <c r="O12" s="155" t="n"/>
      <c r="P12" s="155" t="n"/>
    </row>
    <row r="13" ht="15" customHeight="1" s="93">
      <c r="A13" s="115" t="inlineStr">
        <is>
          <t>NEW-0094</t>
        </is>
      </c>
      <c r="B13" s="117" t="inlineStr">
        <is>
          <t>[CR] [EAINT] INT077: Dual CDP (US and HQ) Loading with Retry Logic</t>
        </is>
      </c>
      <c r="C13" s="117" t="inlineStr">
        <is>
          <t>US</t>
        </is>
      </c>
      <c r="D13" s="117" t="inlineStr">
        <is>
          <t>Sprint 2</t>
        </is>
      </c>
      <c r="E13" s="117" t="inlineStr">
        <is>
          <t>DONE</t>
        </is>
      </c>
      <c r="F13" s="117" t="inlineStr">
        <is>
          <t>Medium</t>
        </is>
      </c>
      <c r="G13" s="115" t="inlineStr">
        <is>
          <t>Release 19</t>
        </is>
      </c>
      <c r="H13" s="117" t="n">
        <v>3</v>
      </c>
      <c r="J13" s="154" t="inlineStr">
        <is>
          <t>Release 9</t>
        </is>
      </c>
      <c r="K13" s="154">
        <f>COUNTIFS(Release[Release],J13)</f>
        <v/>
      </c>
      <c r="L13" s="154">
        <f>SUMIFS(Release[HLE],Release[Release],J13)</f>
        <v/>
      </c>
      <c r="M13" s="165" t="n">
        <v>46119</v>
      </c>
      <c r="N13" s="165" t="n"/>
      <c r="O13" s="155" t="inlineStr">
        <is>
          <t>Completed</t>
        </is>
      </c>
      <c r="P13" s="155" t="n"/>
    </row>
    <row r="14" ht="15" customHeight="1" s="93">
      <c r="A14" s="115" t="inlineStr">
        <is>
          <t>NEW-0236</t>
        </is>
      </c>
      <c r="B14" s="117" t="inlineStr">
        <is>
          <t>GBP Enablement</t>
        </is>
      </c>
      <c r="C14" s="117" t="inlineStr">
        <is>
          <t>PP</t>
        </is>
      </c>
      <c r="D14" s="117" t="inlineStr">
        <is>
          <t>Sprint 2</t>
        </is>
      </c>
      <c r="E14" s="117" t="inlineStr">
        <is>
          <t>DONE</t>
        </is>
      </c>
      <c r="F14" s="117" t="inlineStr">
        <is>
          <t>Medium</t>
        </is>
      </c>
      <c r="G14" s="115" t="n"/>
      <c r="H14" s="117" t="n">
        <v>2</v>
      </c>
      <c r="J14" s="154" t="inlineStr">
        <is>
          <t>Release 10</t>
        </is>
      </c>
      <c r="K14" s="154">
        <f>COUNTIFS(Release[Release],J14)</f>
        <v/>
      </c>
      <c r="L14" s="154">
        <f>SUMIFS(Release[HLE],Release[Release],J14)</f>
        <v/>
      </c>
      <c r="M14" s="165" t="n">
        <v>46128</v>
      </c>
      <c r="N14" s="165" t="n"/>
      <c r="O14" s="155" t="inlineStr">
        <is>
          <t>Completed</t>
        </is>
      </c>
      <c r="P14" s="155" t="n"/>
    </row>
    <row r="15" ht="15" customHeight="1" s="93">
      <c r="A15" s="115" t="inlineStr">
        <is>
          <t>NEW-0241</t>
        </is>
      </c>
      <c r="B15" s="117" t="inlineStr">
        <is>
          <t>PVC - INT069 CR</t>
        </is>
      </c>
      <c r="C15" s="117" t="inlineStr">
        <is>
          <t>US</t>
        </is>
      </c>
      <c r="D15" s="117" t="inlineStr">
        <is>
          <t>Sprint 2</t>
        </is>
      </c>
      <c r="E15" s="117" t="inlineStr">
        <is>
          <t>DONE</t>
        </is>
      </c>
      <c r="F15" s="117" t="inlineStr">
        <is>
          <t>Medium</t>
        </is>
      </c>
      <c r="G15" s="115" t="inlineStr">
        <is>
          <t>Release 19</t>
        </is>
      </c>
      <c r="H15" s="117" t="n">
        <v>3</v>
      </c>
      <c r="J15" s="154" t="inlineStr">
        <is>
          <t>Release 10A</t>
        </is>
      </c>
      <c r="K15" s="154">
        <f>COUNTIFS(Release[Release],J15)</f>
        <v/>
      </c>
      <c r="L15" s="154">
        <f>SUMIFS(Release[HLE],Release[Release],J15)</f>
        <v/>
      </c>
      <c r="M15" s="165" t="n"/>
      <c r="N15" s="165" t="n"/>
      <c r="O15" s="155" t="n"/>
      <c r="P15" s="155" t="n"/>
    </row>
    <row r="16" ht="15" customHeight="1" s="93">
      <c r="A16" s="115" t="inlineStr">
        <is>
          <t>NEW-0245</t>
        </is>
      </c>
      <c r="B16" s="137" t="inlineStr">
        <is>
          <t>Do not Call INT044, INT014, INT500</t>
        </is>
      </c>
      <c r="C16" s="117" t="inlineStr">
        <is>
          <t>US</t>
        </is>
      </c>
      <c r="D16" s="117" t="inlineStr">
        <is>
          <t>Sprint 2</t>
        </is>
      </c>
      <c r="E16" s="117" t="inlineStr">
        <is>
          <t>DONE</t>
        </is>
      </c>
      <c r="F16" s="117" t="inlineStr">
        <is>
          <t>Medium</t>
        </is>
      </c>
      <c r="G16" s="115" t="inlineStr">
        <is>
          <t>Release 19</t>
        </is>
      </c>
      <c r="H16" s="117" t="n">
        <v>3</v>
      </c>
      <c r="J16" s="154" t="inlineStr">
        <is>
          <t>Release 10B (Hotfix)</t>
        </is>
      </c>
      <c r="K16" s="154">
        <f>COUNTIFS(Release[Release],J16)</f>
        <v/>
      </c>
      <c r="L16" s="154">
        <f>SUMIFS(Release[HLE],Release[Release],J16)</f>
        <v/>
      </c>
      <c r="M16" s="165" t="n"/>
      <c r="N16" s="165" t="n"/>
      <c r="O16" s="155" t="n"/>
      <c r="P16" s="155" t="n"/>
    </row>
    <row r="17" ht="23.25" customHeight="1" s="93">
      <c r="A17" s="115" t="inlineStr">
        <is>
          <t>NEW-0285</t>
        </is>
      </c>
      <c r="B17" s="117" t="inlineStr">
        <is>
          <t>Update Excursions node in INT140 request</t>
        </is>
      </c>
      <c r="C17" s="117" t="inlineStr">
        <is>
          <t>MyMSC</t>
        </is>
      </c>
      <c r="D17" s="117" t="inlineStr">
        <is>
          <t>Sprint 2</t>
        </is>
      </c>
      <c r="E17" s="117" t="inlineStr">
        <is>
          <t>DONE</t>
        </is>
      </c>
      <c r="F17" s="117" t="inlineStr">
        <is>
          <t>Medium</t>
        </is>
      </c>
      <c r="G17" s="115" t="inlineStr">
        <is>
          <t>Release 12</t>
        </is>
      </c>
      <c r="H17" s="117" t="n">
        <v>3</v>
      </c>
      <c r="J17" s="154" t="inlineStr">
        <is>
          <t>Release 10C (Hotfix)</t>
        </is>
      </c>
      <c r="K17" s="154">
        <f>COUNTIFS(Release[Release],J17)</f>
        <v/>
      </c>
      <c r="L17" s="154">
        <f>SUMIFS(Release[HLE],Release[Release],J17)</f>
        <v/>
      </c>
      <c r="M17" s="165" t="n"/>
      <c r="N17" s="165" t="n"/>
      <c r="O17" s="155" t="n"/>
      <c r="P17" s="155" t="n"/>
    </row>
    <row r="18" ht="15" customHeight="1" s="93">
      <c r="A18" s="115" t="inlineStr">
        <is>
          <t>NEW-0330</t>
        </is>
      </c>
      <c r="B18" s="117" t="inlineStr">
        <is>
          <t>Emergent Markets (PL-TR-MT) APIs Configuration - CHAIN1/2, Prod</t>
        </is>
      </c>
      <c r="C18" s="117" t="inlineStr">
        <is>
          <t>MVP Rollout</t>
        </is>
      </c>
      <c r="D18" s="117" t="inlineStr">
        <is>
          <t>Sprint 2</t>
        </is>
      </c>
      <c r="E18" s="117" t="inlineStr">
        <is>
          <t>DONE</t>
        </is>
      </c>
      <c r="F18" s="117" t="inlineStr">
        <is>
          <t>Medium</t>
        </is>
      </c>
      <c r="G18" s="115" t="n"/>
      <c r="H18" s="117" t="n">
        <v>8</v>
      </c>
      <c r="J18" s="154" t="inlineStr">
        <is>
          <t>Release 11</t>
        </is>
      </c>
      <c r="K18" s="154">
        <f>COUNTIFS(Release[Release],J18)</f>
        <v/>
      </c>
      <c r="L18" s="154">
        <f>SUMIFS(Release[HLE],Release[Release],J18)</f>
        <v/>
      </c>
      <c r="M18" s="165" t="n">
        <v>46156</v>
      </c>
      <c r="N18" s="165" t="n"/>
      <c r="O18" s="155" t="inlineStr">
        <is>
          <t>Completed</t>
        </is>
      </c>
      <c r="P18" s="155" t="inlineStr">
        <is>
          <t>CHG0068937</t>
        </is>
      </c>
    </row>
    <row r="19" ht="15" customHeight="1" s="93">
      <c r="A19" s="115" t="inlineStr">
        <is>
          <t>NEW-0331</t>
        </is>
      </c>
      <c r="B19" s="117" t="inlineStr">
        <is>
          <t>Accessibility Form - "Transfer between checking and boarding gate" new field CR</t>
        </is>
      </c>
      <c r="C19" s="117" t="inlineStr">
        <is>
          <t>MVP Rollout</t>
        </is>
      </c>
      <c r="D19" s="117" t="inlineStr">
        <is>
          <t>Sprint 2</t>
        </is>
      </c>
      <c r="E19" s="117" t="inlineStr">
        <is>
          <t>DONE</t>
        </is>
      </c>
      <c r="F19" s="117" t="inlineStr">
        <is>
          <t>Medium</t>
        </is>
      </c>
      <c r="G19" s="115" t="n"/>
      <c r="H19" s="117" t="n">
        <v>3</v>
      </c>
      <c r="J19" s="154" t="inlineStr">
        <is>
          <t>Release 11A</t>
        </is>
      </c>
      <c r="K19" s="154">
        <f>COUNTIFS(Release[Release],J19)</f>
        <v/>
      </c>
      <c r="L19" s="154">
        <f>SUMIFS(Release[HLE],Release[Release],J19)</f>
        <v/>
      </c>
      <c r="M19" s="165" t="n"/>
      <c r="N19" s="165" t="n"/>
      <c r="O19" s="155" t="n"/>
      <c r="P19" s="155" t="n"/>
    </row>
    <row r="20" ht="15" customHeight="1" s="93">
      <c r="A20" s="115" t="inlineStr">
        <is>
          <t>NEW-0337</t>
        </is>
      </c>
      <c r="B20" s="117" t="inlineStr">
        <is>
          <t>INT024.1 - Changes to accommodate DTS Post Booking</t>
        </is>
      </c>
      <c r="C20" s="117" t="inlineStr">
        <is>
          <t>Backlog</t>
        </is>
      </c>
      <c r="D20" s="117" t="inlineStr">
        <is>
          <t>Sprint 3</t>
        </is>
      </c>
      <c r="E20" s="117" t="inlineStr">
        <is>
          <t>DONE</t>
        </is>
      </c>
      <c r="F20" s="117" t="inlineStr">
        <is>
          <t>Medium</t>
        </is>
      </c>
      <c r="G20" s="115" t="n"/>
      <c r="H20" s="117" t="n">
        <v>42</v>
      </c>
      <c r="J20" s="154" t="inlineStr">
        <is>
          <t>Release 12</t>
        </is>
      </c>
      <c r="K20" s="154">
        <f>COUNTIFS(Release[Release],J20)</f>
        <v/>
      </c>
      <c r="L20" s="154">
        <f>SUMIFS(Release[HLE],Release[Release],J20)</f>
        <v/>
      </c>
      <c r="M20" s="165" t="n">
        <v>46177</v>
      </c>
      <c r="N20" s="165" t="n"/>
      <c r="O20" s="155" t="inlineStr">
        <is>
          <t>Completed</t>
        </is>
      </c>
      <c r="P20" s="155" t="inlineStr">
        <is>
          <t>CHG0069184</t>
        </is>
      </c>
    </row>
    <row r="21" ht="15" customHeight="1" s="93">
      <c r="A21" s="115" t="inlineStr">
        <is>
          <t>NEW-0374</t>
        </is>
      </c>
      <c r="B21" s="117" t="inlineStr">
        <is>
          <t>[Load Test] Prepare new environement for load testing activities</t>
        </is>
      </c>
      <c r="C21" s="117" t="inlineStr">
        <is>
          <t>Backlog / Tech Enh</t>
        </is>
      </c>
      <c r="D21" s="117" t="inlineStr">
        <is>
          <t>Sprint 2</t>
        </is>
      </c>
      <c r="E21" s="117" t="inlineStr">
        <is>
          <t>DONE</t>
        </is>
      </c>
      <c r="F21" s="117" t="inlineStr">
        <is>
          <t>Medium</t>
        </is>
      </c>
      <c r="G21" s="115" t="n"/>
      <c r="H21" s="117" t="n">
        <v>21</v>
      </c>
      <c r="J21" s="154" t="inlineStr">
        <is>
          <t>Release 13</t>
        </is>
      </c>
      <c r="K21" s="154">
        <f>COUNTIFS(Release[Release],J21)</f>
        <v/>
      </c>
      <c r="L21" s="154">
        <f>SUMIFS(Release[HLE],Release[Release],J21)</f>
        <v/>
      </c>
      <c r="M21" s="165" t="n"/>
      <c r="N21" s="165" t="n"/>
      <c r="O21" s="155" t="inlineStr">
        <is>
          <t>Completed</t>
        </is>
      </c>
      <c r="P21" s="155" t="inlineStr">
        <is>
          <t>CHG0069187</t>
        </is>
      </c>
    </row>
    <row r="22" ht="15" customHeight="1" s="93">
      <c r="A22" s="115" t="inlineStr">
        <is>
          <t>NEW-0380</t>
        </is>
      </c>
      <c r="B22" s="117" t="inlineStr">
        <is>
          <t>MSC4Me Precruise - Prepaids flow indipendence</t>
        </is>
      </c>
      <c r="C22" s="117" t="inlineStr">
        <is>
          <t>PI9</t>
        </is>
      </c>
      <c r="D22" s="117" t="inlineStr">
        <is>
          <t>Sprint 8</t>
        </is>
      </c>
      <c r="E22" s="117" t="inlineStr">
        <is>
          <t>DONE</t>
        </is>
      </c>
      <c r="F22" s="117" t="inlineStr">
        <is>
          <t>Medium</t>
        </is>
      </c>
      <c r="G22" s="115" t="inlineStr">
        <is>
          <t>Release 17</t>
        </is>
      </c>
      <c r="H22" s="117" t="n"/>
      <c r="J22" s="154" t="inlineStr">
        <is>
          <t>Release 13A (Hotfix)</t>
        </is>
      </c>
      <c r="K22" s="154">
        <f>COUNTIFS(Release[Release],J22)</f>
        <v/>
      </c>
      <c r="L22" s="154">
        <f>SUMIFS(Release[HLE],Release[Release],J22)</f>
        <v/>
      </c>
      <c r="M22" s="165" t="n"/>
      <c r="N22" s="165" t="n"/>
      <c r="O22" s="155" t="n"/>
      <c r="P22" s="155" t="n"/>
    </row>
    <row r="23" ht="15" customHeight="1" s="93">
      <c r="A23" s="115" t="inlineStr">
        <is>
          <t>NEW-0383</t>
        </is>
      </c>
      <c r="B23" s="117" t="inlineStr">
        <is>
          <t>DTTP - MA - B2B2C App Check-in On Demand (MSC Book)_EA</t>
        </is>
      </c>
      <c r="C23" s="117" t="inlineStr">
        <is>
          <t>PI9</t>
        </is>
      </c>
      <c r="D23" s="117" t="inlineStr">
        <is>
          <t>Sprint 2</t>
        </is>
      </c>
      <c r="E23" s="117" t="inlineStr">
        <is>
          <t>DONE</t>
        </is>
      </c>
      <c r="F23" s="117" t="inlineStr">
        <is>
          <t>Medium</t>
        </is>
      </c>
      <c r="G23" s="115" t="inlineStr">
        <is>
          <t>Release 15</t>
        </is>
      </c>
      <c r="H23" s="117" t="n">
        <v>8</v>
      </c>
      <c r="J23" s="154" t="inlineStr">
        <is>
          <t>Release 13B (Hotfix)</t>
        </is>
      </c>
      <c r="K23" s="154">
        <f>COUNTIFS(Release[Release],J23)</f>
        <v/>
      </c>
      <c r="L23" s="154">
        <f>SUMIFS(Release[HLE],Release[Release],J23)</f>
        <v/>
      </c>
      <c r="M23" s="165" t="n"/>
      <c r="N23" s="165" t="n"/>
      <c r="O23" s="155" t="n"/>
      <c r="P23" s="155" t="n"/>
    </row>
    <row r="24" ht="15" customHeight="1" s="93">
      <c r="A24" s="115" t="inlineStr">
        <is>
          <t>NEW-0099</t>
        </is>
      </c>
      <c r="B24" s="117" t="inlineStr">
        <is>
          <t>Verbal DNC</t>
        </is>
      </c>
      <c r="C24" s="117" t="inlineStr">
        <is>
          <t>US</t>
        </is>
      </c>
      <c r="D24" s="117" t="inlineStr">
        <is>
          <t>Sprint 3</t>
        </is>
      </c>
      <c r="E24" s="117" t="inlineStr">
        <is>
          <t>DONE</t>
        </is>
      </c>
      <c r="F24" s="117" t="inlineStr">
        <is>
          <t>Medium</t>
        </is>
      </c>
      <c r="G24" s="115" t="inlineStr">
        <is>
          <t>Release 18</t>
        </is>
      </c>
      <c r="H24" s="117" t="n"/>
      <c r="J24" s="154" t="inlineStr">
        <is>
          <t>Release 13C (Hotfix)</t>
        </is>
      </c>
      <c r="K24" s="154">
        <f>COUNTIFS(Release[Release],J24)</f>
        <v/>
      </c>
      <c r="L24" s="154">
        <f>SUMIFS(Release[HLE],Release[Release],J24)</f>
        <v/>
      </c>
      <c r="M24" s="165" t="n"/>
      <c r="N24" s="165" t="n"/>
      <c r="O24" s="155" t="n"/>
      <c r="P24" s="155" t="n"/>
    </row>
    <row r="25" ht="15" customHeight="1" s="93">
      <c r="A25" s="115" t="inlineStr">
        <is>
          <t>NEW-0133</t>
        </is>
      </c>
      <c r="B25" s="117" t="inlineStr">
        <is>
          <t>Error mapping INT 140 - Promo no longer available</t>
        </is>
      </c>
      <c r="C25" s="117" t="inlineStr">
        <is>
          <t>MyMSC</t>
        </is>
      </c>
      <c r="D25" s="117" t="inlineStr">
        <is>
          <t>Sprint 3</t>
        </is>
      </c>
      <c r="E25" s="117" t="inlineStr">
        <is>
          <t>DONE</t>
        </is>
      </c>
      <c r="F25" s="117" t="inlineStr">
        <is>
          <t>Medium</t>
        </is>
      </c>
      <c r="G25" s="115" t="inlineStr">
        <is>
          <t>Release 12</t>
        </is>
      </c>
      <c r="H25" s="117" t="n">
        <v>3</v>
      </c>
      <c r="J25" s="154" t="inlineStr">
        <is>
          <t>Release 14</t>
        </is>
      </c>
      <c r="K25" s="154">
        <f>COUNTIFS(Release[Release],J25)</f>
        <v/>
      </c>
      <c r="L25" s="154">
        <f>SUMIFS(Release[HLE],Release[Release],J25)</f>
        <v/>
      </c>
      <c r="M25" s="165" t="n"/>
      <c r="N25" s="165" t="n"/>
      <c r="O25" s="155" t="n"/>
      <c r="P25" s="155" t="n"/>
    </row>
    <row r="26" ht="15" customHeight="1" s="93">
      <c r="A26" s="115" t="inlineStr">
        <is>
          <t>NEW-0239</t>
        </is>
      </c>
      <c r="B26" s="117" t="inlineStr">
        <is>
          <t>[EAINT] [CR] Missing market code PAPI</t>
        </is>
      </c>
      <c r="C26" s="117" t="inlineStr">
        <is>
          <t>US</t>
        </is>
      </c>
      <c r="D26" s="117" t="inlineStr">
        <is>
          <t>Sprint 3</t>
        </is>
      </c>
      <c r="E26" s="117" t="inlineStr">
        <is>
          <t>DONE</t>
        </is>
      </c>
      <c r="F26" s="117" t="inlineStr">
        <is>
          <t>Medium</t>
        </is>
      </c>
      <c r="G26" s="115" t="inlineStr">
        <is>
          <t>Release 18</t>
        </is>
      </c>
      <c r="H26" s="117" t="n">
        <v>3</v>
      </c>
      <c r="J26" s="154" t="inlineStr">
        <is>
          <t>Release 14A</t>
        </is>
      </c>
      <c r="K26" s="154">
        <f>COUNTIFS(Release[Release],J26)</f>
        <v/>
      </c>
      <c r="L26" s="154">
        <f>SUMIFS(Release[HLE],Release[Release],J26)</f>
        <v/>
      </c>
      <c r="M26" s="165" t="n"/>
      <c r="N26" s="165" t="n"/>
      <c r="O26" s="155" t="n"/>
      <c r="P26" s="155" t="n"/>
    </row>
    <row r="27" ht="15" customHeight="1" s="93">
      <c r="A27" s="115" t="inlineStr">
        <is>
          <t>NEW-0282</t>
        </is>
      </c>
      <c r="B27" s="117" t="inlineStr">
        <is>
          <t>Light Login Flow for DEM Email</t>
        </is>
      </c>
      <c r="C27" s="117" t="inlineStr">
        <is>
          <t>MyMSC</t>
        </is>
      </c>
      <c r="D27" s="117" t="inlineStr">
        <is>
          <t>Sprint 3</t>
        </is>
      </c>
      <c r="E27" s="117" t="inlineStr">
        <is>
          <t>DONE</t>
        </is>
      </c>
      <c r="F27" s="117" t="inlineStr">
        <is>
          <t>Medium</t>
        </is>
      </c>
      <c r="G27" s="115" t="n"/>
      <c r="H27" s="117" t="n">
        <v>8</v>
      </c>
      <c r="J27" s="154" t="inlineStr">
        <is>
          <t>Release 15</t>
        </is>
      </c>
      <c r="K27" s="154">
        <f>COUNTIFS(Release[Release],J27)</f>
        <v/>
      </c>
      <c r="L27" s="154">
        <f>SUMIFS(Release[HLE],Release[Release],J27)</f>
        <v/>
      </c>
      <c r="M27" s="165" t="n">
        <v>46217</v>
      </c>
      <c r="N27" s="165" t="n"/>
      <c r="O27" s="155" t="inlineStr">
        <is>
          <t>Completed</t>
        </is>
      </c>
      <c r="P27" s="155" t="inlineStr">
        <is>
          <t>CHG0070359</t>
        </is>
      </c>
    </row>
    <row r="28" ht="15" customHeight="1" s="93">
      <c r="A28" s="115" t="inlineStr">
        <is>
          <t>NEW-0286</t>
        </is>
      </c>
      <c r="B28" s="117" t="inlineStr">
        <is>
          <t>Error Management - Promotion no longer available – Change to INT 140</t>
        </is>
      </c>
      <c r="C28" s="117" t="inlineStr">
        <is>
          <t>MyMSC</t>
        </is>
      </c>
      <c r="D28" s="117" t="inlineStr">
        <is>
          <t>Sprint 3</t>
        </is>
      </c>
      <c r="E28" s="117" t="inlineStr">
        <is>
          <t>DONE</t>
        </is>
      </c>
      <c r="F28" s="117" t="inlineStr">
        <is>
          <t>Medium</t>
        </is>
      </c>
      <c r="G28" s="115" t="n"/>
      <c r="H28" s="117" t="n">
        <v>3</v>
      </c>
      <c r="J28" s="154" t="inlineStr">
        <is>
          <t>Release 15A</t>
        </is>
      </c>
      <c r="K28" s="154">
        <f>COUNTIFS(Release[Release],J28)</f>
        <v/>
      </c>
      <c r="L28" s="154">
        <f>SUMIFS(Release[HLE],Release[Release],J28)</f>
        <v/>
      </c>
      <c r="M28" s="165" t="n"/>
      <c r="N28" s="165" t="n"/>
      <c r="O28" s="155" t="n"/>
      <c r="P28" s="155" t="n"/>
    </row>
    <row r="29" ht="15" customHeight="1" s="93">
      <c r="A29" s="115" t="inlineStr">
        <is>
          <t>NEW-0338</t>
        </is>
      </c>
      <c r="B29" s="137" t="inlineStr">
        <is>
          <t>CDP / DTS Post Booking
MuleSoft Scalability, Performance, Resilience Assessment</t>
        </is>
      </c>
      <c r="C29" s="117" t="inlineStr">
        <is>
          <t>Backlog</t>
        </is>
      </c>
      <c r="D29" s="117" t="inlineStr">
        <is>
          <t>Sprint 3</t>
        </is>
      </c>
      <c r="E29" s="117" t="inlineStr">
        <is>
          <t>DONE</t>
        </is>
      </c>
      <c r="F29" s="117" t="inlineStr">
        <is>
          <t>Medium</t>
        </is>
      </c>
      <c r="G29" s="115" t="n"/>
      <c r="H29" s="117" t="n">
        <v>4</v>
      </c>
      <c r="J29" s="154" t="inlineStr">
        <is>
          <t>Release 15B</t>
        </is>
      </c>
      <c r="K29" s="154">
        <f>COUNTIFS(Release[Release],J29)</f>
        <v/>
      </c>
      <c r="L29" s="154">
        <f>SUMIFS(Release[HLE],Release[Release],J29)</f>
        <v/>
      </c>
      <c r="M29" s="165" t="n"/>
      <c r="N29" s="165" t="n"/>
      <c r="O29" s="155" t="n"/>
      <c r="P29" s="155" t="n"/>
    </row>
    <row r="30" ht="15" customHeight="1" s="93">
      <c r="A30" s="115" t="inlineStr">
        <is>
          <t>NEW-0350</t>
        </is>
      </c>
      <c r="B30" s="117" t="inlineStr">
        <is>
          <t>INT 004.4 - Update to support Klarna payment method</t>
        </is>
      </c>
      <c r="C30" s="117" t="inlineStr">
        <is>
          <t>Growth</t>
        </is>
      </c>
      <c r="D30" s="117" t="inlineStr">
        <is>
          <t>Sprint 3</t>
        </is>
      </c>
      <c r="E30" s="117" t="inlineStr">
        <is>
          <t>DONE</t>
        </is>
      </c>
      <c r="F30" s="117" t="inlineStr">
        <is>
          <t>Medium</t>
        </is>
      </c>
      <c r="G30" s="115" t="inlineStr">
        <is>
          <t>Release 9</t>
        </is>
      </c>
      <c r="H30" s="117" t="n">
        <v>13</v>
      </c>
      <c r="J30" s="154" t="inlineStr">
        <is>
          <t>Release 15C</t>
        </is>
      </c>
      <c r="K30" s="154">
        <f>COUNTIFS(Release[Release],J30)</f>
        <v/>
      </c>
      <c r="L30" s="154">
        <f>SUMIFS(Release[HLE],Release[Release],J30)</f>
        <v/>
      </c>
      <c r="M30" s="165" t="n">
        <v>46219</v>
      </c>
      <c r="N30" s="165" t="n"/>
      <c r="O30" s="155" t="inlineStr">
        <is>
          <t>Completed</t>
        </is>
      </c>
      <c r="P30" s="155" t="inlineStr">
        <is>
          <t>CHG0070881</t>
        </is>
      </c>
    </row>
    <row r="31" ht="15" customHeight="1" s="93">
      <c r="A31" s="115" t="inlineStr">
        <is>
          <t>NEW-0351</t>
        </is>
      </c>
      <c r="B31" s="117" t="inlineStr">
        <is>
          <t>Klarna - Itinerary cache - shared access</t>
        </is>
      </c>
      <c r="C31" s="117" t="inlineStr">
        <is>
          <t>Growth</t>
        </is>
      </c>
      <c r="D31" s="117" t="inlineStr">
        <is>
          <t>Sprint 3</t>
        </is>
      </c>
      <c r="E31" s="117" t="inlineStr">
        <is>
          <t>DONE</t>
        </is>
      </c>
      <c r="F31" s="117" t="inlineStr">
        <is>
          <t>Medium</t>
        </is>
      </c>
      <c r="G31" s="115" t="n"/>
      <c r="H31" s="117" t="n">
        <v>5</v>
      </c>
      <c r="J31" s="154" t="inlineStr">
        <is>
          <t>Release 16</t>
        </is>
      </c>
      <c r="K31" s="154">
        <f>COUNTIFS(Release[Release],J31)</f>
        <v/>
      </c>
      <c r="L31" s="154">
        <f>SUMIFS(Release[HLE],Release[Release],J31)</f>
        <v/>
      </c>
      <c r="M31" s="165" t="n">
        <v>45861</v>
      </c>
      <c r="N31" s="165" t="n"/>
      <c r="O31" s="155" t="inlineStr">
        <is>
          <t>Completed</t>
        </is>
      </c>
      <c r="P31" s="155" t="inlineStr">
        <is>
          <t>CHG0070954</t>
        </is>
      </c>
    </row>
    <row r="32" ht="15" customHeight="1" s="93">
      <c r="A32" s="115" t="inlineStr">
        <is>
          <t>NEW-0123</t>
        </is>
      </c>
      <c r="B32" s="117" t="inlineStr">
        <is>
          <t>Data Lodging - INT 007</t>
        </is>
      </c>
      <c r="C32" s="117" t="inlineStr">
        <is>
          <t>US</t>
        </is>
      </c>
      <c r="D32" s="117" t="inlineStr">
        <is>
          <t>Sprint 4</t>
        </is>
      </c>
      <c r="E32" s="117" t="inlineStr">
        <is>
          <t>DONE</t>
        </is>
      </c>
      <c r="F32" s="117" t="inlineStr">
        <is>
          <t>Medium</t>
        </is>
      </c>
      <c r="G32" s="115" t="inlineStr">
        <is>
          <t>Release 19</t>
        </is>
      </c>
      <c r="H32" s="117" t="n">
        <v>5</v>
      </c>
      <c r="J32" s="154" t="inlineStr">
        <is>
          <t>Release 17</t>
        </is>
      </c>
      <c r="K32" s="154">
        <f>COUNTIFS(Release[Release],J32)</f>
        <v/>
      </c>
      <c r="L32" s="154">
        <f>SUMIFS(Release[HLE],Release[Release],J32)</f>
        <v/>
      </c>
      <c r="M32" s="165" t="n"/>
      <c r="N32" s="165" t="n"/>
      <c r="O32" s="155" t="inlineStr">
        <is>
          <t>Planned</t>
        </is>
      </c>
      <c r="P32" s="155" t="inlineStr">
        <is>
          <t>CHG0071104</t>
        </is>
      </c>
    </row>
    <row r="33" ht="15" customHeight="1" s="93">
      <c r="A33" s="115" t="inlineStr">
        <is>
          <t>NEW-0249</t>
        </is>
      </c>
      <c r="B33" s="117" t="inlineStr">
        <is>
          <t>Pre Booking Customisation - INT017v1 - Ship Postion</t>
        </is>
      </c>
      <c r="C33" s="117" t="inlineStr">
        <is>
          <t>US</t>
        </is>
      </c>
      <c r="D33" s="117" t="inlineStr">
        <is>
          <t>Sprint 4</t>
        </is>
      </c>
      <c r="E33" s="117" t="inlineStr">
        <is>
          <t>DONE</t>
        </is>
      </c>
      <c r="F33" s="117" t="inlineStr">
        <is>
          <t>Medium</t>
        </is>
      </c>
      <c r="G33" s="115" t="inlineStr">
        <is>
          <t>Release 19</t>
        </is>
      </c>
      <c r="H33" s="117" t="n">
        <v>2</v>
      </c>
      <c r="J33" s="154" t="inlineStr">
        <is>
          <t>Release 19</t>
        </is>
      </c>
      <c r="K33" s="154">
        <f>COUNTIFS(Release[Release],J34)</f>
        <v/>
      </c>
      <c r="L33" s="154">
        <f>SUMIFS(Release[HLE],Release[Release],J34)</f>
        <v/>
      </c>
      <c r="M33" s="165" t="n">
        <v>46266</v>
      </c>
      <c r="N33" s="165" t="n"/>
      <c r="O33" s="155" t="inlineStr">
        <is>
          <t>Planned</t>
        </is>
      </c>
      <c r="P33" s="155" t="inlineStr">
        <is>
          <t>CHG0071296</t>
        </is>
      </c>
    </row>
    <row r="34" ht="15" customHeight="1" s="93">
      <c r="A34" s="115" t="inlineStr">
        <is>
          <t>NEW-0250</t>
        </is>
      </c>
      <c r="B34" s="117" t="inlineStr">
        <is>
          <t>Pre Booking Customisation - INT 007/006 - Error management – Fully booked cabin</t>
        </is>
      </c>
      <c r="C34" s="117" t="inlineStr">
        <is>
          <t>US</t>
        </is>
      </c>
      <c r="D34" s="117" t="inlineStr">
        <is>
          <t>Sprint 4</t>
        </is>
      </c>
      <c r="E34" s="117" t="inlineStr">
        <is>
          <t>DONE</t>
        </is>
      </c>
      <c r="F34" s="117" t="inlineStr">
        <is>
          <t>Medium</t>
        </is>
      </c>
      <c r="G34" s="115" t="inlineStr">
        <is>
          <t>Release 19</t>
        </is>
      </c>
      <c r="H34" s="117" t="n">
        <v>5</v>
      </c>
      <c r="J34" s="154" t="inlineStr">
        <is>
          <t>(Unassigned)</t>
        </is>
      </c>
      <c r="K34" s="154">
        <f>COUNTBLANK(Release[Release])-COUNTIF(Release[Requirement ID],"")</f>
        <v/>
      </c>
      <c r="L34" s="154">
        <f>SUMIFS(Release[HLE],Release[Release],"")</f>
        <v/>
      </c>
      <c r="M34" s="155" t="n"/>
      <c r="N34" s="155" t="n"/>
      <c r="O34" s="155" t="n"/>
      <c r="P34" s="155" t="n"/>
    </row>
    <row r="35" ht="23.25" customHeight="1" s="93">
      <c r="A35" s="115" t="inlineStr">
        <is>
          <t>NEW-0251</t>
        </is>
      </c>
      <c r="B35" s="117" t="inlineStr">
        <is>
          <t>Pre Booking Customisation - Refresh availability  – Change to INT 002</t>
        </is>
      </c>
      <c r="C35" s="117" t="inlineStr">
        <is>
          <t>US</t>
        </is>
      </c>
      <c r="D35" s="117" t="inlineStr">
        <is>
          <t>Sprint 4</t>
        </is>
      </c>
      <c r="E35" s="117" t="inlineStr">
        <is>
          <t>DONE</t>
        </is>
      </c>
      <c r="F35" s="117" t="inlineStr">
        <is>
          <t>Medium</t>
        </is>
      </c>
      <c r="G35" s="115" t="inlineStr">
        <is>
          <t>Release 19</t>
        </is>
      </c>
      <c r="H35" s="117" t="n">
        <v>5</v>
      </c>
      <c r="I35" s="166" t="n"/>
      <c r="J35" s="167" t="n"/>
    </row>
    <row r="36" ht="15" customHeight="1" s="93">
      <c r="A36" s="115" t="inlineStr">
        <is>
          <t>NEW-0252</t>
        </is>
      </c>
      <c r="B36" s="117" t="inlineStr">
        <is>
          <t>Pre Booking Customisation - OBC Pills</t>
        </is>
      </c>
      <c r="C36" s="117" t="inlineStr">
        <is>
          <t>US</t>
        </is>
      </c>
      <c r="D36" s="117" t="inlineStr">
        <is>
          <t>Sprint 4</t>
        </is>
      </c>
      <c r="E36" s="117" t="inlineStr">
        <is>
          <t>DONE</t>
        </is>
      </c>
      <c r="F36" s="117" t="inlineStr">
        <is>
          <t>Medium</t>
        </is>
      </c>
      <c r="G36" s="115" t="inlineStr">
        <is>
          <t>Release 19</t>
        </is>
      </c>
      <c r="H36" s="117" t="n">
        <v>5</v>
      </c>
      <c r="I36" s="166" t="n"/>
      <c r="J36" s="167" t="n"/>
    </row>
    <row r="37" ht="15" customHeight="1" s="93">
      <c r="A37" s="115" t="inlineStr">
        <is>
          <t>NEW-0260</t>
        </is>
      </c>
      <c r="B37" s="117" t="inlineStr">
        <is>
          <t>B2CW Payment Review - Tokenisation (Booking Funnel)</t>
        </is>
      </c>
      <c r="C37" s="117" t="inlineStr">
        <is>
          <t>US</t>
        </is>
      </c>
      <c r="D37" s="117" t="inlineStr">
        <is>
          <t>Sprint 4</t>
        </is>
      </c>
      <c r="E37" s="117" t="inlineStr">
        <is>
          <t>DONE</t>
        </is>
      </c>
      <c r="F37" s="117" t="inlineStr">
        <is>
          <t>Medium</t>
        </is>
      </c>
      <c r="G37" s="115" t="inlineStr">
        <is>
          <t>Release 19</t>
        </is>
      </c>
      <c r="H37" s="117" t="n">
        <v>13</v>
      </c>
      <c r="I37" s="166" t="n"/>
      <c r="J37" s="167" t="n"/>
    </row>
    <row r="38" ht="15" customHeight="1" s="93">
      <c r="A38" s="115" t="inlineStr">
        <is>
          <t>NEW-0261</t>
        </is>
      </c>
      <c r="B38" s="117" t="inlineStr">
        <is>
          <t>B2CW Payment Review - Tokenisation (myMSC)</t>
        </is>
      </c>
      <c r="C38" s="117" t="inlineStr">
        <is>
          <t>US</t>
        </is>
      </c>
      <c r="D38" s="117" t="inlineStr">
        <is>
          <t>Sprint 4</t>
        </is>
      </c>
      <c r="E38" s="117" t="inlineStr">
        <is>
          <t>DONE</t>
        </is>
      </c>
      <c r="F38" s="117" t="inlineStr">
        <is>
          <t>Medium</t>
        </is>
      </c>
      <c r="G38" s="115" t="inlineStr">
        <is>
          <t>Release 19</t>
        </is>
      </c>
      <c r="H38" s="117" t="n">
        <v>5</v>
      </c>
      <c r="I38" s="166" t="n"/>
      <c r="J38" s="167" t="n"/>
    </row>
    <row r="39" ht="15" customHeight="1" s="93">
      <c r="A39" s="115" t="inlineStr">
        <is>
          <t>NEW-0262</t>
        </is>
      </c>
      <c r="B39" s="117" t="inlineStr">
        <is>
          <t>B2CW Payment Review - Data lodging - cruise booking - Booking funnel</t>
        </is>
      </c>
      <c r="C39" s="117" t="inlineStr">
        <is>
          <t>US</t>
        </is>
      </c>
      <c r="D39" s="117" t="inlineStr">
        <is>
          <t>Sprint 4</t>
        </is>
      </c>
      <c r="E39" s="117" t="inlineStr">
        <is>
          <t>DONE</t>
        </is>
      </c>
      <c r="F39" s="117" t="inlineStr">
        <is>
          <t>Medium</t>
        </is>
      </c>
      <c r="G39" s="115" t="inlineStr">
        <is>
          <t>Release 18</t>
        </is>
      </c>
      <c r="H39" s="117" t="n">
        <v>5</v>
      </c>
      <c r="I39" s="166" t="n"/>
      <c r="J39" s="167" t="n"/>
    </row>
    <row r="40" ht="15" customHeight="1" s="93">
      <c r="A40" s="115" t="inlineStr">
        <is>
          <t>NEW-0306</t>
        </is>
      </c>
      <c r="B40" s="117" t="inlineStr">
        <is>
          <t>INT139 handling of coupons</t>
        </is>
      </c>
      <c r="C40" s="117" t="inlineStr">
        <is>
          <t>MyMSC</t>
        </is>
      </c>
      <c r="D40" s="117" t="inlineStr">
        <is>
          <t>Sprint 4</t>
        </is>
      </c>
      <c r="E40" s="117" t="inlineStr">
        <is>
          <t>DONE</t>
        </is>
      </c>
      <c r="F40" s="117" t="inlineStr">
        <is>
          <t>Medium</t>
        </is>
      </c>
      <c r="G40" s="115" t="n"/>
      <c r="H40" s="117" t="n">
        <v>13</v>
      </c>
      <c r="I40" s="166" t="n"/>
      <c r="J40" s="167" t="n"/>
    </row>
    <row r="41" ht="15" customHeight="1" s="93">
      <c r="A41" s="115" t="inlineStr">
        <is>
          <t>NEW-0308</t>
        </is>
      </c>
      <c r="B41" s="117" t="inlineStr">
        <is>
          <t>Voyager Club - INT152 - Add Total Points per cruise</t>
        </is>
      </c>
      <c r="C41" s="117" t="inlineStr">
        <is>
          <t>MyMSC</t>
        </is>
      </c>
      <c r="D41" s="117" t="inlineStr">
        <is>
          <t>Sprint 4</t>
        </is>
      </c>
      <c r="E41" s="117" t="inlineStr">
        <is>
          <t>DONE</t>
        </is>
      </c>
      <c r="F41" s="117" t="inlineStr">
        <is>
          <t>Medium</t>
        </is>
      </c>
      <c r="G41" s="115" t="inlineStr">
        <is>
          <t>Release 12</t>
        </is>
      </c>
      <c r="H41" s="117" t="n">
        <v>2</v>
      </c>
      <c r="I41" s="166" t="n"/>
      <c r="J41" s="167" t="n"/>
    </row>
    <row r="42" ht="15" customHeight="1" s="93">
      <c r="A42" s="115" t="inlineStr">
        <is>
          <t>NEW-0309</t>
        </is>
      </c>
      <c r="B42" s="117" t="inlineStr">
        <is>
          <t>INT139 Add new field regarding coupon discount</t>
        </is>
      </c>
      <c r="C42" s="117" t="inlineStr">
        <is>
          <t>MyMSC</t>
        </is>
      </c>
      <c r="D42" s="117" t="inlineStr">
        <is>
          <t>Sprint 4</t>
        </is>
      </c>
      <c r="E42" s="117" t="inlineStr">
        <is>
          <t>DONE</t>
        </is>
      </c>
      <c r="F42" s="117" t="inlineStr">
        <is>
          <t>Medium</t>
        </is>
      </c>
      <c r="G42" s="115" t="n"/>
      <c r="H42" s="117" t="n">
        <v>3</v>
      </c>
      <c r="I42" s="166" t="n"/>
      <c r="J42" s="167" t="n"/>
    </row>
    <row r="43" ht="15" customHeight="1" s="93">
      <c r="A43" s="115" t="inlineStr">
        <is>
          <t>NEW-0339</t>
        </is>
      </c>
      <c r="B43" s="117" t="inlineStr">
        <is>
          <t>CDP / DTS Post Booking - CR - Beverage/ Bundle Campaigns</t>
        </is>
      </c>
      <c r="C43" s="117" t="inlineStr">
        <is>
          <t>Backlog</t>
        </is>
      </c>
      <c r="D43" s="117" t="inlineStr">
        <is>
          <t>Sprint 4</t>
        </is>
      </c>
      <c r="E43" s="117" t="inlineStr">
        <is>
          <t>DONE</t>
        </is>
      </c>
      <c r="F43" s="117" t="inlineStr">
        <is>
          <t>Medium</t>
        </is>
      </c>
      <c r="G43" s="115" t="inlineStr">
        <is>
          <t>Release 10</t>
        </is>
      </c>
      <c r="H43" s="117" t="n">
        <v>5</v>
      </c>
      <c r="I43" s="166" t="n"/>
      <c r="J43" s="167" t="n"/>
    </row>
    <row r="44" ht="15" customHeight="1" s="93">
      <c r="A44" s="115" t="inlineStr">
        <is>
          <t>NEW-0382</t>
        </is>
      </c>
      <c r="B44" s="117" t="inlineStr">
        <is>
          <t>DTTP - MA - Integration between AJO and OBR/Shorex Platform/Catalog [ANALYSIS]_EA</t>
        </is>
      </c>
      <c r="C44" s="117" t="inlineStr">
        <is>
          <t>PI9</t>
        </is>
      </c>
      <c r="D44" s="117" t="inlineStr">
        <is>
          <t>Sprint 4</t>
        </is>
      </c>
      <c r="E44" s="117" t="inlineStr">
        <is>
          <t>DONE</t>
        </is>
      </c>
      <c r="F44" s="117" t="inlineStr">
        <is>
          <t>Medium</t>
        </is>
      </c>
      <c r="G44" s="115" t="n"/>
      <c r="H44" s="117" t="n"/>
      <c r="I44" s="166" t="n"/>
      <c r="J44" s="167" t="n"/>
    </row>
    <row r="45" ht="15" customHeight="1" s="93">
      <c r="A45" s="115" t="inlineStr">
        <is>
          <t>NEW-0108</t>
        </is>
      </c>
      <c r="B45" s="117" t="inlineStr">
        <is>
          <t>Web user cancellation - INT 121</t>
        </is>
      </c>
      <c r="C45" s="117" t="inlineStr">
        <is>
          <t>US</t>
        </is>
      </c>
      <c r="D45" s="117" t="inlineStr">
        <is>
          <t>Sprint 5</t>
        </is>
      </c>
      <c r="E45" s="117" t="inlineStr">
        <is>
          <t>DONE</t>
        </is>
      </c>
      <c r="F45" s="117" t="inlineStr">
        <is>
          <t>Medium</t>
        </is>
      </c>
      <c r="G45" s="115" t="inlineStr">
        <is>
          <t>Release 18</t>
        </is>
      </c>
      <c r="H45" s="117" t="n">
        <v>5</v>
      </c>
      <c r="I45" s="166" t="n"/>
      <c r="J45" s="167" t="n"/>
    </row>
    <row r="46" ht="15" customHeight="1" s="93">
      <c r="A46" s="115" t="inlineStr">
        <is>
          <t>NEW-0109</t>
        </is>
      </c>
      <c r="B46" s="117" t="inlineStr">
        <is>
          <t>Web user cancellation - INT118</t>
        </is>
      </c>
      <c r="C46" s="117" t="inlineStr">
        <is>
          <t>US</t>
        </is>
      </c>
      <c r="D46" s="117" t="inlineStr">
        <is>
          <t>Sprint 5</t>
        </is>
      </c>
      <c r="E46" s="117" t="inlineStr">
        <is>
          <t>DONE</t>
        </is>
      </c>
      <c r="F46" s="117" t="inlineStr">
        <is>
          <t>Medium</t>
        </is>
      </c>
      <c r="G46" s="115" t="inlineStr">
        <is>
          <t>Release 19</t>
        </is>
      </c>
      <c r="H46" s="117" t="n">
        <v>13</v>
      </c>
      <c r="I46" s="166" t="n"/>
      <c r="J46" s="167" t="n"/>
    </row>
    <row r="47" ht="15" customHeight="1" s="93">
      <c r="A47" s="115" t="inlineStr">
        <is>
          <t>NEW-0135</t>
        </is>
      </c>
      <c r="B47" s="117" t="inlineStr">
        <is>
          <t>INT 135.1 - Shop Request CR</t>
        </is>
      </c>
      <c r="C47" s="117" t="inlineStr">
        <is>
          <t>MyMSC</t>
        </is>
      </c>
      <c r="D47" s="117" t="inlineStr">
        <is>
          <t>Sprint 5</t>
        </is>
      </c>
      <c r="E47" s="117" t="inlineStr">
        <is>
          <t>DONE</t>
        </is>
      </c>
      <c r="F47" s="117" t="inlineStr">
        <is>
          <t>Medium</t>
        </is>
      </c>
      <c r="G47" s="115" t="inlineStr">
        <is>
          <t>Release 12</t>
        </is>
      </c>
      <c r="H47" s="117" t="n">
        <v>3</v>
      </c>
      <c r="I47" s="166" t="n"/>
      <c r="J47" s="167" t="n"/>
    </row>
    <row r="48" ht="15" customHeight="1" s="93">
      <c r="A48" s="115" t="inlineStr">
        <is>
          <t>NEW-0136</t>
        </is>
      </c>
      <c r="B48" s="117" t="inlineStr">
        <is>
          <t>INT 142 - Add thematic Booking id</t>
        </is>
      </c>
      <c r="C48" s="117" t="inlineStr">
        <is>
          <t>MyMSC</t>
        </is>
      </c>
      <c r="D48" s="117" t="inlineStr">
        <is>
          <t>Sprint 5</t>
        </is>
      </c>
      <c r="E48" s="117" t="inlineStr">
        <is>
          <t>DONE</t>
        </is>
      </c>
      <c r="F48" s="117" t="inlineStr">
        <is>
          <t>Medium</t>
        </is>
      </c>
      <c r="G48" s="115" t="inlineStr">
        <is>
          <t>Release 12</t>
        </is>
      </c>
      <c r="H48" s="117" t="n">
        <v>2</v>
      </c>
      <c r="I48" s="166" t="n"/>
      <c r="J48" s="167" t="n"/>
    </row>
    <row r="49" ht="15" customHeight="1" s="93">
      <c r="A49" s="115" t="inlineStr">
        <is>
          <t>NEW-0137</t>
        </is>
      </c>
      <c r="B49" s="117" t="inlineStr">
        <is>
          <t>[INT 136.1 - Thematic Availability (Speciality Restaurant)</t>
        </is>
      </c>
      <c r="C49" s="117" t="inlineStr">
        <is>
          <t>MyMSC</t>
        </is>
      </c>
      <c r="D49" s="117" t="inlineStr">
        <is>
          <t>Sprint 5</t>
        </is>
      </c>
      <c r="E49" s="117" t="inlineStr">
        <is>
          <t>DONE</t>
        </is>
      </c>
      <c r="F49" s="117" t="inlineStr">
        <is>
          <t>Medium</t>
        </is>
      </c>
      <c r="G49" s="115" t="inlineStr">
        <is>
          <t>Release 12</t>
        </is>
      </c>
      <c r="H49" s="117" t="n">
        <v>8</v>
      </c>
      <c r="I49" s="166" t="n"/>
      <c r="J49" s="167" t="n"/>
    </row>
    <row r="50" ht="15" customHeight="1" s="93">
      <c r="A50" s="115" t="inlineStr">
        <is>
          <t>NEW-0138</t>
        </is>
      </c>
      <c r="B50" s="117" t="inlineStr">
        <is>
          <t>INT 139/ INT 140 CR - Pricetobook / bookprepaid itesm</t>
        </is>
      </c>
      <c r="C50" s="117" t="inlineStr">
        <is>
          <t>MyMSC</t>
        </is>
      </c>
      <c r="D50" s="117" t="inlineStr">
        <is>
          <t>Sprint 5</t>
        </is>
      </c>
      <c r="E50" s="117" t="inlineStr">
        <is>
          <t>DONE</t>
        </is>
      </c>
      <c r="F50" s="117" t="inlineStr">
        <is>
          <t>Medium</t>
        </is>
      </c>
      <c r="G50" s="115" t="inlineStr">
        <is>
          <t>Release 12</t>
        </is>
      </c>
      <c r="H50" s="117" t="n">
        <v>13</v>
      </c>
      <c r="I50" s="166" t="n"/>
      <c r="J50" s="167" t="n"/>
    </row>
    <row r="51" ht="15" customHeight="1" s="93">
      <c r="A51" s="115" t="inlineStr">
        <is>
          <t>NEW-0139</t>
        </is>
      </c>
      <c r="B51" s="117" t="inlineStr">
        <is>
          <t>INT 163 - Thematic Revise</t>
        </is>
      </c>
      <c r="C51" s="117" t="inlineStr">
        <is>
          <t>MyMSC</t>
        </is>
      </c>
      <c r="D51" s="117" t="inlineStr">
        <is>
          <t>Sprint 5</t>
        </is>
      </c>
      <c r="E51" s="117" t="inlineStr">
        <is>
          <t>DONE</t>
        </is>
      </c>
      <c r="F51" s="117" t="inlineStr">
        <is>
          <t>Medium</t>
        </is>
      </c>
      <c r="G51" s="115" t="inlineStr">
        <is>
          <t>Release 12</t>
        </is>
      </c>
      <c r="H51" s="117" t="n">
        <v>5</v>
      </c>
      <c r="I51" s="166" t="n"/>
      <c r="J51" s="167" t="n"/>
    </row>
    <row r="52" ht="15" customHeight="1" s="93">
      <c r="A52" s="115" t="inlineStr">
        <is>
          <t>NEW-0142</t>
        </is>
      </c>
      <c r="B52" s="117" t="inlineStr">
        <is>
          <t>INT 139/ INT 140 CR - Item unavailablility</t>
        </is>
      </c>
      <c r="C52" s="117" t="inlineStr">
        <is>
          <t>MyMSC</t>
        </is>
      </c>
      <c r="D52" s="117" t="inlineStr">
        <is>
          <t>Sprint 5</t>
        </is>
      </c>
      <c r="E52" s="117" t="inlineStr">
        <is>
          <t>DONE</t>
        </is>
      </c>
      <c r="F52" s="117" t="inlineStr">
        <is>
          <t>Medium</t>
        </is>
      </c>
      <c r="G52" s="115" t="inlineStr">
        <is>
          <t>Release 12</t>
        </is>
      </c>
      <c r="H52" s="117" t="n">
        <v>13</v>
      </c>
      <c r="I52" s="166" t="n"/>
      <c r="J52" s="167" t="n"/>
    </row>
    <row r="53" ht="15" customHeight="1" s="93">
      <c r="A53" s="115" t="inlineStr">
        <is>
          <t>NEW-0153</t>
        </is>
      </c>
      <c r="B53" s="117" t="inlineStr">
        <is>
          <t>Outbound leads - Unknown web option</t>
        </is>
      </c>
      <c r="C53" s="117" t="inlineStr">
        <is>
          <t>US</t>
        </is>
      </c>
      <c r="D53" s="117" t="inlineStr">
        <is>
          <t>Sprint 5</t>
        </is>
      </c>
      <c r="E53" s="117" t="inlineStr">
        <is>
          <t>DONE</t>
        </is>
      </c>
      <c r="F53" s="117" t="inlineStr">
        <is>
          <t>Medium</t>
        </is>
      </c>
      <c r="G53" s="115" t="inlineStr">
        <is>
          <t>Release 19</t>
        </is>
      </c>
      <c r="H53" s="117" t="n">
        <v>3</v>
      </c>
      <c r="I53" s="166" t="n"/>
      <c r="J53" s="167" t="n"/>
    </row>
    <row r="54" ht="15" customHeight="1" s="93">
      <c r="A54" s="115" t="inlineStr">
        <is>
          <t>NEW-0187</t>
        </is>
      </c>
      <c r="B54" s="117" t="inlineStr">
        <is>
          <t>Update configurations for Turkey</t>
        </is>
      </c>
      <c r="C54" s="117" t="inlineStr">
        <is>
          <t>MVP Rollout</t>
        </is>
      </c>
      <c r="D54" s="117" t="inlineStr">
        <is>
          <t>Sprint 5</t>
        </is>
      </c>
      <c r="E54" s="117" t="inlineStr">
        <is>
          <t>DONE</t>
        </is>
      </c>
      <c r="F54" s="117" t="inlineStr">
        <is>
          <t>Medium</t>
        </is>
      </c>
      <c r="G54" s="115" t="inlineStr">
        <is>
          <t>Release 11</t>
        </is>
      </c>
      <c r="H54" s="117" t="n">
        <v>2</v>
      </c>
      <c r="I54" s="166" t="n"/>
      <c r="J54" s="167" t="n"/>
    </row>
    <row r="55" ht="15" customHeight="1" s="93">
      <c r="A55" s="115" t="inlineStr">
        <is>
          <t>NEW-0188</t>
        </is>
      </c>
      <c r="B55" s="117" t="inlineStr">
        <is>
          <t>DTS Post Booking - Load Test Activities + New Volumes Support</t>
        </is>
      </c>
      <c r="C55" s="117" t="inlineStr">
        <is>
          <t>Backlog</t>
        </is>
      </c>
      <c r="D55" s="117" t="inlineStr">
        <is>
          <t>Sprint 5</t>
        </is>
      </c>
      <c r="E55" s="117" t="inlineStr">
        <is>
          <t>DONE</t>
        </is>
      </c>
      <c r="F55" s="117" t="inlineStr">
        <is>
          <t>High</t>
        </is>
      </c>
      <c r="G55" s="115" t="n"/>
      <c r="H55" s="117" t="n">
        <v>18</v>
      </c>
      <c r="I55" s="166" t="n"/>
      <c r="J55" s="167" t="n"/>
    </row>
    <row r="56" ht="15" customHeight="1" s="93">
      <c r="A56" s="115" t="inlineStr">
        <is>
          <t>NEW-0190</t>
        </is>
      </c>
      <c r="B56" s="117" t="inlineStr">
        <is>
          <t>Outbound leads - Hold Option - INT004.4</t>
        </is>
      </c>
      <c r="C56" s="117" t="inlineStr">
        <is>
          <t>US</t>
        </is>
      </c>
      <c r="D56" s="117" t="inlineStr">
        <is>
          <t>Sprint 5</t>
        </is>
      </c>
      <c r="E56" s="117" t="inlineStr">
        <is>
          <t>DONE</t>
        </is>
      </c>
      <c r="F56" s="117" t="inlineStr">
        <is>
          <t>Medium</t>
        </is>
      </c>
      <c r="G56" s="115" t="inlineStr">
        <is>
          <t>Release 19</t>
        </is>
      </c>
      <c r="H56" s="117" t="n">
        <v>21</v>
      </c>
      <c r="I56" s="166" t="n"/>
      <c r="J56" s="167" t="n"/>
    </row>
    <row r="57" ht="15" customHeight="1" s="93">
      <c r="A57" s="115" t="inlineStr">
        <is>
          <t>NEW-0192</t>
        </is>
      </c>
      <c r="B57" s="117" t="inlineStr">
        <is>
          <t>[MyArea] Re-captcha keys - Lower environment TEST</t>
        </is>
      </c>
      <c r="C57" s="117" t="inlineStr">
        <is>
          <t>MyMSC</t>
        </is>
      </c>
      <c r="D57" s="117" t="inlineStr">
        <is>
          <t>Sprint 5</t>
        </is>
      </c>
      <c r="E57" s="117" t="inlineStr">
        <is>
          <t>DONE</t>
        </is>
      </c>
      <c r="F57" s="117" t="inlineStr">
        <is>
          <t>Medium</t>
        </is>
      </c>
      <c r="G57" s="115" t="n"/>
      <c r="H57" s="117" t="n">
        <v>2</v>
      </c>
      <c r="I57" s="166" t="n"/>
      <c r="J57" s="167" t="n"/>
    </row>
    <row r="58" ht="15" customHeight="1" s="93">
      <c r="A58" s="115" t="inlineStr">
        <is>
          <t>NEW-0256</t>
        </is>
      </c>
      <c r="B58" s="117" t="inlineStr">
        <is>
          <t>Outbound leads - Hold Option - INT006</t>
        </is>
      </c>
      <c r="C58" s="117" t="inlineStr">
        <is>
          <t>US</t>
        </is>
      </c>
      <c r="D58" s="117" t="inlineStr">
        <is>
          <t>Sprint 5</t>
        </is>
      </c>
      <c r="E58" s="117" t="inlineStr">
        <is>
          <t>DONE</t>
        </is>
      </c>
      <c r="F58" s="117" t="inlineStr">
        <is>
          <t>Medium</t>
        </is>
      </c>
      <c r="G58" s="115" t="inlineStr">
        <is>
          <t>Release 19</t>
        </is>
      </c>
      <c r="H58" s="117" t="n">
        <v>8</v>
      </c>
      <c r="I58" s="166" t="n"/>
      <c r="J58" s="167" t="n"/>
    </row>
    <row r="59" ht="15" customHeight="1" s="93">
      <c r="A59" s="115" t="inlineStr">
        <is>
          <t>NEW-0283</t>
        </is>
      </c>
      <c r="B59" s="117" t="inlineStr">
        <is>
          <t xml:space="preserve">[EINT] Campaign codes for UK/IE myMSC - New HQ Sandbox </t>
        </is>
      </c>
      <c r="C59" s="117" t="inlineStr">
        <is>
          <t>MyMSC</t>
        </is>
      </c>
      <c r="D59" s="117" t="inlineStr">
        <is>
          <t>Sprint 5</t>
        </is>
      </c>
      <c r="E59" s="117" t="inlineStr">
        <is>
          <t>DONE</t>
        </is>
      </c>
      <c r="F59" s="117" t="inlineStr">
        <is>
          <t>Medium</t>
        </is>
      </c>
      <c r="G59" s="115" t="n"/>
      <c r="H59" s="117" t="n">
        <v>3</v>
      </c>
      <c r="I59" s="166" t="n"/>
      <c r="J59" s="167" t="n"/>
    </row>
    <row r="60" ht="15" customHeight="1" s="93">
      <c r="A60" s="115" t="inlineStr">
        <is>
          <t>NEW-0287</t>
        </is>
      </c>
      <c r="B60" s="117" t="inlineStr">
        <is>
          <t>INT145/146 Revised payment options</t>
        </is>
      </c>
      <c r="C60" s="117" t="inlineStr">
        <is>
          <t>MyMSC</t>
        </is>
      </c>
      <c r="D60" s="117" t="inlineStr">
        <is>
          <t>Sprint 5</t>
        </is>
      </c>
      <c r="E60" s="117" t="inlineStr">
        <is>
          <t>DONE</t>
        </is>
      </c>
      <c r="F60" s="117" t="inlineStr">
        <is>
          <t>Medium</t>
        </is>
      </c>
      <c r="G60" s="115" t="n"/>
      <c r="H60" s="117" t="n">
        <v>5</v>
      </c>
      <c r="I60" s="166" t="n"/>
      <c r="J60" s="167" t="n"/>
    </row>
    <row r="61" ht="15" customHeight="1" s="93">
      <c r="A61" s="115" t="inlineStr">
        <is>
          <t>NEW-0289</t>
        </is>
      </c>
      <c r="B61" s="117" t="inlineStr">
        <is>
          <t>[EINT] [CR] INT 139/ 140 - Item unavailability</t>
        </is>
      </c>
      <c r="C61" s="117" t="inlineStr">
        <is>
          <t>MyMSC</t>
        </is>
      </c>
      <c r="D61" s="117" t="inlineStr">
        <is>
          <t>Sprint 5</t>
        </is>
      </c>
      <c r="E61" s="117" t="inlineStr">
        <is>
          <t>DONE</t>
        </is>
      </c>
      <c r="F61" s="117" t="inlineStr">
        <is>
          <t>Medium</t>
        </is>
      </c>
      <c r="G61" s="115" t="n"/>
      <c r="H61" s="117" t="n">
        <v>5</v>
      </c>
      <c r="I61" s="166" t="n"/>
      <c r="J61" s="167" t="n"/>
    </row>
    <row r="62" ht="15" customHeight="1" s="93">
      <c r="A62" s="115" t="inlineStr">
        <is>
          <t>NEW-0295</t>
        </is>
      </c>
      <c r="B62" s="117" t="inlineStr">
        <is>
          <t>Specialty Restaurants - INT135, INT139, INT140, INT142</t>
        </is>
      </c>
      <c r="C62" s="117" t="inlineStr">
        <is>
          <t>MyMSC</t>
        </is>
      </c>
      <c r="D62" s="117" t="inlineStr">
        <is>
          <t>Sprint 5</t>
        </is>
      </c>
      <c r="E62" s="117" t="inlineStr">
        <is>
          <t>DONE</t>
        </is>
      </c>
      <c r="F62" s="117" t="inlineStr">
        <is>
          <t>Medium</t>
        </is>
      </c>
      <c r="G62" s="115" t="n"/>
      <c r="H62" s="117" t="n">
        <v>18</v>
      </c>
      <c r="I62" s="166" t="n"/>
      <c r="J62" s="167" t="n"/>
    </row>
    <row r="63" ht="15" customHeight="1" s="93">
      <c r="A63" s="115" t="inlineStr">
        <is>
          <t>NEW-0296</t>
        </is>
      </c>
      <c r="B63" s="117" t="inlineStr">
        <is>
          <t>Specialty Restaurants - INT136, INT163</t>
        </is>
      </c>
      <c r="C63" s="117" t="inlineStr">
        <is>
          <t>MyMSC</t>
        </is>
      </c>
      <c r="D63" s="117" t="inlineStr">
        <is>
          <t>Sprint 5</t>
        </is>
      </c>
      <c r="E63" s="117" t="inlineStr">
        <is>
          <t>DONE</t>
        </is>
      </c>
      <c r="F63" s="117" t="inlineStr">
        <is>
          <t>Medium</t>
        </is>
      </c>
      <c r="G63" s="115" t="n"/>
      <c r="H63" s="117" t="n">
        <v>13</v>
      </c>
      <c r="I63" s="166" t="n"/>
      <c r="J63" s="167" t="n"/>
    </row>
    <row r="64" ht="15" customHeight="1" s="93">
      <c r="A64" s="115" t="inlineStr">
        <is>
          <t>NEW-0298</t>
        </is>
      </c>
      <c r="B64" s="117" t="inlineStr">
        <is>
          <t>Consent Management</t>
        </is>
      </c>
      <c r="C64" s="117" t="inlineStr">
        <is>
          <t>MyMSC</t>
        </is>
      </c>
      <c r="D64" s="117" t="inlineStr">
        <is>
          <t>Sprint 5</t>
        </is>
      </c>
      <c r="E64" s="117" t="inlineStr">
        <is>
          <t>DONE</t>
        </is>
      </c>
      <c r="F64" s="117" t="inlineStr">
        <is>
          <t>Medium</t>
        </is>
      </c>
      <c r="G64" s="115" t="n"/>
      <c r="H64" s="117" t="n">
        <v>13</v>
      </c>
      <c r="I64" s="166" t="n"/>
      <c r="J64" s="167" t="n"/>
    </row>
    <row r="65" ht="15" customHeight="1" s="93">
      <c r="A65" s="115" t="inlineStr">
        <is>
          <t>NEW-0300</t>
        </is>
      </c>
      <c r="B65" s="117" t="inlineStr">
        <is>
          <t>INT137 - Refund: improve long processing time</t>
        </is>
      </c>
      <c r="C65" s="117" t="inlineStr">
        <is>
          <t>MyMSC</t>
        </is>
      </c>
      <c r="D65" s="117" t="inlineStr">
        <is>
          <t>Sprint 5</t>
        </is>
      </c>
      <c r="E65" s="117" t="inlineStr">
        <is>
          <t>DONE</t>
        </is>
      </c>
      <c r="F65" s="117" t="inlineStr">
        <is>
          <t>Medium</t>
        </is>
      </c>
      <c r="G65" s="115" t="inlineStr">
        <is>
          <t>Release 12</t>
        </is>
      </c>
      <c r="H65" s="117" t="n">
        <v>21</v>
      </c>
      <c r="I65" s="166" t="n"/>
      <c r="J65" s="167" t="n"/>
    </row>
    <row r="66" ht="15" customHeight="1" s="93">
      <c r="A66" s="115" t="inlineStr">
        <is>
          <t>NEW-0386</t>
        </is>
      </c>
      <c r="B66" s="117" t="inlineStr">
        <is>
          <t>Support for the enabling of IP whitelist for Mulesoft Marketo</t>
        </is>
      </c>
      <c r="C66" s="117" t="inlineStr">
        <is>
          <t>PI10</t>
        </is>
      </c>
      <c r="D66" s="117" t="inlineStr">
        <is>
          <t>Sprint 5</t>
        </is>
      </c>
      <c r="E66" s="117" t="inlineStr">
        <is>
          <t>DONE</t>
        </is>
      </c>
      <c r="F66" s="117" t="inlineStr">
        <is>
          <t>Medium</t>
        </is>
      </c>
      <c r="G66" s="115" t="n"/>
      <c r="H66" s="117" t="n">
        <v>8</v>
      </c>
      <c r="I66" s="166" t="n"/>
      <c r="J66" s="167" t="n"/>
    </row>
    <row r="67" ht="15" customHeight="1" s="93">
      <c r="A67" s="115" t="inlineStr">
        <is>
          <t>NEW-0100</t>
        </is>
      </c>
      <c r="B67" s="117" t="inlineStr">
        <is>
          <t>Call me back / Already sent</t>
        </is>
      </c>
      <c r="C67" s="117" t="inlineStr">
        <is>
          <t>US</t>
        </is>
      </c>
      <c r="D67" s="117" t="inlineStr">
        <is>
          <t>Sprint 6</t>
        </is>
      </c>
      <c r="E67" s="117" t="inlineStr">
        <is>
          <t>DONE</t>
        </is>
      </c>
      <c r="F67" s="117" t="inlineStr">
        <is>
          <t>Medium</t>
        </is>
      </c>
      <c r="G67" s="115" t="inlineStr">
        <is>
          <t>Release 19</t>
        </is>
      </c>
      <c r="H67" s="117" t="n">
        <v>8</v>
      </c>
      <c r="I67" s="166" t="n"/>
      <c r="J67" s="167" t="n"/>
    </row>
    <row r="68" ht="15" customHeight="1" s="93">
      <c r="A68" s="115" t="inlineStr">
        <is>
          <t>NEW-0103</t>
        </is>
      </c>
      <c r="B68" s="117" t="inlineStr">
        <is>
          <t>Outbound leads - Abandoned Cart - New Interface INT007.2</t>
        </is>
      </c>
      <c r="C68" s="117" t="inlineStr">
        <is>
          <t>US</t>
        </is>
      </c>
      <c r="D68" s="117" t="inlineStr">
        <is>
          <t>Sprint 6</t>
        </is>
      </c>
      <c r="E68" s="117" t="inlineStr">
        <is>
          <t>DONE</t>
        </is>
      </c>
      <c r="F68" s="117" t="inlineStr">
        <is>
          <t>Medium</t>
        </is>
      </c>
      <c r="G68" s="115" t="inlineStr">
        <is>
          <t>Release 19</t>
        </is>
      </c>
      <c r="H68" s="117" t="n">
        <v>8</v>
      </c>
      <c r="I68" s="166" t="n"/>
      <c r="J68" s="167" t="n"/>
    </row>
    <row r="69" ht="15" customHeight="1" s="93">
      <c r="A69" s="115" t="inlineStr">
        <is>
          <t>NEW-0104</t>
        </is>
      </c>
      <c r="B69" s="117" t="inlineStr">
        <is>
          <t>Outbound leads - Abandoned Cart - Change to INT710</t>
        </is>
      </c>
      <c r="C69" s="117" t="inlineStr">
        <is>
          <t>US</t>
        </is>
      </c>
      <c r="D69" s="117" t="inlineStr">
        <is>
          <t>Sprint 6</t>
        </is>
      </c>
      <c r="E69" s="117" t="inlineStr">
        <is>
          <t>DONE</t>
        </is>
      </c>
      <c r="F69" s="117" t="inlineStr">
        <is>
          <t>Medium</t>
        </is>
      </c>
      <c r="G69" s="115" t="inlineStr">
        <is>
          <t>Release 18</t>
        </is>
      </c>
      <c r="H69" s="117" t="n">
        <v>5</v>
      </c>
      <c r="I69" s="166" t="n"/>
      <c r="J69" s="167" t="n"/>
    </row>
    <row r="70" ht="15" customHeight="1" s="93">
      <c r="A70" s="115" t="inlineStr">
        <is>
          <t>NEW-0105</t>
        </is>
      </c>
      <c r="B70" s="117" t="inlineStr">
        <is>
          <t>Uknown Web Option</t>
        </is>
      </c>
      <c r="C70" s="117" t="inlineStr">
        <is>
          <t>US</t>
        </is>
      </c>
      <c r="D70" s="117" t="inlineStr">
        <is>
          <t>Sprint 6</t>
        </is>
      </c>
      <c r="E70" s="117" t="inlineStr">
        <is>
          <t>DONE</t>
        </is>
      </c>
      <c r="F70" s="117" t="inlineStr">
        <is>
          <t>Medium</t>
        </is>
      </c>
      <c r="G70" s="115" t="inlineStr">
        <is>
          <t>Release 18</t>
        </is>
      </c>
      <c r="H70" s="117" t="n">
        <v>3</v>
      </c>
      <c r="I70" s="166" t="n"/>
      <c r="J70" s="167" t="n"/>
    </row>
    <row r="71" ht="15" customHeight="1" s="93">
      <c r="A71" s="115" t="inlineStr">
        <is>
          <t>NEW-0111</t>
        </is>
      </c>
      <c r="B71" s="117" t="inlineStr">
        <is>
          <t>INT 158 - Assign Opportunity ID to existing booking</t>
        </is>
      </c>
      <c r="C71" s="117" t="inlineStr">
        <is>
          <t>US</t>
        </is>
      </c>
      <c r="D71" s="117" t="inlineStr">
        <is>
          <t>Sprint 6</t>
        </is>
      </c>
      <c r="E71" s="117" t="inlineStr">
        <is>
          <t>DONE</t>
        </is>
      </c>
      <c r="F71" s="117" t="inlineStr">
        <is>
          <t>Medium</t>
        </is>
      </c>
      <c r="G71" s="115" t="inlineStr">
        <is>
          <t>Release 18</t>
        </is>
      </c>
      <c r="H71" s="117" t="n">
        <v>5</v>
      </c>
      <c r="I71" s="166" t="n"/>
      <c r="J71" s="167" t="n"/>
    </row>
    <row r="72" ht="15" customHeight="1" s="93">
      <c r="A72" s="115" t="inlineStr">
        <is>
          <t>NEW-0127</t>
        </is>
      </c>
      <c r="B72" s="117" t="inlineStr">
        <is>
          <t>Flight classes</t>
        </is>
      </c>
      <c r="C72" s="117" t="inlineStr">
        <is>
          <t>Growth</t>
        </is>
      </c>
      <c r="D72" s="117" t="inlineStr">
        <is>
          <t>Sprint 6</t>
        </is>
      </c>
      <c r="E72" s="117" t="inlineStr">
        <is>
          <t>DONE</t>
        </is>
      </c>
      <c r="F72" s="117" t="inlineStr">
        <is>
          <t>Medium</t>
        </is>
      </c>
      <c r="G72" s="115" t="inlineStr">
        <is>
          <t>Release 13</t>
        </is>
      </c>
      <c r="H72" s="117" t="n">
        <v>5</v>
      </c>
      <c r="I72" s="166" t="n"/>
      <c r="J72" s="167" t="n"/>
    </row>
    <row r="73" ht="15" customHeight="1" s="93">
      <c r="A73" s="115" t="inlineStr">
        <is>
          <t>NEW-0131</t>
        </is>
      </c>
      <c r="B73" s="117" t="inlineStr">
        <is>
          <t>Datatrans webhook INT165 inc. routing to AZF005</t>
        </is>
      </c>
      <c r="C73" s="117" t="inlineStr">
        <is>
          <t>Growth</t>
        </is>
      </c>
      <c r="D73" s="117" t="inlineStr">
        <is>
          <t>Sprint 6</t>
        </is>
      </c>
      <c r="E73" s="117" t="inlineStr">
        <is>
          <t>DONE</t>
        </is>
      </c>
      <c r="F73" s="117" t="inlineStr">
        <is>
          <t>Medium</t>
        </is>
      </c>
      <c r="G73" s="115" t="inlineStr">
        <is>
          <t>Release 15</t>
        </is>
      </c>
      <c r="H73" s="117" t="n">
        <v>8</v>
      </c>
      <c r="I73" s="166" t="n"/>
      <c r="J73" s="167" t="n"/>
    </row>
    <row r="74" ht="15" customHeight="1" s="93">
      <c r="A74" s="115" t="inlineStr">
        <is>
          <t>NEW-0143</t>
        </is>
      </c>
      <c r="B74" s="117" t="inlineStr">
        <is>
          <t>INT 130 - Dining Slots CR</t>
        </is>
      </c>
      <c r="C74" s="117" t="inlineStr">
        <is>
          <t>MyMSC</t>
        </is>
      </c>
      <c r="D74" s="117" t="inlineStr">
        <is>
          <t>Sprint 6</t>
        </is>
      </c>
      <c r="E74" s="117" t="inlineStr">
        <is>
          <t>DONE</t>
        </is>
      </c>
      <c r="F74" s="117" t="inlineStr">
        <is>
          <t>Medium</t>
        </is>
      </c>
      <c r="G74" s="115" t="inlineStr">
        <is>
          <t>Release 13</t>
        </is>
      </c>
      <c r="H74" s="117" t="n">
        <v>3</v>
      </c>
      <c r="I74" s="166" t="n"/>
      <c r="J74" s="167" t="n"/>
    </row>
    <row r="75" ht="15" customHeight="1" s="93">
      <c r="A75" s="115" t="inlineStr">
        <is>
          <t>NEW-0146</t>
        </is>
      </c>
      <c r="B75" s="117" t="inlineStr">
        <is>
          <t>INT 139/ INT 140 Applicability ALL INC</t>
        </is>
      </c>
      <c r="C75" s="117" t="inlineStr">
        <is>
          <t>MyMSC</t>
        </is>
      </c>
      <c r="D75" s="117" t="inlineStr">
        <is>
          <t>Sprint 6</t>
        </is>
      </c>
      <c r="E75" s="117" t="inlineStr">
        <is>
          <t>DONE</t>
        </is>
      </c>
      <c r="F75" s="117" t="inlineStr">
        <is>
          <t>Medium</t>
        </is>
      </c>
      <c r="G75" s="115" t="inlineStr">
        <is>
          <t>Release 13</t>
        </is>
      </c>
      <c r="H75" s="117" t="n">
        <v>8</v>
      </c>
      <c r="I75" s="166" t="n"/>
      <c r="J75" s="167" t="n"/>
    </row>
    <row r="76" ht="15" customHeight="1" s="93">
      <c r="A76" s="115" t="inlineStr">
        <is>
          <t>NEW-0148</t>
        </is>
      </c>
      <c r="B76" s="117" t="inlineStr">
        <is>
          <t>Already Purchased - item no longer sold - INT 142</t>
        </is>
      </c>
      <c r="C76" s="117" t="inlineStr">
        <is>
          <t>MyMSC</t>
        </is>
      </c>
      <c r="D76" s="117" t="inlineStr">
        <is>
          <t>Sprint 6</t>
        </is>
      </c>
      <c r="E76" s="117" t="inlineStr">
        <is>
          <t>DONE</t>
        </is>
      </c>
      <c r="F76" s="117" t="inlineStr">
        <is>
          <t>Medium</t>
        </is>
      </c>
      <c r="G76" s="115" t="inlineStr">
        <is>
          <t>Release 13</t>
        </is>
      </c>
      <c r="H76" s="117" t="n">
        <v>5</v>
      </c>
      <c r="I76" s="166" t="n"/>
      <c r="J76" s="167" t="n"/>
    </row>
    <row r="77" ht="15" customHeight="1" s="93">
      <c r="A77" s="115" t="inlineStr">
        <is>
          <t>NEW-0150</t>
        </is>
      </c>
      <c r="B77" s="117" t="inlineStr">
        <is>
          <t>INT 139/140 -all inc item missing from OBS List</t>
        </is>
      </c>
      <c r="C77" s="117" t="inlineStr">
        <is>
          <t>MyMSC</t>
        </is>
      </c>
      <c r="D77" s="117" t="inlineStr">
        <is>
          <t>Sprint 6</t>
        </is>
      </c>
      <c r="E77" s="117" t="inlineStr">
        <is>
          <t>DONE</t>
        </is>
      </c>
      <c r="F77" s="117" t="inlineStr">
        <is>
          <t>Medium</t>
        </is>
      </c>
      <c r="G77" s="115" t="n"/>
      <c r="H77" s="117" t="n">
        <v>3</v>
      </c>
      <c r="I77" s="166" t="n"/>
      <c r="J77" s="167" t="n"/>
    </row>
    <row r="78" ht="15" customHeight="1" s="93">
      <c r="A78" s="115" t="inlineStr">
        <is>
          <t>NEW-0240</t>
        </is>
      </c>
      <c r="B78" s="117" t="inlineStr">
        <is>
          <t>Setup of DTS credit card codes for US</t>
        </is>
      </c>
      <c r="C78" s="117" t="inlineStr">
        <is>
          <t>US</t>
        </is>
      </c>
      <c r="D78" s="117" t="inlineStr">
        <is>
          <t>Sprint 6</t>
        </is>
      </c>
      <c r="E78" s="117" t="inlineStr">
        <is>
          <t>DONE</t>
        </is>
      </c>
      <c r="F78" s="117" t="inlineStr">
        <is>
          <t>Medium</t>
        </is>
      </c>
      <c r="G78" s="115" t="inlineStr">
        <is>
          <t>Release 19</t>
        </is>
      </c>
      <c r="H78" s="117" t="n">
        <v>2</v>
      </c>
      <c r="I78" s="166" t="n"/>
      <c r="J78" s="167" t="n"/>
    </row>
    <row r="79" ht="15" customHeight="1" s="93">
      <c r="A79" s="115" t="inlineStr">
        <is>
          <t>NEW-0243</t>
        </is>
      </c>
      <c r="B79" s="117" t="inlineStr">
        <is>
          <t>PVC - INT158 (New Interface)</t>
        </is>
      </c>
      <c r="C79" s="117" t="inlineStr">
        <is>
          <t>US</t>
        </is>
      </c>
      <c r="D79" s="117" t="inlineStr">
        <is>
          <t>Sprint 6</t>
        </is>
      </c>
      <c r="E79" s="117" t="inlineStr">
        <is>
          <t>DONE</t>
        </is>
      </c>
      <c r="F79" s="117" t="inlineStr">
        <is>
          <t>Medium</t>
        </is>
      </c>
      <c r="G79" s="115" t="inlineStr">
        <is>
          <t>Release 18</t>
        </is>
      </c>
      <c r="H79" s="117" t="n">
        <v>5</v>
      </c>
      <c r="I79" s="166" t="n"/>
      <c r="J79" s="167" t="n"/>
    </row>
    <row r="80" ht="15" customHeight="1" s="93">
      <c r="A80" s="115" t="inlineStr">
        <is>
          <t>NEW-0246</t>
        </is>
      </c>
      <c r="B80" s="117" t="inlineStr">
        <is>
          <t>Attentive - INT175</t>
        </is>
      </c>
      <c r="C80" s="117" t="inlineStr">
        <is>
          <t>US</t>
        </is>
      </c>
      <c r="D80" s="117" t="inlineStr">
        <is>
          <t>Sprint 6</t>
        </is>
      </c>
      <c r="E80" s="117" t="inlineStr">
        <is>
          <t>DONE</t>
        </is>
      </c>
      <c r="F80" s="117" t="inlineStr">
        <is>
          <t>Medium</t>
        </is>
      </c>
      <c r="G80" s="115" t="inlineStr">
        <is>
          <t>Release 18</t>
        </is>
      </c>
      <c r="H80" s="117" t="n">
        <v>5</v>
      </c>
      <c r="I80" s="166" t="n"/>
      <c r="J80" s="167" t="n"/>
    </row>
    <row r="81" ht="15" customHeight="1" s="93">
      <c r="A81" s="115" t="inlineStr">
        <is>
          <t>NEW-0253</t>
        </is>
      </c>
      <c r="B81" s="117" t="inlineStr">
        <is>
          <t>Outbound leads - Already Sent</t>
        </is>
      </c>
      <c r="C81" s="117" t="inlineStr">
        <is>
          <t>US</t>
        </is>
      </c>
      <c r="D81" s="117" t="inlineStr">
        <is>
          <t>Sprint 6</t>
        </is>
      </c>
      <c r="E81" s="117" t="inlineStr">
        <is>
          <t>DONE</t>
        </is>
      </c>
      <c r="F81" s="117" t="inlineStr">
        <is>
          <t>Medium</t>
        </is>
      </c>
      <c r="G81" s="115" t="inlineStr">
        <is>
          <t>Release 18</t>
        </is>
      </c>
      <c r="H81" s="117" t="n">
        <v>8</v>
      </c>
      <c r="I81" s="166" t="n"/>
      <c r="J81" s="167" t="n"/>
    </row>
    <row r="82" ht="15" customHeight="1" s="93">
      <c r="A82" s="115" t="inlineStr">
        <is>
          <t>NEW-0257</t>
        </is>
      </c>
      <c r="B82" s="117" t="inlineStr">
        <is>
          <t>DTS-Salesforce Optimisations - INT 037</t>
        </is>
      </c>
      <c r="C82" s="117" t="inlineStr">
        <is>
          <t>US</t>
        </is>
      </c>
      <c r="D82" s="117" t="inlineStr">
        <is>
          <t>Sprint 6</t>
        </is>
      </c>
      <c r="E82" s="117" t="inlineStr">
        <is>
          <t>DONE</t>
        </is>
      </c>
      <c r="F82" s="117" t="inlineStr">
        <is>
          <t>Medium</t>
        </is>
      </c>
      <c r="G82" s="115" t="inlineStr">
        <is>
          <t>Release 18</t>
        </is>
      </c>
      <c r="H82" s="117" t="n">
        <v>5</v>
      </c>
      <c r="I82" s="166" t="n"/>
      <c r="J82" s="167" t="n"/>
    </row>
    <row r="83" ht="15" customHeight="1" s="93">
      <c r="A83" s="115" t="inlineStr">
        <is>
          <t>NEW-0268</t>
        </is>
      </c>
      <c r="B83" s="117" t="inlineStr">
        <is>
          <t>Not To Sail</t>
        </is>
      </c>
      <c r="C83" s="117" t="inlineStr">
        <is>
          <t>US</t>
        </is>
      </c>
      <c r="D83" s="117" t="inlineStr">
        <is>
          <t>Sprint 6</t>
        </is>
      </c>
      <c r="E83" s="117" t="inlineStr">
        <is>
          <t>DONE</t>
        </is>
      </c>
      <c r="F83" s="117" t="inlineStr">
        <is>
          <t>Medium</t>
        </is>
      </c>
      <c r="G83" s="115" t="inlineStr">
        <is>
          <t>Release 19</t>
        </is>
      </c>
      <c r="H83" s="117" t="n">
        <v>5</v>
      </c>
      <c r="I83" s="166" t="n"/>
      <c r="J83" s="167" t="n"/>
    </row>
    <row r="84" ht="15" customHeight="1" s="93">
      <c r="A84" s="115" t="inlineStr">
        <is>
          <t>NEW-0291</t>
        </is>
      </c>
      <c r="B84" s="117" t="inlineStr">
        <is>
          <t>INT159 - Lab item for myMSC</t>
        </is>
      </c>
      <c r="C84" s="117" t="inlineStr">
        <is>
          <t>MyMSC</t>
        </is>
      </c>
      <c r="D84" s="117" t="inlineStr">
        <is>
          <t>Sprint 6</t>
        </is>
      </c>
      <c r="E84" s="117" t="inlineStr">
        <is>
          <t>DONE</t>
        </is>
      </c>
      <c r="F84" s="117" t="inlineStr">
        <is>
          <t>Medium</t>
        </is>
      </c>
      <c r="G84" s="115" t="inlineStr">
        <is>
          <t>Release 13</t>
        </is>
      </c>
      <c r="H84" s="117" t="n">
        <v>5</v>
      </c>
      <c r="I84" s="166" t="n"/>
      <c r="J84" s="167" t="n"/>
    </row>
    <row r="85" ht="15" customHeight="1" s="93">
      <c r="A85" s="115" t="inlineStr">
        <is>
          <t>NEW-0294</t>
        </is>
      </c>
      <c r="B85" s="117" t="inlineStr">
        <is>
          <t>INT142 fix for flights</t>
        </is>
      </c>
      <c r="C85" s="117" t="inlineStr">
        <is>
          <t>MyMSC</t>
        </is>
      </c>
      <c r="D85" s="117" t="inlineStr">
        <is>
          <t>Sprint 6</t>
        </is>
      </c>
      <c r="E85" s="117" t="inlineStr">
        <is>
          <t>DONE</t>
        </is>
      </c>
      <c r="F85" s="117" t="inlineStr">
        <is>
          <t>Medium</t>
        </is>
      </c>
      <c r="G85" s="115" t="n"/>
      <c r="H85" s="117" t="n">
        <v>5</v>
      </c>
      <c r="I85" s="166" t="n"/>
      <c r="J85" s="167" t="n"/>
    </row>
    <row r="86" ht="15" customHeight="1" s="93">
      <c r="A86" s="115" t="inlineStr">
        <is>
          <t>NEW-0303</t>
        </is>
      </c>
      <c r="B86" s="117" t="inlineStr">
        <is>
          <t>INT139 / INT140 - Applicability of items during all inclusive logic - CR related items</t>
        </is>
      </c>
      <c r="C86" s="117" t="inlineStr">
        <is>
          <t>MyMSC</t>
        </is>
      </c>
      <c r="D86" s="117" t="inlineStr">
        <is>
          <t>Sprint 6</t>
        </is>
      </c>
      <c r="E86" s="117" t="inlineStr">
        <is>
          <t>DONE</t>
        </is>
      </c>
      <c r="F86" s="117" t="inlineStr">
        <is>
          <t>Medium</t>
        </is>
      </c>
      <c r="G86" s="115" t="n"/>
      <c r="H86" s="117" t="n">
        <v>8</v>
      </c>
      <c r="I86" s="166" t="n"/>
      <c r="J86" s="167" t="n"/>
    </row>
    <row r="87" ht="15" customHeight="1" s="93">
      <c r="A87" s="115" t="inlineStr">
        <is>
          <t>NEW-0305</t>
        </is>
      </c>
      <c r="B87" s="117" t="inlineStr">
        <is>
          <t>INT130 / INT139 / INT140 - Applicability of Items - Switch to new cache jsononboardservice</t>
        </is>
      </c>
      <c r="C87" s="117" t="inlineStr">
        <is>
          <t>MyMSC</t>
        </is>
      </c>
      <c r="D87" s="117" t="inlineStr">
        <is>
          <t>Sprint 6</t>
        </is>
      </c>
      <c r="E87" s="117" t="inlineStr">
        <is>
          <t>DONE</t>
        </is>
      </c>
      <c r="F87" s="117" t="inlineStr">
        <is>
          <t>Medium</t>
        </is>
      </c>
      <c r="G87" s="115" t="inlineStr">
        <is>
          <t>Release 13</t>
        </is>
      </c>
      <c r="H87" s="117" t="n">
        <v>3</v>
      </c>
      <c r="I87" s="166" t="n"/>
      <c r="J87" s="167" t="n"/>
    </row>
    <row r="88" ht="15" customHeight="1" s="93">
      <c r="A88" s="115" t="inlineStr">
        <is>
          <t>NEW-0307</t>
        </is>
      </c>
      <c r="B88" s="117" t="inlineStr">
        <is>
          <t>INT140 handling of coupons - error handling</t>
        </is>
      </c>
      <c r="C88" s="117" t="inlineStr">
        <is>
          <t>MyMSC</t>
        </is>
      </c>
      <c r="D88" s="117" t="inlineStr">
        <is>
          <t>Sprint 6</t>
        </is>
      </c>
      <c r="E88" s="117" t="inlineStr">
        <is>
          <t>DONE</t>
        </is>
      </c>
      <c r="F88" s="117" t="inlineStr">
        <is>
          <t>Medium</t>
        </is>
      </c>
      <c r="G88" s="115" t="inlineStr">
        <is>
          <t>Release 13</t>
        </is>
      </c>
      <c r="H88" s="117" t="n">
        <v>8</v>
      </c>
      <c r="I88" s="166" t="n"/>
      <c r="J88" s="167" t="n"/>
    </row>
    <row r="89" ht="15" customHeight="1" s="93">
      <c r="A89" s="115" t="inlineStr">
        <is>
          <t>NEW-0319</t>
        </is>
      </c>
      <c r="B89" s="117" t="inlineStr">
        <is>
          <t>INT 163 - Add missing PrepaidShop field</t>
        </is>
      </c>
      <c r="C89" s="117" t="inlineStr">
        <is>
          <t>MyMSC</t>
        </is>
      </c>
      <c r="D89" s="117" t="inlineStr">
        <is>
          <t>Sprint 6</t>
        </is>
      </c>
      <c r="E89" s="117" t="inlineStr">
        <is>
          <t>DONE</t>
        </is>
      </c>
      <c r="F89" s="117" t="inlineStr">
        <is>
          <t>Medium</t>
        </is>
      </c>
      <c r="G89" s="115" t="inlineStr">
        <is>
          <t>Release 13</t>
        </is>
      </c>
      <c r="H89" s="117" t="n">
        <v>2</v>
      </c>
      <c r="I89" s="166" t="n"/>
      <c r="J89" s="167" t="n"/>
    </row>
    <row r="90" ht="15" customHeight="1" s="93">
      <c r="A90" s="115" t="inlineStr">
        <is>
          <t>NEW-0352</t>
        </is>
      </c>
      <c r="B90" s="117" t="inlineStr">
        <is>
          <t>INT165 - Datatrans Webhook v1.0</t>
        </is>
      </c>
      <c r="C90" s="117" t="inlineStr">
        <is>
          <t>Growth</t>
        </is>
      </c>
      <c r="D90" s="117" t="inlineStr">
        <is>
          <t>Sprint 6</t>
        </is>
      </c>
      <c r="E90" s="117" t="inlineStr">
        <is>
          <t>DONE</t>
        </is>
      </c>
      <c r="F90" s="117" t="inlineStr">
        <is>
          <t>Medium</t>
        </is>
      </c>
      <c r="G90" s="115" t="inlineStr">
        <is>
          <t>Release 15</t>
        </is>
      </c>
      <c r="H90" s="117" t="n">
        <v>5</v>
      </c>
      <c r="I90" s="166" t="n"/>
      <c r="J90" s="167" t="n"/>
    </row>
    <row r="91" ht="15" customHeight="1" s="93">
      <c r="A91" s="115" t="inlineStr">
        <is>
          <t>NEW-0357</t>
        </is>
      </c>
      <c r="B91" s="117" t="inlineStr">
        <is>
          <t>PDC - Customer Contacts - B2C Funnel Alignment</t>
        </is>
      </c>
      <c r="C91" s="117" t="inlineStr">
        <is>
          <t>Growth</t>
        </is>
      </c>
      <c r="D91" s="117" t="inlineStr">
        <is>
          <t>Sprint 6</t>
        </is>
      </c>
      <c r="E91" s="117" t="inlineStr">
        <is>
          <t>DONE</t>
        </is>
      </c>
      <c r="F91" s="117" t="inlineStr">
        <is>
          <t>Medium</t>
        </is>
      </c>
      <c r="G91" s="115" t="inlineStr">
        <is>
          <t>Release 13</t>
        </is>
      </c>
      <c r="H91" s="117" t="n">
        <v>21</v>
      </c>
      <c r="I91" s="166" t="n"/>
      <c r="J91" s="167" t="n"/>
    </row>
    <row r="92" ht="15" customHeight="1" s="93">
      <c r="A92" s="115" t="inlineStr">
        <is>
          <t>NEW-0387</t>
        </is>
      </c>
      <c r="B92" s="117" t="inlineStr">
        <is>
          <t>DTTP - Lead Management - Web forms - Market-Based Date Format Localization</t>
        </is>
      </c>
      <c r="C92" s="117" t="inlineStr">
        <is>
          <t>PI10</t>
        </is>
      </c>
      <c r="D92" s="117" t="inlineStr">
        <is>
          <t>Sprint 6</t>
        </is>
      </c>
      <c r="E92" s="117" t="inlineStr">
        <is>
          <t>DONE</t>
        </is>
      </c>
      <c r="F92" s="117" t="inlineStr">
        <is>
          <t>Medium</t>
        </is>
      </c>
      <c r="G92" s="115" t="inlineStr">
        <is>
          <t>Release 13</t>
        </is>
      </c>
      <c r="H92" s="117" t="n">
        <v>5</v>
      </c>
      <c r="I92" s="166" t="n"/>
      <c r="J92" s="167" t="n"/>
    </row>
    <row r="93" ht="15" customHeight="1" s="93">
      <c r="A93" s="115" t="inlineStr">
        <is>
          <t>NEW-0112</t>
        </is>
      </c>
      <c r="B93" s="117" t="inlineStr">
        <is>
          <t>Lead pax details in booking event</t>
        </is>
      </c>
      <c r="C93" s="117" t="inlineStr">
        <is>
          <t>US</t>
        </is>
      </c>
      <c r="D93" s="117" t="inlineStr">
        <is>
          <t>Sprint 7</t>
        </is>
      </c>
      <c r="E93" s="117" t="inlineStr">
        <is>
          <t>DONE</t>
        </is>
      </c>
      <c r="F93" s="117" t="inlineStr">
        <is>
          <t>Medium</t>
        </is>
      </c>
      <c r="G93" s="115" t="inlineStr">
        <is>
          <t>Release 18</t>
        </is>
      </c>
      <c r="H93" s="117" t="n"/>
      <c r="I93" s="166" t="n"/>
      <c r="J93" s="167" t="n"/>
    </row>
    <row r="94" ht="15" customHeight="1" s="93">
      <c r="A94" s="115" t="inlineStr">
        <is>
          <t>NEW-0113</t>
        </is>
      </c>
      <c r="B94" s="117" t="inlineStr">
        <is>
          <t>INT 710 Timezone Lookup</t>
        </is>
      </c>
      <c r="C94" s="117" t="inlineStr">
        <is>
          <t>US</t>
        </is>
      </c>
      <c r="D94" s="117" t="inlineStr">
        <is>
          <t>Sprint 7</t>
        </is>
      </c>
      <c r="E94" s="117" t="inlineStr">
        <is>
          <t>DONE</t>
        </is>
      </c>
      <c r="F94" s="117" t="inlineStr">
        <is>
          <t>Medium</t>
        </is>
      </c>
      <c r="G94" s="115" t="inlineStr">
        <is>
          <t>Release 18</t>
        </is>
      </c>
      <c r="H94" s="117" t="n"/>
      <c r="I94" s="166" t="n"/>
      <c r="J94" s="167" t="n"/>
    </row>
    <row r="95" ht="15" customHeight="1" s="93">
      <c r="A95" s="115" t="inlineStr">
        <is>
          <t>NEW-0120</t>
        </is>
      </c>
      <c r="B95" s="117" t="inlineStr">
        <is>
          <t>INT 101 - Add group id in webforms</t>
        </is>
      </c>
      <c r="C95" s="117" t="inlineStr">
        <is>
          <t>US</t>
        </is>
      </c>
      <c r="D95" s="117" t="inlineStr">
        <is>
          <t>Sprint 7</t>
        </is>
      </c>
      <c r="E95" s="117" t="inlineStr">
        <is>
          <t>DONE</t>
        </is>
      </c>
      <c r="F95" s="117" t="inlineStr">
        <is>
          <t>Medium</t>
        </is>
      </c>
      <c r="G95" s="115" t="inlineStr">
        <is>
          <t>Release 18</t>
        </is>
      </c>
      <c r="H95" s="117" t="n"/>
      <c r="I95" s="166" t="n"/>
      <c r="J95" s="167" t="n"/>
    </row>
    <row r="96" ht="15" customHeight="1" s="93">
      <c r="A96" s="115" t="inlineStr">
        <is>
          <t>NEW-0121</t>
        </is>
      </c>
      <c r="B96" s="117" t="inlineStr">
        <is>
          <t>INT 024.1/ INT 025/ INT100 - Add group type field</t>
        </is>
      </c>
      <c r="C96" s="117" t="inlineStr">
        <is>
          <t>US</t>
        </is>
      </c>
      <c r="D96" s="117" t="inlineStr">
        <is>
          <t>Sprint 7</t>
        </is>
      </c>
      <c r="E96" s="117" t="inlineStr">
        <is>
          <t>DONE</t>
        </is>
      </c>
      <c r="F96" s="117" t="inlineStr">
        <is>
          <t>Medium</t>
        </is>
      </c>
      <c r="G96" s="115" t="inlineStr">
        <is>
          <t>Release 18</t>
        </is>
      </c>
      <c r="H96" s="117" t="n">
        <v>3</v>
      </c>
      <c r="I96" s="166" t="n"/>
      <c r="J96" s="167" t="n"/>
    </row>
    <row r="97" ht="15" customHeight="1" s="93">
      <c r="A97" s="115" t="inlineStr">
        <is>
          <t>NEW-0122</t>
        </is>
      </c>
      <c r="B97" s="117" t="inlineStr">
        <is>
          <t>INT 037 - B2B Representative Event</t>
        </is>
      </c>
      <c r="C97" s="117" t="inlineStr">
        <is>
          <t>US</t>
        </is>
      </c>
      <c r="D97" s="117" t="inlineStr">
        <is>
          <t>Sprint 7</t>
        </is>
      </c>
      <c r="E97" s="117" t="inlineStr">
        <is>
          <t>DONE</t>
        </is>
      </c>
      <c r="F97" s="117" t="inlineStr">
        <is>
          <t>Medium</t>
        </is>
      </c>
      <c r="G97" s="115" t="inlineStr">
        <is>
          <t>Release 19</t>
        </is>
      </c>
      <c r="H97" s="117" t="n">
        <v>5</v>
      </c>
      <c r="I97" s="166" t="n"/>
      <c r="J97" s="167" t="n"/>
    </row>
    <row r="98" ht="15" customHeight="1" s="93">
      <c r="A98" s="115" t="inlineStr">
        <is>
          <t>NEW-0151</t>
        </is>
      </c>
      <c r="B98" s="117" t="inlineStr">
        <is>
          <t>INT 139 / 140 - additional applicability logic</t>
        </is>
      </c>
      <c r="C98" s="117" t="inlineStr">
        <is>
          <t>MyMSC</t>
        </is>
      </c>
      <c r="D98" s="117" t="inlineStr">
        <is>
          <t>Sprint 7</t>
        </is>
      </c>
      <c r="E98" s="117" t="inlineStr">
        <is>
          <t>DONE</t>
        </is>
      </c>
      <c r="F98" s="117" t="inlineStr">
        <is>
          <t>Medium</t>
        </is>
      </c>
      <c r="G98" s="115" t="n"/>
      <c r="H98" s="117" t="n"/>
      <c r="I98" s="166" t="n"/>
      <c r="J98" s="167" t="n"/>
    </row>
    <row r="99" ht="15" customHeight="1" s="93">
      <c r="A99" s="115" t="inlineStr">
        <is>
          <t>NEW-0219</t>
        </is>
      </c>
      <c r="B99" s="117" t="inlineStr">
        <is>
          <t>INT710 - Outbound leads - Abandoned Cart - Genesys Contact ID Mapping and Multiple Case Handling</t>
        </is>
      </c>
      <c r="C99" s="117" t="inlineStr">
        <is>
          <t>US</t>
        </is>
      </c>
      <c r="D99" s="117" t="inlineStr">
        <is>
          <t>Sprint 7</t>
        </is>
      </c>
      <c r="E99" s="117" t="inlineStr">
        <is>
          <t>DONE</t>
        </is>
      </c>
      <c r="F99" s="117" t="inlineStr">
        <is>
          <t>Medium</t>
        </is>
      </c>
      <c r="G99" s="115" t="inlineStr">
        <is>
          <t>Release 18</t>
        </is>
      </c>
      <c r="H99" s="117" t="n">
        <v>5</v>
      </c>
      <c r="I99" s="166" t="n"/>
      <c r="J99" s="167" t="n"/>
    </row>
    <row r="100" ht="15" customHeight="1" s="93">
      <c r="A100" s="115" t="inlineStr">
        <is>
          <t>NEW-0228</t>
        </is>
      </c>
      <c r="B100" s="117" t="inlineStr">
        <is>
          <t>INT114.1 / INT114.2 / INT113 Limit access to bookings from the same office as the website agency</t>
        </is>
      </c>
      <c r="C100" s="117" t="inlineStr">
        <is>
          <t>MyMSC</t>
        </is>
      </c>
      <c r="D100" s="117" t="inlineStr">
        <is>
          <t>Sprint 7</t>
        </is>
      </c>
      <c r="E100" s="117" t="inlineStr">
        <is>
          <t>DONE</t>
        </is>
      </c>
      <c r="F100" s="117" t="inlineStr">
        <is>
          <t>Medium</t>
        </is>
      </c>
      <c r="G100" s="115" t="inlineStr">
        <is>
          <t>Release 13</t>
        </is>
      </c>
      <c r="H100" s="117" t="n">
        <v>3</v>
      </c>
      <c r="I100" s="166" t="n"/>
      <c r="J100" s="167" t="n"/>
    </row>
    <row r="101" ht="15" customHeight="1" s="93">
      <c r="A101" s="115" t="inlineStr">
        <is>
          <t>NEW-0233</t>
        </is>
      </c>
      <c r="B101" s="117" t="inlineStr">
        <is>
          <t>[CR] Booking Funnel Market Segregation - Include market-level data in logging</t>
        </is>
      </c>
      <c r="C101" s="117" t="inlineStr">
        <is>
          <t>Tech</t>
        </is>
      </c>
      <c r="D101" s="117" t="inlineStr">
        <is>
          <t>Sprint 7</t>
        </is>
      </c>
      <c r="E101" s="117" t="inlineStr">
        <is>
          <t>DONE</t>
        </is>
      </c>
      <c r="F101" s="117" t="inlineStr">
        <is>
          <t>Medium</t>
        </is>
      </c>
      <c r="G101" s="115" t="inlineStr">
        <is>
          <t>Release 15</t>
        </is>
      </c>
      <c r="H101" s="117" t="n">
        <v>8</v>
      </c>
      <c r="I101" s="166" t="n"/>
      <c r="J101" s="167" t="n"/>
    </row>
    <row r="102" ht="15" customHeight="1" s="93">
      <c r="A102" s="115" t="inlineStr">
        <is>
          <t>NEW-0234</t>
        </is>
      </c>
      <c r="B102" s="117" t="inlineStr">
        <is>
          <t>LOAD TEST in Perf Env - Part 2</t>
        </is>
      </c>
      <c r="C102" s="117" t="inlineStr">
        <is>
          <t>Tech</t>
        </is>
      </c>
      <c r="D102" s="117" t="inlineStr">
        <is>
          <t>Sprint 7</t>
        </is>
      </c>
      <c r="E102" s="117" t="inlineStr">
        <is>
          <t>DONE</t>
        </is>
      </c>
      <c r="F102" s="117" t="inlineStr">
        <is>
          <t>Medium</t>
        </is>
      </c>
      <c r="G102" s="115" t="n"/>
      <c r="H102" s="117" t="n">
        <v>5</v>
      </c>
      <c r="I102" s="166" t="n"/>
      <c r="J102" s="167" t="n"/>
    </row>
    <row r="103" ht="15" customHeight="1" s="93">
      <c r="A103" s="115" t="inlineStr">
        <is>
          <t>NEW-0242</t>
        </is>
      </c>
      <c r="B103" s="117" t="inlineStr">
        <is>
          <t>PVC - INT024.2 CR</t>
        </is>
      </c>
      <c r="C103" s="117" t="inlineStr">
        <is>
          <t>US</t>
        </is>
      </c>
      <c r="D103" s="117" t="inlineStr">
        <is>
          <t>Sprint 7</t>
        </is>
      </c>
      <c r="E103" s="117" t="inlineStr">
        <is>
          <t>DONE</t>
        </is>
      </c>
      <c r="F103" s="117" t="inlineStr">
        <is>
          <t>Medium</t>
        </is>
      </c>
      <c r="G103" s="115" t="inlineStr">
        <is>
          <t>Release 18</t>
        </is>
      </c>
      <c r="H103" s="117" t="n">
        <v>2</v>
      </c>
      <c r="I103" s="166" t="n"/>
      <c r="J103" s="167" t="n"/>
    </row>
    <row r="104" ht="15" customHeight="1" s="93">
      <c r="A104" s="115" t="inlineStr">
        <is>
          <t>NEW-0247</t>
        </is>
      </c>
      <c r="B104" s="117" t="inlineStr">
        <is>
          <t>Attentive - INT172</t>
        </is>
      </c>
      <c r="C104" s="117" t="inlineStr">
        <is>
          <t>US</t>
        </is>
      </c>
      <c r="D104" s="117" t="inlineStr">
        <is>
          <t>Sprint 7</t>
        </is>
      </c>
      <c r="E104" s="117" t="inlineStr">
        <is>
          <t>DONE</t>
        </is>
      </c>
      <c r="F104" s="117" t="inlineStr">
        <is>
          <t>Medium</t>
        </is>
      </c>
      <c r="G104" s="115" t="inlineStr">
        <is>
          <t>Release 18</t>
        </is>
      </c>
      <c r="H104" s="117" t="n">
        <v>21</v>
      </c>
      <c r="I104" s="166" t="n"/>
      <c r="J104" s="167" t="n"/>
    </row>
    <row r="105" ht="15" customHeight="1" s="93">
      <c r="A105" s="115" t="inlineStr">
        <is>
          <t>NEW-0248</t>
        </is>
      </c>
      <c r="B105" s="117" t="inlineStr">
        <is>
          <t>Attentive - INT174</t>
        </is>
      </c>
      <c r="C105" s="117" t="inlineStr">
        <is>
          <t>US</t>
        </is>
      </c>
      <c r="D105" s="117" t="inlineStr">
        <is>
          <t>Sprint 7</t>
        </is>
      </c>
      <c r="E105" s="117" t="inlineStr">
        <is>
          <t>DONE</t>
        </is>
      </c>
      <c r="F105" s="117" t="inlineStr">
        <is>
          <t>Medium</t>
        </is>
      </c>
      <c r="G105" s="115" t="inlineStr">
        <is>
          <t>Release 18</t>
        </is>
      </c>
      <c r="H105" s="117" t="n">
        <v>8</v>
      </c>
      <c r="I105" s="166" t="n"/>
      <c r="J105" s="167" t="n"/>
    </row>
    <row r="106" ht="15" customHeight="1" s="93">
      <c r="A106" s="115" t="inlineStr">
        <is>
          <t>NEW-0267</t>
        </is>
      </c>
      <c r="B106" s="117">
        <f>IFERROR(IF(ISBLANK(INDEX(Backlog[Requirement Name],MATCH($A106,Backlog[Requirement ID],0))),"",INDEX(Backlog[Requirement Name],MATCH($A106,Backlog[Requirement ID],0))),"")</f>
        <v/>
      </c>
      <c r="C106" s="117">
        <f>IFERROR(IF(ISBLANK(INDEX(Backlog[Stream],MATCH($A106,Backlog[Requirement ID],0))),"",INDEX(Backlog[Stream],MATCH($A106,Backlog[Requirement ID],0))),"")</f>
        <v/>
      </c>
      <c r="D106" s="117">
        <f>IFERROR(IF(ISBLANK(INDEX(SprintPlanning[Sprint],MATCH($A106,SprintPlanning[Requirement ID],0))),"",INDEX(SprintPlanning[Sprint],MATCH($A106,SprintPlanning[Requirement ID],0))),"")</f>
        <v/>
      </c>
      <c r="E106" s="117">
        <f>IFERROR(IF(ISBLANK(INDEX(Backlog[Status],MATCH($A106,Backlog[Requirement ID],0))),"",INDEX(Backlog[Status],MATCH($A106,Backlog[Requirement ID],0))),"")</f>
        <v/>
      </c>
      <c r="F106" s="117">
        <f>IFERROR(IF(ISBLANK(INDEX(Backlog[Priority],MATCH($A106,Backlog[Requirement ID],0))),"",INDEX(Backlog[Priority],MATCH($A106,Backlog[Requirement ID],0))),"")</f>
        <v/>
      </c>
      <c r="G106" s="115" t="n"/>
      <c r="H106" s="117">
        <f>IFERROR(IF(ISBLANK(INDEX(Backlog[HLE],MATCH($A106,Backlog[Requirement ID],0))),"",INDEX(Backlog[HLE],MATCH($A106,Backlog[Requirement ID],0))),"")</f>
        <v/>
      </c>
      <c r="I106" s="166" t="n"/>
      <c r="J106" s="167" t="n"/>
    </row>
    <row r="107" ht="15" customHeight="1" s="93">
      <c r="A107" s="115" t="inlineStr">
        <is>
          <t>NEW-0269</t>
        </is>
      </c>
      <c r="B107" s="117" t="inlineStr">
        <is>
          <t>Pre-booking customisation - Free Balcony Upgrades</t>
        </is>
      </c>
      <c r="C107" s="117" t="inlineStr">
        <is>
          <t>US</t>
        </is>
      </c>
      <c r="D107" s="117" t="inlineStr">
        <is>
          <t>Sprint 7</t>
        </is>
      </c>
      <c r="E107" s="117" t="inlineStr">
        <is>
          <t>DONE</t>
        </is>
      </c>
      <c r="F107" s="117" t="inlineStr">
        <is>
          <t>Medium</t>
        </is>
      </c>
      <c r="G107" s="115" t="inlineStr">
        <is>
          <t>Release 18</t>
        </is>
      </c>
      <c r="H107" s="117" t="n">
        <v>3</v>
      </c>
      <c r="I107" s="166" t="n"/>
      <c r="J107" s="167" t="n"/>
    </row>
    <row r="108" ht="15" customHeight="1" s="93">
      <c r="A108" s="115" t="inlineStr">
        <is>
          <t>NEW-0271</t>
        </is>
      </c>
      <c r="B108" s="117" t="inlineStr">
        <is>
          <t>INT 002 CR - Kids Sail Free</t>
        </is>
      </c>
      <c r="C108" s="117" t="inlineStr">
        <is>
          <t>US</t>
        </is>
      </c>
      <c r="D108" s="117" t="inlineStr">
        <is>
          <t>Sprint 7</t>
        </is>
      </c>
      <c r="E108" s="117" t="inlineStr">
        <is>
          <t>DONE</t>
        </is>
      </c>
      <c r="F108" s="117" t="inlineStr">
        <is>
          <t>Medium</t>
        </is>
      </c>
      <c r="G108" s="115" t="inlineStr">
        <is>
          <t>Release 18</t>
        </is>
      </c>
      <c r="H108" s="117" t="n">
        <v>5</v>
      </c>
      <c r="I108" s="166" t="n"/>
      <c r="J108" s="167" t="n"/>
    </row>
    <row r="109" ht="15" customHeight="1" s="93">
      <c r="A109" s="115" t="inlineStr">
        <is>
          <t>NEW-0304</t>
        </is>
      </c>
      <c r="B109" s="117" t="inlineStr">
        <is>
          <t>INT139 / INT140 - Applicability of items during all inclusive logic - CR passenger type logic</t>
        </is>
      </c>
      <c r="C109" s="117" t="inlineStr">
        <is>
          <t>MyMSC</t>
        </is>
      </c>
      <c r="D109" s="117" t="inlineStr">
        <is>
          <t>Sprint 7</t>
        </is>
      </c>
      <c r="E109" s="117" t="inlineStr">
        <is>
          <t>DONE</t>
        </is>
      </c>
      <c r="F109" s="117" t="inlineStr">
        <is>
          <t>Medium</t>
        </is>
      </c>
      <c r="G109" s="115" t="inlineStr">
        <is>
          <t>Release 13</t>
        </is>
      </c>
      <c r="H109" s="117" t="n">
        <v>2</v>
      </c>
      <c r="I109" s="166" t="n"/>
      <c r="J109" s="167" t="n"/>
    </row>
    <row r="110" ht="15" customHeight="1" s="93">
      <c r="A110" s="115" t="inlineStr">
        <is>
          <t>NEW-0310</t>
        </is>
      </c>
      <c r="B110" s="117" t="inlineStr">
        <is>
          <t>Super Agency Access - Short term workaround CR</t>
        </is>
      </c>
      <c r="C110" s="117" t="inlineStr">
        <is>
          <t>MyMSC</t>
        </is>
      </c>
      <c r="D110" s="117" t="inlineStr">
        <is>
          <t>Sprint 7</t>
        </is>
      </c>
      <c r="E110" s="117" t="inlineStr">
        <is>
          <t>DONE</t>
        </is>
      </c>
      <c r="F110" s="117" t="inlineStr">
        <is>
          <t>Medium</t>
        </is>
      </c>
      <c r="G110" s="115" t="n"/>
      <c r="H110" s="117" t="n">
        <v>3</v>
      </c>
      <c r="I110" s="166" t="n"/>
      <c r="J110" s="167" t="n"/>
    </row>
    <row r="111" ht="15" customHeight="1" s="93">
      <c r="A111" s="115" t="inlineStr">
        <is>
          <t>NEW-0312</t>
        </is>
      </c>
      <c r="B111" s="117" t="inlineStr">
        <is>
          <t>INT114 Modify rule on departure date</t>
        </is>
      </c>
      <c r="C111" s="117" t="inlineStr">
        <is>
          <t>MyMSC</t>
        </is>
      </c>
      <c r="D111" s="117" t="inlineStr">
        <is>
          <t>Sprint 7</t>
        </is>
      </c>
      <c r="E111" s="117" t="inlineStr">
        <is>
          <t>DONE</t>
        </is>
      </c>
      <c r="F111" s="117" t="inlineStr">
        <is>
          <t>Medium</t>
        </is>
      </c>
      <c r="G111" s="115" t="inlineStr">
        <is>
          <t>Release 15</t>
        </is>
      </c>
      <c r="H111" s="117" t="n">
        <v>2</v>
      </c>
      <c r="I111" s="166" t="n"/>
      <c r="J111" s="167" t="n"/>
    </row>
    <row r="112" ht="15" customHeight="1" s="93">
      <c r="A112" s="115" t="inlineStr">
        <is>
          <t>NEW-0388</t>
        </is>
      </c>
      <c r="B112" s="117" t="inlineStr">
        <is>
          <t>DTTP - Sign Up Event Tracking in AEP/AJO/CDP/SALESFORCE_EAImpact</t>
        </is>
      </c>
      <c r="C112" s="117" t="inlineStr">
        <is>
          <t>PI10</t>
        </is>
      </c>
      <c r="D112" s="117" t="inlineStr">
        <is>
          <t>Sprint 7</t>
        </is>
      </c>
      <c r="E112" s="117" t="inlineStr">
        <is>
          <t>DONE</t>
        </is>
      </c>
      <c r="F112" s="117" t="inlineStr">
        <is>
          <t>Medium</t>
        </is>
      </c>
      <c r="G112" s="115" t="inlineStr">
        <is>
          <t>Release 15C</t>
        </is>
      </c>
      <c r="H112" s="117" t="n">
        <v>5</v>
      </c>
      <c r="I112" s="166" t="n"/>
      <c r="J112" s="167" t="n"/>
    </row>
    <row r="113" ht="15" customHeight="1" s="93">
      <c r="A113" s="115" t="inlineStr">
        <is>
          <t>NEW-0390</t>
        </is>
      </c>
      <c r="B113" s="117" t="inlineStr">
        <is>
          <t>CRM - Consent Management - Profiling info in the Customer Event table CDP/AJ0_EAImpact</t>
        </is>
      </c>
      <c r="C113" s="117" t="inlineStr">
        <is>
          <t>PI10</t>
        </is>
      </c>
      <c r="D113" s="117" t="inlineStr">
        <is>
          <t>Sprint 7</t>
        </is>
      </c>
      <c r="E113" s="117" t="inlineStr">
        <is>
          <t>DONE</t>
        </is>
      </c>
      <c r="F113" s="117" t="inlineStr">
        <is>
          <t>Medium</t>
        </is>
      </c>
      <c r="G113" s="115" t="inlineStr">
        <is>
          <t>Release 15C</t>
        </is>
      </c>
      <c r="H113" s="117" t="n">
        <v>5</v>
      </c>
      <c r="I113" s="166" t="n"/>
      <c r="J113" s="167" t="n"/>
    </row>
    <row r="114" ht="15" customHeight="1" s="93">
      <c r="A114" s="115" t="inlineStr">
        <is>
          <t>NEW-0012</t>
        </is>
      </c>
      <c r="B114" s="117" t="inlineStr">
        <is>
          <t>INT 103 - agency email,.  Representative code in INT 101/ 103 (webform US)</t>
        </is>
      </c>
      <c r="C114" s="117" t="inlineStr">
        <is>
          <t>US</t>
        </is>
      </c>
      <c r="D114" s="117" t="inlineStr">
        <is>
          <t>Sprint 8</t>
        </is>
      </c>
      <c r="E114" s="117" t="inlineStr">
        <is>
          <t>DONE</t>
        </is>
      </c>
      <c r="F114" s="117" t="inlineStr">
        <is>
          <t>Medium</t>
        </is>
      </c>
      <c r="G114" s="115" t="inlineStr">
        <is>
          <t>Release 18</t>
        </is>
      </c>
      <c r="H114" s="117" t="n">
        <v>5</v>
      </c>
      <c r="I114" s="166" t="n"/>
      <c r="J114" s="167" t="n"/>
    </row>
    <row r="115" ht="15" customHeight="1" s="93">
      <c r="A115" s="115" t="inlineStr">
        <is>
          <t>NEW-0015</t>
        </is>
      </c>
      <c r="B115" s="117" t="inlineStr">
        <is>
          <t>Tokenisation - CR - INT 007/ INT 146</t>
        </is>
      </c>
      <c r="C115" s="117" t="inlineStr">
        <is>
          <t>US</t>
        </is>
      </c>
      <c r="D115" s="117" t="inlineStr">
        <is>
          <t>Sprint 8</t>
        </is>
      </c>
      <c r="E115" s="117" t="inlineStr">
        <is>
          <t>DONE</t>
        </is>
      </c>
      <c r="F115" s="117" t="inlineStr">
        <is>
          <t>Medium</t>
        </is>
      </c>
      <c r="G115" s="115" t="inlineStr">
        <is>
          <t>Release 18</t>
        </is>
      </c>
      <c r="H115" s="117" t="n">
        <v>5</v>
      </c>
      <c r="I115" s="166" t="n"/>
      <c r="J115" s="167" t="n"/>
    </row>
    <row r="116" ht="15" customHeight="1" s="93">
      <c r="A116" s="115" t="inlineStr">
        <is>
          <t>NEW-0042</t>
        </is>
      </c>
      <c r="B116" s="117" t="inlineStr">
        <is>
          <t>Idempotency Key for Prepaids + Refund</t>
        </is>
      </c>
      <c r="C116" s="117" t="inlineStr">
        <is>
          <t>MyMSC</t>
        </is>
      </c>
      <c r="D116" s="117" t="inlineStr">
        <is>
          <t>Sprint 8</t>
        </is>
      </c>
      <c r="E116" s="117" t="inlineStr">
        <is>
          <t>DONE</t>
        </is>
      </c>
      <c r="F116" s="117" t="inlineStr">
        <is>
          <t>Medium</t>
        </is>
      </c>
      <c r="G116" s="115" t="inlineStr">
        <is>
          <t>Release 15</t>
        </is>
      </c>
      <c r="H116" s="117" t="n">
        <v>3</v>
      </c>
      <c r="I116" s="166" t="n"/>
      <c r="J116" s="167" t="n"/>
    </row>
    <row r="117" ht="15" customHeight="1" s="93">
      <c r="A117" s="115" t="inlineStr">
        <is>
          <t>NEW-0043</t>
        </is>
      </c>
      <c r="B117" s="117" t="inlineStr">
        <is>
          <t>CR INT 113 - FormofPayment (PL)</t>
        </is>
      </c>
      <c r="C117" s="117" t="inlineStr">
        <is>
          <t>MyMSC</t>
        </is>
      </c>
      <c r="D117" s="117" t="inlineStr">
        <is>
          <t>Sprint 8</t>
        </is>
      </c>
      <c r="E117" s="117" t="inlineStr">
        <is>
          <t>DONE</t>
        </is>
      </c>
      <c r="F117" s="117" t="inlineStr">
        <is>
          <t>Medium</t>
        </is>
      </c>
      <c r="G117" s="115" t="n"/>
      <c r="H117" s="117" t="n">
        <v>2</v>
      </c>
      <c r="I117" s="166" t="n"/>
      <c r="J117" s="167" t="n"/>
    </row>
    <row r="118" ht="15" customHeight="1" s="93">
      <c r="A118" s="115" t="inlineStr">
        <is>
          <t>NEW-0044</t>
        </is>
      </c>
      <c r="B118" s="117" t="inlineStr">
        <is>
          <t>CR INT 113/ INT 142 - Group type field</t>
        </is>
      </c>
      <c r="C118" s="117" t="inlineStr">
        <is>
          <t>MyMSC</t>
        </is>
      </c>
      <c r="D118" s="117" t="inlineStr">
        <is>
          <t>Sprint 8</t>
        </is>
      </c>
      <c r="E118" s="117" t="inlineStr">
        <is>
          <t>DONE</t>
        </is>
      </c>
      <c r="F118" s="117" t="inlineStr">
        <is>
          <t>Medium</t>
        </is>
      </c>
      <c r="G118" s="115" t="n"/>
      <c r="H118" s="117" t="n">
        <v>3</v>
      </c>
      <c r="I118" s="166" t="n"/>
      <c r="J118" s="167" t="n"/>
    </row>
    <row r="119" ht="15" customHeight="1" s="93">
      <c r="A119" s="115" t="inlineStr">
        <is>
          <t>NEW-0263</t>
        </is>
      </c>
      <c r="B119" s="117" t="inlineStr">
        <is>
          <t>B2CW Payment Review - Data Lodging - INT140 &amp; INT146 - prepaid/cruise booking myAREA</t>
        </is>
      </c>
      <c r="C119" s="117" t="inlineStr">
        <is>
          <t>US</t>
        </is>
      </c>
      <c r="D119" s="117" t="inlineStr">
        <is>
          <t>Sprint 8</t>
        </is>
      </c>
      <c r="E119" s="117" t="inlineStr">
        <is>
          <t>DONE</t>
        </is>
      </c>
      <c r="F119" s="117" t="inlineStr">
        <is>
          <t>Medium</t>
        </is>
      </c>
      <c r="G119" s="115" t="inlineStr">
        <is>
          <t>Release 18</t>
        </is>
      </c>
      <c r="H119" s="117" t="n">
        <v>10</v>
      </c>
      <c r="I119" s="166" t="n"/>
      <c r="J119" s="167" t="n"/>
    </row>
    <row r="120" ht="15" customHeight="1" s="93">
      <c r="A120" s="115" t="inlineStr">
        <is>
          <t>NEW-0264</t>
        </is>
      </c>
      <c r="B120" s="117" t="inlineStr">
        <is>
          <t>Web form for US</t>
        </is>
      </c>
      <c r="C120" s="117" t="inlineStr">
        <is>
          <t>US</t>
        </is>
      </c>
      <c r="D120" s="117" t="inlineStr">
        <is>
          <t>Sprint 8</t>
        </is>
      </c>
      <c r="E120" s="117" t="inlineStr">
        <is>
          <t>DONE</t>
        </is>
      </c>
      <c r="F120" s="117" t="inlineStr">
        <is>
          <t>Medium</t>
        </is>
      </c>
      <c r="G120" s="115" t="inlineStr">
        <is>
          <t>Release 18</t>
        </is>
      </c>
      <c r="H120" s="117" t="n">
        <v>6</v>
      </c>
      <c r="I120" s="166" t="n"/>
      <c r="J120" s="167" t="n"/>
    </row>
    <row r="121" ht="15" customHeight="1" s="93">
      <c r="A121" s="115" t="inlineStr">
        <is>
          <t>NEW-0272</t>
        </is>
      </c>
      <c r="B121" s="117" t="inlineStr">
        <is>
          <t>B2CW Payment Review Tokenisation - CR to update AJO/CDP A013/A070</t>
        </is>
      </c>
      <c r="C121" s="117" t="inlineStr">
        <is>
          <t>US</t>
        </is>
      </c>
      <c r="D121" s="117" t="inlineStr">
        <is>
          <t>Sprint 8</t>
        </is>
      </c>
      <c r="E121" s="117" t="inlineStr">
        <is>
          <t>DONE</t>
        </is>
      </c>
      <c r="F121" s="117" t="inlineStr">
        <is>
          <t>Medium</t>
        </is>
      </c>
      <c r="G121" s="115" t="inlineStr">
        <is>
          <t>Release 18</t>
        </is>
      </c>
      <c r="H121" s="117" t="n">
        <v>5</v>
      </c>
      <c r="I121" s="166" t="n"/>
      <c r="J121" s="167" t="n"/>
    </row>
    <row r="122" ht="15" customHeight="1" s="93">
      <c r="A122" s="115" t="inlineStr">
        <is>
          <t>NEW-0292</t>
        </is>
      </c>
      <c r="B122" s="117" t="inlineStr">
        <is>
          <t>INT139 / INT140 - CR - Klarna Prepaid + PDC Customer Contacts</t>
        </is>
      </c>
      <c r="C122" s="117" t="inlineStr">
        <is>
          <t>MyMSC</t>
        </is>
      </c>
      <c r="D122" s="117" t="inlineStr">
        <is>
          <t>Sprint 8</t>
        </is>
      </c>
      <c r="E122" s="117" t="inlineStr">
        <is>
          <t>DONE</t>
        </is>
      </c>
      <c r="F122" s="117" t="inlineStr">
        <is>
          <t>Medium</t>
        </is>
      </c>
      <c r="G122" s="115" t="n"/>
      <c r="H122" s="117" t="n">
        <v>16</v>
      </c>
      <c r="I122" s="166" t="n"/>
      <c r="J122" s="167" t="n"/>
    </row>
    <row r="123" ht="15" customHeight="1" s="93">
      <c r="A123" s="115" t="inlineStr">
        <is>
          <t>NEW-0293</t>
        </is>
      </c>
      <c r="B123" s="117" t="inlineStr">
        <is>
          <t>INT145 - CR - Klarna - MyMSC Checkout Payment Support</t>
        </is>
      </c>
      <c r="C123" s="117" t="inlineStr">
        <is>
          <t>MyMSC</t>
        </is>
      </c>
      <c r="D123" s="117" t="inlineStr">
        <is>
          <t>Sprint 8</t>
        </is>
      </c>
      <c r="E123" s="117" t="inlineStr">
        <is>
          <t>DONE</t>
        </is>
      </c>
      <c r="F123" s="117" t="inlineStr">
        <is>
          <t>Medium</t>
        </is>
      </c>
      <c r="G123" s="115" t="inlineStr">
        <is>
          <t>Release 16</t>
        </is>
      </c>
      <c r="H123" s="117" t="n">
        <v>8</v>
      </c>
      <c r="I123" s="166" t="n"/>
      <c r="J123" s="167" t="n"/>
    </row>
    <row r="124" ht="15" customHeight="1" s="93">
      <c r="A124" s="115" t="inlineStr">
        <is>
          <t>NEW-0313</t>
        </is>
      </c>
      <c r="B124" s="117" t="inlineStr">
        <is>
          <t>Idempotency on booking payments</t>
        </is>
      </c>
      <c r="C124" s="117" t="inlineStr">
        <is>
          <t>MyMSC</t>
        </is>
      </c>
      <c r="D124" s="117" t="inlineStr">
        <is>
          <t>Sprint 8</t>
        </is>
      </c>
      <c r="E124" s="117" t="inlineStr">
        <is>
          <t>DONE</t>
        </is>
      </c>
      <c r="F124" s="117" t="inlineStr">
        <is>
          <t>Medium</t>
        </is>
      </c>
      <c r="G124" s="115" t="inlineStr">
        <is>
          <t>Release 15</t>
        </is>
      </c>
      <c r="H124" s="117" t="n">
        <v>8</v>
      </c>
      <c r="I124" s="166" t="n"/>
      <c r="J124" s="167" t="n"/>
    </row>
    <row r="125" ht="15" customHeight="1" s="93">
      <c r="A125" s="115" t="inlineStr">
        <is>
          <t>NEW-0341</t>
        </is>
      </c>
      <c r="B125" s="117" t="inlineStr">
        <is>
          <t>DTS Post Booking Migration - Market US + CAN</t>
        </is>
      </c>
      <c r="C125" s="117" t="inlineStr">
        <is>
          <t>Backlog</t>
        </is>
      </c>
      <c r="D125" s="117" t="inlineStr">
        <is>
          <t>Sprint 8</t>
        </is>
      </c>
      <c r="E125" s="117" t="inlineStr">
        <is>
          <t>DONE</t>
        </is>
      </c>
      <c r="F125" s="117" t="inlineStr">
        <is>
          <t>Medium</t>
        </is>
      </c>
      <c r="G125" s="115" t="inlineStr">
        <is>
          <t>Release 15C</t>
        </is>
      </c>
      <c r="H125" s="117" t="n">
        <v>8</v>
      </c>
      <c r="I125" s="166" t="n"/>
      <c r="J125" s="167" t="n"/>
    </row>
    <row r="126" ht="15" customHeight="1" s="93">
      <c r="A126" s="115" t="inlineStr">
        <is>
          <t>NEW-0342</t>
        </is>
      </c>
      <c r="B126" s="117" t="inlineStr">
        <is>
          <t>CDP / DTS Post Booking - CR - Pax details Change</t>
        </is>
      </c>
      <c r="C126" s="117" t="inlineStr">
        <is>
          <t>Backlog</t>
        </is>
      </c>
      <c r="D126" s="117" t="inlineStr">
        <is>
          <t>Sprint 8</t>
        </is>
      </c>
      <c r="E126" s="117" t="inlineStr">
        <is>
          <t>DONE</t>
        </is>
      </c>
      <c r="F126" s="117" t="inlineStr">
        <is>
          <t>Medium</t>
        </is>
      </c>
      <c r="G126" s="115" t="n"/>
      <c r="H126" s="117" t="n">
        <v>5</v>
      </c>
      <c r="I126" s="166" t="n"/>
      <c r="J126" s="167" t="n"/>
    </row>
    <row r="127" ht="15" customHeight="1" s="93">
      <c r="A127" s="115" t="inlineStr">
        <is>
          <t>NEW-0047</t>
        </is>
      </c>
      <c r="B127" s="117" t="inlineStr">
        <is>
          <t>Load Test + Performance Enhancements</t>
        </is>
      </c>
      <c r="C127" s="117" t="inlineStr">
        <is>
          <t>US</t>
        </is>
      </c>
      <c r="D127" s="117" t="inlineStr">
        <is>
          <t>Sprint 9</t>
        </is>
      </c>
      <c r="E127" s="117" t="inlineStr">
        <is>
          <t>DONE</t>
        </is>
      </c>
      <c r="F127" s="117" t="inlineStr">
        <is>
          <t>Medium</t>
        </is>
      </c>
      <c r="G127" s="115" t="inlineStr">
        <is>
          <t>Release 18</t>
        </is>
      </c>
      <c r="H127" s="117" t="n">
        <v>40</v>
      </c>
      <c r="I127" s="166" t="n"/>
      <c r="J127" s="167" t="n"/>
    </row>
    <row r="128" ht="15" customHeight="1" s="93">
      <c r="A128" s="115" t="inlineStr">
        <is>
          <t>NEW-0048</t>
        </is>
      </c>
      <c r="B128" s="117" t="inlineStr">
        <is>
          <t>API Prod Configurations</t>
        </is>
      </c>
      <c r="C128" s="117" t="inlineStr">
        <is>
          <t>US</t>
        </is>
      </c>
      <c r="D128" s="117" t="inlineStr">
        <is>
          <t>Sprint 9</t>
        </is>
      </c>
      <c r="E128" s="117" t="inlineStr">
        <is>
          <t>DONE</t>
        </is>
      </c>
      <c r="F128" s="117" t="inlineStr">
        <is>
          <t>Medium</t>
        </is>
      </c>
      <c r="G128" s="115" t="inlineStr">
        <is>
          <t>Release 18</t>
        </is>
      </c>
      <c r="H128" s="117" t="n">
        <v>8</v>
      </c>
      <c r="I128" s="166" t="n"/>
      <c r="J128" s="167" t="n"/>
    </row>
    <row r="129" ht="15" customHeight="1" s="93">
      <c r="A129" s="115" t="inlineStr">
        <is>
          <t>NEW-0049</t>
        </is>
      </c>
      <c r="B129" s="117" t="inlineStr">
        <is>
          <t>Redo configs of US in Chain 1 branches for non-prod/ prod</t>
        </is>
      </c>
      <c r="C129" s="117" t="inlineStr">
        <is>
          <t>US</t>
        </is>
      </c>
      <c r="D129" s="117" t="inlineStr">
        <is>
          <t>Sprint 9</t>
        </is>
      </c>
      <c r="E129" s="117" t="inlineStr">
        <is>
          <t>DONE</t>
        </is>
      </c>
      <c r="F129" s="117" t="inlineStr">
        <is>
          <t>Medium</t>
        </is>
      </c>
      <c r="G129" s="115" t="inlineStr">
        <is>
          <t>Release 18</t>
        </is>
      </c>
      <c r="H129" s="117" t="n">
        <v>8</v>
      </c>
      <c r="I129" s="166" t="n"/>
      <c r="J129" s="167" t="n"/>
    </row>
    <row r="130" ht="15" customHeight="1" s="93">
      <c r="A130" s="115" t="inlineStr">
        <is>
          <t>NEW-0050</t>
        </is>
      </c>
      <c r="B130" s="117" t="inlineStr">
        <is>
          <t>Redo market routing logic to cover calls to CDP for Chain 1</t>
        </is>
      </c>
      <c r="C130" s="117" t="inlineStr">
        <is>
          <t>US</t>
        </is>
      </c>
      <c r="D130" s="117" t="inlineStr">
        <is>
          <t>Sprint 9</t>
        </is>
      </c>
      <c r="E130" s="117" t="inlineStr">
        <is>
          <t>DONE</t>
        </is>
      </c>
      <c r="F130" s="117" t="inlineStr">
        <is>
          <t>Medium</t>
        </is>
      </c>
      <c r="G130" s="115" t="inlineStr">
        <is>
          <t>Release 18</t>
        </is>
      </c>
      <c r="H130" s="117" t="n">
        <v>13</v>
      </c>
      <c r="I130" s="166" t="n"/>
      <c r="J130" s="167" t="n"/>
    </row>
    <row r="131" ht="15" customHeight="1" s="93">
      <c r="A131" s="115" t="inlineStr">
        <is>
          <t>NEW-0051</t>
        </is>
      </c>
      <c r="B131" s="117" t="inlineStr">
        <is>
          <t>US Migration to CHAIN1</t>
        </is>
      </c>
      <c r="C131" s="117" t="inlineStr">
        <is>
          <t>US</t>
        </is>
      </c>
      <c r="D131" s="117" t="inlineStr">
        <is>
          <t>Sprint 9</t>
        </is>
      </c>
      <c r="E131" s="117" t="inlineStr">
        <is>
          <t>DONE</t>
        </is>
      </c>
      <c r="F131" s="117" t="inlineStr">
        <is>
          <t>High</t>
        </is>
      </c>
      <c r="G131" s="115" t="inlineStr">
        <is>
          <t>Release 18</t>
        </is>
      </c>
      <c r="H131" s="117" t="n">
        <v>5</v>
      </c>
      <c r="I131" s="166" t="n"/>
      <c r="J131" s="167" t="n"/>
    </row>
    <row r="132" ht="15" customHeight="1" s="93">
      <c r="A132" s="115" t="inlineStr">
        <is>
          <t>NEW-0053</t>
        </is>
      </c>
      <c r="B132" s="117" t="inlineStr">
        <is>
          <t>US Configuration CHAIN1/2</t>
        </is>
      </c>
      <c r="C132" s="117" t="inlineStr">
        <is>
          <t>MyMSC</t>
        </is>
      </c>
      <c r="D132" s="117" t="inlineStr">
        <is>
          <t>Sprint 9</t>
        </is>
      </c>
      <c r="E132" s="117" t="inlineStr">
        <is>
          <t>DONE</t>
        </is>
      </c>
      <c r="F132" s="117" t="inlineStr">
        <is>
          <t>Medium</t>
        </is>
      </c>
      <c r="G132" s="115" t="inlineStr">
        <is>
          <t>Release 18</t>
        </is>
      </c>
      <c r="H132" s="117" t="n">
        <v>8</v>
      </c>
      <c r="I132" s="166" t="n"/>
      <c r="J132" s="167" t="n"/>
    </row>
    <row r="133" ht="15" customHeight="1" s="93">
      <c r="A133" s="115" t="inlineStr">
        <is>
          <t>NEW-0055</t>
        </is>
      </c>
      <c r="B133" s="117" t="inlineStr">
        <is>
          <t>Release Preparation (Release 15, M4M, US)</t>
        </is>
      </c>
      <c r="C133" s="117" t="inlineStr">
        <is>
          <t>Cross</t>
        </is>
      </c>
      <c r="D133" s="117" t="inlineStr">
        <is>
          <t>Sprint 9</t>
        </is>
      </c>
      <c r="E133" s="117" t="inlineStr">
        <is>
          <t>DONE</t>
        </is>
      </c>
      <c r="F133" s="117" t="inlineStr">
        <is>
          <t>High</t>
        </is>
      </c>
      <c r="G133" s="115" t="inlineStr">
        <is>
          <t>Release 18</t>
        </is>
      </c>
      <c r="H133" s="117" t="n">
        <v>21</v>
      </c>
      <c r="I133" s="166" t="n"/>
      <c r="J133" s="167" t="n"/>
    </row>
    <row r="134" ht="15" customHeight="1" s="93">
      <c r="A134" s="115" t="inlineStr">
        <is>
          <t>NEW-0359</t>
        </is>
      </c>
      <c r="B134" s="117" t="inlineStr">
        <is>
          <t>Paypal Reconciliation for booking payments</t>
        </is>
      </c>
      <c r="C134" s="117" t="inlineStr">
        <is>
          <t>Growth</t>
        </is>
      </c>
      <c r="D134" s="117" t="inlineStr">
        <is>
          <t>Sprint 9</t>
        </is>
      </c>
      <c r="E134" s="117" t="inlineStr">
        <is>
          <t>DONE</t>
        </is>
      </c>
      <c r="F134" s="117" t="inlineStr">
        <is>
          <t>High</t>
        </is>
      </c>
      <c r="G134" s="115" t="inlineStr">
        <is>
          <t>Release 18</t>
        </is>
      </c>
      <c r="H134" s="117" t="n">
        <v>5</v>
      </c>
      <c r="I134" s="166" t="n"/>
      <c r="J134" s="167" t="n"/>
    </row>
    <row r="135" ht="15" customHeight="1" s="93">
      <c r="A135" s="115" t="inlineStr">
        <is>
          <t>NEW-0389</t>
        </is>
      </c>
      <c r="B135" s="117">
        <f>IFERROR(IF(ISBLANK(INDEX(Backlog[Requirement Name],MATCH($A135,Backlog[Requirement ID],0))),"",INDEX(Backlog[Requirement Name],MATCH($A135,Backlog[Requirement ID],0))),"")</f>
        <v/>
      </c>
      <c r="C135" s="117">
        <f>IFERROR(IF(ISBLANK(INDEX(Backlog[Stream],MATCH($A135,Backlog[Requirement ID],0))),"",INDEX(Backlog[Stream],MATCH($A135,Backlog[Requirement ID],0))),"")</f>
        <v/>
      </c>
      <c r="D135" s="117">
        <f>IFERROR(IF(ISBLANK(INDEX(SprintPlanning[Sprint],MATCH($A135,SprintPlanning[Requirement ID],0))),"",INDEX(SprintPlanning[Sprint],MATCH($A135,SprintPlanning[Requirement ID],0))),"")</f>
        <v/>
      </c>
      <c r="E135" s="117">
        <f>IFERROR(IF(ISBLANK(INDEX(Backlog[Status],MATCH($A135,Backlog[Requirement ID],0))),"",INDEX(Backlog[Status],MATCH($A135,Backlog[Requirement ID],0))),"")</f>
        <v/>
      </c>
      <c r="F135" s="117">
        <f>IFERROR(IF(ISBLANK(INDEX(Backlog[Priority],MATCH($A135,Backlog[Requirement ID],0))),"",INDEX(Backlog[Priority],MATCH($A135,Backlog[Requirement ID],0))),"")</f>
        <v/>
      </c>
      <c r="G135" s="115" t="n"/>
      <c r="H135" s="117">
        <f>IFERROR(IF(ISBLANK(INDEX(Backlog[HLE],MATCH($A135,Backlog[Requirement ID],0))),"",INDEX(Backlog[HLE],MATCH($A135,Backlog[Requirement ID],0))),"")</f>
        <v/>
      </c>
      <c r="I135" s="166" t="n"/>
      <c r="J135" s="167" t="n"/>
    </row>
    <row r="136" ht="15" customHeight="1" s="93">
      <c r="A136" s="115" t="inlineStr">
        <is>
          <t>NEW-0392</t>
        </is>
      </c>
      <c r="B136" s="117" t="inlineStr">
        <is>
          <t>INT183 - Add price per night</t>
        </is>
      </c>
      <c r="C136" s="117" t="inlineStr">
        <is>
          <t>PI10</t>
        </is>
      </c>
      <c r="D136" s="117" t="inlineStr">
        <is>
          <t>Sprint 9</t>
        </is>
      </c>
      <c r="E136" s="117" t="inlineStr">
        <is>
          <t>DONE</t>
        </is>
      </c>
      <c r="F136" s="117" t="inlineStr">
        <is>
          <t>High</t>
        </is>
      </c>
      <c r="G136" s="115" t="n"/>
      <c r="H136" s="117" t="n">
        <v>3</v>
      </c>
      <c r="I136" s="166" t="n"/>
      <c r="J136" s="167" t="n"/>
    </row>
    <row r="137" ht="15" customHeight="1" s="93">
      <c r="A137" s="115" t="inlineStr">
        <is>
          <t>NEW-0057</t>
        </is>
      </c>
      <c r="B137" s="117">
        <f>IFERROR(IF(ISBLANK(INDEX(Backlog[Requirement Name],MATCH($A137,Backlog[Requirement ID],0))),"",INDEX(Backlog[Requirement Name],MATCH($A137,Backlog[Requirement ID],0))),"")</f>
        <v/>
      </c>
      <c r="C137" s="117">
        <f>IFERROR(IF(ISBLANK(INDEX(Backlog[Stream],MATCH($A137,Backlog[Requirement ID],0))),"",INDEX(Backlog[Stream],MATCH($A137,Backlog[Requirement ID],0))),"")</f>
        <v/>
      </c>
      <c r="D137" s="117">
        <f>IFERROR(IF(ISBLANK(INDEX(SprintPlanning[Sprint],MATCH($A137,SprintPlanning[Requirement ID],0))),"",INDEX(SprintPlanning[Sprint],MATCH($A137,SprintPlanning[Requirement ID],0))),"")</f>
        <v/>
      </c>
      <c r="E137" s="117">
        <f>IFERROR(IF(ISBLANK(INDEX(Backlog[Status],MATCH($A137,Backlog[Requirement ID],0))),"",INDEX(Backlog[Status],MATCH($A137,Backlog[Requirement ID],0))),"")</f>
        <v/>
      </c>
      <c r="F137" s="117">
        <f>IFERROR(IF(ISBLANK(INDEX(Backlog[Priority],MATCH($A137,Backlog[Requirement ID],0))),"",INDEX(Backlog[Priority],MATCH($A137,Backlog[Requirement ID],0))),"")</f>
        <v/>
      </c>
      <c r="G137" s="115" t="inlineStr">
        <is>
          <t>Release 19</t>
        </is>
      </c>
      <c r="H137" s="117">
        <f>IFERROR(IF(ISBLANK(INDEX(Backlog[HLE],MATCH($A137,Backlog[Requirement ID],0))),"",INDEX(Backlog[HLE],MATCH($A137,Backlog[Requirement ID],0))),"")</f>
        <v/>
      </c>
      <c r="I137" s="166" t="n"/>
      <c r="J137" s="167" t="n"/>
    </row>
    <row r="138" ht="15" customHeight="1" s="93">
      <c r="A138" s="115" t="inlineStr">
        <is>
          <t>NEW-0058</t>
        </is>
      </c>
      <c r="B138" s="117">
        <f>IFERROR(IF(ISBLANK(INDEX(Backlog[Requirement Name],MATCH($A138,Backlog[Requirement ID],0))),"",INDEX(Backlog[Requirement Name],MATCH($A138,Backlog[Requirement ID],0))),"")</f>
        <v/>
      </c>
      <c r="C138" s="117">
        <f>IFERROR(IF(ISBLANK(INDEX(Backlog[Stream],MATCH($A138,Backlog[Requirement ID],0))),"",INDEX(Backlog[Stream],MATCH($A138,Backlog[Requirement ID],0))),"")</f>
        <v/>
      </c>
      <c r="D138" s="117">
        <f>IFERROR(IF(ISBLANK(INDEX(SprintPlanning[Sprint],MATCH($A138,SprintPlanning[Requirement ID],0))),"",INDEX(SprintPlanning[Sprint],MATCH($A138,SprintPlanning[Requirement ID],0))),"")</f>
        <v/>
      </c>
      <c r="E138" s="117">
        <f>IFERROR(IF(ISBLANK(INDEX(Backlog[Status],MATCH($A138,Backlog[Requirement ID],0))),"",INDEX(Backlog[Status],MATCH($A138,Backlog[Requirement ID],0))),"")</f>
        <v/>
      </c>
      <c r="F138" s="117">
        <f>IFERROR(IF(ISBLANK(INDEX(Backlog[Priority],MATCH($A138,Backlog[Requirement ID],0))),"",INDEX(Backlog[Priority],MATCH($A138,Backlog[Requirement ID],0))),"")</f>
        <v/>
      </c>
      <c r="G138" s="115" t="inlineStr">
        <is>
          <t>Release 19</t>
        </is>
      </c>
      <c r="H138" s="117">
        <f>IFERROR(IF(ISBLANK(INDEX(Backlog[HLE],MATCH($A138,Backlog[Requirement ID],0))),"",INDEX(Backlog[HLE],MATCH($A138,Backlog[Requirement ID],0))),"")</f>
        <v/>
      </c>
      <c r="I138" s="166" t="n"/>
      <c r="J138" s="167" t="n"/>
    </row>
    <row r="139" ht="15" customHeight="1" s="93">
      <c r="A139" s="115" t="inlineStr">
        <is>
          <t>NEW-0060</t>
        </is>
      </c>
      <c r="B139" s="117">
        <f>IFERROR(IF(ISBLANK(INDEX(Backlog[Requirement Name],MATCH($A139,Backlog[Requirement ID],0))),"",INDEX(Backlog[Requirement Name],MATCH($A139,Backlog[Requirement ID],0))),"")</f>
        <v/>
      </c>
      <c r="C139" s="117">
        <f>IFERROR(IF(ISBLANK(INDEX(Backlog[Stream],MATCH($A139,Backlog[Requirement ID],0))),"",INDEX(Backlog[Stream],MATCH($A139,Backlog[Requirement ID],0))),"")</f>
        <v/>
      </c>
      <c r="D139" s="117">
        <f>IFERROR(IF(ISBLANK(INDEX(SprintPlanning[Sprint],MATCH($A139,SprintPlanning[Requirement ID],0))),"",INDEX(SprintPlanning[Sprint],MATCH($A139,SprintPlanning[Requirement ID],0))),"")</f>
        <v/>
      </c>
      <c r="E139" s="117">
        <f>IFERROR(IF(ISBLANK(INDEX(Backlog[Status],MATCH($A139,Backlog[Requirement ID],0))),"",INDEX(Backlog[Status],MATCH($A139,Backlog[Requirement ID],0))),"")</f>
        <v/>
      </c>
      <c r="F139" s="117">
        <f>IFERROR(IF(ISBLANK(INDEX(Backlog[Priority],MATCH($A139,Backlog[Requirement ID],0))),"",INDEX(Backlog[Priority],MATCH($A139,Backlog[Requirement ID],0))),"")</f>
        <v/>
      </c>
      <c r="G139" s="115" t="inlineStr">
        <is>
          <t>Release 19</t>
        </is>
      </c>
      <c r="H139" s="117">
        <f>IFERROR(IF(ISBLANK(INDEX(Backlog[HLE],MATCH($A139,Backlog[Requirement ID],0))),"",INDEX(Backlog[HLE],MATCH($A139,Backlog[Requirement ID],0))),"")</f>
        <v/>
      </c>
      <c r="I139" s="166" t="n"/>
      <c r="J139" s="167" t="n"/>
    </row>
    <row r="140" ht="15" customHeight="1" s="93">
      <c r="A140" s="115" t="inlineStr">
        <is>
          <t>NEW-0061</t>
        </is>
      </c>
      <c r="B140" s="117">
        <f>IFERROR(IF(ISBLANK(INDEX(Backlog[Requirement Name],MATCH($A140,Backlog[Requirement ID],0))),"",INDEX(Backlog[Requirement Name],MATCH($A140,Backlog[Requirement ID],0))),"")</f>
        <v/>
      </c>
      <c r="C140" s="117">
        <f>IFERROR(IF(ISBLANK(INDEX(Backlog[Stream],MATCH($A140,Backlog[Requirement ID],0))),"",INDEX(Backlog[Stream],MATCH($A140,Backlog[Requirement ID],0))),"")</f>
        <v/>
      </c>
      <c r="D140" s="117">
        <f>IFERROR(IF(ISBLANK(INDEX(SprintPlanning[Sprint],MATCH($A140,SprintPlanning[Requirement ID],0))),"",INDEX(SprintPlanning[Sprint],MATCH($A140,SprintPlanning[Requirement ID],0))),"")</f>
        <v/>
      </c>
      <c r="E140" s="117">
        <f>IFERROR(IF(ISBLANK(INDEX(Backlog[Status],MATCH($A140,Backlog[Requirement ID],0))),"",INDEX(Backlog[Status],MATCH($A140,Backlog[Requirement ID],0))),"")</f>
        <v/>
      </c>
      <c r="F140" s="117">
        <f>IFERROR(IF(ISBLANK(INDEX(Backlog[Priority],MATCH($A140,Backlog[Requirement ID],0))),"",INDEX(Backlog[Priority],MATCH($A140,Backlog[Requirement ID],0))),"")</f>
        <v/>
      </c>
      <c r="G140" s="115" t="inlineStr">
        <is>
          <t>Release 19</t>
        </is>
      </c>
      <c r="H140" s="117">
        <f>IFERROR(IF(ISBLANK(INDEX(Backlog[HLE],MATCH($A140,Backlog[Requirement ID],0))),"",INDEX(Backlog[HLE],MATCH($A140,Backlog[Requirement ID],0))),"")</f>
        <v/>
      </c>
      <c r="I140" s="166" t="n"/>
      <c r="J140" s="167" t="n"/>
    </row>
    <row r="141" ht="15" customHeight="1" s="93">
      <c r="A141" s="115" t="inlineStr">
        <is>
          <t>NEW-0063</t>
        </is>
      </c>
      <c r="B141" s="117" t="inlineStr">
        <is>
          <t>INT 005.2 - Support One-Way Air Packages in Flight Availability</t>
        </is>
      </c>
      <c r="C141" s="117" t="inlineStr">
        <is>
          <t>Growth</t>
        </is>
      </c>
      <c r="D141" s="117" t="inlineStr">
        <is>
          <t>Sprint 7</t>
        </is>
      </c>
      <c r="E141" s="117" t="inlineStr">
        <is>
          <t>DONE</t>
        </is>
      </c>
      <c r="F141" s="117" t="inlineStr">
        <is>
          <t>Critical</t>
        </is>
      </c>
      <c r="G141" s="115" t="inlineStr">
        <is>
          <t>Release 15</t>
        </is>
      </c>
      <c r="H141" s="117" t="n">
        <v>5</v>
      </c>
      <c r="I141" s="166" t="n"/>
      <c r="J141" s="167" t="n"/>
    </row>
    <row r="142" ht="15" customHeight="1" s="93">
      <c r="A142" s="115" t="inlineStr">
        <is>
          <t>NEW-0064</t>
        </is>
      </c>
      <c r="B142" s="117">
        <f>IFERROR(IF(ISBLANK(INDEX(Backlog[Requirement Name],MATCH($A142,Backlog[Requirement ID],0))),"",INDEX(Backlog[Requirement Name],MATCH($A142,Backlog[Requirement ID],0))),"")</f>
        <v/>
      </c>
      <c r="C142" s="117">
        <f>IFERROR(IF(ISBLANK(INDEX(Backlog[Stream],MATCH($A142,Backlog[Requirement ID],0))),"",INDEX(Backlog[Stream],MATCH($A142,Backlog[Requirement ID],0))),"")</f>
        <v/>
      </c>
      <c r="D142" s="117">
        <f>IFERROR(IF(ISBLANK(INDEX(SprintPlanning[Sprint],MATCH($A142,SprintPlanning[Requirement ID],0))),"",INDEX(SprintPlanning[Sprint],MATCH($A142,SprintPlanning[Requirement ID],0))),"")</f>
        <v/>
      </c>
      <c r="E142" s="117">
        <f>IFERROR(IF(ISBLANK(INDEX(Backlog[Status],MATCH($A142,Backlog[Requirement ID],0))),"",INDEX(Backlog[Status],MATCH($A142,Backlog[Requirement ID],0))),"")</f>
        <v/>
      </c>
      <c r="F142" s="117">
        <f>IFERROR(IF(ISBLANK(INDEX(Backlog[Priority],MATCH($A142,Backlog[Requirement ID],0))),"",INDEX(Backlog[Priority],MATCH($A142,Backlog[Requirement ID],0))),"")</f>
        <v/>
      </c>
      <c r="G142" s="115" t="n"/>
      <c r="H142" s="117">
        <f>IFERROR(IF(ISBLANK(INDEX(Backlog[HLE],MATCH($A142,Backlog[Requirement ID],0))),"",INDEX(Backlog[HLE],MATCH($A142,Backlog[Requirement ID],0))),"")</f>
        <v/>
      </c>
      <c r="I142" s="166" t="n"/>
      <c r="J142" s="167" t="n"/>
    </row>
    <row r="143" ht="15" customHeight="1" s="93">
      <c r="A143" s="115" t="inlineStr">
        <is>
          <t>NEW-0065</t>
        </is>
      </c>
      <c r="B143" s="117">
        <f>IFERROR(IF(ISBLANK(INDEX(Backlog[Requirement Name],MATCH($A143,Backlog[Requirement ID],0))),"",INDEX(Backlog[Requirement Name],MATCH($A143,Backlog[Requirement ID],0))),"")</f>
        <v/>
      </c>
      <c r="C143" s="117">
        <f>IFERROR(IF(ISBLANK(INDEX(Backlog[Stream],MATCH($A143,Backlog[Requirement ID],0))),"",INDEX(Backlog[Stream],MATCH($A143,Backlog[Requirement ID],0))),"")</f>
        <v/>
      </c>
      <c r="D143" s="117">
        <f>IFERROR(IF(ISBLANK(INDEX(SprintPlanning[Sprint],MATCH($A143,SprintPlanning[Requirement ID],0))),"",INDEX(SprintPlanning[Sprint],MATCH($A143,SprintPlanning[Requirement ID],0))),"")</f>
        <v/>
      </c>
      <c r="E143" s="117">
        <f>IFERROR(IF(ISBLANK(INDEX(Backlog[Status],MATCH($A143,Backlog[Requirement ID],0))),"",INDEX(Backlog[Status],MATCH($A143,Backlog[Requirement ID],0))),"")</f>
        <v/>
      </c>
      <c r="F143" s="117">
        <f>IFERROR(IF(ISBLANK(INDEX(Backlog[Priority],MATCH($A143,Backlog[Requirement ID],0))),"",INDEX(Backlog[Priority],MATCH($A143,Backlog[Requirement ID],0))),"")</f>
        <v/>
      </c>
      <c r="G143" s="115" t="n"/>
      <c r="H143" s="117">
        <f>IFERROR(IF(ISBLANK(INDEX(Backlog[HLE],MATCH($A143,Backlog[Requirement ID],0))),"",INDEX(Backlog[HLE],MATCH($A143,Backlog[Requirement ID],0))),"")</f>
        <v/>
      </c>
      <c r="I143" s="166" t="n"/>
      <c r="J143" s="167" t="n"/>
    </row>
    <row r="144" ht="15" customHeight="1" s="93">
      <c r="A144" s="115" t="inlineStr">
        <is>
          <t>NEW-0066</t>
        </is>
      </c>
      <c r="B144" s="117">
        <f>IFERROR(IF(ISBLANK(INDEX(Backlog[Requirement Name],MATCH($A144,Backlog[Requirement ID],0))),"",INDEX(Backlog[Requirement Name],MATCH($A144,Backlog[Requirement ID],0))),"")</f>
        <v/>
      </c>
      <c r="C144" s="117">
        <f>IFERROR(IF(ISBLANK(INDEX(Backlog[Stream],MATCH($A144,Backlog[Requirement ID],0))),"",INDEX(Backlog[Stream],MATCH($A144,Backlog[Requirement ID],0))),"")</f>
        <v/>
      </c>
      <c r="D144" s="117">
        <f>IFERROR(IF(ISBLANK(INDEX(SprintPlanning[Sprint],MATCH($A144,SprintPlanning[Requirement ID],0))),"",INDEX(SprintPlanning[Sprint],MATCH($A144,SprintPlanning[Requirement ID],0))),"")</f>
        <v/>
      </c>
      <c r="E144" s="117">
        <f>IFERROR(IF(ISBLANK(INDEX(Backlog[Status],MATCH($A144,Backlog[Requirement ID],0))),"",INDEX(Backlog[Status],MATCH($A144,Backlog[Requirement ID],0))),"")</f>
        <v/>
      </c>
      <c r="F144" s="117">
        <f>IFERROR(IF(ISBLANK(INDEX(Backlog[Priority],MATCH($A144,Backlog[Requirement ID],0))),"",INDEX(Backlog[Priority],MATCH($A144,Backlog[Requirement ID],0))),"")</f>
        <v/>
      </c>
      <c r="G144" s="115" t="n"/>
      <c r="H144" s="117">
        <f>IFERROR(IF(ISBLANK(INDEX(Backlog[HLE],MATCH($A144,Backlog[Requirement ID],0))),"",INDEX(Backlog[HLE],MATCH($A144,Backlog[Requirement ID],0))),"")</f>
        <v/>
      </c>
      <c r="I144" s="166" t="n"/>
      <c r="J144" s="167" t="n"/>
    </row>
    <row r="145" ht="15" customHeight="1" s="93">
      <c r="A145" s="115" t="inlineStr">
        <is>
          <t>NEW-0067</t>
        </is>
      </c>
      <c r="B145" s="117">
        <f>IFERROR(IF(ISBLANK(INDEX(Backlog[Requirement Name],MATCH($A145,Backlog[Requirement ID],0))),"",INDEX(Backlog[Requirement Name],MATCH($A145,Backlog[Requirement ID],0))),"")</f>
        <v/>
      </c>
      <c r="C145" s="117">
        <f>IFERROR(IF(ISBLANK(INDEX(Backlog[Stream],MATCH($A145,Backlog[Requirement ID],0))),"",INDEX(Backlog[Stream],MATCH($A145,Backlog[Requirement ID],0))),"")</f>
        <v/>
      </c>
      <c r="D145" s="117">
        <f>IFERROR(IF(ISBLANK(INDEX(SprintPlanning[Sprint],MATCH($A145,SprintPlanning[Requirement ID],0))),"",INDEX(SprintPlanning[Sprint],MATCH($A145,SprintPlanning[Requirement ID],0))),"")</f>
        <v/>
      </c>
      <c r="E145" s="117">
        <f>IFERROR(IF(ISBLANK(INDEX(Backlog[Status],MATCH($A145,Backlog[Requirement ID],0))),"",INDEX(Backlog[Status],MATCH($A145,Backlog[Requirement ID],0))),"")</f>
        <v/>
      </c>
      <c r="F145" s="117">
        <f>IFERROR(IF(ISBLANK(INDEX(Backlog[Priority],MATCH($A145,Backlog[Requirement ID],0))),"",INDEX(Backlog[Priority],MATCH($A145,Backlog[Requirement ID],0))),"")</f>
        <v/>
      </c>
      <c r="G145" s="115" t="n"/>
      <c r="H145" s="117">
        <f>IFERROR(IF(ISBLANK(INDEX(Backlog[HLE],MATCH($A145,Backlog[Requirement ID],0))),"",INDEX(Backlog[HLE],MATCH($A145,Backlog[Requirement ID],0))),"")</f>
        <v/>
      </c>
      <c r="I145" s="166" t="n"/>
      <c r="J145" s="167" t="n"/>
    </row>
    <row r="146" ht="15" customHeight="1" s="93">
      <c r="A146" s="115" t="inlineStr">
        <is>
          <t>NEW-0068</t>
        </is>
      </c>
      <c r="B146" s="117">
        <f>IFERROR(IF(ISBLANK(INDEX(Backlog[Requirement Name],MATCH($A146,Backlog[Requirement ID],0))),"",INDEX(Backlog[Requirement Name],MATCH($A146,Backlog[Requirement ID],0))),"")</f>
        <v/>
      </c>
      <c r="C146" s="117">
        <f>IFERROR(IF(ISBLANK(INDEX(Backlog[Stream],MATCH($A146,Backlog[Requirement ID],0))),"",INDEX(Backlog[Stream],MATCH($A146,Backlog[Requirement ID],0))),"")</f>
        <v/>
      </c>
      <c r="D146" s="117">
        <f>IFERROR(IF(ISBLANK(INDEX(SprintPlanning[Sprint],MATCH($A146,SprintPlanning[Requirement ID],0))),"",INDEX(SprintPlanning[Sprint],MATCH($A146,SprintPlanning[Requirement ID],0))),"")</f>
        <v/>
      </c>
      <c r="E146" s="117">
        <f>IFERROR(IF(ISBLANK(INDEX(Backlog[Status],MATCH($A146,Backlog[Requirement ID],0))),"",INDEX(Backlog[Status],MATCH($A146,Backlog[Requirement ID],0))),"")</f>
        <v/>
      </c>
      <c r="F146" s="117">
        <f>IFERROR(IF(ISBLANK(INDEX(Backlog[Priority],MATCH($A146,Backlog[Requirement ID],0))),"",INDEX(Backlog[Priority],MATCH($A146,Backlog[Requirement ID],0))),"")</f>
        <v/>
      </c>
      <c r="G146" s="115" t="n"/>
      <c r="H146" s="117">
        <f>IFERROR(IF(ISBLANK(INDEX(Backlog[HLE],MATCH($A146,Backlog[Requirement ID],0))),"",INDEX(Backlog[HLE],MATCH($A146,Backlog[Requirement ID],0))),"")</f>
        <v/>
      </c>
      <c r="I146" s="166" t="n"/>
      <c r="J146" s="167" t="n"/>
    </row>
    <row r="147" ht="15" customHeight="1" s="93">
      <c r="A147" s="115" t="inlineStr">
        <is>
          <t>NEW-0071</t>
        </is>
      </c>
      <c r="B147" s="117">
        <f>IFERROR(IF(ISBLANK(INDEX(Backlog[Requirement Name],MATCH($A147,Backlog[Requirement ID],0))),"",INDEX(Backlog[Requirement Name],MATCH($A147,Backlog[Requirement ID],0))),"")</f>
        <v/>
      </c>
      <c r="C147" s="117">
        <f>IFERROR(IF(ISBLANK(INDEX(Backlog[Stream],MATCH($A147,Backlog[Requirement ID],0))),"",INDEX(Backlog[Stream],MATCH($A147,Backlog[Requirement ID],0))),"")</f>
        <v/>
      </c>
      <c r="D147" s="117">
        <f>IFERROR(IF(ISBLANK(INDEX(SprintPlanning[Sprint],MATCH($A147,SprintPlanning[Requirement ID],0))),"",INDEX(SprintPlanning[Sprint],MATCH($A147,SprintPlanning[Requirement ID],0))),"")</f>
        <v/>
      </c>
      <c r="E147" s="117">
        <f>IFERROR(IF(ISBLANK(INDEX(Backlog[Status],MATCH($A147,Backlog[Requirement ID],0))),"",INDEX(Backlog[Status],MATCH($A147,Backlog[Requirement ID],0))),"")</f>
        <v/>
      </c>
      <c r="F147" s="117">
        <f>IFERROR(IF(ISBLANK(INDEX(Backlog[Priority],MATCH($A147,Backlog[Requirement ID],0))),"",INDEX(Backlog[Priority],MATCH($A147,Backlog[Requirement ID],0))),"")</f>
        <v/>
      </c>
      <c r="G147" s="115" t="inlineStr">
        <is>
          <t>Release 19</t>
        </is>
      </c>
      <c r="H147" s="117">
        <f>IFERROR(IF(ISBLANK(INDEX(Backlog[HLE],MATCH($A147,Backlog[Requirement ID],0))),"",INDEX(Backlog[HLE],MATCH($A147,Backlog[Requirement ID],0))),"")</f>
        <v/>
      </c>
      <c r="I147" s="166" t="n"/>
      <c r="J147" s="167" t="n"/>
    </row>
    <row r="148" ht="15" customHeight="1" s="93">
      <c r="A148" s="115" t="inlineStr">
        <is>
          <t>NEW-0275</t>
        </is>
      </c>
      <c r="B148" s="117">
        <f>IFERROR(IF(ISBLANK(INDEX(Backlog[Requirement Name],MATCH($A148,Backlog[Requirement ID],0))),"",INDEX(Backlog[Requirement Name],MATCH($A148,Backlog[Requirement ID],0))),"")</f>
        <v/>
      </c>
      <c r="C148" s="117">
        <f>IFERROR(IF(ISBLANK(INDEX(Backlog[Stream],MATCH($A148,Backlog[Requirement ID],0))),"",INDEX(Backlog[Stream],MATCH($A148,Backlog[Requirement ID],0))),"")</f>
        <v/>
      </c>
      <c r="D148" s="117">
        <f>IFERROR(IF(ISBLANK(INDEX(SprintPlanning[Sprint],MATCH($A148,SprintPlanning[Requirement ID],0))),"",INDEX(SprintPlanning[Sprint],MATCH($A148,SprintPlanning[Requirement ID],0))),"")</f>
        <v/>
      </c>
      <c r="E148" s="117">
        <f>IFERROR(IF(ISBLANK(INDEX(Backlog[Status],MATCH($A148,Backlog[Requirement ID],0))),"",INDEX(Backlog[Status],MATCH($A148,Backlog[Requirement ID],0))),"")</f>
        <v/>
      </c>
      <c r="F148" s="117">
        <f>IFERROR(IF(ISBLANK(INDEX(Backlog[Priority],MATCH($A148,Backlog[Requirement ID],0))),"",INDEX(Backlog[Priority],MATCH($A148,Backlog[Requirement ID],0))),"")</f>
        <v/>
      </c>
      <c r="G148" s="115" t="inlineStr">
        <is>
          <t>Release 19</t>
        </is>
      </c>
      <c r="H148" s="117">
        <f>IFERROR(IF(ISBLANK(INDEX(Backlog[HLE],MATCH($A148,Backlog[Requirement ID],0))),"",INDEX(Backlog[HLE],MATCH($A148,Backlog[Requirement ID],0))),"")</f>
        <v/>
      </c>
      <c r="I148" s="166" t="n"/>
      <c r="J148" s="167" t="n"/>
    </row>
    <row r="149" ht="15" customHeight="1" s="93">
      <c r="A149" s="115" t="inlineStr">
        <is>
          <t>NEW-0290</t>
        </is>
      </c>
      <c r="B149" s="117">
        <f>IFERROR(IF(ISBLANK(INDEX(Backlog[Requirement Name],MATCH($A149,Backlog[Requirement ID],0))),"",INDEX(Backlog[Requirement Name],MATCH($A149,Backlog[Requirement ID],0))),"")</f>
        <v/>
      </c>
      <c r="C149" s="117">
        <f>IFERROR(IF(ISBLANK(INDEX(Backlog[Stream],MATCH($A149,Backlog[Requirement ID],0))),"",INDEX(Backlog[Stream],MATCH($A149,Backlog[Requirement ID],0))),"")</f>
        <v/>
      </c>
      <c r="D149" s="117">
        <f>IFERROR(IF(ISBLANK(INDEX(SprintPlanning[Sprint],MATCH($A149,SprintPlanning[Requirement ID],0))),"",INDEX(SprintPlanning[Sprint],MATCH($A149,SprintPlanning[Requirement ID],0))),"")</f>
        <v/>
      </c>
      <c r="E149" s="117">
        <f>IFERROR(IF(ISBLANK(INDEX(Backlog[Status],MATCH($A149,Backlog[Requirement ID],0))),"",INDEX(Backlog[Status],MATCH($A149,Backlog[Requirement ID],0))),"")</f>
        <v/>
      </c>
      <c r="F149" s="117">
        <f>IFERROR(IF(ISBLANK(INDEX(Backlog[Priority],MATCH($A149,Backlog[Requirement ID],0))),"",INDEX(Backlog[Priority],MATCH($A149,Backlog[Requirement ID],0))),"")</f>
        <v/>
      </c>
      <c r="G149" s="115" t="n"/>
      <c r="H149" s="117">
        <f>IFERROR(IF(ISBLANK(INDEX(Backlog[HLE],MATCH($A149,Backlog[Requirement ID],0))),"",INDEX(Backlog[HLE],MATCH($A149,Backlog[Requirement ID],0))),"")</f>
        <v/>
      </c>
      <c r="I149" s="166" t="n"/>
      <c r="J149" s="167" t="n"/>
    </row>
    <row r="150" ht="15" customHeight="1" s="93">
      <c r="A150" s="115" t="inlineStr">
        <is>
          <t>NEW-0368</t>
        </is>
      </c>
      <c r="B150" s="117">
        <f>IFERROR(IF(ISBLANK(INDEX(Backlog[Requirement Name],MATCH($A150,Backlog[Requirement ID],0))),"",INDEX(Backlog[Requirement Name],MATCH($A150,Backlog[Requirement ID],0))),"")</f>
        <v/>
      </c>
      <c r="C150" s="117">
        <f>IFERROR(IF(ISBLANK(INDEX(Backlog[Stream],MATCH($A150,Backlog[Requirement ID],0))),"",INDEX(Backlog[Stream],MATCH($A150,Backlog[Requirement ID],0))),"")</f>
        <v/>
      </c>
      <c r="D150" s="117">
        <f>IFERROR(IF(ISBLANK(INDEX(SprintPlanning[Sprint],MATCH($A150,SprintPlanning[Requirement ID],0))),"",INDEX(SprintPlanning[Sprint],MATCH($A150,SprintPlanning[Requirement ID],0))),"")</f>
        <v/>
      </c>
      <c r="E150" s="117">
        <f>IFERROR(IF(ISBLANK(INDEX(Backlog[Status],MATCH($A150,Backlog[Requirement ID],0))),"",INDEX(Backlog[Status],MATCH($A150,Backlog[Requirement ID],0))),"")</f>
        <v/>
      </c>
      <c r="F150" s="117">
        <f>IFERROR(IF(ISBLANK(INDEX(Backlog[Priority],MATCH($A150,Backlog[Requirement ID],0))),"",INDEX(Backlog[Priority],MATCH($A150,Backlog[Requirement ID],0))),"")</f>
        <v/>
      </c>
      <c r="G150" s="115" t="inlineStr">
        <is>
          <t>Release 19</t>
        </is>
      </c>
      <c r="H150" s="117">
        <f>IFERROR(IF(ISBLANK(INDEX(Backlog[HLE],MATCH($A150,Backlog[Requirement ID],0))),"",INDEX(Backlog[HLE],MATCH($A150,Backlog[Requirement ID],0))),"")</f>
        <v/>
      </c>
      <c r="I150" s="166" t="n"/>
      <c r="J150" s="167" t="n"/>
    </row>
    <row r="151" ht="15" customHeight="1" s="93">
      <c r="A151" s="115" t="inlineStr">
        <is>
          <t>NEW-0072</t>
        </is>
      </c>
      <c r="B151" s="117">
        <f>IFERROR(IF(ISBLANK(INDEX(Backlog[Requirement Name],MATCH($A151,Backlog[Requirement ID],0))),"",INDEX(Backlog[Requirement Name],MATCH($A151,Backlog[Requirement ID],0))),"")</f>
        <v/>
      </c>
      <c r="C151" s="117">
        <f>IFERROR(IF(ISBLANK(INDEX(Backlog[Stream],MATCH($A151,Backlog[Requirement ID],0))),"",INDEX(Backlog[Stream],MATCH($A151,Backlog[Requirement ID],0))),"")</f>
        <v/>
      </c>
      <c r="D151" s="117">
        <f>IFERROR(IF(ISBLANK(INDEX(SprintPlanning[Sprint],MATCH($A151,SprintPlanning[Requirement ID],0))),"",INDEX(SprintPlanning[Sprint],MATCH($A151,SprintPlanning[Requirement ID],0))),"")</f>
        <v/>
      </c>
      <c r="E151" s="117">
        <f>IFERROR(IF(ISBLANK(INDEX(Backlog[Status],MATCH($A151,Backlog[Requirement ID],0))),"",INDEX(Backlog[Status],MATCH($A151,Backlog[Requirement ID],0))),"")</f>
        <v/>
      </c>
      <c r="F151" s="117">
        <f>IFERROR(IF(ISBLANK(INDEX(Backlog[Priority],MATCH($A151,Backlog[Requirement ID],0))),"",INDEX(Backlog[Priority],MATCH($A151,Backlog[Requirement ID],0))),"")</f>
        <v/>
      </c>
      <c r="G151" s="115" t="n"/>
      <c r="H151" s="117">
        <f>IFERROR(IF(ISBLANK(INDEX(Backlog[HLE],MATCH($A151,Backlog[Requirement ID],0))),"",INDEX(Backlog[HLE],MATCH($A151,Backlog[Requirement ID],0))),"")</f>
        <v/>
      </c>
      <c r="I151" s="166" t="n"/>
      <c r="J151" s="167" t="n"/>
    </row>
    <row r="152" ht="15" customHeight="1" s="93">
      <c r="A152" s="115" t="inlineStr">
        <is>
          <t>NEW-0073</t>
        </is>
      </c>
      <c r="B152" s="117">
        <f>IFERROR(IF(ISBLANK(INDEX(Backlog[Requirement Name],MATCH($A152,Backlog[Requirement ID],0))),"",INDEX(Backlog[Requirement Name],MATCH($A152,Backlog[Requirement ID],0))),"")</f>
        <v/>
      </c>
      <c r="C152" s="117">
        <f>IFERROR(IF(ISBLANK(INDEX(Backlog[Stream],MATCH($A152,Backlog[Requirement ID],0))),"",INDEX(Backlog[Stream],MATCH($A152,Backlog[Requirement ID],0))),"")</f>
        <v/>
      </c>
      <c r="D152" s="117">
        <f>IFERROR(IF(ISBLANK(INDEX(SprintPlanning[Sprint],MATCH($A152,SprintPlanning[Requirement ID],0))),"",INDEX(SprintPlanning[Sprint],MATCH($A152,SprintPlanning[Requirement ID],0))),"")</f>
        <v/>
      </c>
      <c r="E152" s="117">
        <f>IFERROR(IF(ISBLANK(INDEX(Backlog[Status],MATCH($A152,Backlog[Requirement ID],0))),"",INDEX(Backlog[Status],MATCH($A152,Backlog[Requirement ID],0))),"")</f>
        <v/>
      </c>
      <c r="F152" s="117">
        <f>IFERROR(IF(ISBLANK(INDEX(Backlog[Priority],MATCH($A152,Backlog[Requirement ID],0))),"",INDEX(Backlog[Priority],MATCH($A152,Backlog[Requirement ID],0))),"")</f>
        <v/>
      </c>
      <c r="G152" s="115" t="n"/>
      <c r="H152" s="117">
        <f>IFERROR(IF(ISBLANK(INDEX(Backlog[HLE],MATCH($A152,Backlog[Requirement ID],0))),"",INDEX(Backlog[HLE],MATCH($A152,Backlog[Requirement ID],0))),"")</f>
        <v/>
      </c>
      <c r="I152" s="166" t="n"/>
      <c r="J152" s="167" t="n"/>
    </row>
    <row r="153" ht="15" customHeight="1" s="93">
      <c r="A153" s="115" t="inlineStr">
        <is>
          <t>NEW-0074</t>
        </is>
      </c>
      <c r="B153" s="117">
        <f>IFERROR(IF(ISBLANK(INDEX(Backlog[Requirement Name],MATCH($A153,Backlog[Requirement ID],0))),"",INDEX(Backlog[Requirement Name],MATCH($A153,Backlog[Requirement ID],0))),"")</f>
        <v/>
      </c>
      <c r="C153" s="117">
        <f>IFERROR(IF(ISBLANK(INDEX(Backlog[Stream],MATCH($A153,Backlog[Requirement ID],0))),"",INDEX(Backlog[Stream],MATCH($A153,Backlog[Requirement ID],0))),"")</f>
        <v/>
      </c>
      <c r="D153" s="117">
        <f>IFERROR(IF(ISBLANK(INDEX(SprintPlanning[Sprint],MATCH($A153,SprintPlanning[Requirement ID],0))),"",INDEX(SprintPlanning[Sprint],MATCH($A153,SprintPlanning[Requirement ID],0))),"")</f>
        <v/>
      </c>
      <c r="E153" s="117">
        <f>IFERROR(IF(ISBLANK(INDEX(Backlog[Status],MATCH($A153,Backlog[Requirement ID],0))),"",INDEX(Backlog[Status],MATCH($A153,Backlog[Requirement ID],0))),"")</f>
        <v/>
      </c>
      <c r="F153" s="117">
        <f>IFERROR(IF(ISBLANK(INDEX(Backlog[Priority],MATCH($A153,Backlog[Requirement ID],0))),"",INDEX(Backlog[Priority],MATCH($A153,Backlog[Requirement ID],0))),"")</f>
        <v/>
      </c>
      <c r="G153" s="115" t="n"/>
      <c r="H153" s="117">
        <f>IFERROR(IF(ISBLANK(INDEX(Backlog[HLE],MATCH($A153,Backlog[Requirement ID],0))),"",INDEX(Backlog[HLE],MATCH($A153,Backlog[Requirement ID],0))),"")</f>
        <v/>
      </c>
      <c r="I153" s="166" t="n"/>
      <c r="J153" s="167" t="n"/>
    </row>
    <row r="154" ht="15" customHeight="1" s="93">
      <c r="A154" s="115" t="inlineStr">
        <is>
          <t>NEW-0075</t>
        </is>
      </c>
      <c r="B154" s="117">
        <f>IFERROR(IF(ISBLANK(INDEX(Backlog[Requirement Name],MATCH($A154,Backlog[Requirement ID],0))),"",INDEX(Backlog[Requirement Name],MATCH($A154,Backlog[Requirement ID],0))),"")</f>
        <v/>
      </c>
      <c r="C154" s="117">
        <f>IFERROR(IF(ISBLANK(INDEX(Backlog[Stream],MATCH($A154,Backlog[Requirement ID],0))),"",INDEX(Backlog[Stream],MATCH($A154,Backlog[Requirement ID],0))),"")</f>
        <v/>
      </c>
      <c r="D154" s="117">
        <f>IFERROR(IF(ISBLANK(INDEX(SprintPlanning[Sprint],MATCH($A154,SprintPlanning[Requirement ID],0))),"",INDEX(SprintPlanning[Sprint],MATCH($A154,SprintPlanning[Requirement ID],0))),"")</f>
        <v/>
      </c>
      <c r="E154" s="117">
        <f>IFERROR(IF(ISBLANK(INDEX(Backlog[Status],MATCH($A154,Backlog[Requirement ID],0))),"",INDEX(Backlog[Status],MATCH($A154,Backlog[Requirement ID],0))),"")</f>
        <v/>
      </c>
      <c r="F154" s="117">
        <f>IFERROR(IF(ISBLANK(INDEX(Backlog[Priority],MATCH($A154,Backlog[Requirement ID],0))),"",INDEX(Backlog[Priority],MATCH($A154,Backlog[Requirement ID],0))),"")</f>
        <v/>
      </c>
      <c r="G154" s="115" t="n"/>
      <c r="H154" s="117">
        <f>IFERROR(IF(ISBLANK(INDEX(Backlog[HLE],MATCH($A154,Backlog[Requirement ID],0))),"",INDEX(Backlog[HLE],MATCH($A154,Backlog[Requirement ID],0))),"")</f>
        <v/>
      </c>
      <c r="I154" s="166" t="n"/>
      <c r="J154" s="167" t="n"/>
    </row>
    <row r="155" ht="15" customHeight="1" s="93">
      <c r="A155" s="115" t="inlineStr">
        <is>
          <t>NEW-0076</t>
        </is>
      </c>
      <c r="B155" s="117">
        <f>IFERROR(IF(ISBLANK(INDEX(Backlog[Requirement Name],MATCH($A155,Backlog[Requirement ID],0))),"",INDEX(Backlog[Requirement Name],MATCH($A155,Backlog[Requirement ID],0))),"")</f>
        <v/>
      </c>
      <c r="C155" s="117">
        <f>IFERROR(IF(ISBLANK(INDEX(Backlog[Stream],MATCH($A155,Backlog[Requirement ID],0))),"",INDEX(Backlog[Stream],MATCH($A155,Backlog[Requirement ID],0))),"")</f>
        <v/>
      </c>
      <c r="D155" s="117">
        <f>IFERROR(IF(ISBLANK(INDEX(SprintPlanning[Sprint],MATCH($A155,SprintPlanning[Requirement ID],0))),"",INDEX(SprintPlanning[Sprint],MATCH($A155,SprintPlanning[Requirement ID],0))),"")</f>
        <v/>
      </c>
      <c r="E155" s="117">
        <f>IFERROR(IF(ISBLANK(INDEX(Backlog[Status],MATCH($A155,Backlog[Requirement ID],0))),"",INDEX(Backlog[Status],MATCH($A155,Backlog[Requirement ID],0))),"")</f>
        <v/>
      </c>
      <c r="F155" s="117">
        <f>IFERROR(IF(ISBLANK(INDEX(Backlog[Priority],MATCH($A155,Backlog[Requirement ID],0))),"",INDEX(Backlog[Priority],MATCH($A155,Backlog[Requirement ID],0))),"")</f>
        <v/>
      </c>
      <c r="G155" s="115" t="n"/>
      <c r="H155" s="117">
        <f>IFERROR(IF(ISBLANK(INDEX(Backlog[HLE],MATCH($A155,Backlog[Requirement ID],0))),"",INDEX(Backlog[HLE],MATCH($A155,Backlog[Requirement ID],0))),"")</f>
        <v/>
      </c>
      <c r="I155" s="166" t="n"/>
      <c r="J155" s="167" t="n"/>
    </row>
    <row r="156" ht="15" customHeight="1" s="93">
      <c r="A156" s="115" t="inlineStr">
        <is>
          <t>NEW-0077</t>
        </is>
      </c>
      <c r="B156" s="117">
        <f>IFERROR(IF(ISBLANK(INDEX(Backlog[Requirement Name],MATCH($A156,Backlog[Requirement ID],0))),"",INDEX(Backlog[Requirement Name],MATCH($A156,Backlog[Requirement ID],0))),"")</f>
        <v/>
      </c>
      <c r="C156" s="117">
        <f>IFERROR(IF(ISBLANK(INDEX(Backlog[Stream],MATCH($A156,Backlog[Requirement ID],0))),"",INDEX(Backlog[Stream],MATCH($A156,Backlog[Requirement ID],0))),"")</f>
        <v/>
      </c>
      <c r="D156" s="117">
        <f>IFERROR(IF(ISBLANK(INDEX(SprintPlanning[Sprint],MATCH($A156,SprintPlanning[Requirement ID],0))),"",INDEX(SprintPlanning[Sprint],MATCH($A156,SprintPlanning[Requirement ID],0))),"")</f>
        <v/>
      </c>
      <c r="E156" s="117">
        <f>IFERROR(IF(ISBLANK(INDEX(Backlog[Status],MATCH($A156,Backlog[Requirement ID],0))),"",INDEX(Backlog[Status],MATCH($A156,Backlog[Requirement ID],0))),"")</f>
        <v/>
      </c>
      <c r="F156" s="117">
        <f>IFERROR(IF(ISBLANK(INDEX(Backlog[Priority],MATCH($A156,Backlog[Requirement ID],0))),"",INDEX(Backlog[Priority],MATCH($A156,Backlog[Requirement ID],0))),"")</f>
        <v/>
      </c>
      <c r="G156" s="115" t="n"/>
      <c r="H156" s="117">
        <f>IFERROR(IF(ISBLANK(INDEX(Backlog[HLE],MATCH($A156,Backlog[Requirement ID],0))),"",INDEX(Backlog[HLE],MATCH($A156,Backlog[Requirement ID],0))),"")</f>
        <v/>
      </c>
      <c r="I156" s="166" t="n"/>
      <c r="J156" s="167" t="n"/>
    </row>
    <row r="157" ht="15" customHeight="1" s="93">
      <c r="A157" s="115" t="inlineStr">
        <is>
          <t>NEW-0078</t>
        </is>
      </c>
      <c r="B157" s="117">
        <f>IFERROR(IF(ISBLANK(INDEX(Backlog[Requirement Name],MATCH($A157,Backlog[Requirement ID],0))),"",INDEX(Backlog[Requirement Name],MATCH($A157,Backlog[Requirement ID],0))),"")</f>
        <v/>
      </c>
      <c r="C157" s="117">
        <f>IFERROR(IF(ISBLANK(INDEX(Backlog[Stream],MATCH($A157,Backlog[Requirement ID],0))),"",INDEX(Backlog[Stream],MATCH($A157,Backlog[Requirement ID],0))),"")</f>
        <v/>
      </c>
      <c r="D157" s="117">
        <f>IFERROR(IF(ISBLANK(INDEX(SprintPlanning[Sprint],MATCH($A157,SprintPlanning[Requirement ID],0))),"",INDEX(SprintPlanning[Sprint],MATCH($A157,SprintPlanning[Requirement ID],0))),"")</f>
        <v/>
      </c>
      <c r="E157" s="117">
        <f>IFERROR(IF(ISBLANK(INDEX(Backlog[Status],MATCH($A157,Backlog[Requirement ID],0))),"",INDEX(Backlog[Status],MATCH($A157,Backlog[Requirement ID],0))),"")</f>
        <v/>
      </c>
      <c r="F157" s="117">
        <f>IFERROR(IF(ISBLANK(INDEX(Backlog[Priority],MATCH($A157,Backlog[Requirement ID],0))),"",INDEX(Backlog[Priority],MATCH($A157,Backlog[Requirement ID],0))),"")</f>
        <v/>
      </c>
      <c r="G157" s="115" t="n"/>
      <c r="H157" s="117">
        <f>IFERROR(IF(ISBLANK(INDEX(Backlog[HLE],MATCH($A157,Backlog[Requirement ID],0))),"",INDEX(Backlog[HLE],MATCH($A157,Backlog[Requirement ID],0))),"")</f>
        <v/>
      </c>
      <c r="I157" s="166" t="n"/>
      <c r="J157" s="167" t="n"/>
    </row>
    <row r="158" ht="15" customHeight="1" s="93">
      <c r="A158" s="115" t="inlineStr">
        <is>
          <t>NEW-0288</t>
        </is>
      </c>
      <c r="B158" s="117">
        <f>IFERROR(IF(ISBLANK(INDEX(Backlog[Requirement Name],MATCH($A158,Backlog[Requirement ID],0))),"",INDEX(Backlog[Requirement Name],MATCH($A158,Backlog[Requirement ID],0))),"")</f>
        <v/>
      </c>
      <c r="C158" s="117">
        <f>IFERROR(IF(ISBLANK(INDEX(Backlog[Stream],MATCH($A158,Backlog[Requirement ID],0))),"",INDEX(Backlog[Stream],MATCH($A158,Backlog[Requirement ID],0))),"")</f>
        <v/>
      </c>
      <c r="D158" s="117">
        <f>IFERROR(IF(ISBLANK(INDEX(SprintPlanning[Sprint],MATCH($A158,SprintPlanning[Requirement ID],0))),"",INDEX(SprintPlanning[Sprint],MATCH($A158,SprintPlanning[Requirement ID],0))),"")</f>
        <v/>
      </c>
      <c r="E158" s="117">
        <f>IFERROR(IF(ISBLANK(INDEX(Backlog[Status],MATCH($A158,Backlog[Requirement ID],0))),"",INDEX(Backlog[Status],MATCH($A158,Backlog[Requirement ID],0))),"")</f>
        <v/>
      </c>
      <c r="F158" s="117">
        <f>IFERROR(IF(ISBLANK(INDEX(Backlog[Priority],MATCH($A158,Backlog[Requirement ID],0))),"",INDEX(Backlog[Priority],MATCH($A158,Backlog[Requirement ID],0))),"")</f>
        <v/>
      </c>
      <c r="G158" s="115" t="n"/>
      <c r="H158" s="117">
        <f>IFERROR(IF(ISBLANK(INDEX(Backlog[HLE],MATCH($A158,Backlog[Requirement ID],0))),"",INDEX(Backlog[HLE],MATCH($A158,Backlog[Requirement ID],0))),"")</f>
        <v/>
      </c>
      <c r="I158" s="166" t="n"/>
      <c r="J158" s="167" t="n"/>
    </row>
    <row r="159" ht="15" customHeight="1" s="93">
      <c r="A159" s="115" t="inlineStr">
        <is>
          <t>NEW-0080</t>
        </is>
      </c>
      <c r="B159" s="117">
        <f>IFERROR(IF(ISBLANK(INDEX(Backlog[Requirement Name],MATCH($A159,Backlog[Requirement ID],0))),"",INDEX(Backlog[Requirement Name],MATCH($A159,Backlog[Requirement ID],0))),"")</f>
        <v/>
      </c>
      <c r="C159" s="117">
        <f>IFERROR(IF(ISBLANK(INDEX(Backlog[Stream],MATCH($A159,Backlog[Requirement ID],0))),"",INDEX(Backlog[Stream],MATCH($A159,Backlog[Requirement ID],0))),"")</f>
        <v/>
      </c>
      <c r="D159" s="117">
        <f>IFERROR(IF(ISBLANK(INDEX(SprintPlanning[Sprint],MATCH($A159,SprintPlanning[Requirement ID],0))),"",INDEX(SprintPlanning[Sprint],MATCH($A159,SprintPlanning[Requirement ID],0))),"")</f>
        <v/>
      </c>
      <c r="E159" s="117">
        <f>IFERROR(IF(ISBLANK(INDEX(Backlog[Status],MATCH($A159,Backlog[Requirement ID],0))),"",INDEX(Backlog[Status],MATCH($A159,Backlog[Requirement ID],0))),"")</f>
        <v/>
      </c>
      <c r="F159" s="117">
        <f>IFERROR(IF(ISBLANK(INDEX(Backlog[Priority],MATCH($A159,Backlog[Requirement ID],0))),"",INDEX(Backlog[Priority],MATCH($A159,Backlog[Requirement ID],0))),"")</f>
        <v/>
      </c>
      <c r="G159" s="115" t="n"/>
      <c r="H159" s="117">
        <f>IFERROR(IF(ISBLANK(INDEX(Backlog[HLE],MATCH($A159,Backlog[Requirement ID],0))),"",INDEX(Backlog[HLE],MATCH($A159,Backlog[Requirement ID],0))),"")</f>
        <v/>
      </c>
      <c r="I159" s="166" t="n"/>
      <c r="J159" s="167" t="n"/>
    </row>
    <row r="160" ht="15" customHeight="1" s="93">
      <c r="A160" s="115" t="inlineStr">
        <is>
          <t>NEW-0084</t>
        </is>
      </c>
      <c r="B160" s="117">
        <f>IFERROR(IF(ISBLANK(INDEX(Backlog[Requirement Name],MATCH($A160,Backlog[Requirement ID],0))),"",INDEX(Backlog[Requirement Name],MATCH($A160,Backlog[Requirement ID],0))),"")</f>
        <v/>
      </c>
      <c r="C160" s="117">
        <f>IFERROR(IF(ISBLANK(INDEX(Backlog[Stream],MATCH($A160,Backlog[Requirement ID],0))),"",INDEX(Backlog[Stream],MATCH($A160,Backlog[Requirement ID],0))),"")</f>
        <v/>
      </c>
      <c r="D160" s="117">
        <f>IFERROR(IF(ISBLANK(INDEX(SprintPlanning[Sprint],MATCH($A160,SprintPlanning[Requirement ID],0))),"",INDEX(SprintPlanning[Sprint],MATCH($A160,SprintPlanning[Requirement ID],0))),"")</f>
        <v/>
      </c>
      <c r="E160" s="117">
        <f>IFERROR(IF(ISBLANK(INDEX(Backlog[Status],MATCH($A160,Backlog[Requirement ID],0))),"",INDEX(Backlog[Status],MATCH($A160,Backlog[Requirement ID],0))),"")</f>
        <v/>
      </c>
      <c r="F160" s="117">
        <f>IFERROR(IF(ISBLANK(INDEX(Backlog[Priority],MATCH($A160,Backlog[Requirement ID],0))),"",INDEX(Backlog[Priority],MATCH($A160,Backlog[Requirement ID],0))),"")</f>
        <v/>
      </c>
      <c r="G160" s="115" t="n"/>
      <c r="H160" s="117">
        <f>IFERROR(IF(ISBLANK(INDEX(Backlog[HLE],MATCH($A160,Backlog[Requirement ID],0))),"",INDEX(Backlog[HLE],MATCH($A160,Backlog[Requirement ID],0))),"")</f>
        <v/>
      </c>
      <c r="I160" s="166" t="n"/>
      <c r="J160" s="167" t="n"/>
    </row>
    <row r="161" ht="15" customHeight="1" s="93">
      <c r="A161" s="115" t="inlineStr">
        <is>
          <t>NEW-0085</t>
        </is>
      </c>
      <c r="B161" s="117">
        <f>IFERROR(IF(ISBLANK(INDEX(Backlog[Requirement Name],MATCH($A161,Backlog[Requirement ID],0))),"",INDEX(Backlog[Requirement Name],MATCH($A161,Backlog[Requirement ID],0))),"")</f>
        <v/>
      </c>
      <c r="C161" s="117">
        <f>IFERROR(IF(ISBLANK(INDEX(Backlog[Stream],MATCH($A161,Backlog[Requirement ID],0))),"",INDEX(Backlog[Stream],MATCH($A161,Backlog[Requirement ID],0))),"")</f>
        <v/>
      </c>
      <c r="D161" s="117">
        <f>IFERROR(IF(ISBLANK(INDEX(SprintPlanning[Sprint],MATCH($A161,SprintPlanning[Requirement ID],0))),"",INDEX(SprintPlanning[Sprint],MATCH($A161,SprintPlanning[Requirement ID],0))),"")</f>
        <v/>
      </c>
      <c r="E161" s="117">
        <f>IFERROR(IF(ISBLANK(INDEX(Backlog[Status],MATCH($A161,Backlog[Requirement ID],0))),"",INDEX(Backlog[Status],MATCH($A161,Backlog[Requirement ID],0))),"")</f>
        <v/>
      </c>
      <c r="F161" s="117">
        <f>IFERROR(IF(ISBLANK(INDEX(Backlog[Priority],MATCH($A161,Backlog[Requirement ID],0))),"",INDEX(Backlog[Priority],MATCH($A161,Backlog[Requirement ID],0))),"")</f>
        <v/>
      </c>
      <c r="G161" s="115" t="n"/>
      <c r="H161" s="117">
        <f>IFERROR(IF(ISBLANK(INDEX(Backlog[HLE],MATCH($A161,Backlog[Requirement ID],0))),"",INDEX(Backlog[HLE],MATCH($A161,Backlog[Requirement ID],0))),"")</f>
        <v/>
      </c>
      <c r="I161" s="166" t="n"/>
      <c r="J161" s="167" t="n"/>
    </row>
    <row r="162" ht="15" customHeight="1" s="93">
      <c r="A162" s="115" t="inlineStr">
        <is>
          <t>NEW-0086</t>
        </is>
      </c>
      <c r="B162" s="117">
        <f>IFERROR(IF(ISBLANK(INDEX(Backlog[Requirement Name],MATCH($A162,Backlog[Requirement ID],0))),"",INDEX(Backlog[Requirement Name],MATCH($A162,Backlog[Requirement ID],0))),"")</f>
        <v/>
      </c>
      <c r="C162" s="117">
        <f>IFERROR(IF(ISBLANK(INDEX(Backlog[Stream],MATCH($A162,Backlog[Requirement ID],0))),"",INDEX(Backlog[Stream],MATCH($A162,Backlog[Requirement ID],0))),"")</f>
        <v/>
      </c>
      <c r="D162" s="117">
        <f>IFERROR(IF(ISBLANK(INDEX(SprintPlanning[Sprint],MATCH($A162,SprintPlanning[Requirement ID],0))),"",INDEX(SprintPlanning[Sprint],MATCH($A162,SprintPlanning[Requirement ID],0))),"")</f>
        <v/>
      </c>
      <c r="E162" s="117">
        <f>IFERROR(IF(ISBLANK(INDEX(Backlog[Status],MATCH($A162,Backlog[Requirement ID],0))),"",INDEX(Backlog[Status],MATCH($A162,Backlog[Requirement ID],0))),"")</f>
        <v/>
      </c>
      <c r="F162" s="117">
        <f>IFERROR(IF(ISBLANK(INDEX(Backlog[Priority],MATCH($A162,Backlog[Requirement ID],0))),"",INDEX(Backlog[Priority],MATCH($A162,Backlog[Requirement ID],0))),"")</f>
        <v/>
      </c>
      <c r="G162" s="115" t="n"/>
      <c r="H162" s="117">
        <f>IFERROR(IF(ISBLANK(INDEX(Backlog[HLE],MATCH($A162,Backlog[Requirement ID],0))),"",INDEX(Backlog[HLE],MATCH($A162,Backlog[Requirement ID],0))),"")</f>
        <v/>
      </c>
      <c r="I162" s="166" t="n"/>
      <c r="J162" s="167" t="n"/>
    </row>
    <row r="163" ht="15" customHeight="1" s="93">
      <c r="A163" s="115" t="inlineStr">
        <is>
          <t>NEW-0087</t>
        </is>
      </c>
      <c r="B163" s="117">
        <f>IFERROR(IF(ISBLANK(INDEX(Backlog[Requirement Name],MATCH($A163,Backlog[Requirement ID],0))),"",INDEX(Backlog[Requirement Name],MATCH($A163,Backlog[Requirement ID],0))),"")</f>
        <v/>
      </c>
      <c r="C163" s="117">
        <f>IFERROR(IF(ISBLANK(INDEX(Backlog[Stream],MATCH($A163,Backlog[Requirement ID],0))),"",INDEX(Backlog[Stream],MATCH($A163,Backlog[Requirement ID],0))),"")</f>
        <v/>
      </c>
      <c r="D163" s="117">
        <f>IFERROR(IF(ISBLANK(INDEX(SprintPlanning[Sprint],MATCH($A163,SprintPlanning[Requirement ID],0))),"",INDEX(SprintPlanning[Sprint],MATCH($A163,SprintPlanning[Requirement ID],0))),"")</f>
        <v/>
      </c>
      <c r="E163" s="117">
        <f>IFERROR(IF(ISBLANK(INDEX(Backlog[Status],MATCH($A163,Backlog[Requirement ID],0))),"",INDEX(Backlog[Status],MATCH($A163,Backlog[Requirement ID],0))),"")</f>
        <v/>
      </c>
      <c r="F163" s="117">
        <f>IFERROR(IF(ISBLANK(INDEX(Backlog[Priority],MATCH($A163,Backlog[Requirement ID],0))),"",INDEX(Backlog[Priority],MATCH($A163,Backlog[Requirement ID],0))),"")</f>
        <v/>
      </c>
      <c r="G163" s="115" t="n"/>
      <c r="H163" s="117">
        <f>IFERROR(IF(ISBLANK(INDEX(Backlog[HLE],MATCH($A163,Backlog[Requirement ID],0))),"",INDEX(Backlog[HLE],MATCH($A163,Backlog[Requirement ID],0))),"")</f>
        <v/>
      </c>
      <c r="I163" s="166" t="n"/>
      <c r="J163" s="167" t="n"/>
    </row>
    <row r="164" ht="15" customHeight="1" s="93">
      <c r="A164" s="115" t="inlineStr">
        <is>
          <t>NEW-0001</t>
        </is>
      </c>
      <c r="B164" s="117">
        <f>IFERROR(IF(ISBLANK(INDEX(Backlog[Requirement Name],MATCH($A164,Backlog[Requirement ID],0))),"",INDEX(Backlog[Requirement Name],MATCH($A164,Backlog[Requirement ID],0))),"")</f>
        <v/>
      </c>
      <c r="C164" s="117">
        <f>IFERROR(IF(ISBLANK(INDEX(Backlog[Stream],MATCH($A164,Backlog[Requirement ID],0))),"",INDEX(Backlog[Stream],MATCH($A164,Backlog[Requirement ID],0))),"")</f>
        <v/>
      </c>
      <c r="D164" s="117">
        <f>IFERROR(IF(ISBLANK(INDEX(SprintPlanning[Sprint],MATCH($A164,SprintPlanning[Requirement ID],0))),"",INDEX(SprintPlanning[Sprint],MATCH($A164,SprintPlanning[Requirement ID],0))),"")</f>
        <v/>
      </c>
      <c r="E164" s="117">
        <f>IFERROR(IF(ISBLANK(INDEX(Backlog[Status],MATCH($A164,Backlog[Requirement ID],0))),"",INDEX(Backlog[Status],MATCH($A164,Backlog[Requirement ID],0))),"")</f>
        <v/>
      </c>
      <c r="F164" s="117">
        <f>IFERROR(IF(ISBLANK(INDEX(Backlog[Priority],MATCH($A164,Backlog[Requirement ID],0))),"",INDEX(Backlog[Priority],MATCH($A164,Backlog[Requirement ID],0))),"")</f>
        <v/>
      </c>
      <c r="G164" s="115" t="n"/>
      <c r="H164" s="117">
        <f>IFERROR(IF(ISBLANK(INDEX(Backlog[HLE],MATCH($A164,Backlog[Requirement ID],0))),"",INDEX(Backlog[HLE],MATCH($A164,Backlog[Requirement ID],0))),"")</f>
        <v/>
      </c>
      <c r="I164" s="166" t="n"/>
      <c r="J164" s="167" t="n"/>
    </row>
    <row r="165" ht="15" customHeight="1" s="93">
      <c r="A165" s="115" t="inlineStr">
        <is>
          <t>NEW-0003</t>
        </is>
      </c>
      <c r="B165" s="117">
        <f>IFERROR(IF(ISBLANK(INDEX(Backlog[Requirement Name],MATCH($A165,Backlog[Requirement ID],0))),"",INDEX(Backlog[Requirement Name],MATCH($A165,Backlog[Requirement ID],0))),"")</f>
        <v/>
      </c>
      <c r="C165" s="117">
        <f>IFERROR(IF(ISBLANK(INDEX(Backlog[Stream],MATCH($A165,Backlog[Requirement ID],0))),"",INDEX(Backlog[Stream],MATCH($A165,Backlog[Requirement ID],0))),"")</f>
        <v/>
      </c>
      <c r="D165" s="117">
        <f>IFERROR(IF(ISBLANK(INDEX(SprintPlanning[Sprint],MATCH($A165,SprintPlanning[Requirement ID],0))),"",INDEX(SprintPlanning[Sprint],MATCH($A165,SprintPlanning[Requirement ID],0))),"")</f>
        <v/>
      </c>
      <c r="E165" s="117">
        <f>IFERROR(IF(ISBLANK(INDEX(Backlog[Status],MATCH($A165,Backlog[Requirement ID],0))),"",INDEX(Backlog[Status],MATCH($A165,Backlog[Requirement ID],0))),"")</f>
        <v/>
      </c>
      <c r="F165" s="117">
        <f>IFERROR(IF(ISBLANK(INDEX(Backlog[Priority],MATCH($A165,Backlog[Requirement ID],0))),"",INDEX(Backlog[Priority],MATCH($A165,Backlog[Requirement ID],0))),"")</f>
        <v/>
      </c>
      <c r="G165" s="115" t="n"/>
      <c r="H165" s="117">
        <f>IFERROR(IF(ISBLANK(INDEX(Backlog[HLE],MATCH($A165,Backlog[Requirement ID],0))),"",INDEX(Backlog[HLE],MATCH($A165,Backlog[Requirement ID],0))),"")</f>
        <v/>
      </c>
      <c r="I165" s="166" t="n"/>
      <c r="J165" s="167" t="n"/>
    </row>
    <row r="166" ht="15" customHeight="1" s="93">
      <c r="A166" s="115" t="inlineStr">
        <is>
          <t>NEW-0029</t>
        </is>
      </c>
      <c r="B166" s="117">
        <f>IFERROR(IF(ISBLANK(INDEX(Backlog[Requirement Name],MATCH($A166,Backlog[Requirement ID],0))),"",INDEX(Backlog[Requirement Name],MATCH($A166,Backlog[Requirement ID],0))),"")</f>
        <v/>
      </c>
      <c r="C166" s="117">
        <f>IFERROR(IF(ISBLANK(INDEX(Backlog[Stream],MATCH($A166,Backlog[Requirement ID],0))),"",INDEX(Backlog[Stream],MATCH($A166,Backlog[Requirement ID],0))),"")</f>
        <v/>
      </c>
      <c r="D166" s="117">
        <f>IFERROR(IF(ISBLANK(INDEX(SprintPlanning[Sprint],MATCH($A166,SprintPlanning[Requirement ID],0))),"",INDEX(SprintPlanning[Sprint],MATCH($A166,SprintPlanning[Requirement ID],0))),"")</f>
        <v/>
      </c>
      <c r="E166" s="117">
        <f>IFERROR(IF(ISBLANK(INDEX(Backlog[Status],MATCH($A166,Backlog[Requirement ID],0))),"",INDEX(Backlog[Status],MATCH($A166,Backlog[Requirement ID],0))),"")</f>
        <v/>
      </c>
      <c r="F166" s="117">
        <f>IFERROR(IF(ISBLANK(INDEX(Backlog[Priority],MATCH($A166,Backlog[Requirement ID],0))),"",INDEX(Backlog[Priority],MATCH($A166,Backlog[Requirement ID],0))),"")</f>
        <v/>
      </c>
      <c r="G166" s="115" t="n"/>
      <c r="H166" s="117">
        <f>IFERROR(IF(ISBLANK(INDEX(Backlog[HLE],MATCH($A166,Backlog[Requirement ID],0))),"",INDEX(Backlog[HLE],MATCH($A166,Backlog[Requirement ID],0))),"")</f>
        <v/>
      </c>
      <c r="I166" s="166" t="n"/>
      <c r="J166" s="167" t="n"/>
    </row>
    <row r="167" ht="15" customHeight="1" s="93">
      <c r="A167" s="115" t="inlineStr">
        <is>
          <t>NEW-0030</t>
        </is>
      </c>
      <c r="B167" s="117">
        <f>IFERROR(IF(ISBLANK(INDEX(Backlog[Requirement Name],MATCH($A167,Backlog[Requirement ID],0))),"",INDEX(Backlog[Requirement Name],MATCH($A167,Backlog[Requirement ID],0))),"")</f>
        <v/>
      </c>
      <c r="C167" s="117">
        <f>IFERROR(IF(ISBLANK(INDEX(Backlog[Stream],MATCH($A167,Backlog[Requirement ID],0))),"",INDEX(Backlog[Stream],MATCH($A167,Backlog[Requirement ID],0))),"")</f>
        <v/>
      </c>
      <c r="D167" s="117">
        <f>IFERROR(IF(ISBLANK(INDEX(SprintPlanning[Sprint],MATCH($A167,SprintPlanning[Requirement ID],0))),"",INDEX(SprintPlanning[Sprint],MATCH($A167,SprintPlanning[Requirement ID],0))),"")</f>
        <v/>
      </c>
      <c r="E167" s="117">
        <f>IFERROR(IF(ISBLANK(INDEX(Backlog[Status],MATCH($A167,Backlog[Requirement ID],0))),"",INDEX(Backlog[Status],MATCH($A167,Backlog[Requirement ID],0))),"")</f>
        <v/>
      </c>
      <c r="F167" s="117">
        <f>IFERROR(IF(ISBLANK(INDEX(Backlog[Priority],MATCH($A167,Backlog[Requirement ID],0))),"",INDEX(Backlog[Priority],MATCH($A167,Backlog[Requirement ID],0))),"")</f>
        <v/>
      </c>
      <c r="G167" s="115" t="n"/>
      <c r="H167" s="117">
        <f>IFERROR(IF(ISBLANK(INDEX(Backlog[HLE],MATCH($A167,Backlog[Requirement ID],0))),"",INDEX(Backlog[HLE],MATCH($A167,Backlog[Requirement ID],0))),"")</f>
        <v/>
      </c>
      <c r="I167" s="166" t="n"/>
      <c r="J167" s="167" t="n"/>
    </row>
    <row r="168" ht="15" customHeight="1" s="93">
      <c r="A168" s="115" t="inlineStr">
        <is>
          <t>NEW-0032</t>
        </is>
      </c>
      <c r="B168" s="117" t="inlineStr">
        <is>
          <t>Cruise ID / Birthdate missing from A013 and A007</t>
        </is>
      </c>
      <c r="C168" s="117" t="inlineStr">
        <is>
          <t>MyMSC</t>
        </is>
      </c>
      <c r="D168" s="117" t="inlineStr">
        <is>
          <t>Sprint 9</t>
        </is>
      </c>
      <c r="E168" s="117" t="inlineStr">
        <is>
          <t>DONE</t>
        </is>
      </c>
      <c r="F168" s="117" t="inlineStr">
        <is>
          <t>Medium</t>
        </is>
      </c>
      <c r="G168" s="115" t="n"/>
      <c r="H168" s="117" t="n">
        <v>8</v>
      </c>
      <c r="I168" s="166" t="n"/>
      <c r="J168" s="167" t="n"/>
    </row>
    <row r="169" ht="15" customHeight="1" s="93">
      <c r="A169" s="92" t="inlineStr">
        <is>
          <t>NEW-0416</t>
        </is>
      </c>
      <c r="B169" s="92" t="inlineStr">
        <is>
          <t>Relax MyArea access rules in LL</t>
        </is>
      </c>
      <c r="C169" s="92" t="inlineStr">
        <is>
          <t>MyMSC</t>
        </is>
      </c>
      <c r="D169" s="92" t="inlineStr">
        <is>
          <t>Sprint 9</t>
        </is>
      </c>
      <c r="E169" s="92" t="inlineStr">
        <is>
          <t>DONE</t>
        </is>
      </c>
      <c r="F169" s="92" t="inlineStr">
        <is>
          <t>Medium</t>
        </is>
      </c>
      <c r="G169" s="92" t="inlineStr">
        <is>
          <t>Release 18</t>
        </is>
      </c>
      <c r="H169" s="92" t="n">
        <v>5</v>
      </c>
      <c r="I169" s="166" t="n"/>
      <c r="J169" s="167" t="n"/>
    </row>
    <row r="170" ht="15" customHeight="1" s="93">
      <c r="A170" s="92" t="inlineStr">
        <is>
          <t>NEW-0417</t>
        </is>
      </c>
      <c r="B170" s="92" t="inlineStr">
        <is>
          <t>Configure APIs for India</t>
        </is>
      </c>
      <c r="C170" s="92" t="inlineStr">
        <is>
          <t>MVP Rollout</t>
        </is>
      </c>
      <c r="D170" s="92" t="inlineStr">
        <is>
          <t>Sprint 8</t>
        </is>
      </c>
      <c r="E170" s="92" t="inlineStr">
        <is>
          <t>DONE</t>
        </is>
      </c>
      <c r="F170" s="92" t="inlineStr">
        <is>
          <t>Medium</t>
        </is>
      </c>
      <c r="G170" s="92" t="inlineStr">
        <is>
          <t>Release 18</t>
        </is>
      </c>
      <c r="H170" s="92" t="n">
        <v>8</v>
      </c>
      <c r="I170" s="166" t="n"/>
      <c r="J170" s="167" t="n"/>
    </row>
    <row r="171" ht="15" customHeight="1" s="93">
      <c r="A171" s="92" t="inlineStr">
        <is>
          <t>NEW-0418</t>
        </is>
      </c>
      <c r="B171" s="92" t="inlineStr">
        <is>
          <t>INT146 - CR - Klarna - MyMSC Post-Booking Payment Support</t>
        </is>
      </c>
      <c r="C171" s="92" t="inlineStr">
        <is>
          <t>MyMSC</t>
        </is>
      </c>
      <c r="D171" s="92" t="inlineStr">
        <is>
          <t>Sprint 8</t>
        </is>
      </c>
      <c r="E171" s="92" t="inlineStr">
        <is>
          <t>DONE</t>
        </is>
      </c>
      <c r="F171" s="92" t="inlineStr">
        <is>
          <t>Medium</t>
        </is>
      </c>
      <c r="G171" s="92" t="inlineStr">
        <is>
          <t>Release 16</t>
        </is>
      </c>
      <c r="H171" s="92" t="n">
        <v>13</v>
      </c>
      <c r="I171" s="166" t="n"/>
      <c r="J171" s="167" t="n"/>
    </row>
    <row r="172" ht="15" customHeight="1" s="93">
      <c r="A172" s="92" t="inlineStr">
        <is>
          <t>NEW-0419</t>
        </is>
      </c>
      <c r="B172" s="92" t="inlineStr">
        <is>
          <t>INT004.4 - Enable Klarna Webhook URL (dtt-payment-sapi)</t>
        </is>
      </c>
      <c r="C172" s="92" t="inlineStr">
        <is>
          <t>Growth</t>
        </is>
      </c>
      <c r="D172" s="92" t="inlineStr">
        <is>
          <t>Sprint 3</t>
        </is>
      </c>
      <c r="E172" s="92" t="inlineStr">
        <is>
          <t>DONE</t>
        </is>
      </c>
      <c r="F172" s="92" t="inlineStr">
        <is>
          <t>Medium</t>
        </is>
      </c>
      <c r="G172" s="92" t="inlineStr">
        <is>
          <t>Release 15</t>
        </is>
      </c>
      <c r="I172" s="166" t="n"/>
      <c r="J172" s="167" t="n"/>
    </row>
    <row r="173" ht="15" customHeight="1" s="93">
      <c r="A173" s="92" t="inlineStr">
        <is>
          <t>NEW-0420</t>
        </is>
      </c>
      <c r="B173" s="92" t="inlineStr">
        <is>
          <t>INT 004.3/004.4/006/007 - Forward airType to DTS in Insurance, Price, Booking, and Hold Option Requests (One-Way Air Packages)</t>
        </is>
      </c>
      <c r="C173" s="92" t="inlineStr">
        <is>
          <t>Growth</t>
        </is>
      </c>
      <c r="D173" s="92" t="inlineStr">
        <is>
          <t>Sprint 7</t>
        </is>
      </c>
      <c r="E173" s="92" t="inlineStr">
        <is>
          <t>DONE</t>
        </is>
      </c>
      <c r="F173" s="92" t="inlineStr">
        <is>
          <t>Critical</t>
        </is>
      </c>
      <c r="G173" s="92" t="inlineStr">
        <is>
          <t>Release 15</t>
        </is>
      </c>
      <c r="H173" s="92" t="n">
        <v>13</v>
      </c>
      <c r="I173" s="166" t="n"/>
      <c r="J173" s="167" t="n"/>
    </row>
    <row r="174" ht="15" customHeight="1" s="93">
      <c r="A174" s="92" t="inlineStr">
        <is>
          <t>NEW-0421</t>
        </is>
      </c>
      <c r="B174" s="92" t="inlineStr">
        <is>
          <t>INT 002.x - Expose airType in Category Search Responses (One-Way Air Packages)</t>
        </is>
      </c>
      <c r="C174" s="92" t="inlineStr">
        <is>
          <t>Growth</t>
        </is>
      </c>
      <c r="D174" s="92" t="inlineStr">
        <is>
          <t>Sprint 7</t>
        </is>
      </c>
      <c r="E174" s="92" t="inlineStr">
        <is>
          <t>DONE</t>
        </is>
      </c>
      <c r="F174" s="92" t="inlineStr">
        <is>
          <t>Critical</t>
        </is>
      </c>
      <c r="G174" s="92" t="inlineStr">
        <is>
          <t>Release 15</t>
        </is>
      </c>
      <c r="H174" s="92" t="n">
        <v>5</v>
      </c>
      <c r="I174" s="166" t="n"/>
      <c r="J174" s="167" t="n"/>
    </row>
    <row r="175" ht="15" customHeight="1" s="93">
      <c r="A175" s="92" t="inlineStr">
        <is>
          <t>NEW-0422</t>
        </is>
      </c>
      <c r="B175" s="92" t="inlineStr">
        <is>
          <t>[Rollout] Configure APIs for India - CHAIN1&amp;2 Config</t>
        </is>
      </c>
      <c r="C175" s="92" t="inlineStr">
        <is>
          <t>MVP Rollout</t>
        </is>
      </c>
      <c r="D175" s="92" t="inlineStr">
        <is>
          <t>Sprint 7</t>
        </is>
      </c>
      <c r="E175" s="92" t="inlineStr">
        <is>
          <t>DONE</t>
        </is>
      </c>
      <c r="F175" s="92" t="inlineStr">
        <is>
          <t>Medium</t>
        </is>
      </c>
      <c r="G175" s="92" t="inlineStr">
        <is>
          <t>Release 15</t>
        </is>
      </c>
      <c r="H175" s="92" t="n">
        <v>8</v>
      </c>
      <c r="I175" s="166" t="n"/>
      <c r="J175" s="167" t="n"/>
    </row>
    <row r="176" ht="15" customHeight="1" s="93">
      <c r="A176" s="92" t="inlineStr">
        <is>
          <t>NEW-0423</t>
        </is>
      </c>
      <c r="B176" s="92" t="inlineStr">
        <is>
          <t>INT 007 - Update to support Klarna payment method</t>
        </is>
      </c>
      <c r="C176" s="92" t="inlineStr">
        <is>
          <t>Growth</t>
        </is>
      </c>
      <c r="D176" s="92" t="inlineStr">
        <is>
          <t>Sprint 3</t>
        </is>
      </c>
      <c r="E176" s="92" t="inlineStr">
        <is>
          <t>DONE</t>
        </is>
      </c>
      <c r="F176" s="92" t="inlineStr">
        <is>
          <t>Medium</t>
        </is>
      </c>
      <c r="G176" s="92" t="inlineStr">
        <is>
          <t>Release 9</t>
        </is>
      </c>
      <c r="H176" s="92" t="n">
        <v>3</v>
      </c>
      <c r="I176" s="166" t="n"/>
      <c r="J176" s="167" t="n"/>
    </row>
    <row r="177" ht="15" customHeight="1" s="93">
      <c r="A177" s="92" t="inlineStr">
        <is>
          <t>NEW-0408</t>
        </is>
      </c>
      <c r="B177" s="92">
        <f>IFERROR(IF(ISBLANK(INDEX(Backlog[Requirement Name],MATCH($A177,Backlog[Requirement ID],0))),"",INDEX(Backlog[Requirement Name],MATCH($A177,Backlog[Requirement ID],0))),"")</f>
        <v/>
      </c>
      <c r="C177" s="92">
        <f>IFERROR(IF(ISBLANK(INDEX(Backlog[Stream],MATCH($A177,Backlog[Requirement ID],0))),"",INDEX(Backlog[Stream],MATCH($A177,Backlog[Requirement ID],0))),"")</f>
        <v/>
      </c>
      <c r="D177" s="92">
        <f>IFERROR(IF(ISBLANK(INDEX(SprintPlanning[Sprint],MATCH($A177,SprintPlanning[Requirement ID],0))),"",INDEX(SprintPlanning[Sprint],MATCH($A177,SprintPlanning[Requirement ID],0))),"")</f>
        <v/>
      </c>
      <c r="E177" s="92">
        <f>IFERROR(IF(ISBLANK(INDEX(Backlog[Status],MATCH($A177,Backlog[Requirement ID],0))),"",INDEX(Backlog[Status],MATCH($A177,Backlog[Requirement ID],0))),"")</f>
        <v/>
      </c>
      <c r="F177" s="92">
        <f>IFERROR(IF(ISBLANK(INDEX(Backlog[Priority],MATCH($A177,Backlog[Requirement ID],0))),"",INDEX(Backlog[Priority],MATCH($A177,Backlog[Requirement ID],0))),"")</f>
        <v/>
      </c>
      <c r="G177" s="92" t="n"/>
      <c r="H177" s="92">
        <f>IFERROR(IF(ISBLANK(INDEX(Backlog[HLE],MATCH($A177,Backlog[Requirement ID],0))),"",INDEX(Backlog[HLE],MATCH($A177,Backlog[Requirement ID],0))),"")</f>
        <v/>
      </c>
      <c r="I177" s="166" t="n"/>
      <c r="J177" s="167" t="n"/>
    </row>
    <row r="178" ht="15" customHeight="1" s="93">
      <c r="A178" s="92" t="inlineStr">
        <is>
          <t>NEW-0409</t>
        </is>
      </c>
      <c r="B178" s="92">
        <f>IFERROR(IF(ISBLANK(INDEX(Backlog[Requirement Name],MATCH($A178,Backlog[Requirement ID],0))),"",INDEX(Backlog[Requirement Name],MATCH($A178,Backlog[Requirement ID],0))),"")</f>
        <v/>
      </c>
      <c r="C178" s="92">
        <f>IFERROR(IF(ISBLANK(INDEX(Backlog[Stream],MATCH($A178,Backlog[Requirement ID],0))),"",INDEX(Backlog[Stream],MATCH($A178,Backlog[Requirement ID],0))),"")</f>
        <v/>
      </c>
      <c r="D178" s="92">
        <f>IFERROR(IF(ISBLANK(INDEX(SprintPlanning[Sprint],MATCH($A178,SprintPlanning[Requirement ID],0))),"",INDEX(SprintPlanning[Sprint],MATCH($A178,SprintPlanning[Requirement ID],0))),"")</f>
        <v/>
      </c>
      <c r="E178" s="92">
        <f>IFERROR(IF(ISBLANK(INDEX(Backlog[Status],MATCH($A178,Backlog[Requirement ID],0))),"",INDEX(Backlog[Status],MATCH($A178,Backlog[Requirement ID],0))),"")</f>
        <v/>
      </c>
      <c r="F178" s="92">
        <f>IFERROR(IF(ISBLANK(INDEX(Backlog[Priority],MATCH($A178,Backlog[Requirement ID],0))),"",INDEX(Backlog[Priority],MATCH($A178,Backlog[Requirement ID],0))),"")</f>
        <v/>
      </c>
      <c r="G178" s="92" t="n"/>
      <c r="H178" s="92">
        <f>IFERROR(IF(ISBLANK(INDEX(Backlog[HLE],MATCH($A178,Backlog[Requirement ID],0))),"",INDEX(Backlog[HLE],MATCH($A178,Backlog[Requirement ID],0))),"")</f>
        <v/>
      </c>
      <c r="I178" s="166" t="n"/>
      <c r="J178" s="167" t="n"/>
    </row>
    <row r="179" ht="15" customHeight="1" s="93">
      <c r="A179" s="92" t="inlineStr">
        <is>
          <t>NEW-0410</t>
        </is>
      </c>
      <c r="B179" s="92">
        <f>IFERROR(IF(ISBLANK(INDEX(Backlog[Requirement Name],MATCH($A179,Backlog[Requirement ID],0))),"",INDEX(Backlog[Requirement Name],MATCH($A179,Backlog[Requirement ID],0))),"")</f>
        <v/>
      </c>
      <c r="C179" s="92">
        <f>IFERROR(IF(ISBLANK(INDEX(Backlog[Stream],MATCH($A179,Backlog[Requirement ID],0))),"",INDEX(Backlog[Stream],MATCH($A179,Backlog[Requirement ID],0))),"")</f>
        <v/>
      </c>
      <c r="D179" s="92">
        <f>IFERROR(IF(ISBLANK(INDEX(SprintPlanning[Sprint],MATCH($A179,SprintPlanning[Requirement ID],0))),"",INDEX(SprintPlanning[Sprint],MATCH($A179,SprintPlanning[Requirement ID],0))),"")</f>
        <v/>
      </c>
      <c r="E179" s="92">
        <f>IFERROR(IF(ISBLANK(INDEX(Backlog[Status],MATCH($A179,Backlog[Requirement ID],0))),"",INDEX(Backlog[Status],MATCH($A179,Backlog[Requirement ID],0))),"")</f>
        <v/>
      </c>
      <c r="F179" s="92">
        <f>IFERROR(IF(ISBLANK(INDEX(Backlog[Priority],MATCH($A179,Backlog[Requirement ID],0))),"",INDEX(Backlog[Priority],MATCH($A179,Backlog[Requirement ID],0))),"")</f>
        <v/>
      </c>
      <c r="G179" s="92" t="n"/>
      <c r="H179" s="92">
        <f>IFERROR(IF(ISBLANK(INDEX(Backlog[HLE],MATCH($A179,Backlog[Requirement ID],0))),"",INDEX(Backlog[HLE],MATCH($A179,Backlog[Requirement ID],0))),"")</f>
        <v/>
      </c>
      <c r="I179" s="166" t="n"/>
      <c r="J179" s="167" t="n"/>
    </row>
    <row r="180" ht="15" customHeight="1" s="93">
      <c r="A180" s="92" t="inlineStr">
        <is>
          <t>NEW-0411</t>
        </is>
      </c>
      <c r="B180" s="92">
        <f>IFERROR(IF(ISBLANK(INDEX(Backlog[Requirement Name],MATCH($A180,Backlog[Requirement ID],0))),"",INDEX(Backlog[Requirement Name],MATCH($A180,Backlog[Requirement ID],0))),"")</f>
        <v/>
      </c>
      <c r="C180" s="92">
        <f>IFERROR(IF(ISBLANK(INDEX(Backlog[Stream],MATCH($A180,Backlog[Requirement ID],0))),"",INDEX(Backlog[Stream],MATCH($A180,Backlog[Requirement ID],0))),"")</f>
        <v/>
      </c>
      <c r="D180" s="92">
        <f>IFERROR(IF(ISBLANK(INDEX(SprintPlanning[Sprint],MATCH($A180,SprintPlanning[Requirement ID],0))),"",INDEX(SprintPlanning[Sprint],MATCH($A180,SprintPlanning[Requirement ID],0))),"")</f>
        <v/>
      </c>
      <c r="E180" s="92">
        <f>IFERROR(IF(ISBLANK(INDEX(Backlog[Status],MATCH($A180,Backlog[Requirement ID],0))),"",INDEX(Backlog[Status],MATCH($A180,Backlog[Requirement ID],0))),"")</f>
        <v/>
      </c>
      <c r="F180" s="92">
        <f>IFERROR(IF(ISBLANK(INDEX(Backlog[Priority],MATCH($A180,Backlog[Requirement ID],0))),"",INDEX(Backlog[Priority],MATCH($A180,Backlog[Requirement ID],0))),"")</f>
        <v/>
      </c>
      <c r="G180" s="92" t="n"/>
      <c r="H180" s="92">
        <f>IFERROR(IF(ISBLANK(INDEX(Backlog[HLE],MATCH($A180,Backlog[Requirement ID],0))),"",INDEX(Backlog[HLE],MATCH($A180,Backlog[Requirement ID],0))),"")</f>
        <v/>
      </c>
      <c r="I180" s="166" t="n"/>
      <c r="J180" s="167" t="n"/>
    </row>
    <row r="181" ht="15" customHeight="1" s="93">
      <c r="A181" s="92" t="inlineStr">
        <is>
          <t>NEW-0412</t>
        </is>
      </c>
      <c r="B181" s="92">
        <f>IFERROR(IF(ISBLANK(INDEX(Backlog[Requirement Name],MATCH($A181,Backlog[Requirement ID],0))),"",INDEX(Backlog[Requirement Name],MATCH($A181,Backlog[Requirement ID],0))),"")</f>
        <v/>
      </c>
      <c r="C181" s="92">
        <f>IFERROR(IF(ISBLANK(INDEX(Backlog[Stream],MATCH($A181,Backlog[Requirement ID],0))),"",INDEX(Backlog[Stream],MATCH($A181,Backlog[Requirement ID],0))),"")</f>
        <v/>
      </c>
      <c r="D181" s="92">
        <f>IFERROR(IF(ISBLANK(INDEX(SprintPlanning[Sprint],MATCH($A181,SprintPlanning[Requirement ID],0))),"",INDEX(SprintPlanning[Sprint],MATCH($A181,SprintPlanning[Requirement ID],0))),"")</f>
        <v/>
      </c>
      <c r="E181" s="92">
        <f>IFERROR(IF(ISBLANK(INDEX(Backlog[Status],MATCH($A181,Backlog[Requirement ID],0))),"",INDEX(Backlog[Status],MATCH($A181,Backlog[Requirement ID],0))),"")</f>
        <v/>
      </c>
      <c r="F181" s="92">
        <f>IFERROR(IF(ISBLANK(INDEX(Backlog[Priority],MATCH($A181,Backlog[Requirement ID],0))),"",INDEX(Backlog[Priority],MATCH($A181,Backlog[Requirement ID],0))),"")</f>
        <v/>
      </c>
      <c r="G181" s="92" t="n"/>
      <c r="H181" s="92">
        <f>IFERROR(IF(ISBLANK(INDEX(Backlog[HLE],MATCH($A181,Backlog[Requirement ID],0))),"",INDEX(Backlog[HLE],MATCH($A181,Backlog[Requirement ID],0))),"")</f>
        <v/>
      </c>
      <c r="I181" s="166" t="n"/>
      <c r="J181" s="167" t="n"/>
    </row>
    <row r="182" ht="15" customHeight="1" s="93">
      <c r="A182" s="92" t="inlineStr">
        <is>
          <t>NEW-0424</t>
        </is>
      </c>
      <c r="B182" s="92" t="inlineStr">
        <is>
          <t>INT100 - BookingProfileOrchestration (New Interface, DTS Post Booking)</t>
        </is>
      </c>
      <c r="C182" s="92" t="inlineStr">
        <is>
          <t>Backlog</t>
        </is>
      </c>
      <c r="D182" s="92" t="inlineStr">
        <is>
          <t>Sprint 3</t>
        </is>
      </c>
      <c r="E182" s="92" t="inlineStr">
        <is>
          <t>DONE</t>
        </is>
      </c>
      <c r="F182" s="92" t="inlineStr">
        <is>
          <t>Medium</t>
        </is>
      </c>
      <c r="G182" s="92" t="n"/>
      <c r="I182" s="166" t="n"/>
      <c r="J182" s="167" t="n"/>
    </row>
    <row r="183" ht="15" customHeight="1" s="93">
      <c r="A183" s="92" t="inlineStr">
        <is>
          <t>NEW-0425</t>
        </is>
      </c>
      <c r="B183" s="92" t="inlineStr">
        <is>
          <t>INT025 - BookingEventOrchestration (New Interface, DTS Post Booking)</t>
        </is>
      </c>
      <c r="C183" s="92" t="inlineStr">
        <is>
          <t>Backlog</t>
        </is>
      </c>
      <c r="D183" s="92" t="inlineStr">
        <is>
          <t>Sprint 3</t>
        </is>
      </c>
      <c r="E183" s="92" t="inlineStr">
        <is>
          <t>DONE</t>
        </is>
      </c>
      <c r="F183" s="92" t="inlineStr">
        <is>
          <t>Medium</t>
        </is>
      </c>
      <c r="G183" s="92" t="n"/>
      <c r="I183" s="166" t="n"/>
      <c r="J183" s="167" t="n"/>
    </row>
    <row r="184" ht="15" customHeight="1" s="93">
      <c r="A184" s="92" t="inlineStr">
        <is>
          <t>NEW-0426</t>
        </is>
      </c>
      <c r="B184" s="92" t="inlineStr">
        <is>
          <t>INT182 - Add onboard price and exclusive discount flag</t>
        </is>
      </c>
      <c r="C184" s="92" t="inlineStr">
        <is>
          <t>PI10</t>
        </is>
      </c>
      <c r="D184" s="92" t="inlineStr">
        <is>
          <t>Sprint 9</t>
        </is>
      </c>
      <c r="E184" s="92" t="inlineStr">
        <is>
          <t>DONE</t>
        </is>
      </c>
      <c r="F184" s="92" t="inlineStr">
        <is>
          <t>High</t>
        </is>
      </c>
      <c r="G184" s="92" t="n"/>
      <c r="H184" s="92" t="n">
        <v>3</v>
      </c>
      <c r="I184" s="166" t="n"/>
      <c r="J184" s="167" t="n"/>
    </row>
    <row r="185" ht="15" customHeight="1" s="93">
      <c r="A185" s="92" t="inlineStr">
        <is>
          <t>NEW-0427</t>
        </is>
      </c>
      <c r="B185" s="92" t="inlineStr">
        <is>
          <t>INT181 - Add OBS category type</t>
        </is>
      </c>
      <c r="C185" s="92" t="inlineStr">
        <is>
          <t>PI10</t>
        </is>
      </c>
      <c r="D185" s="92" t="inlineStr">
        <is>
          <t>Sprint 9</t>
        </is>
      </c>
      <c r="E185" s="92" t="inlineStr">
        <is>
          <t>DONE</t>
        </is>
      </c>
      <c r="F185" s="92" t="inlineStr">
        <is>
          <t>High</t>
        </is>
      </c>
      <c r="G185" s="92" t="n"/>
      <c r="H185" s="92" t="n">
        <v>3</v>
      </c>
    </row>
    <row r="186" ht="15" customHeight="1" s="93">
      <c r="A186" s="92" t="inlineStr">
        <is>
          <t>NEW-0428</t>
        </is>
      </c>
      <c r="B186" s="92" t="inlineStr">
        <is>
          <t>INT181/INT183 - Add linked item code</t>
        </is>
      </c>
      <c r="C186" s="92" t="inlineStr">
        <is>
          <t>PI10</t>
        </is>
      </c>
      <c r="D186" s="92" t="inlineStr">
        <is>
          <t>Sprint 9</t>
        </is>
      </c>
      <c r="E186" s="92" t="inlineStr">
        <is>
          <t>DONE</t>
        </is>
      </c>
      <c r="F186" s="92" t="inlineStr">
        <is>
          <t>High</t>
        </is>
      </c>
      <c r="G186" s="92" t="n"/>
      <c r="H186" s="92" t="n">
        <v>3</v>
      </c>
    </row>
    <row r="187" ht="15" customHeight="1" s="93">
      <c r="A187" s="92" t="inlineStr">
        <is>
          <t>NEW-0316</t>
        </is>
      </c>
      <c r="B187" s="92">
        <f>IFERROR(IF(ISBLANK(INDEX(Backlog[Requirement Name],MATCH($A187,Backlog[Requirement ID],0))),"",INDEX(Backlog[Requirement Name],MATCH($A187,Backlog[Requirement ID],0))),"")</f>
        <v/>
      </c>
      <c r="C187" s="92">
        <f>IFERROR(IF(ISBLANK(INDEX(Backlog[Stream],MATCH($A187,Backlog[Requirement ID],0))),"",INDEX(Backlog[Stream],MATCH($A187,Backlog[Requirement ID],0))),"")</f>
        <v/>
      </c>
      <c r="D187" s="92">
        <f>IFERROR(IF(ISBLANK(INDEX(SprintPlanning[Sprint],MATCH($A187,SprintPlanning[Requirement ID],0))),"",INDEX(SprintPlanning[Sprint],MATCH($A187,SprintPlanning[Requirement ID],0))),"")</f>
        <v/>
      </c>
      <c r="E187" s="92">
        <f>IFERROR(IF(ISBLANK(INDEX(Backlog[Status],MATCH($A187,Backlog[Requirement ID],0))),"",INDEX(Backlog[Status],MATCH($A187,Backlog[Requirement ID],0))),"")</f>
        <v/>
      </c>
      <c r="F187" s="92">
        <f>IFERROR(IF(ISBLANK(INDEX(Backlog[Priority],MATCH($A187,Backlog[Requirement ID],0))),"",INDEX(Backlog[Priority],MATCH($A187,Backlog[Requirement ID],0))),"")</f>
        <v/>
      </c>
      <c r="G187" s="92" t="n"/>
      <c r="H187" s="92">
        <f>IFERROR(IF(ISBLANK(INDEX(Backlog[HLE],MATCH($A187,Backlog[Requirement ID],0))),"",INDEX(Backlog[HLE],MATCH($A187,Backlog[Requirement ID],0))),"")</f>
        <v/>
      </c>
    </row>
    <row r="188" ht="15" customHeight="1" s="93">
      <c r="A188" s="92" t="inlineStr">
        <is>
          <t>NEW-0406</t>
        </is>
      </c>
      <c r="B188" s="92" t="inlineStr">
        <is>
          <t xml:space="preserve">myMSC Add USA Market Configuration - Production </t>
        </is>
      </c>
      <c r="C188" s="92" t="inlineStr">
        <is>
          <t>MyMSC</t>
        </is>
      </c>
      <c r="D188" s="92" t="inlineStr">
        <is>
          <t>Sprint 9</t>
        </is>
      </c>
      <c r="E188" s="92" t="inlineStr">
        <is>
          <t>DONE</t>
        </is>
      </c>
      <c r="F188" s="92" t="inlineStr">
        <is>
          <t>Medium</t>
        </is>
      </c>
      <c r="G188" s="92" t="n"/>
      <c r="H188" s="92" t="n">
        <v>8</v>
      </c>
    </row>
    <row r="189" ht="15" customHeight="1" s="93">
      <c r="G189" s="92" t="n"/>
    </row>
    <row r="190" ht="15" customHeight="1" s="93">
      <c r="G190" s="92" t="n"/>
    </row>
    <row r="191" ht="15" customHeight="1" s="93">
      <c r="G191" s="92" t="n"/>
    </row>
    <row r="192" ht="15" customHeight="1" s="93">
      <c r="G192" s="92" t="n"/>
    </row>
    <row r="193" ht="15" customHeight="1" s="93">
      <c r="G193" s="92" t="n"/>
    </row>
    <row r="194" ht="15" customHeight="1" s="93">
      <c r="G194" s="92" t="n"/>
    </row>
    <row r="195" ht="15" customHeight="1" s="93">
      <c r="G195" s="92" t="n"/>
    </row>
    <row r="196" ht="15" customHeight="1" s="93">
      <c r="G196" s="92" t="n"/>
    </row>
    <row r="197" ht="15" customHeight="1" s="93">
      <c r="G197" s="92" t="n"/>
    </row>
    <row r="198" ht="15" customHeight="1" s="93">
      <c r="G198" s="92" t="n"/>
    </row>
    <row r="199" ht="15" customHeight="1" s="93">
      <c r="G199" s="92" t="n"/>
    </row>
    <row r="200" ht="15" customHeight="1" s="93">
      <c r="G200" s="92" t="n"/>
    </row>
    <row r="201" ht="15" customHeight="1" s="93">
      <c r="G201" s="92" t="n"/>
    </row>
    <row r="202" ht="15" customHeight="1" s="93">
      <c r="G202" s="92" t="n"/>
    </row>
    <row r="203" ht="15" customHeight="1" s="93">
      <c r="G203" s="92" t="n"/>
    </row>
    <row r="204" ht="15" customHeight="1" s="93">
      <c r="G204" s="92" t="n"/>
    </row>
    <row r="205" ht="15" customHeight="1" s="93">
      <c r="G205" s="92" t="n"/>
    </row>
    <row r="206" ht="15" customHeight="1" s="93">
      <c r="G206" s="92" t="n"/>
    </row>
    <row r="207" ht="15" customHeight="1" s="93">
      <c r="G207" s="92" t="n"/>
    </row>
    <row r="208" ht="15" customHeight="1" s="93">
      <c r="G208" s="92" t="n"/>
    </row>
    <row r="209" ht="15" customHeight="1" s="93">
      <c r="G209" s="92" t="n"/>
    </row>
    <row r="210" ht="15" customHeight="1" s="93">
      <c r="G210" s="92" t="n"/>
    </row>
    <row r="211" ht="15" customHeight="1" s="93">
      <c r="G211" s="92" t="n"/>
    </row>
    <row r="212" ht="15" customHeight="1" s="93">
      <c r="G212" s="92" t="n"/>
    </row>
    <row r="213" ht="15" customHeight="1" s="93">
      <c r="G213" s="92" t="n"/>
    </row>
    <row r="214" ht="15" customHeight="1" s="93">
      <c r="G214" s="92" t="n"/>
    </row>
    <row r="215" ht="15" customHeight="1" s="93">
      <c r="G215" s="92" t="n"/>
    </row>
    <row r="216" ht="15" customHeight="1" s="93">
      <c r="G216" s="92" t="n"/>
    </row>
    <row r="217" ht="15" customHeight="1" s="93">
      <c r="G217" s="92" t="n"/>
    </row>
    <row r="218" ht="15" customHeight="1" s="93">
      <c r="G218" s="92" t="n"/>
    </row>
    <row r="219" ht="15" customHeight="1" s="93">
      <c r="G219" s="92" t="n"/>
    </row>
    <row r="220" ht="15" customHeight="1" s="93">
      <c r="G220" s="92" t="n"/>
    </row>
    <row r="221" ht="15" customHeight="1" s="93">
      <c r="G221" s="92" t="n"/>
    </row>
    <row r="222" ht="15" customHeight="1" s="93">
      <c r="G222" s="92" t="n"/>
    </row>
    <row r="223" ht="15" customHeight="1" s="93">
      <c r="G223" s="92" t="n"/>
    </row>
    <row r="224" ht="15" customHeight="1" s="93">
      <c r="G224" s="92" t="n"/>
    </row>
    <row r="225" ht="15" customHeight="1" s="93">
      <c r="G225" s="92" t="n"/>
    </row>
    <row r="226" ht="15" customHeight="1" s="93">
      <c r="G226" s="92" t="n"/>
    </row>
    <row r="227" ht="15" customHeight="1" s="93">
      <c r="G227" s="92" t="n"/>
    </row>
    <row r="228" ht="15" customHeight="1" s="93">
      <c r="G228" s="92" t="n"/>
    </row>
    <row r="229" ht="15" customHeight="1" s="93">
      <c r="G229" s="92" t="n"/>
    </row>
    <row r="230" ht="15" customHeight="1" s="93">
      <c r="G230" s="92" t="n"/>
    </row>
    <row r="231" ht="15" customHeight="1" s="93">
      <c r="G231" s="92" t="n"/>
    </row>
    <row r="232" ht="15" customHeight="1" s="93">
      <c r="G232" s="92" t="n"/>
    </row>
    <row r="233" ht="15" customHeight="1" s="93">
      <c r="G233" s="92" t="n"/>
    </row>
    <row r="234" ht="15" customHeight="1" s="93">
      <c r="G234" s="92" t="n"/>
    </row>
    <row r="235" ht="15" customHeight="1" s="93">
      <c r="G235" s="92" t="n"/>
    </row>
    <row r="236" ht="15" customHeight="1" s="93">
      <c r="G236" s="92" t="n"/>
    </row>
    <row r="237" ht="15" customHeight="1" s="93">
      <c r="G237" s="92" t="n"/>
    </row>
    <row r="238" ht="15" customHeight="1" s="93">
      <c r="G238" s="92" t="n"/>
    </row>
    <row r="239" ht="15" customHeight="1" s="93">
      <c r="G239" s="92" t="n"/>
    </row>
    <row r="240" ht="15" customHeight="1" s="93">
      <c r="G240" s="92" t="n"/>
    </row>
    <row r="241" ht="15" customHeight="1" s="93">
      <c r="G241" s="92" t="n"/>
    </row>
    <row r="242" ht="15" customHeight="1" s="93">
      <c r="G242" s="92" t="n"/>
    </row>
    <row r="243" ht="15" customHeight="1" s="93">
      <c r="G243" s="92" t="n"/>
    </row>
    <row r="244" ht="15" customHeight="1" s="93">
      <c r="G244" s="92" t="n"/>
    </row>
    <row r="245" ht="15" customHeight="1" s="93">
      <c r="G245" s="92" t="n"/>
    </row>
    <row r="246" ht="15" customHeight="1" s="93">
      <c r="G246" s="92" t="n"/>
    </row>
    <row r="247" ht="15" customHeight="1" s="93">
      <c r="G247" s="92" t="n"/>
    </row>
    <row r="248" ht="15" customHeight="1" s="93">
      <c r="G248" s="92" t="n"/>
    </row>
    <row r="249" ht="15" customHeight="1" s="93">
      <c r="G249" s="92" t="n"/>
    </row>
    <row r="250" ht="15" customHeight="1" s="93">
      <c r="G250" s="92" t="n"/>
    </row>
    <row r="251" ht="15" customHeight="1" s="93">
      <c r="G251" s="92" t="n"/>
    </row>
    <row r="252" ht="15" customHeight="1" s="93">
      <c r="G252" s="92" t="n"/>
    </row>
    <row r="253" ht="15" customHeight="1" s="93">
      <c r="G253" s="92" t="n"/>
    </row>
    <row r="254" ht="15" customHeight="1" s="93">
      <c r="G254" s="92" t="n"/>
    </row>
    <row r="255" ht="15" customHeight="1" s="93">
      <c r="G255" s="92" t="n"/>
    </row>
    <row r="256" ht="15" customHeight="1" s="93">
      <c r="G256" s="92" t="n"/>
    </row>
    <row r="257" ht="15" customHeight="1" s="93">
      <c r="G257" s="92" t="n"/>
    </row>
    <row r="258" ht="15" customHeight="1" s="93">
      <c r="G258" s="92" t="n"/>
    </row>
    <row r="259" ht="15" customHeight="1" s="93">
      <c r="G259" s="92" t="n"/>
    </row>
    <row r="260" ht="15" customHeight="1" s="93">
      <c r="G260" s="92" t="n"/>
    </row>
    <row r="261" ht="15" customHeight="1" s="93">
      <c r="G261" s="92" t="n"/>
    </row>
    <row r="262" ht="15" customHeight="1" s="93">
      <c r="G262" s="92" t="n"/>
    </row>
    <row r="263" ht="15" customHeight="1" s="93">
      <c r="G263" s="92" t="n"/>
    </row>
    <row r="264" ht="15" customHeight="1" s="93">
      <c r="G264" s="92" t="n"/>
    </row>
    <row r="265" ht="15" customHeight="1" s="93">
      <c r="G265" s="92" t="n"/>
    </row>
    <row r="266" ht="15" customHeight="1" s="93">
      <c r="G266" s="92" t="n"/>
    </row>
    <row r="267" ht="15" customHeight="1" s="93">
      <c r="G267" s="92" t="n"/>
    </row>
    <row r="268" ht="15" customHeight="1" s="93">
      <c r="G268" s="92" t="n"/>
    </row>
    <row r="269" ht="15" customHeight="1" s="93">
      <c r="G269" s="92" t="n"/>
    </row>
    <row r="270" ht="15" customHeight="1" s="93">
      <c r="G270" s="92" t="n"/>
    </row>
    <row r="271" ht="15" customHeight="1" s="93">
      <c r="G271" s="92" t="n"/>
    </row>
    <row r="272" ht="15" customHeight="1" s="93">
      <c r="G272" s="92" t="n"/>
    </row>
    <row r="273" ht="15" customHeight="1" s="93">
      <c r="G273" s="92" t="n"/>
    </row>
    <row r="274" ht="15" customHeight="1" s="93">
      <c r="G274" s="92" t="n"/>
    </row>
    <row r="275" ht="15" customHeight="1" s="93">
      <c r="G275" s="92" t="n"/>
    </row>
    <row r="276" ht="15" customHeight="1" s="93">
      <c r="G276" s="92" t="n"/>
    </row>
    <row r="277" ht="15" customHeight="1" s="93">
      <c r="G277" s="92" t="n"/>
    </row>
    <row r="278" ht="15" customHeight="1" s="93">
      <c r="G278" s="92" t="n"/>
    </row>
    <row r="279" ht="15" customHeight="1" s="93">
      <c r="G279" s="92" t="n"/>
    </row>
    <row r="280" ht="15" customHeight="1" s="93">
      <c r="G280" s="92" t="n"/>
    </row>
    <row r="281" ht="15" customHeight="1" s="93">
      <c r="G281" s="92" t="n"/>
    </row>
    <row r="282" ht="15" customHeight="1" s="93">
      <c r="G282" s="92" t="n"/>
    </row>
    <row r="283" ht="15" customHeight="1" s="93">
      <c r="G283" s="92" t="n"/>
    </row>
    <row r="284" ht="15" customHeight="1" s="93">
      <c r="G284" s="92" t="n"/>
    </row>
    <row r="285" ht="15" customHeight="1" s="93">
      <c r="G285" s="92" t="n"/>
    </row>
    <row r="286" ht="15" customHeight="1" s="93">
      <c r="G286" s="92" t="n"/>
    </row>
    <row r="287" ht="15" customHeight="1" s="93">
      <c r="G287" s="92" t="n"/>
    </row>
    <row r="288" ht="15" customHeight="1" s="93">
      <c r="G288" s="92" t="n"/>
    </row>
    <row r="289" ht="15" customHeight="1" s="93">
      <c r="G289" s="92" t="n"/>
    </row>
    <row r="290" ht="15" customHeight="1" s="93">
      <c r="G290" s="92" t="n"/>
    </row>
    <row r="291" ht="15" customHeight="1" s="93">
      <c r="G291" s="92" t="n"/>
    </row>
    <row r="292" ht="15" customHeight="1" s="93">
      <c r="G292" s="92" t="n"/>
    </row>
    <row r="293" ht="15" customHeight="1" s="93">
      <c r="G293" s="92" t="n"/>
    </row>
    <row r="294" ht="15" customHeight="1" s="93">
      <c r="G294" s="92" t="n"/>
    </row>
    <row r="295" ht="15" customHeight="1" s="93">
      <c r="G295" s="92" t="n"/>
    </row>
    <row r="296" ht="15" customHeight="1" s="93">
      <c r="G296" s="92" t="n"/>
    </row>
    <row r="297" ht="15" customHeight="1" s="93">
      <c r="G297" s="92" t="n"/>
    </row>
    <row r="298" ht="15" customHeight="1" s="93">
      <c r="G298" s="92" t="n"/>
    </row>
    <row r="299" ht="15" customHeight="1" s="93">
      <c r="G299" s="92" t="n"/>
    </row>
    <row r="300" ht="15" customHeight="1" s="93">
      <c r="G300" s="92" t="n"/>
    </row>
    <row r="301" ht="15" customHeight="1" s="93">
      <c r="G301" s="92" t="n"/>
    </row>
    <row r="302" ht="15" customHeight="1" s="93">
      <c r="G302" s="92" t="n"/>
    </row>
    <row r="303" ht="15" customHeight="1" s="93">
      <c r="G303" s="92" t="n"/>
    </row>
    <row r="304" ht="15" customHeight="1" s="93">
      <c r="G304" s="92" t="n"/>
    </row>
    <row r="305" ht="15" customHeight="1" s="93">
      <c r="G305" s="92" t="n"/>
    </row>
    <row r="306" ht="15" customHeight="1" s="93">
      <c r="G306" s="92" t="n"/>
    </row>
    <row r="307" ht="15" customHeight="1" s="93">
      <c r="G307" s="92" t="n"/>
    </row>
    <row r="308" ht="15" customHeight="1" s="93">
      <c r="G308" s="92" t="n"/>
    </row>
    <row r="309" ht="15" customHeight="1" s="93">
      <c r="G309" s="92" t="n"/>
    </row>
    <row r="310" ht="15" customHeight="1" s="93">
      <c r="G310" s="92" t="n"/>
    </row>
    <row r="311" ht="15" customHeight="1" s="93">
      <c r="G311" s="92" t="n"/>
    </row>
    <row r="312" ht="15" customHeight="1" s="93">
      <c r="G312" s="92" t="n"/>
    </row>
    <row r="313" ht="15" customHeight="1" s="93">
      <c r="G313" s="92" t="n"/>
    </row>
    <row r="314" ht="15" customHeight="1" s="93">
      <c r="G314" s="92" t="n"/>
    </row>
    <row r="315" ht="15" customHeight="1" s="93">
      <c r="G315" s="92" t="n"/>
    </row>
    <row r="316" ht="15" customHeight="1" s="93">
      <c r="G316" s="92" t="n"/>
    </row>
    <row r="317" ht="15" customHeight="1" s="93">
      <c r="G317" s="92" t="n"/>
    </row>
    <row r="318" ht="15" customHeight="1" s="93">
      <c r="G318" s="92" t="n"/>
    </row>
    <row r="319" ht="15" customHeight="1" s="93">
      <c r="G319" s="92" t="n"/>
    </row>
    <row r="320" ht="15" customHeight="1" s="93">
      <c r="G320" s="92" t="n"/>
    </row>
    <row r="321" ht="15" customHeight="1" s="93">
      <c r="G321" s="92" t="n"/>
    </row>
    <row r="322" ht="15" customHeight="1" s="93">
      <c r="G322" s="92" t="n"/>
    </row>
    <row r="323" ht="15" customHeight="1" s="93">
      <c r="G323" s="92" t="n"/>
    </row>
    <row r="324" ht="15" customHeight="1" s="93">
      <c r="G324" s="92" t="n"/>
    </row>
    <row r="325" ht="15" customHeight="1" s="93">
      <c r="G325" s="92" t="n"/>
    </row>
    <row r="326" ht="15" customHeight="1" s="93">
      <c r="G326" s="92" t="n"/>
    </row>
    <row r="327" ht="15" customHeight="1" s="93">
      <c r="G327" s="92" t="n"/>
    </row>
    <row r="328" ht="15" customHeight="1" s="93">
      <c r="G328" s="92" t="n"/>
    </row>
    <row r="329" ht="15" customHeight="1" s="93">
      <c r="G329" s="92" t="n"/>
    </row>
    <row r="330" ht="15" customHeight="1" s="93">
      <c r="G330" s="92" t="n"/>
    </row>
    <row r="331" ht="15" customHeight="1" s="93">
      <c r="G331" s="92" t="n"/>
    </row>
    <row r="332" ht="15" customHeight="1" s="93">
      <c r="G332" s="92" t="n"/>
    </row>
    <row r="333" ht="15" customHeight="1" s="93">
      <c r="G333" s="92" t="n"/>
    </row>
    <row r="334" ht="15" customHeight="1" s="93">
      <c r="G334" s="92" t="n"/>
    </row>
    <row r="335" ht="15" customHeight="1" s="93">
      <c r="G335" s="92" t="n"/>
    </row>
    <row r="336" ht="15" customHeight="1" s="93">
      <c r="G336" s="92" t="n"/>
    </row>
    <row r="337" ht="15" customHeight="1" s="93">
      <c r="G337" s="92" t="n"/>
    </row>
    <row r="338" ht="15" customHeight="1" s="93">
      <c r="G338" s="92" t="n"/>
    </row>
    <row r="339" ht="15" customHeight="1" s="93">
      <c r="G339" s="92" t="n"/>
    </row>
    <row r="340" ht="15" customHeight="1" s="93">
      <c r="G340" s="92" t="n"/>
    </row>
    <row r="341" ht="15" customHeight="1" s="93">
      <c r="G341" s="92" t="n"/>
    </row>
    <row r="342" ht="15" customHeight="1" s="93">
      <c r="G342" s="92" t="n"/>
    </row>
    <row r="343" ht="15" customHeight="1" s="93">
      <c r="G343" s="92" t="n"/>
    </row>
    <row r="344" ht="15" customHeight="1" s="93">
      <c r="G344" s="92" t="n"/>
    </row>
    <row r="345" ht="15" customHeight="1" s="93">
      <c r="G345" s="92" t="n"/>
    </row>
    <row r="346" ht="15" customHeight="1" s="93">
      <c r="G346" s="92" t="n"/>
    </row>
    <row r="347" ht="15" customHeight="1" s="93">
      <c r="G347" s="92" t="n"/>
    </row>
    <row r="348" ht="15" customHeight="1" s="93">
      <c r="G348" s="92" t="n"/>
    </row>
    <row r="349" ht="15" customHeight="1" s="93">
      <c r="G349" s="92" t="n"/>
    </row>
    <row r="350" ht="15" customHeight="1" s="93">
      <c r="G350" s="92" t="n"/>
    </row>
    <row r="351" ht="15" customHeight="1" s="93">
      <c r="G351" s="92" t="n"/>
    </row>
    <row r="352" ht="15" customHeight="1" s="93">
      <c r="G352" s="92" t="n"/>
    </row>
    <row r="353" ht="15" customHeight="1" s="93">
      <c r="G353" s="92" t="n"/>
    </row>
    <row r="354" ht="15" customHeight="1" s="93">
      <c r="G354" s="92" t="n"/>
    </row>
    <row r="355" ht="15" customHeight="1" s="93">
      <c r="G355" s="92" t="n"/>
    </row>
    <row r="356" ht="15" customHeight="1" s="93">
      <c r="G356" s="92" t="n"/>
    </row>
    <row r="357" ht="15" customHeight="1" s="93">
      <c r="G357" s="92" t="n"/>
    </row>
    <row r="358" ht="15" customHeight="1" s="93">
      <c r="G358" s="92" t="n"/>
    </row>
    <row r="359" ht="15" customHeight="1" s="93">
      <c r="G359" s="92" t="n"/>
    </row>
    <row r="360" ht="15" customHeight="1" s="93">
      <c r="G360" s="92" t="n"/>
    </row>
    <row r="361" ht="15" customHeight="1" s="93">
      <c r="G361" s="92" t="n"/>
    </row>
    <row r="362" ht="15" customHeight="1" s="93">
      <c r="G362" s="92" t="n"/>
    </row>
    <row r="363" ht="15" customHeight="1" s="93">
      <c r="G363" s="92" t="n"/>
    </row>
    <row r="364" ht="15" customHeight="1" s="93">
      <c r="G364" s="92" t="n"/>
    </row>
    <row r="365" ht="15" customHeight="1" s="93">
      <c r="G365" s="92" t="n"/>
    </row>
    <row r="366" ht="15" customHeight="1" s="93">
      <c r="G366" s="92" t="n"/>
    </row>
    <row r="367" ht="15" customHeight="1" s="93">
      <c r="G367" s="92" t="n"/>
    </row>
    <row r="368" ht="15" customHeight="1" s="93">
      <c r="G368" s="92" t="n"/>
    </row>
    <row r="369" ht="15" customHeight="1" s="93">
      <c r="G369" s="92" t="n"/>
    </row>
    <row r="370" ht="15" customHeight="1" s="93">
      <c r="G370" s="92" t="n"/>
    </row>
    <row r="371" ht="15" customHeight="1" s="93">
      <c r="G371" s="92" t="n"/>
    </row>
    <row r="372" ht="15" customHeight="1" s="93">
      <c r="G372" s="92" t="n"/>
    </row>
    <row r="373" ht="15" customHeight="1" s="93">
      <c r="G373" s="92" t="n"/>
    </row>
    <row r="374" ht="15" customHeight="1" s="93">
      <c r="G374" s="92" t="n"/>
    </row>
    <row r="375" ht="15" customHeight="1" s="93">
      <c r="G375" s="92" t="n"/>
    </row>
    <row r="376" ht="15" customHeight="1" s="93">
      <c r="G376" s="92" t="n"/>
    </row>
    <row r="377" ht="15" customHeight="1" s="93">
      <c r="G377" s="92" t="n"/>
    </row>
    <row r="378" ht="15" customHeight="1" s="93">
      <c r="G378" s="92" t="n"/>
    </row>
    <row r="379" ht="15" customHeight="1" s="93">
      <c r="G379" s="92" t="n"/>
    </row>
    <row r="380" ht="15" customHeight="1" s="93">
      <c r="G380" s="92" t="n"/>
    </row>
    <row r="381" ht="15" customHeight="1" s="93">
      <c r="G381" s="92" t="n"/>
    </row>
    <row r="382" ht="15" customHeight="1" s="93">
      <c r="G382" s="92" t="n"/>
    </row>
    <row r="383" ht="15" customHeight="1" s="93">
      <c r="G383" s="92" t="n"/>
    </row>
    <row r="384" ht="15" customHeight="1" s="93">
      <c r="G384" s="92" t="n"/>
    </row>
    <row r="385" ht="15" customHeight="1" s="93">
      <c r="G385" s="92" t="n"/>
    </row>
    <row r="386" ht="15" customHeight="1" s="93">
      <c r="G386" s="92" t="n"/>
    </row>
    <row r="387" ht="15" customHeight="1" s="93">
      <c r="G387" s="92" t="n"/>
    </row>
    <row r="388" ht="15" customHeight="1" s="93">
      <c r="G388" s="92" t="n"/>
    </row>
    <row r="389" ht="15" customHeight="1" s="93">
      <c r="G389" s="92" t="n"/>
    </row>
    <row r="390" ht="15" customHeight="1" s="93">
      <c r="G390" s="92" t="n"/>
    </row>
    <row r="391" ht="15" customHeight="1" s="93">
      <c r="G391" s="92" t="n"/>
    </row>
    <row r="392" ht="15" customHeight="1" s="93">
      <c r="G392" s="92" t="n"/>
    </row>
    <row r="393" ht="15" customHeight="1" s="93">
      <c r="G393" s="92" t="n"/>
    </row>
    <row r="394" ht="15" customHeight="1" s="93">
      <c r="G394" s="92" t="n"/>
    </row>
    <row r="395" ht="15" customHeight="1" s="93">
      <c r="G395" s="92" t="n"/>
    </row>
    <row r="396" ht="15" customHeight="1" s="93">
      <c r="G396" s="92" t="n"/>
    </row>
    <row r="397" ht="15" customHeight="1" s="93">
      <c r="G397" s="92" t="n"/>
    </row>
    <row r="398" ht="15" customHeight="1" s="93">
      <c r="G398" s="92" t="n"/>
    </row>
    <row r="399" ht="15" customHeight="1" s="93">
      <c r="G399" s="92" t="n"/>
    </row>
    <row r="400" ht="15" customHeight="1" s="93">
      <c r="G400" s="92" t="n"/>
    </row>
    <row r="401" ht="15" customHeight="1" s="93">
      <c r="G401" s="92" t="n"/>
    </row>
    <row r="402" ht="15" customHeight="1" s="93">
      <c r="G402" s="92" t="n"/>
    </row>
    <row r="403" ht="15" customHeight="1" s="93">
      <c r="G403" s="92" t="n"/>
    </row>
    <row r="404" ht="15" customHeight="1" s="93">
      <c r="G404" s="92" t="n"/>
    </row>
    <row r="405" ht="15" customHeight="1" s="93">
      <c r="G405" s="92" t="n"/>
    </row>
    <row r="406" ht="15" customHeight="1" s="93">
      <c r="G406" s="92" t="n"/>
    </row>
    <row r="407" ht="15" customHeight="1" s="93">
      <c r="G407" s="92" t="n"/>
    </row>
    <row r="408" ht="15" customHeight="1" s="93">
      <c r="G408" s="92" t="n"/>
    </row>
    <row r="409" ht="15" customHeight="1" s="93">
      <c r="G409" s="92" t="n"/>
    </row>
    <row r="410" ht="15" customHeight="1" s="93">
      <c r="G410" s="92" t="n"/>
    </row>
    <row r="411" ht="15" customHeight="1" s="93">
      <c r="G411" s="92" t="n"/>
    </row>
    <row r="412" ht="15" customHeight="1" s="93">
      <c r="G412" s="92" t="n"/>
    </row>
    <row r="413" ht="15" customHeight="1" s="93">
      <c r="G413" s="92" t="n"/>
    </row>
    <row r="414" ht="15" customHeight="1" s="93">
      <c r="G414" s="92" t="n"/>
    </row>
    <row r="415" ht="15" customHeight="1" s="93">
      <c r="G415" s="92" t="n"/>
    </row>
    <row r="416" ht="15" customHeight="1" s="93">
      <c r="G416" s="92" t="n"/>
    </row>
    <row r="417" ht="15" customHeight="1" s="93">
      <c r="G417" s="92" t="n"/>
    </row>
    <row r="418" ht="15" customHeight="1" s="93">
      <c r="G418" s="92" t="n"/>
    </row>
    <row r="419" ht="15" customHeight="1" s="93">
      <c r="G419" s="92" t="n"/>
    </row>
    <row r="420" ht="15" customHeight="1" s="93">
      <c r="G420" s="92" t="n"/>
    </row>
    <row r="421" ht="15" customHeight="1" s="93">
      <c r="G421" s="92" t="n"/>
    </row>
    <row r="422" ht="15" customHeight="1" s="93">
      <c r="G422" s="92" t="n"/>
    </row>
    <row r="423" ht="15" customHeight="1" s="93">
      <c r="G423" s="92" t="n"/>
    </row>
    <row r="424" ht="15" customHeight="1" s="93">
      <c r="G424" s="92" t="n"/>
    </row>
    <row r="425" ht="15" customHeight="1" s="93">
      <c r="G425" s="92" t="n"/>
    </row>
    <row r="426" ht="15" customHeight="1" s="93">
      <c r="G426" s="92" t="n"/>
    </row>
    <row r="427" ht="15" customHeight="1" s="93">
      <c r="G427" s="92" t="n"/>
    </row>
    <row r="428" ht="15" customHeight="1" s="93">
      <c r="G428" s="92" t="n"/>
    </row>
    <row r="429" ht="15" customHeight="1" s="93">
      <c r="G429" s="92" t="n"/>
    </row>
    <row r="430" ht="15" customHeight="1" s="93">
      <c r="G430" s="92" t="n"/>
    </row>
    <row r="431" ht="15" customHeight="1" s="93">
      <c r="G431" s="92" t="n"/>
    </row>
    <row r="432" ht="15" customHeight="1" s="93">
      <c r="G432" s="92" t="n"/>
    </row>
    <row r="433" ht="15" customHeight="1" s="93">
      <c r="G433" s="92" t="n"/>
    </row>
    <row r="434" ht="15" customHeight="1" s="93">
      <c r="G434" s="92" t="n"/>
    </row>
    <row r="435" ht="15" customHeight="1" s="93">
      <c r="G435" s="92" t="n"/>
    </row>
    <row r="436" ht="15" customHeight="1" s="93">
      <c r="G436" s="92" t="n"/>
    </row>
    <row r="437" ht="15" customHeight="1" s="93">
      <c r="G437" s="92" t="n"/>
    </row>
    <row r="438" ht="15" customHeight="1" s="93">
      <c r="G438" s="92" t="n"/>
    </row>
    <row r="439" ht="15" customHeight="1" s="93">
      <c r="G439" s="92" t="n"/>
    </row>
    <row r="440" ht="15" customHeight="1" s="93">
      <c r="G440" s="92" t="n"/>
    </row>
    <row r="441" ht="15" customHeight="1" s="93">
      <c r="G441" s="92" t="n"/>
    </row>
    <row r="442" ht="15" customHeight="1" s="93">
      <c r="G442" s="92" t="n"/>
    </row>
    <row r="443" ht="15" customHeight="1" s="93">
      <c r="G443" s="92" t="n"/>
    </row>
    <row r="444" ht="15" customHeight="1" s="93">
      <c r="G444" s="92" t="n"/>
    </row>
    <row r="445" ht="15" customHeight="1" s="93">
      <c r="G445" s="92" t="n"/>
    </row>
    <row r="446" ht="15" customHeight="1" s="93">
      <c r="G446" s="92" t="n"/>
    </row>
    <row r="447" ht="15" customHeight="1" s="93">
      <c r="G447" s="92" t="n"/>
    </row>
    <row r="448" ht="15" customHeight="1" s="93">
      <c r="G448" s="92" t="n"/>
    </row>
    <row r="449" ht="15" customHeight="1" s="93">
      <c r="G449" s="92" t="n"/>
    </row>
    <row r="450" ht="15" customHeight="1" s="93">
      <c r="G450" s="92" t="n"/>
    </row>
    <row r="451" ht="15" customHeight="1" s="93">
      <c r="G451" s="92" t="n"/>
    </row>
    <row r="452" ht="15" customHeight="1" s="93">
      <c r="G452" s="92" t="n"/>
    </row>
    <row r="453" ht="15" customHeight="1" s="93">
      <c r="G453" s="92" t="n"/>
    </row>
    <row r="454" ht="15" customHeight="1" s="93">
      <c r="G454" s="92" t="n"/>
    </row>
    <row r="455" ht="15" customHeight="1" s="93">
      <c r="G455" s="92" t="n"/>
    </row>
    <row r="456" ht="15" customHeight="1" s="93">
      <c r="G456" s="92" t="n"/>
    </row>
    <row r="457" ht="15" customHeight="1" s="93">
      <c r="G457" s="92" t="n"/>
    </row>
    <row r="458" ht="15" customHeight="1" s="93">
      <c r="G458" s="92" t="n"/>
    </row>
    <row r="459" ht="15" customHeight="1" s="93">
      <c r="G459" s="92" t="n"/>
    </row>
    <row r="460" ht="15" customHeight="1" s="93">
      <c r="G460" s="92" t="n"/>
    </row>
    <row r="461" ht="15" customHeight="1" s="93">
      <c r="G461" s="92" t="n"/>
    </row>
    <row r="462" ht="15" customHeight="1" s="93">
      <c r="G462" s="92" t="n"/>
    </row>
    <row r="463" ht="15" customHeight="1" s="93">
      <c r="G463" s="92" t="n"/>
    </row>
    <row r="464" ht="15" customHeight="1" s="93">
      <c r="G464" s="92" t="n"/>
    </row>
    <row r="465" ht="15" customHeight="1" s="93">
      <c r="G465" s="92" t="n"/>
    </row>
    <row r="466" ht="15" customHeight="1" s="93">
      <c r="G466" s="92" t="n"/>
    </row>
    <row r="467" ht="15" customHeight="1" s="93">
      <c r="G467" s="92" t="n"/>
    </row>
    <row r="468" ht="15" customHeight="1" s="93">
      <c r="G468" s="92" t="n"/>
    </row>
    <row r="469" ht="15" customHeight="1" s="93">
      <c r="G469" s="92" t="n"/>
    </row>
    <row r="470" ht="15" customHeight="1" s="93">
      <c r="G470" s="92" t="n"/>
    </row>
    <row r="471" ht="15" customHeight="1" s="93">
      <c r="G471" s="92" t="n"/>
    </row>
    <row r="472" ht="15" customHeight="1" s="93">
      <c r="G472" s="92" t="n"/>
    </row>
    <row r="473" ht="15" customHeight="1" s="93">
      <c r="G473" s="92" t="n"/>
    </row>
    <row r="474" ht="15" customHeight="1" s="93">
      <c r="G474" s="92" t="n"/>
    </row>
    <row r="475" ht="15" customHeight="1" s="93">
      <c r="G475" s="92" t="n"/>
    </row>
    <row r="476" ht="15" customHeight="1" s="93">
      <c r="G476" s="92" t="n"/>
    </row>
    <row r="477" ht="15" customHeight="1" s="93">
      <c r="G477" s="92" t="n"/>
    </row>
    <row r="478" ht="15" customHeight="1" s="93">
      <c r="G478" s="92" t="n"/>
    </row>
    <row r="479" ht="15" customHeight="1" s="93">
      <c r="G479" s="92" t="n"/>
    </row>
    <row r="480" ht="15" customHeight="1" s="93">
      <c r="G480" s="92" t="n"/>
    </row>
    <row r="481" ht="15" customHeight="1" s="93">
      <c r="G481" s="92" t="n"/>
    </row>
    <row r="482" ht="15" customHeight="1" s="93">
      <c r="G482" s="92" t="n"/>
    </row>
    <row r="483" ht="15" customHeight="1" s="93">
      <c r="G483" s="92" t="n"/>
    </row>
    <row r="484" ht="15" customHeight="1" s="93">
      <c r="G484" s="92" t="n"/>
    </row>
    <row r="485" ht="15" customHeight="1" s="93">
      <c r="G485" s="92" t="n"/>
    </row>
    <row r="486" ht="15" customHeight="1" s="93">
      <c r="G486" s="92" t="n"/>
    </row>
    <row r="487" ht="15" customHeight="1" s="93">
      <c r="G487" s="92" t="n"/>
    </row>
    <row r="488" ht="15" customHeight="1" s="93">
      <c r="G488" s="92" t="n"/>
    </row>
    <row r="489" ht="15" customHeight="1" s="93">
      <c r="G489" s="92" t="n"/>
    </row>
    <row r="490" ht="15" customHeight="1" s="93">
      <c r="G490" s="92" t="n"/>
    </row>
    <row r="491" ht="15" customHeight="1" s="93">
      <c r="G491" s="92" t="n"/>
    </row>
    <row r="492" ht="15" customHeight="1" s="93">
      <c r="G492" s="92" t="n"/>
    </row>
    <row r="493" ht="15" customHeight="1" s="93">
      <c r="G493" s="92" t="n"/>
    </row>
    <row r="494" ht="15" customHeight="1" s="93">
      <c r="G494" s="92" t="n"/>
    </row>
    <row r="495" ht="15" customHeight="1" s="93">
      <c r="G495" s="92" t="n"/>
    </row>
    <row r="496" ht="15" customHeight="1" s="93">
      <c r="G496" s="92" t="n"/>
    </row>
    <row r="497" ht="15" customHeight="1" s="93">
      <c r="G497" s="92" t="n"/>
    </row>
    <row r="498" ht="15" customHeight="1" s="93">
      <c r="G498" s="92" t="n"/>
    </row>
    <row r="499" ht="15" customHeight="1" s="93">
      <c r="G499" s="92" t="n"/>
    </row>
    <row r="500" ht="15" customHeight="1" s="93">
      <c r="G500" s="92" t="n"/>
    </row>
  </sheetData>
  <mergeCells count="1">
    <mergeCell ref="J1:P1"/>
  </mergeCells>
  <conditionalFormatting sqref="A2:H1000">
    <cfRule type="expression" rank="0" priority="2" equalAverage="0" aboveAverage="0" dxfId="11" text="" percent="0" bottom="0">
      <formula>$C2="US"</formula>
    </cfRule>
    <cfRule type="expression" rank="0" priority="3" equalAverage="0" aboveAverage="0" dxfId="12" text="" percent="0" bottom="0">
      <formula>$C2="MyMSC"</formula>
    </cfRule>
    <cfRule type="expression" rank="0" priority="4" equalAverage="0" aboveAverage="0" dxfId="13" text="" percent="0" bottom="0">
      <formula>$C2="Rollout"</formula>
    </cfRule>
    <cfRule type="expression" rank="0" priority="5" equalAverage="0" aboveAverage="0" dxfId="13" text="" percent="0" bottom="0">
      <formula>$C2="MVP Rollout"</formula>
    </cfRule>
    <cfRule type="expression" rank="0" priority="6" equalAverage="0" aboveAverage="0" dxfId="14" text="" percent="0" bottom="0">
      <formula>$C2="Backlog"</formula>
    </cfRule>
    <cfRule type="expression" rank="0" priority="7" equalAverage="0" aboveAverage="0" dxfId="14" text="" percent="0" bottom="0">
      <formula>$C2="Growth"</formula>
    </cfRule>
    <cfRule type="expression" rank="0" priority="8" equalAverage="0" aboveAverage="0" dxfId="15" text="" percent="0" bottom="0">
      <formula>$C2="Tech Enhancements"</formula>
    </cfRule>
    <cfRule type="expression" rank="0" priority="9" equalAverage="0" aboveAverage="0" dxfId="16" text="" percent="0" bottom="0">
      <formula>LEFT($C2,2)="PI"</formula>
    </cfRule>
  </conditionalFormatting>
  <dataValidations count="2">
    <dataValidation sqref="O3:O100" showDropDown="0" showInputMessage="0" showErrorMessage="0" allowBlank="1" type="list" errorStyle="stop" operator="between">
      <formula1>"To Plan,Planned,In Progress,Completed"</formula1>
      <formula2>0</formula2>
    </dataValidation>
    <dataValidation sqref="G2:G500" showDropDown="0" showInputMessage="0" showErrorMessage="0" allowBlank="1" type="list" errorStyle="stop" operator="between">
      <formula1>ReleaseList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8.xml><?xml version="1.0" encoding="utf-8"?>
<worksheet xmlns="http://schemas.openxmlformats.org/spreadsheetml/2006/main">
  <sheetPr filterMode="0">
    <outlinePr summaryBelow="1" summaryRight="1"/>
    <pageSetUpPr fitToPage="0"/>
  </sheetPr>
  <dimension ref="A1:K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baseColWidth="8" defaultColWidth="8.66796875" defaultRowHeight="15" customHeight="0" zeroHeight="0" outlineLevelRow="0"/>
  <cols>
    <col width="12" customWidth="1" style="97" min="1" max="1"/>
    <col width="10" customWidth="1" style="97" min="2" max="3"/>
    <col width="30.83" customWidth="1" style="97" min="4" max="4"/>
    <col width="45.83" customWidth="1" style="97" min="5" max="5"/>
    <col width="46" customWidth="1" style="97" min="6" max="6"/>
    <col width="11.83" customWidth="1" style="97" min="7" max="7"/>
    <col width="7.5" customWidth="1" style="97" min="8" max="8"/>
    <col hidden="1" width="38.83" customWidth="1" style="97" min="9" max="9"/>
    <col width="34.83" customWidth="1" style="97" min="10" max="10"/>
    <col width="34.33" customWidth="1" style="97" min="11" max="11"/>
    <col width="8.67" customWidth="1" style="97" min="12" max="16384"/>
  </cols>
  <sheetData>
    <row r="1" ht="15" customHeight="1" s="93">
      <c r="A1" s="168" t="inlineStr">
        <is>
          <t>ID</t>
        </is>
      </c>
      <c r="B1" s="168" t="inlineStr">
        <is>
          <t>Stream</t>
        </is>
      </c>
      <c r="C1" s="168" t="inlineStr">
        <is>
          <t>Stream Owner</t>
        </is>
      </c>
      <c r="D1" s="168" t="inlineStr">
        <is>
          <t>Sprint</t>
        </is>
      </c>
      <c r="E1" s="168" t="inlineStr">
        <is>
          <t>Jira Link</t>
        </is>
      </c>
      <c r="F1" s="168" t="inlineStr">
        <is>
          <t>Description</t>
        </is>
      </c>
      <c r="G1" s="168" t="inlineStr">
        <is>
          <t>Status</t>
        </is>
      </c>
      <c r="H1" s="168" t="inlineStr">
        <is>
          <t>HLE</t>
        </is>
      </c>
      <c r="I1" s="168" t="inlineStr">
        <is>
          <t>Notes - Jul 31</t>
        </is>
      </c>
      <c r="J1" s="168" t="inlineStr">
        <is>
          <t>Notes - Aug 5</t>
        </is>
      </c>
      <c r="K1" s="168" t="inlineStr">
        <is>
          <t>Notes - Aug 13</t>
        </is>
      </c>
    </row>
    <row r="2" ht="111.75" customHeight="1" s="93">
      <c r="A2" s="97" t="inlineStr">
        <is>
          <t>NEW-0389</t>
        </is>
      </c>
      <c r="B2" s="97">
        <f>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
      </c>
      <c r="C2" s="97">
        <f>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
      </c>
      <c r="D2" s="97">
        <f>IFERROR(INDEX(Backlog[Sprint],MATCH($A2,Backlog[Requirement ID],0)),IFERROR(INDEX('Q1 Backlog Report 2026'!$J:$J,MATCH($A2,'Q1 Backlog Report 2026'!$A:$A,0)),IFERROR(INDEX('Q2 Backlog Report 2026'!$J:$J,MATCH($A2,'Q2 Backlog Report 2026'!$A:$A,0)),IFERROR(INDEX('Q3 Backlog Report 2026'!$J:$J,MATCH($A2,'Q3 Backlog Report 2026'!$A:$A,0)),IFERROR(INDEX('Q4 Backlog Report 2026'!$J:$J,MATCH($A2,'Q4 Backlog Report 2026'!$A:$A,0)),"")))))</f>
        <v/>
      </c>
      <c r="E2" s="97">
        <f>IFERROR(INDEX(Backlog[Jira Link],MATCH($A2,Backlog[Requirement ID],0)),IFERROR(INDEX('Q1 Backlog Report 2026'!$H:$H,MATCH($A2,'Q1 Backlog Report 2026'!$A:$A,0)),IFERROR(INDEX('Q2 Backlog Report 2026'!$H:$H,MATCH($A2,'Q2 Backlog Report 2026'!$A:$A,0)),IFERROR(INDEX('Q3 Backlog Report 2026'!$H:$H,MATCH($A2,'Q3 Backlog Report 2026'!$A:$A,0)),IFERROR(INDEX('Q4 Backlog Report 2026'!$H:$H,MATCH($A2,'Q4 Backlog Report 2026'!$A:$A,0)),"")))))</f>
        <v/>
      </c>
      <c r="F2" s="97">
        <f>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
      </c>
      <c r="G2" s="97">
        <f>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
      </c>
      <c r="H2" s="97">
        <f>IFERROR(INDEX(Backlog[HLE],MATCH($A2,Backlog[Requirement ID],0)),IFERROR(INDEX('Q1 Backlog Report 2026'!$L:$L,MATCH($A2,'Q1 Backlog Report 2026'!$A:$A,0)),IFERROR(INDEX('Q2 Backlog Report 2026'!$L:$L,MATCH($A2,'Q2 Backlog Report 2026'!$A:$A,0)),IFERROR(INDEX('Q3 Backlog Report 2026'!$L:$L,MATCH($A2,'Q3 Backlog Report 2026'!$A:$A,0)),IFERROR(INDEX('Q4 Backlog Report 2026'!$L:$L,MATCH($A2,'Q4 Backlog Report 2026'!$A:$A,0)),"")))))</f>
        <v/>
      </c>
      <c r="I2" s="169" t="inlineStr">
        <is>
          <t>- Arch work and API Design DONE. Ready For Dev (HLE: 8 SP).
- Still pending: web form code and campaign codes from B2C and marketing teams. OP created by Renato Rubino
- Postponed to IT2/Sprint 10 as agreed with Renato Rubino on July 23</t>
        </is>
      </c>
      <c r="J2" s="169" t="inlineStr">
        <is>
          <t>- in progress.
- Assigned to sprint 10 (postponed from IT1 to IT2).
- Still pending event type, campaign code provided.</t>
        </is>
      </c>
      <c r="K2" s="169" t="inlineStr">
        <is>
          <t>- Released in Production on July 16 (CHG0070881)</t>
        </is>
      </c>
    </row>
    <row r="3" ht="63.75" customHeight="1" s="93">
      <c r="A3" s="97" t="inlineStr">
        <is>
          <t>NEW-0075</t>
        </is>
      </c>
      <c r="B3" s="97">
        <f>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
      </c>
      <c r="C3" s="97">
        <f>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
      </c>
      <c r="D3" s="97">
        <f>IFERROR(INDEX(Backlog[Sprint],MATCH($A3,Backlog[Requirement ID],0)),IFERROR(INDEX('Q1 Backlog Report 2026'!$J:$J,MATCH($A3,'Q1 Backlog Report 2026'!$A:$A,0)),IFERROR(INDEX('Q2 Backlog Report 2026'!$J:$J,MATCH($A3,'Q2 Backlog Report 2026'!$A:$A,0)),IFERROR(INDEX('Q3 Backlog Report 2026'!$J:$J,MATCH($A3,'Q3 Backlog Report 2026'!$A:$A,0)),IFERROR(INDEX('Q4 Backlog Report 2026'!$J:$J,MATCH($A3,'Q4 Backlog Report 2026'!$A:$A,0)),"")))))</f>
        <v/>
      </c>
      <c r="E3" s="97">
        <f>IFERROR(INDEX(Backlog[Jira Link],MATCH($A3,Backlog[Requirement ID],0)),IFERROR(INDEX('Q1 Backlog Report 2026'!$H:$H,MATCH($A3,'Q1 Backlog Report 2026'!$A:$A,0)),IFERROR(INDEX('Q2 Backlog Report 2026'!$H:$H,MATCH($A3,'Q2 Backlog Report 2026'!$A:$A,0)),IFERROR(INDEX('Q3 Backlog Report 2026'!$H:$H,MATCH($A3,'Q3 Backlog Report 2026'!$A:$A,0)),IFERROR(INDEX('Q4 Backlog Report 2026'!$H:$H,MATCH($A3,'Q4 Backlog Report 2026'!$A:$A,0)),"")))))</f>
        <v/>
      </c>
      <c r="F3" s="97">
        <f>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
      </c>
      <c r="G3" s="97">
        <f>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
      </c>
      <c r="H3" s="97">
        <f>IFERROR(INDEX(Backlog[HLE],MATCH($A3,Backlog[Requirement ID],0)),IFERROR(INDEX('Q1 Backlog Report 2026'!$L:$L,MATCH($A3,'Q1 Backlog Report 2026'!$A:$A,0)),IFERROR(INDEX('Q2 Backlog Report 2026'!$L:$L,MATCH($A3,'Q2 Backlog Report 2026'!$A:$A,0)),IFERROR(INDEX('Q3 Backlog Report 2026'!$L:$L,MATCH($A3,'Q3 Backlog Report 2026'!$A:$A,0)),IFERROR(INDEX('Q4 Backlog Report 2026'!$L:$L,MATCH($A3,'Q4 Backlog Report 2026'!$A:$A,0)),"")))))</f>
        <v/>
      </c>
      <c r="I3" s="169" t="inlineStr">
        <is>
          <t>- HLD pending.
- Call July 23: DTS will add field to Booking Event</t>
        </is>
      </c>
      <c r="J3" s="169" t="inlineStr">
        <is>
          <t>DTS dependancy to be worked on in Sprint 10 alignment call 05.08. Assigned to sprint 11. LLD pending</t>
        </is>
      </c>
      <c r="K3" s="169" t="inlineStr">
        <is>
          <t>- Pending E2E Arch Solution - HLD
- Campaign codes from MA Needed
- To clarify integration with S&amp;S
- No updates.</t>
        </is>
      </c>
    </row>
    <row r="4" ht="52.5" customHeight="1" s="93">
      <c r="A4" s="97" t="inlineStr">
        <is>
          <t>NEW-0076</t>
        </is>
      </c>
      <c r="B4" s="97">
        <f>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
      </c>
      <c r="C4" s="97">
        <f>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
      </c>
      <c r="D4" s="97">
        <f>IFERROR(INDEX(Backlog[Sprint],MATCH($A4,Backlog[Requirement ID],0)),IFERROR(INDEX('Q1 Backlog Report 2026'!$J:$J,MATCH($A4,'Q1 Backlog Report 2026'!$A:$A,0)),IFERROR(INDEX('Q2 Backlog Report 2026'!$J:$J,MATCH($A4,'Q2 Backlog Report 2026'!$A:$A,0)),IFERROR(INDEX('Q3 Backlog Report 2026'!$J:$J,MATCH($A4,'Q3 Backlog Report 2026'!$A:$A,0)),IFERROR(INDEX('Q4 Backlog Report 2026'!$J:$J,MATCH($A4,'Q4 Backlog Report 2026'!$A:$A,0)),"")))))</f>
        <v/>
      </c>
      <c r="E4" s="97">
        <f>IFERROR(INDEX(Backlog[Jira Link],MATCH($A4,Backlog[Requirement ID],0)),IFERROR(INDEX('Q1 Backlog Report 2026'!$H:$H,MATCH($A4,'Q1 Backlog Report 2026'!$A:$A,0)),IFERROR(INDEX('Q2 Backlog Report 2026'!$H:$H,MATCH($A4,'Q2 Backlog Report 2026'!$A:$A,0)),IFERROR(INDEX('Q3 Backlog Report 2026'!$H:$H,MATCH($A4,'Q3 Backlog Report 2026'!$A:$A,0)),IFERROR(INDEX('Q4 Backlog Report 2026'!$H:$H,MATCH($A4,'Q4 Backlog Report 2026'!$A:$A,0)),"")))))</f>
        <v/>
      </c>
      <c r="F4" s="97">
        <f>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
      </c>
      <c r="G4" s="97">
        <f>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
      </c>
      <c r="H4" s="97">
        <f>IFERROR(INDEX(Backlog[HLE],MATCH($A4,Backlog[Requirement ID],0)),IFERROR(INDEX('Q1 Backlog Report 2026'!$L:$L,MATCH($A4,'Q1 Backlog Report 2026'!$A:$A,0)),IFERROR(INDEX('Q2 Backlog Report 2026'!$L:$L,MATCH($A4,'Q2 Backlog Report 2026'!$A:$A,0)),IFERROR(INDEX('Q3 Backlog Report 2026'!$L:$L,MATCH($A4,'Q3 Backlog Report 2026'!$A:$A,0)),IFERROR(INDEX('Q4 Backlog Report 2026'!$L:$L,MATCH($A4,'Q4 Backlog Report 2026'!$A:$A,0)),"")))))</f>
        <v/>
      </c>
      <c r="I4" s="169" t="inlineStr">
        <is>
          <t>- Requirements still need to be double checked.
- Ongoing discussion in the thread.
- Call on July 23: DTS to be involved for POST Booking response changes</t>
        </is>
      </c>
      <c r="J4" s="169" t="inlineStr">
        <is>
          <t>- No DTS dependancy.
- Alignment call on Aug 4: LLD still pending.</t>
        </is>
      </c>
      <c r="K4" s="169" t="inlineStr">
        <is>
          <t>- LLD Pending
- DTS dependency will be worked in IT3</t>
        </is>
      </c>
    </row>
    <row r="5" ht="72" customHeight="1" s="93">
      <c r="A5" s="97" t="inlineStr">
        <is>
          <t>NEW-0085</t>
        </is>
      </c>
      <c r="B5" s="97">
        <f>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
      </c>
      <c r="C5" s="97">
        <f>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
      </c>
      <c r="D5" s="97">
        <f>IFERROR(INDEX(Backlog[Sprint],MATCH($A5,Backlog[Requirement ID],0)),IFERROR(INDEX('Q1 Backlog Report 2026'!$J:$J,MATCH($A5,'Q1 Backlog Report 2026'!$A:$A,0)),IFERROR(INDEX('Q2 Backlog Report 2026'!$J:$J,MATCH($A5,'Q2 Backlog Report 2026'!$A:$A,0)),IFERROR(INDEX('Q3 Backlog Report 2026'!$J:$J,MATCH($A5,'Q3 Backlog Report 2026'!$A:$A,0)),IFERROR(INDEX('Q4 Backlog Report 2026'!$J:$J,MATCH($A5,'Q4 Backlog Report 2026'!$A:$A,0)),"")))))</f>
        <v/>
      </c>
      <c r="E5" s="97">
        <f>IFERROR(INDEX(Backlog[Jira Link],MATCH($A5,Backlog[Requirement ID],0)),IFERROR(INDEX('Q1 Backlog Report 2026'!$H:$H,MATCH($A5,'Q1 Backlog Report 2026'!$A:$A,0)),IFERROR(INDEX('Q2 Backlog Report 2026'!$H:$H,MATCH($A5,'Q2 Backlog Report 2026'!$A:$A,0)),IFERROR(INDEX('Q3 Backlog Report 2026'!$H:$H,MATCH($A5,'Q3 Backlog Report 2026'!$A:$A,0)),IFERROR(INDEX('Q4 Backlog Report 2026'!$H:$H,MATCH($A5,'Q4 Backlog Report 2026'!$A:$A,0)),"")))))</f>
        <v/>
      </c>
      <c r="F5" s="97">
        <f>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
      </c>
      <c r="G5" s="97">
        <f>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
      </c>
      <c r="H5" s="97">
        <f>IFERROR(INDEX(Backlog[HLE],MATCH($A5,Backlog[Requirement ID],0)),IFERROR(INDEX('Q1 Backlog Report 2026'!$L:$L,MATCH($A5,'Q1 Backlog Report 2026'!$A:$A,0)),IFERROR(INDEX('Q2 Backlog Report 2026'!$L:$L,MATCH($A5,'Q2 Backlog Report 2026'!$A:$A,0)),IFERROR(INDEX('Q3 Backlog Report 2026'!$L:$L,MATCH($A5,'Q3 Backlog Report 2026'!$A:$A,0)),IFERROR(INDEX('Q4 Backlog Report 2026'!$L:$L,MATCH($A5,'Q4 Backlog Report 2026'!$A:$A,0)),"")))))</f>
        <v/>
      </c>
      <c r="I5" s="169" t="inlineStr">
        <is>
          <t>- Filtering logic under discussion.
- Requested them to define filtering logic in IA. No dependency on DTS changes expected.</t>
        </is>
      </c>
      <c r="J5" s="169" t="inlineStr">
        <is>
          <t>- Filtering logic under discussion.
- Requested them to define filtering logic in IA.
- No dependency on DTS changes expected.</t>
        </is>
      </c>
      <c r="K5" s="169" t="inlineStr">
        <is>
          <t>- No clear requirement.
- Meeting has been organised next week on Aug 17.</t>
        </is>
      </c>
    </row>
    <row r="6" ht="15" customHeight="1" s="93">
      <c r="A6" s="97" t="inlineStr">
        <is>
          <t>NEW-0086</t>
        </is>
      </c>
      <c r="B6" s="97">
        <f>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
      </c>
      <c r="C6" s="97">
        <f>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
      </c>
      <c r="D6" s="97">
        <f>IFERROR(INDEX(Backlog[Sprint],MATCH($A6,Backlog[Requirement ID],0)),IFERROR(INDEX('Q1 Backlog Report 2026'!$J:$J,MATCH($A6,'Q1 Backlog Report 2026'!$A:$A,0)),IFERROR(INDEX('Q2 Backlog Report 2026'!$J:$J,MATCH($A6,'Q2 Backlog Report 2026'!$A:$A,0)),IFERROR(INDEX('Q3 Backlog Report 2026'!$J:$J,MATCH($A6,'Q3 Backlog Report 2026'!$A:$A,0)),IFERROR(INDEX('Q4 Backlog Report 2026'!$J:$J,MATCH($A6,'Q4 Backlog Report 2026'!$A:$A,0)),"")))))</f>
        <v/>
      </c>
      <c r="E6" s="97">
        <f>IFERROR(INDEX(Backlog[Jira Link],MATCH($A6,Backlog[Requirement ID],0)),IFERROR(INDEX('Q1 Backlog Report 2026'!$H:$H,MATCH($A6,'Q1 Backlog Report 2026'!$A:$A,0)),IFERROR(INDEX('Q2 Backlog Report 2026'!$H:$H,MATCH($A6,'Q2 Backlog Report 2026'!$A:$A,0)),IFERROR(INDEX('Q3 Backlog Report 2026'!$H:$H,MATCH($A6,'Q3 Backlog Report 2026'!$A:$A,0)),IFERROR(INDEX('Q4 Backlog Report 2026'!$H:$H,MATCH($A6,'Q4 Backlog Report 2026'!$A:$A,0)),"")))))</f>
        <v/>
      </c>
      <c r="F6" s="97">
        <f>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
      </c>
      <c r="G6" s="97">
        <f>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
      </c>
      <c r="H6" s="97">
        <f>IFERROR(INDEX(Backlog[HLE],MATCH($A6,Backlog[Requirement ID],0)),IFERROR(INDEX('Q1 Backlog Report 2026'!$L:$L,MATCH($A6,'Q1 Backlog Report 2026'!$A:$A,0)),IFERROR(INDEX('Q2 Backlog Report 2026'!$L:$L,MATCH($A6,'Q2 Backlog Report 2026'!$A:$A,0)),IFERROR(INDEX('Q3 Backlog Report 2026'!$L:$L,MATCH($A6,'Q3 Backlog Report 2026'!$A:$A,0)),IFERROR(INDEX('Q4 Backlog Report 2026'!$L:$L,MATCH($A6,'Q4 Backlog Report 2026'!$A:$A,0)),"")))))</f>
        <v/>
      </c>
      <c r="I6" s="169" t="inlineStr">
        <is>
          <t>- Pending E2E Arch Solution - HLD
- Campaign codes from MA Needed
- To clarify integration with S&amp;S</t>
        </is>
      </c>
      <c r="J6" s="169" t="inlineStr">
        <is>
          <t>- Pending E2E Arch Solution - HLD
- Campaign codes from MA Needed
- To clarify integration with S&amp;S</t>
        </is>
      </c>
      <c r="K6" s="169" t="inlineStr">
        <is>
          <t>- No clear requirement.
- No updates.</t>
        </is>
      </c>
    </row>
    <row r="7" ht="15" customHeight="1" s="93">
      <c r="A7" s="97" t="inlineStr">
        <is>
          <t>NEW-0087</t>
        </is>
      </c>
      <c r="B7" s="97">
        <f>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
      </c>
      <c r="C7" s="97">
        <f>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
      </c>
      <c r="D7" s="97">
        <f>IFERROR(INDEX(Backlog[Sprint],MATCH($A7,Backlog[Requirement ID],0)),IFERROR(INDEX('Q1 Backlog Report 2026'!$J:$J,MATCH($A7,'Q1 Backlog Report 2026'!$A:$A,0)),IFERROR(INDEX('Q2 Backlog Report 2026'!$J:$J,MATCH($A7,'Q2 Backlog Report 2026'!$A:$A,0)),IFERROR(INDEX('Q3 Backlog Report 2026'!$J:$J,MATCH($A7,'Q3 Backlog Report 2026'!$A:$A,0)),IFERROR(INDEX('Q4 Backlog Report 2026'!$J:$J,MATCH($A7,'Q4 Backlog Report 2026'!$A:$A,0)),"")))))</f>
        <v/>
      </c>
      <c r="E7" s="97">
        <f>IFERROR(INDEX(Backlog[Jira Link],MATCH($A7,Backlog[Requirement ID],0)),IFERROR(INDEX('Q1 Backlog Report 2026'!$H:$H,MATCH($A7,'Q1 Backlog Report 2026'!$A:$A,0)),IFERROR(INDEX('Q2 Backlog Report 2026'!$H:$H,MATCH($A7,'Q2 Backlog Report 2026'!$A:$A,0)),IFERROR(INDEX('Q3 Backlog Report 2026'!$H:$H,MATCH($A7,'Q3 Backlog Report 2026'!$A:$A,0)),IFERROR(INDEX('Q4 Backlog Report 2026'!$H:$H,MATCH($A7,'Q4 Backlog Report 2026'!$A:$A,0)),"")))))</f>
        <v/>
      </c>
      <c r="F7" s="97">
        <f>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
      </c>
      <c r="G7" s="97">
        <f>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
      </c>
      <c r="H7" s="97">
        <f>IFERROR(INDEX(Backlog[HLE],MATCH($A7,Backlog[Requirement ID],0)),IFERROR(INDEX('Q1 Backlog Report 2026'!$L:$L,MATCH($A7,'Q1 Backlog Report 2026'!$A:$A,0)),IFERROR(INDEX('Q2 Backlog Report 2026'!$L:$L,MATCH($A7,'Q2 Backlog Report 2026'!$A:$A,0)),IFERROR(INDEX('Q3 Backlog Report 2026'!$L:$L,MATCH($A7,'Q3 Backlog Report 2026'!$A:$A,0)),IFERROR(INDEX('Q4 Backlog Report 2026'!$L:$L,MATCH($A7,'Q4 Backlog Report 2026'!$A:$A,0)),"")))))</f>
        <v/>
      </c>
      <c r="I7" s="169" t="inlineStr">
        <is>
          <t>- Configuration work for MuleSoft
- To be assigned to AM Team</t>
        </is>
      </c>
      <c r="J7" s="169" t="inlineStr">
        <is>
          <t>- Configuration work for MuleSoft
- To be assigned to AM Team</t>
        </is>
      </c>
      <c r="K7" s="169" t="inlineStr">
        <is>
          <t>- Filtering logic under discussion.
- Requested them to define filtering logic in IA.
- No dependency on DTS changes expected.
- No updates.</t>
        </is>
      </c>
    </row>
    <row r="8" ht="15" customHeight="1" s="93">
      <c r="A8" s="97" t="inlineStr">
        <is>
          <t>NEW-0066</t>
        </is>
      </c>
      <c r="B8" s="97">
        <f>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
      </c>
      <c r="C8" s="97">
        <f>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
      </c>
      <c r="D8" s="97">
        <f>IFERROR(INDEX(Backlog[Sprint],MATCH($A8,Backlog[Requirement ID],0)),IFERROR(INDEX('Q1 Backlog Report 2026'!$J:$J,MATCH($A8,'Q1 Backlog Report 2026'!$A:$A,0)),IFERROR(INDEX('Q2 Backlog Report 2026'!$J:$J,MATCH($A8,'Q2 Backlog Report 2026'!$A:$A,0)),IFERROR(INDEX('Q3 Backlog Report 2026'!$J:$J,MATCH($A8,'Q3 Backlog Report 2026'!$A:$A,0)),IFERROR(INDEX('Q4 Backlog Report 2026'!$J:$J,MATCH($A8,'Q4 Backlog Report 2026'!$A:$A,0)),"")))))</f>
        <v/>
      </c>
      <c r="E8" s="97">
        <f>IFERROR(INDEX(Backlog[Jira Link],MATCH($A8,Backlog[Requirement ID],0)),IFERROR(INDEX('Q1 Backlog Report 2026'!$H:$H,MATCH($A8,'Q1 Backlog Report 2026'!$A:$A,0)),IFERROR(INDEX('Q2 Backlog Report 2026'!$H:$H,MATCH($A8,'Q2 Backlog Report 2026'!$A:$A,0)),IFERROR(INDEX('Q3 Backlog Report 2026'!$H:$H,MATCH($A8,'Q3 Backlog Report 2026'!$A:$A,0)),IFERROR(INDEX('Q4 Backlog Report 2026'!$H:$H,MATCH($A8,'Q4 Backlog Report 2026'!$A:$A,0)),"")))))</f>
        <v/>
      </c>
      <c r="F8" s="97">
        <f>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
      </c>
      <c r="G8" s="97">
        <f>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
      </c>
      <c r="H8" s="97">
        <f>IFERROR(INDEX(Backlog[HLE],MATCH($A8,Backlog[Requirement ID],0)),IFERROR(INDEX('Q1 Backlog Report 2026'!$L:$L,MATCH($A8,'Q1 Backlog Report 2026'!$A:$A,0)),IFERROR(INDEX('Q2 Backlog Report 2026'!$L:$L,MATCH($A8,'Q2 Backlog Report 2026'!$A:$A,0)),IFERROR(INDEX('Q3 Backlog Report 2026'!$L:$L,MATCH($A8,'Q3 Backlog Report 2026'!$A:$A,0)),IFERROR(INDEX('Q4 Backlog Report 2026'!$L:$L,MATCH($A8,'Q4 Backlog Report 2026'!$A:$A,0)),"")))))</f>
        <v/>
      </c>
      <c r="I8" s="169" t="inlineStr">
        <is>
          <t>- Pending E2E Solution, No Arch Solution available
- No call. no HLD, no LLD
- Constraint: HLD/LLD to be completed by the end of w/c 20 July in order to work on Arch to be ready for dev on IT2.
- To inform Pasquale Vitale / Silvio Marini</t>
        </is>
      </c>
      <c r="J8" s="169" t="inlineStr">
        <is>
          <t>- Pending E2E Solution, No Arch Solution available
- No call. no HLD, no LLD.
- This could not be worked on in IT2 due to constraint: HLD/ LLD needs to be completed by end of w/c 10th Aug in order to work on this to be ready for dev on IT3</t>
        </is>
      </c>
      <c r="K8" s="169" t="inlineStr">
        <is>
          <t>- Deployed in CHAIN1/TEST</t>
        </is>
      </c>
    </row>
    <row r="9" ht="15" customHeight="1" s="93">
      <c r="A9" s="97" t="inlineStr">
        <is>
          <t>NEW-0067</t>
        </is>
      </c>
      <c r="B9" s="97">
        <f>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
      </c>
      <c r="C9" s="97">
        <f>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
      </c>
      <c r="D9" s="97">
        <f>IFERROR(INDEX(Backlog[Sprint],MATCH($A9,Backlog[Requirement ID],0)),IFERROR(INDEX('Q1 Backlog Report 2026'!$J:$J,MATCH($A9,'Q1 Backlog Report 2026'!$A:$A,0)),IFERROR(INDEX('Q2 Backlog Report 2026'!$J:$J,MATCH($A9,'Q2 Backlog Report 2026'!$A:$A,0)),IFERROR(INDEX('Q3 Backlog Report 2026'!$J:$J,MATCH($A9,'Q3 Backlog Report 2026'!$A:$A,0)),IFERROR(INDEX('Q4 Backlog Report 2026'!$J:$J,MATCH($A9,'Q4 Backlog Report 2026'!$A:$A,0)),"")))))</f>
        <v/>
      </c>
      <c r="E9" s="97">
        <f>IFERROR(INDEX(Backlog[Jira Link],MATCH($A9,Backlog[Requirement ID],0)),IFERROR(INDEX('Q1 Backlog Report 2026'!$H:$H,MATCH($A9,'Q1 Backlog Report 2026'!$A:$A,0)),IFERROR(INDEX('Q2 Backlog Report 2026'!$H:$H,MATCH($A9,'Q2 Backlog Report 2026'!$A:$A,0)),IFERROR(INDEX('Q3 Backlog Report 2026'!$H:$H,MATCH($A9,'Q3 Backlog Report 2026'!$A:$A,0)),IFERROR(INDEX('Q4 Backlog Report 2026'!$H:$H,MATCH($A9,'Q4 Backlog Report 2026'!$A:$A,0)),"")))))</f>
        <v/>
      </c>
      <c r="F9" s="97">
        <f>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
      </c>
      <c r="G9" s="97">
        <f>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
      </c>
      <c r="H9" s="97">
        <f>IFERROR(INDEX(Backlog[HLE],MATCH($A9,Backlog[Requirement ID],0)),IFERROR(INDEX('Q1 Backlog Report 2026'!$L:$L,MATCH($A9,'Q1 Backlog Report 2026'!$A:$A,0)),IFERROR(INDEX('Q2 Backlog Report 2026'!$L:$L,MATCH($A9,'Q2 Backlog Report 2026'!$A:$A,0)),IFERROR(INDEX('Q3 Backlog Report 2026'!$L:$L,MATCH($A9,'Q3 Backlog Report 2026'!$A:$A,0)),IFERROR(INDEX('Q4 Backlog Report 2026'!$L:$L,MATCH($A9,'Q4 Backlog Report 2026'!$A:$A,0)),"")))))</f>
        <v/>
      </c>
      <c r="I9" s="169" t="inlineStr">
        <is>
          <t>-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is>
      </c>
      <c r="J9" s="169" t="inlineStr">
        <is>
          <t>- This could not be worked on in IT2 and requirements were blocked due to constraint, dependency on DTS work which will be done in Sprint 11.
- LLD Pending
- it can be potentially worked during Sprint 12.</t>
        </is>
      </c>
      <c r="K9" s="169" t="inlineStr">
        <is>
          <t>- Configuration work for MuleSoft
- To be assigned to AM Team</t>
        </is>
      </c>
    </row>
    <row r="10" ht="15" customHeight="1" s="93">
      <c r="A10" s="97" t="inlineStr">
        <is>
          <t>NEW-0384</t>
        </is>
      </c>
      <c r="B10" s="97">
        <f>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
      </c>
      <c r="C10" s="97">
        <f>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
      </c>
      <c r="D10" s="97">
        <f>IFERROR(INDEX(Backlog[Sprint],MATCH($A10,Backlog[Requirement ID],0)),IFERROR(INDEX('Q1 Backlog Report 2026'!$J:$J,MATCH($A10,'Q1 Backlog Report 2026'!$A:$A,0)),IFERROR(INDEX('Q2 Backlog Report 2026'!$J:$J,MATCH($A10,'Q2 Backlog Report 2026'!$A:$A,0)),IFERROR(INDEX('Q3 Backlog Report 2026'!$J:$J,MATCH($A10,'Q3 Backlog Report 2026'!$A:$A,0)),IFERROR(INDEX('Q4 Backlog Report 2026'!$J:$J,MATCH($A10,'Q4 Backlog Report 2026'!$A:$A,0)),"")))))</f>
        <v/>
      </c>
      <c r="E10" s="97">
        <f>IFERROR(INDEX(Backlog[Jira Link],MATCH($A10,Backlog[Requirement ID],0)),IFERROR(INDEX('Q1 Backlog Report 2026'!$H:$H,MATCH($A10,'Q1 Backlog Report 2026'!$A:$A,0)),IFERROR(INDEX('Q2 Backlog Report 2026'!$H:$H,MATCH($A10,'Q2 Backlog Report 2026'!$A:$A,0)),IFERROR(INDEX('Q3 Backlog Report 2026'!$H:$H,MATCH($A10,'Q3 Backlog Report 2026'!$A:$A,0)),IFERROR(INDEX('Q4 Backlog Report 2026'!$H:$H,MATCH($A10,'Q4 Backlog Report 2026'!$A:$A,0)),"")))))</f>
        <v/>
      </c>
      <c r="F10" s="97">
        <f>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
      </c>
      <c r="G10" s="97">
        <f>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
      </c>
      <c r="H10" s="97">
        <f>IFERROR(INDEX(Backlog[HLE],MATCH($A10,Backlog[Requirement ID],0)),IFERROR(INDEX('Q1 Backlog Report 2026'!$L:$L,MATCH($A10,'Q1 Backlog Report 2026'!$A:$A,0)),IFERROR(INDEX('Q2 Backlog Report 2026'!$L:$L,MATCH($A10,'Q2 Backlog Report 2026'!$A:$A,0)),IFERROR(INDEX('Q3 Backlog Report 2026'!$L:$L,MATCH($A10,'Q3 Backlog Report 2026'!$A:$A,0)),IFERROR(INDEX('Q4 Backlog Report 2026'!$L:$L,MATCH($A10,'Q4 Backlog Report 2026'!$A:$A,0)),"")))))</f>
        <v/>
      </c>
    </row>
    <row r="11" ht="15" customHeight="1" s="93">
      <c r="A11" s="97" t="inlineStr">
        <is>
          <t>NEW-0413</t>
        </is>
      </c>
      <c r="B11" s="97">
        <f>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
      </c>
      <c r="C11" s="97">
        <f>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
      </c>
      <c r="D11" s="97">
        <f>IFERROR(INDEX(Backlog[Sprint],MATCH($A11,Backlog[Requirement ID],0)),IFERROR(INDEX('Q1 Backlog Report 2026'!$J:$J,MATCH($A11,'Q1 Backlog Report 2026'!$A:$A,0)),IFERROR(INDEX('Q2 Backlog Report 2026'!$J:$J,MATCH($A11,'Q2 Backlog Report 2026'!$A:$A,0)),IFERROR(INDEX('Q3 Backlog Report 2026'!$J:$J,MATCH($A11,'Q3 Backlog Report 2026'!$A:$A,0)),IFERROR(INDEX('Q4 Backlog Report 2026'!$J:$J,MATCH($A11,'Q4 Backlog Report 2026'!$A:$A,0)),"")))))</f>
        <v/>
      </c>
      <c r="E11" s="97">
        <f>IFERROR(INDEX(Backlog[Jira Link],MATCH($A11,Backlog[Requirement ID],0)),IFERROR(INDEX('Q1 Backlog Report 2026'!$H:$H,MATCH($A11,'Q1 Backlog Report 2026'!$A:$A,0)),IFERROR(INDEX('Q2 Backlog Report 2026'!$H:$H,MATCH($A11,'Q2 Backlog Report 2026'!$A:$A,0)),IFERROR(INDEX('Q3 Backlog Report 2026'!$H:$H,MATCH($A11,'Q3 Backlog Report 2026'!$A:$A,0)),IFERROR(INDEX('Q4 Backlog Report 2026'!$H:$H,MATCH($A11,'Q4 Backlog Report 2026'!$A:$A,0)),"")))))</f>
        <v/>
      </c>
      <c r="F11" s="97">
        <f>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
      </c>
      <c r="G11" s="97">
        <f>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
      </c>
      <c r="H11" s="97">
        <f>IFERROR(INDEX(Backlog[HLE],MATCH($A11,Backlog[Requirement ID],0)),IFERROR(INDEX('Q1 Backlog Report 2026'!$L:$L,MATCH($A11,'Q1 Backlog Report 2026'!$A:$A,0)),IFERROR(INDEX('Q2 Backlog Report 2026'!$L:$L,MATCH($A11,'Q2 Backlog Report 2026'!$A:$A,0)),IFERROR(INDEX('Q3 Backlog Report 2026'!$L:$L,MATCH($A11,'Q3 Backlog Report 2026'!$A:$A,0)),IFERROR(INDEX('Q4 Backlog Report 2026'!$L:$L,MATCH($A11,'Q4 Backlog Report 2026'!$A:$A,0)),"")))))</f>
        <v/>
      </c>
    </row>
    <row r="12" ht="15" customHeight="1" s="93">
      <c r="A12" s="97" t="inlineStr">
        <is>
          <t>NEW-0414</t>
        </is>
      </c>
      <c r="B12" s="97">
        <f>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
      </c>
      <c r="C12" s="97">
        <f>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
      </c>
      <c r="D12" s="97">
        <f>IFERROR(INDEX(Backlog[Sprint],MATCH($A12,Backlog[Requirement ID],0)),IFERROR(INDEX('Q1 Backlog Report 2026'!$J:$J,MATCH($A12,'Q1 Backlog Report 2026'!$A:$A,0)),IFERROR(INDEX('Q2 Backlog Report 2026'!$J:$J,MATCH($A12,'Q2 Backlog Report 2026'!$A:$A,0)),IFERROR(INDEX('Q3 Backlog Report 2026'!$J:$J,MATCH($A12,'Q3 Backlog Report 2026'!$A:$A,0)),IFERROR(INDEX('Q4 Backlog Report 2026'!$J:$J,MATCH($A12,'Q4 Backlog Report 2026'!$A:$A,0)),"")))))</f>
        <v/>
      </c>
      <c r="E12" s="97">
        <f>IFERROR(INDEX(Backlog[Jira Link],MATCH($A12,Backlog[Requirement ID],0)),IFERROR(INDEX('Q1 Backlog Report 2026'!$H:$H,MATCH($A12,'Q1 Backlog Report 2026'!$A:$A,0)),IFERROR(INDEX('Q2 Backlog Report 2026'!$H:$H,MATCH($A12,'Q2 Backlog Report 2026'!$A:$A,0)),IFERROR(INDEX('Q3 Backlog Report 2026'!$H:$H,MATCH($A12,'Q3 Backlog Report 2026'!$A:$A,0)),IFERROR(INDEX('Q4 Backlog Report 2026'!$H:$H,MATCH($A12,'Q4 Backlog Report 2026'!$A:$A,0)),"")))))</f>
        <v/>
      </c>
      <c r="F12" s="97">
        <f>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
      </c>
      <c r="G12" s="97">
        <f>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
      </c>
      <c r="H12" s="97">
        <f>IFERROR(INDEX(Backlog[HLE],MATCH($A12,Backlog[Requirement ID],0)),IFERROR(INDEX('Q1 Backlog Report 2026'!$L:$L,MATCH($A12,'Q1 Backlog Report 2026'!$A:$A,0)),IFERROR(INDEX('Q2 Backlog Report 2026'!$L:$L,MATCH($A12,'Q2 Backlog Report 2026'!$A:$A,0)),IFERROR(INDEX('Q3 Backlog Report 2026'!$L:$L,MATCH($A12,'Q3 Backlog Report 2026'!$A:$A,0)),IFERROR(INDEX('Q4 Backlog Report 2026'!$L:$L,MATCH($A12,'Q4 Backlog Report 2026'!$A:$A,0)),"")))))</f>
        <v/>
      </c>
    </row>
    <row r="13" ht="15" customHeight="1" s="93">
      <c r="A13" s="97" t="inlineStr">
        <is>
          <t>NEW-0415</t>
        </is>
      </c>
      <c r="B13" s="97">
        <f>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
      </c>
      <c r="C13" s="97">
        <f>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
      </c>
      <c r="D13" s="97">
        <f>IFERROR(INDEX(Backlog[Sprint],MATCH($A13,Backlog[Requirement ID],0)),IFERROR(INDEX('Q1 Backlog Report 2026'!$J:$J,MATCH($A13,'Q1 Backlog Report 2026'!$A:$A,0)),IFERROR(INDEX('Q2 Backlog Report 2026'!$J:$J,MATCH($A13,'Q2 Backlog Report 2026'!$A:$A,0)),IFERROR(INDEX('Q3 Backlog Report 2026'!$J:$J,MATCH($A13,'Q3 Backlog Report 2026'!$A:$A,0)),IFERROR(INDEX('Q4 Backlog Report 2026'!$J:$J,MATCH($A13,'Q4 Backlog Report 2026'!$A:$A,0)),"")))))</f>
        <v/>
      </c>
      <c r="E13" s="97">
        <f>IFERROR(INDEX(Backlog[Jira Link],MATCH($A13,Backlog[Requirement ID],0)),IFERROR(INDEX('Q1 Backlog Report 2026'!$H:$H,MATCH($A13,'Q1 Backlog Report 2026'!$A:$A,0)),IFERROR(INDEX('Q2 Backlog Report 2026'!$H:$H,MATCH($A13,'Q2 Backlog Report 2026'!$A:$A,0)),IFERROR(INDEX('Q3 Backlog Report 2026'!$H:$H,MATCH($A13,'Q3 Backlog Report 2026'!$A:$A,0)),IFERROR(INDEX('Q4 Backlog Report 2026'!$H:$H,MATCH($A13,'Q4 Backlog Report 2026'!$A:$A,0)),"")))))</f>
        <v/>
      </c>
      <c r="F13" s="97">
        <f>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
      </c>
      <c r="G13" s="97">
        <f>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
      </c>
      <c r="H13" s="97">
        <f>IFERROR(INDEX(Backlog[HLE],MATCH($A13,Backlog[Requirement ID],0)),IFERROR(INDEX('Q1 Backlog Report 2026'!$L:$L,MATCH($A13,'Q1 Backlog Report 2026'!$A:$A,0)),IFERROR(INDEX('Q2 Backlog Report 2026'!$L:$L,MATCH($A13,'Q2 Backlog Report 2026'!$A:$A,0)),IFERROR(INDEX('Q3 Backlog Report 2026'!$L:$L,MATCH($A13,'Q3 Backlog Report 2026'!$A:$A,0)),IFERROR(INDEX('Q4 Backlog Report 2026'!$L:$L,MATCH($A13,'Q4 Backlog Report 2026'!$A:$A,0)),"")))))</f>
        <v/>
      </c>
    </row>
    <row r="14" ht="15" customHeight="1" s="93">
      <c r="A14" s="97" t="inlineStr">
        <is>
          <t>NEW-0084</t>
        </is>
      </c>
      <c r="B14" s="97">
        <f>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
      </c>
      <c r="C14" s="97">
        <f>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
      </c>
      <c r="D14" s="97">
        <f>IFERROR(INDEX(Backlog[Sprint],MATCH($A14,Backlog[Requirement ID],0)),IFERROR(INDEX('Q1 Backlog Report 2026'!$J:$J,MATCH($A14,'Q1 Backlog Report 2026'!$A:$A,0)),IFERROR(INDEX('Q2 Backlog Report 2026'!$J:$J,MATCH($A14,'Q2 Backlog Report 2026'!$A:$A,0)),IFERROR(INDEX('Q3 Backlog Report 2026'!$J:$J,MATCH($A14,'Q3 Backlog Report 2026'!$A:$A,0)),IFERROR(INDEX('Q4 Backlog Report 2026'!$J:$J,MATCH($A14,'Q4 Backlog Report 2026'!$A:$A,0)),"")))))</f>
        <v/>
      </c>
      <c r="E14" s="97">
        <f>IFERROR(INDEX(Backlog[Jira Link],MATCH($A14,Backlog[Requirement ID],0)),IFERROR(INDEX('Q1 Backlog Report 2026'!$H:$H,MATCH($A14,'Q1 Backlog Report 2026'!$A:$A,0)),IFERROR(INDEX('Q2 Backlog Report 2026'!$H:$H,MATCH($A14,'Q2 Backlog Report 2026'!$A:$A,0)),IFERROR(INDEX('Q3 Backlog Report 2026'!$H:$H,MATCH($A14,'Q3 Backlog Report 2026'!$A:$A,0)),IFERROR(INDEX('Q4 Backlog Report 2026'!$H:$H,MATCH($A14,'Q4 Backlog Report 2026'!$A:$A,0)),"")))))</f>
        <v/>
      </c>
      <c r="F14" s="97">
        <f>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
      </c>
      <c r="G14" s="97">
        <f>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
      </c>
      <c r="H14" s="97">
        <f>IFERROR(INDEX(Backlog[HLE],MATCH($A14,Backlog[Requirement ID],0)),IFERROR(INDEX('Q1 Backlog Report 2026'!$L:$L,MATCH($A14,'Q1 Backlog Report 2026'!$A:$A,0)),IFERROR(INDEX('Q2 Backlog Report 2026'!$L:$L,MATCH($A14,'Q2 Backlog Report 2026'!$A:$A,0)),IFERROR(INDEX('Q3 Backlog Report 2026'!$L:$L,MATCH($A14,'Q3 Backlog Report 2026'!$A:$A,0)),IFERROR(INDEX('Q4 Backlog Report 2026'!$L:$L,MATCH($A14,'Q4 Backlog Report 2026'!$A:$A,0)),"")))))</f>
        <v/>
      </c>
      <c r="I14" s="169" t="inlineStr">
        <is>
          <t>- No clear requirement.</t>
        </is>
      </c>
      <c r="J14" s="169" t="inlineStr">
        <is>
          <t>- No clear requirement.</t>
        </is>
      </c>
      <c r="K14" s="169" t="inlineStr">
        <is>
          <t>- No clear requirement.
- To understand if logic should be managed MuleSoft-side. Expected ADR from Jonathan Petrongari (currently on leave)
- Activity needs to be postponed since it can't be worked on IT3.</t>
        </is>
      </c>
    </row>
    <row r="15" ht="15" customHeight="1" s="93">
      <c r="A15" s="97" t="inlineStr">
        <is>
          <t>NEW-0072</t>
        </is>
      </c>
      <c r="B15" s="97">
        <f>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
      </c>
      <c r="C15" s="97">
        <f>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
      </c>
      <c r="D15" s="97">
        <f>IFERROR(INDEX(Backlog[Sprint],MATCH($A15,Backlog[Requirement ID],0)),IFERROR(INDEX('Q1 Backlog Report 2026'!$J:$J,MATCH($A15,'Q1 Backlog Report 2026'!$A:$A,0)),IFERROR(INDEX('Q2 Backlog Report 2026'!$J:$J,MATCH($A15,'Q2 Backlog Report 2026'!$A:$A,0)),IFERROR(INDEX('Q3 Backlog Report 2026'!$J:$J,MATCH($A15,'Q3 Backlog Report 2026'!$A:$A,0)),IFERROR(INDEX('Q4 Backlog Report 2026'!$J:$J,MATCH($A15,'Q4 Backlog Report 2026'!$A:$A,0)),"")))))</f>
        <v/>
      </c>
      <c r="E15" s="97">
        <f>IFERROR(INDEX(Backlog[Jira Link],MATCH($A15,Backlog[Requirement ID],0)),IFERROR(INDEX('Q1 Backlog Report 2026'!$H:$H,MATCH($A15,'Q1 Backlog Report 2026'!$A:$A,0)),IFERROR(INDEX('Q2 Backlog Report 2026'!$H:$H,MATCH($A15,'Q2 Backlog Report 2026'!$A:$A,0)),IFERROR(INDEX('Q3 Backlog Report 2026'!$H:$H,MATCH($A15,'Q3 Backlog Report 2026'!$A:$A,0)),IFERROR(INDEX('Q4 Backlog Report 2026'!$H:$H,MATCH($A15,'Q4 Backlog Report 2026'!$A:$A,0)),"")))))</f>
        <v/>
      </c>
      <c r="F15" s="97">
        <f>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
      </c>
      <c r="G15" s="97">
        <f>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
      </c>
      <c r="H15" s="97">
        <f>IFERROR(INDEX(Backlog[HLE],MATCH($A15,Backlog[Requirement ID],0)),IFERROR(INDEX('Q1 Backlog Report 2026'!$L:$L,MATCH($A15,'Q1 Backlog Report 2026'!$A:$A,0)),IFERROR(INDEX('Q2 Backlog Report 2026'!$L:$L,MATCH($A15,'Q2 Backlog Report 2026'!$A:$A,0)),IFERROR(INDEX('Q3 Backlog Report 2026'!$L:$L,MATCH($A15,'Q3 Backlog Report 2026'!$A:$A,0)),IFERROR(INDEX('Q4 Backlog Report 2026'!$L:$L,MATCH($A15,'Q4 Backlog Report 2026'!$A:$A,0)),"")))))</f>
        <v/>
      </c>
      <c r="I15" s="169" t="inlineStr">
        <is>
          <t>-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is>
      </c>
      <c r="J15" s="169" t="inlineStr">
        <is>
          <t>-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is>
      </c>
      <c r="K15" s="169" t="inlineStr">
        <is>
          <t>- Pending E2E Solution, No Arch Solution available
- No call. no HLD, no LLD. No updates.
- Activity needs to be postponed since it can't be worked on IT2.</t>
        </is>
      </c>
    </row>
    <row r="16" ht="15" customHeight="1" s="93">
      <c r="A16" s="97" t="inlineStr">
        <is>
          <t>NEW-0073</t>
        </is>
      </c>
      <c r="B16" s="97">
        <f>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
      </c>
      <c r="C16" s="97">
        <f>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
      </c>
      <c r="D16" s="97">
        <f>IFERROR(INDEX(Backlog[Sprint],MATCH($A16,Backlog[Requirement ID],0)),IFERROR(INDEX('Q1 Backlog Report 2026'!$J:$J,MATCH($A16,'Q1 Backlog Report 2026'!$A:$A,0)),IFERROR(INDEX('Q2 Backlog Report 2026'!$J:$J,MATCH($A16,'Q2 Backlog Report 2026'!$A:$A,0)),IFERROR(INDEX('Q3 Backlog Report 2026'!$J:$J,MATCH($A16,'Q3 Backlog Report 2026'!$A:$A,0)),IFERROR(INDEX('Q4 Backlog Report 2026'!$J:$J,MATCH($A16,'Q4 Backlog Report 2026'!$A:$A,0)),"")))))</f>
        <v/>
      </c>
      <c r="E16" s="97">
        <f>IFERROR(INDEX(Backlog[Jira Link],MATCH($A16,Backlog[Requirement ID],0)),IFERROR(INDEX('Q1 Backlog Report 2026'!$H:$H,MATCH($A16,'Q1 Backlog Report 2026'!$A:$A,0)),IFERROR(INDEX('Q2 Backlog Report 2026'!$H:$H,MATCH($A16,'Q2 Backlog Report 2026'!$A:$A,0)),IFERROR(INDEX('Q3 Backlog Report 2026'!$H:$H,MATCH($A16,'Q3 Backlog Report 2026'!$A:$A,0)),IFERROR(INDEX('Q4 Backlog Report 2026'!$H:$H,MATCH($A16,'Q4 Backlog Report 2026'!$A:$A,0)),"")))))</f>
        <v/>
      </c>
      <c r="F16" s="97">
        <f>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
      </c>
      <c r="G16" s="97">
        <f>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
      </c>
      <c r="H16" s="97">
        <f>IFERROR(INDEX(Backlog[HLE],MATCH($A16,Backlog[Requirement ID],0)),IFERROR(INDEX('Q1 Backlog Report 2026'!$L:$L,MATCH($A16,'Q1 Backlog Report 2026'!$A:$A,0)),IFERROR(INDEX('Q2 Backlog Report 2026'!$L:$L,MATCH($A16,'Q2 Backlog Report 2026'!$A:$A,0)),IFERROR(INDEX('Q3 Backlog Report 2026'!$L:$L,MATCH($A16,'Q3 Backlog Report 2026'!$A:$A,0)),IFERROR(INDEX('Q4 Backlog Report 2026'!$L:$L,MATCH($A16,'Q4 Backlog Report 2026'!$A:$A,0)),"")))))</f>
        <v/>
      </c>
      <c r="I16" s="169" t="inlineStr">
        <is>
          <t>- No clear requirement.
- To understand if logic should be managed MuleSoft-side (Petrongari to confirm)
- We need confirmation by the end of IT1.</t>
        </is>
      </c>
      <c r="J16" s="169" t="inlineStr">
        <is>
          <t>- No clear requirement.
- To understand if logic should be managed MuleSoft-side (Petrongari to confirm)
- We need confirmation by the end of IT1.</t>
        </is>
      </c>
      <c r="K16" s="169" t="inlineStr">
        <is>
          <t>- Released in Production July 16 (CHG0070881)</t>
        </is>
      </c>
    </row>
    <row r="17" ht="15" customHeight="1" s="93">
      <c r="A17" s="97" t="inlineStr">
        <is>
          <t>NEW-0074</t>
        </is>
      </c>
      <c r="B17" s="97">
        <f>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
      </c>
      <c r="C17" s="97">
        <f>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
      </c>
      <c r="D17" s="97">
        <f>IFERROR(INDEX(Backlog[Sprint],MATCH($A17,Backlog[Requirement ID],0)),IFERROR(INDEX('Q1 Backlog Report 2026'!$J:$J,MATCH($A17,'Q1 Backlog Report 2026'!$A:$A,0)),IFERROR(INDEX('Q2 Backlog Report 2026'!$J:$J,MATCH($A17,'Q2 Backlog Report 2026'!$A:$A,0)),IFERROR(INDEX('Q3 Backlog Report 2026'!$J:$J,MATCH($A17,'Q3 Backlog Report 2026'!$A:$A,0)),IFERROR(INDEX('Q4 Backlog Report 2026'!$J:$J,MATCH($A17,'Q4 Backlog Report 2026'!$A:$A,0)),"")))))</f>
        <v/>
      </c>
      <c r="E17" s="97">
        <f>IFERROR(INDEX(Backlog[Jira Link],MATCH($A17,Backlog[Requirement ID],0)),IFERROR(INDEX('Q1 Backlog Report 2026'!$H:$H,MATCH($A17,'Q1 Backlog Report 2026'!$A:$A,0)),IFERROR(INDEX('Q2 Backlog Report 2026'!$H:$H,MATCH($A17,'Q2 Backlog Report 2026'!$A:$A,0)),IFERROR(INDEX('Q3 Backlog Report 2026'!$H:$H,MATCH($A17,'Q3 Backlog Report 2026'!$A:$A,0)),IFERROR(INDEX('Q4 Backlog Report 2026'!$H:$H,MATCH($A17,'Q4 Backlog Report 2026'!$A:$A,0)),"")))))</f>
        <v/>
      </c>
      <c r="F17" s="97">
        <f>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
      </c>
      <c r="G17" s="97">
        <f>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
      </c>
      <c r="H17" s="97">
        <f>IFERROR(INDEX(Backlog[HLE],MATCH($A17,Backlog[Requirement ID],0)),IFERROR(INDEX('Q1 Backlog Report 2026'!$L:$L,MATCH($A17,'Q1 Backlog Report 2026'!$A:$A,0)),IFERROR(INDEX('Q2 Backlog Report 2026'!$L:$L,MATCH($A17,'Q2 Backlog Report 2026'!$A:$A,0)),IFERROR(INDEX('Q3 Backlog Report 2026'!$L:$L,MATCH($A17,'Q3 Backlog Report 2026'!$A:$A,0)),IFERROR(INDEX('Q4 Backlog Report 2026'!$L:$L,MATCH($A17,'Q4 Backlog Report 2026'!$A:$A,0)),"")))))</f>
        <v/>
      </c>
      <c r="I17" s="169" t="inlineStr">
        <is>
          <t>- No clear requirement.
- To inform Pasquale Vitale / Silvio Marini</t>
        </is>
      </c>
      <c r="J17" s="169" t="inlineStr">
        <is>
          <t>- No clear requirement.
- To inform Pasquale Vitale / Silvio Marini</t>
        </is>
      </c>
      <c r="K17" s="169" t="inlineStr">
        <is>
          <t>- Pending E2E Solution, No Arch Solution available.
- Risk 1: HLE could be even higher (depending on Open Points)
- Risk 2: Environment unavailability since CHAIN1 will be dedicated for US Hypercare starting 31st of August.
- Activity needs to be postponed since it can't be worked on IT3.</t>
        </is>
      </c>
    </row>
    <row r="18" hidden="1" ht="15" customHeight="1" s="93">
      <c r="A18" s="97" t="inlineStr">
        <is>
          <t>NEW-0382</t>
        </is>
      </c>
      <c r="B18" s="97">
        <f>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
      </c>
      <c r="C18" s="97">
        <f>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
      </c>
      <c r="D18" s="97">
        <f>IFERROR(INDEX(Backlog[Sprint],MATCH($A18,Backlog[Requirement ID],0)),IFERROR(INDEX('Q1 Backlog Report 2026'!$J:$J,MATCH($A18,'Q1 Backlog Report 2026'!$A:$A,0)),IFERROR(INDEX('Q2 Backlog Report 2026'!$J:$J,MATCH($A18,'Q2 Backlog Report 2026'!$A:$A,0)),IFERROR(INDEX('Q3 Backlog Report 2026'!$J:$J,MATCH($A18,'Q3 Backlog Report 2026'!$A:$A,0)),IFERROR(INDEX('Q4 Backlog Report 2026'!$J:$J,MATCH($A18,'Q4 Backlog Report 2026'!$A:$A,0)),"")))))</f>
        <v/>
      </c>
      <c r="E18" s="97">
        <f>IFERROR(INDEX(Backlog[Jira Link],MATCH($A18,Backlog[Requirement ID],0)),IFERROR(INDEX('Q1 Backlog Report 2026'!$H:$H,MATCH($A18,'Q1 Backlog Report 2026'!$A:$A,0)),IFERROR(INDEX('Q2 Backlog Report 2026'!$H:$H,MATCH($A18,'Q2 Backlog Report 2026'!$A:$A,0)),IFERROR(INDEX('Q3 Backlog Report 2026'!$H:$H,MATCH($A18,'Q3 Backlog Report 2026'!$A:$A,0)),IFERROR(INDEX('Q4 Backlog Report 2026'!$H:$H,MATCH($A18,'Q4 Backlog Report 2026'!$A:$A,0)),"")))))</f>
        <v/>
      </c>
      <c r="F18" s="97">
        <f>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
      </c>
      <c r="G18" s="97">
        <f>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
      </c>
      <c r="H18" s="97">
        <f>IFERROR(INDEX(Backlog[HLE],MATCH($A18,Backlog[Requirement ID],0)),IFERROR(INDEX('Q1 Backlog Report 2026'!$L:$L,MATCH($A18,'Q1 Backlog Report 2026'!$A:$A,0)),IFERROR(INDEX('Q2 Backlog Report 2026'!$L:$L,MATCH($A18,'Q2 Backlog Report 2026'!$A:$A,0)),IFERROR(INDEX('Q3 Backlog Report 2026'!$L:$L,MATCH($A18,'Q3 Backlog Report 2026'!$A:$A,0)),IFERROR(INDEX('Q4 Backlog Report 2026'!$L:$L,MATCH($A18,'Q4 Backlog Report 2026'!$A:$A,0)),"")))))</f>
        <v/>
      </c>
    </row>
    <row r="19" hidden="1" ht="15" customHeight="1" s="93">
      <c r="A19" s="97" t="inlineStr">
        <is>
          <t>NEW-0383</t>
        </is>
      </c>
      <c r="B19" s="97">
        <f>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
      </c>
      <c r="C19" s="97">
        <f>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
      </c>
      <c r="D19" s="97">
        <f>IFERROR(INDEX(Backlog[Sprint],MATCH($A19,Backlog[Requirement ID],0)),IFERROR(INDEX('Q1 Backlog Report 2026'!$J:$J,MATCH($A19,'Q1 Backlog Report 2026'!$A:$A,0)),IFERROR(INDEX('Q2 Backlog Report 2026'!$J:$J,MATCH($A19,'Q2 Backlog Report 2026'!$A:$A,0)),IFERROR(INDEX('Q3 Backlog Report 2026'!$J:$J,MATCH($A19,'Q3 Backlog Report 2026'!$A:$A,0)),IFERROR(INDEX('Q4 Backlog Report 2026'!$J:$J,MATCH($A19,'Q4 Backlog Report 2026'!$A:$A,0)),"")))))</f>
        <v/>
      </c>
      <c r="E19" s="97">
        <f>IFERROR(INDEX(Backlog[Jira Link],MATCH($A19,Backlog[Requirement ID],0)),IFERROR(INDEX('Q1 Backlog Report 2026'!$H:$H,MATCH($A19,'Q1 Backlog Report 2026'!$A:$A,0)),IFERROR(INDEX('Q2 Backlog Report 2026'!$H:$H,MATCH($A19,'Q2 Backlog Report 2026'!$A:$A,0)),IFERROR(INDEX('Q3 Backlog Report 2026'!$H:$H,MATCH($A19,'Q3 Backlog Report 2026'!$A:$A,0)),IFERROR(INDEX('Q4 Backlog Report 2026'!$H:$H,MATCH($A19,'Q4 Backlog Report 2026'!$A:$A,0)),"")))))</f>
        <v/>
      </c>
      <c r="F19" s="97">
        <f>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
      </c>
      <c r="G19" s="97">
        <f>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
      </c>
      <c r="H19" s="97">
        <f>IFERROR(INDEX(Backlog[HLE],MATCH($A19,Backlog[Requirement ID],0)),IFERROR(INDEX('Q1 Backlog Report 2026'!$L:$L,MATCH($A19,'Q1 Backlog Report 2026'!$A:$A,0)),IFERROR(INDEX('Q2 Backlog Report 2026'!$L:$L,MATCH($A19,'Q2 Backlog Report 2026'!$A:$A,0)),IFERROR(INDEX('Q3 Backlog Report 2026'!$L:$L,MATCH($A19,'Q3 Backlog Report 2026'!$A:$A,0)),IFERROR(INDEX('Q4 Backlog Report 2026'!$L:$L,MATCH($A19,'Q4 Backlog Report 2026'!$A:$A,0)),"")))))</f>
        <v/>
      </c>
    </row>
    <row r="20" hidden="1" ht="15" customHeight="1" s="93">
      <c r="A20" s="97" t="inlineStr">
        <is>
          <t>NEW-0379</t>
        </is>
      </c>
      <c r="B20" s="97">
        <f>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
      </c>
      <c r="C20" s="97">
        <f>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
      </c>
      <c r="D20" s="97">
        <f>IFERROR(INDEX(Backlog[Sprint],MATCH($A20,Backlog[Requirement ID],0)),IFERROR(INDEX('Q1 Backlog Report 2026'!$J:$J,MATCH($A20,'Q1 Backlog Report 2026'!$A:$A,0)),IFERROR(INDEX('Q2 Backlog Report 2026'!$J:$J,MATCH($A20,'Q2 Backlog Report 2026'!$A:$A,0)),IFERROR(INDEX('Q3 Backlog Report 2026'!$J:$J,MATCH($A20,'Q3 Backlog Report 2026'!$A:$A,0)),IFERROR(INDEX('Q4 Backlog Report 2026'!$J:$J,MATCH($A20,'Q4 Backlog Report 2026'!$A:$A,0)),"")))))</f>
        <v/>
      </c>
      <c r="E20" s="97">
        <f>IFERROR(INDEX(Backlog[Jira Link],MATCH($A20,Backlog[Requirement ID],0)),IFERROR(INDEX('Q1 Backlog Report 2026'!$H:$H,MATCH($A20,'Q1 Backlog Report 2026'!$A:$A,0)),IFERROR(INDEX('Q2 Backlog Report 2026'!$H:$H,MATCH($A20,'Q2 Backlog Report 2026'!$A:$A,0)),IFERROR(INDEX('Q3 Backlog Report 2026'!$H:$H,MATCH($A20,'Q3 Backlog Report 2026'!$A:$A,0)),IFERROR(INDEX('Q4 Backlog Report 2026'!$H:$H,MATCH($A20,'Q4 Backlog Report 2026'!$A:$A,0)),"")))))</f>
        <v/>
      </c>
      <c r="F20" s="97">
        <f>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
      </c>
      <c r="G20" s="97">
        <f>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
      </c>
      <c r="H20" s="97">
        <f>IFERROR(INDEX(Backlog[HLE],MATCH($A20,Backlog[Requirement ID],0)),IFERROR(INDEX('Q1 Backlog Report 2026'!$L:$L,MATCH($A20,'Q1 Backlog Report 2026'!$A:$A,0)),IFERROR(INDEX('Q2 Backlog Report 2026'!$L:$L,MATCH($A20,'Q2 Backlog Report 2026'!$A:$A,0)),IFERROR(INDEX('Q3 Backlog Report 2026'!$L:$L,MATCH($A20,'Q3 Backlog Report 2026'!$A:$A,0)),IFERROR(INDEX('Q4 Backlog Report 2026'!$L:$L,MATCH($A20,'Q4 Backlog Report 2026'!$A:$A,0)),"")))))</f>
        <v/>
      </c>
    </row>
    <row r="21" hidden="1" ht="15" customHeight="1" s="93">
      <c r="A21" s="97" t="inlineStr">
        <is>
          <t>NEW-0381</t>
        </is>
      </c>
      <c r="B21" s="97">
        <f>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
      </c>
      <c r="C21" s="97">
        <f>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
      </c>
      <c r="D21" s="97">
        <f>IFERROR(INDEX(Backlog[Sprint],MATCH($A21,Backlog[Requirement ID],0)),IFERROR(INDEX('Q1 Backlog Report 2026'!$J:$J,MATCH($A21,'Q1 Backlog Report 2026'!$A:$A,0)),IFERROR(INDEX('Q2 Backlog Report 2026'!$J:$J,MATCH($A21,'Q2 Backlog Report 2026'!$A:$A,0)),IFERROR(INDEX('Q3 Backlog Report 2026'!$J:$J,MATCH($A21,'Q3 Backlog Report 2026'!$A:$A,0)),IFERROR(INDEX('Q4 Backlog Report 2026'!$J:$J,MATCH($A21,'Q4 Backlog Report 2026'!$A:$A,0)),"")))))</f>
        <v/>
      </c>
      <c r="E21" s="97">
        <f>IFERROR(INDEX(Backlog[Jira Link],MATCH($A21,Backlog[Requirement ID],0)),IFERROR(INDEX('Q1 Backlog Report 2026'!$H:$H,MATCH($A21,'Q1 Backlog Report 2026'!$A:$A,0)),IFERROR(INDEX('Q2 Backlog Report 2026'!$H:$H,MATCH($A21,'Q2 Backlog Report 2026'!$A:$A,0)),IFERROR(INDEX('Q3 Backlog Report 2026'!$H:$H,MATCH($A21,'Q3 Backlog Report 2026'!$A:$A,0)),IFERROR(INDEX('Q4 Backlog Report 2026'!$H:$H,MATCH($A21,'Q4 Backlog Report 2026'!$A:$A,0)),"")))))</f>
        <v/>
      </c>
      <c r="F21" s="97">
        <f>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
      </c>
      <c r="G21" s="97">
        <f>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
      </c>
      <c r="H21" s="97">
        <f>IFERROR(INDEX(Backlog[HLE],MATCH($A21,Backlog[Requirement ID],0)),IFERROR(INDEX('Q1 Backlog Report 2026'!$L:$L,MATCH($A21,'Q1 Backlog Report 2026'!$A:$A,0)),IFERROR(INDEX('Q2 Backlog Report 2026'!$L:$L,MATCH($A21,'Q2 Backlog Report 2026'!$A:$A,0)),IFERROR(INDEX('Q3 Backlog Report 2026'!$L:$L,MATCH($A21,'Q3 Backlog Report 2026'!$A:$A,0)),IFERROR(INDEX('Q4 Backlog Report 2026'!$L:$L,MATCH($A21,'Q4 Backlog Report 2026'!$A:$A,0)),"")))))</f>
        <v/>
      </c>
    </row>
    <row r="22" hidden="1" ht="15" customHeight="1" s="93">
      <c r="A22" s="97" t="inlineStr">
        <is>
          <t>NEW-0380</t>
        </is>
      </c>
      <c r="B22" s="97">
        <f>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
      </c>
      <c r="C22" s="97">
        <f>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
      </c>
      <c r="D22" s="97">
        <f>IFERROR(INDEX(Backlog[Sprint],MATCH($A22,Backlog[Requirement ID],0)),IFERROR(INDEX('Q1 Backlog Report 2026'!$J:$J,MATCH($A22,'Q1 Backlog Report 2026'!$A:$A,0)),IFERROR(INDEX('Q2 Backlog Report 2026'!$J:$J,MATCH($A22,'Q2 Backlog Report 2026'!$A:$A,0)),IFERROR(INDEX('Q3 Backlog Report 2026'!$J:$J,MATCH($A22,'Q3 Backlog Report 2026'!$A:$A,0)),IFERROR(INDEX('Q4 Backlog Report 2026'!$J:$J,MATCH($A22,'Q4 Backlog Report 2026'!$A:$A,0)),"")))))</f>
        <v/>
      </c>
      <c r="E22" s="97">
        <f>IFERROR(INDEX(Backlog[Jira Link],MATCH($A22,Backlog[Requirement ID],0)),IFERROR(INDEX('Q1 Backlog Report 2026'!$H:$H,MATCH($A22,'Q1 Backlog Report 2026'!$A:$A,0)),IFERROR(INDEX('Q2 Backlog Report 2026'!$H:$H,MATCH($A22,'Q2 Backlog Report 2026'!$A:$A,0)),IFERROR(INDEX('Q3 Backlog Report 2026'!$H:$H,MATCH($A22,'Q3 Backlog Report 2026'!$A:$A,0)),IFERROR(INDEX('Q4 Backlog Report 2026'!$H:$H,MATCH($A22,'Q4 Backlog Report 2026'!$A:$A,0)),"")))))</f>
        <v/>
      </c>
      <c r="F22" s="97">
        <f>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
      </c>
      <c r="G22" s="97">
        <f>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
      </c>
      <c r="H22" s="97">
        <f>IFERROR(INDEX(Backlog[HLE],MATCH($A22,Backlog[Requirement ID],0)),IFERROR(INDEX('Q1 Backlog Report 2026'!$L:$L,MATCH($A22,'Q1 Backlog Report 2026'!$A:$A,0)),IFERROR(INDEX('Q2 Backlog Report 2026'!$L:$L,MATCH($A22,'Q2 Backlog Report 2026'!$A:$A,0)),IFERROR(INDEX('Q3 Backlog Report 2026'!$L:$L,MATCH($A22,'Q3 Backlog Report 2026'!$A:$A,0)),IFERROR(INDEX('Q4 Backlog Report 2026'!$L:$L,MATCH($A22,'Q4 Backlog Report 2026'!$A:$A,0)),"")))))</f>
        <v/>
      </c>
    </row>
    <row r="23" ht="15" customHeight="1" s="93">
      <c r="A23" s="97" t="inlineStr">
        <is>
          <t>NEW-0388</t>
        </is>
      </c>
      <c r="B23" s="97">
        <f>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
      </c>
      <c r="C23" s="97">
        <f>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
      </c>
      <c r="D23" s="97">
        <f>IFERROR(INDEX(Backlog[Sprint],MATCH($A23,Backlog[Requirement ID],0)),IFERROR(INDEX('Q1 Backlog Report 2026'!$J:$J,MATCH($A23,'Q1 Backlog Report 2026'!$A:$A,0)),IFERROR(INDEX('Q2 Backlog Report 2026'!$J:$J,MATCH($A23,'Q2 Backlog Report 2026'!$A:$A,0)),IFERROR(INDEX('Q3 Backlog Report 2026'!$J:$J,MATCH($A23,'Q3 Backlog Report 2026'!$A:$A,0)),IFERROR(INDEX('Q4 Backlog Report 2026'!$J:$J,MATCH($A23,'Q4 Backlog Report 2026'!$A:$A,0)),"")))))</f>
        <v/>
      </c>
      <c r="E23" s="97">
        <f>IFERROR(INDEX(Backlog[Jira Link],MATCH($A23,Backlog[Requirement ID],0)),IFERROR(INDEX('Q1 Backlog Report 2026'!$H:$H,MATCH($A23,'Q1 Backlog Report 2026'!$A:$A,0)),IFERROR(INDEX('Q2 Backlog Report 2026'!$H:$H,MATCH($A23,'Q2 Backlog Report 2026'!$A:$A,0)),IFERROR(INDEX('Q3 Backlog Report 2026'!$H:$H,MATCH($A23,'Q3 Backlog Report 2026'!$A:$A,0)),IFERROR(INDEX('Q4 Backlog Report 2026'!$H:$H,MATCH($A23,'Q4 Backlog Report 2026'!$A:$A,0)),"")))))</f>
        <v/>
      </c>
      <c r="F23" s="97">
        <f>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
      </c>
      <c r="G23" s="97">
        <f>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
      </c>
      <c r="H23" s="97">
        <f>IFERROR(INDEX(Backlog[HLE],MATCH($A23,Backlog[Requirement ID],0)),IFERROR(INDEX('Q1 Backlog Report 2026'!$L:$L,MATCH($A23,'Q1 Backlog Report 2026'!$A:$A,0)),IFERROR(INDEX('Q2 Backlog Report 2026'!$L:$L,MATCH($A23,'Q2 Backlog Report 2026'!$A:$A,0)),IFERROR(INDEX('Q3 Backlog Report 2026'!$L:$L,MATCH($A23,'Q3 Backlog Report 2026'!$A:$A,0)),IFERROR(INDEX('Q4 Backlog Report 2026'!$L:$L,MATCH($A23,'Q4 Backlog Report 2026'!$A:$A,0)),"")))))</f>
        <v/>
      </c>
      <c r="I23" s="169" t="inlineStr">
        <is>
          <t>- Released on July 16 (CHG0070881)</t>
        </is>
      </c>
      <c r="J23" s="169" t="inlineStr">
        <is>
          <t>- Released on July 16 (CHG0070881)</t>
        </is>
      </c>
      <c r="K23" s="169" t="inlineStr">
        <is>
          <t>- No DTS dependency.
- LLD still pending.</t>
        </is>
      </c>
    </row>
    <row r="24" ht="15" customHeight="1" s="93">
      <c r="A24" s="97" t="inlineStr">
        <is>
          <t>NEW-0387</t>
        </is>
      </c>
      <c r="B24" s="97">
        <f>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
      </c>
      <c r="C24" s="97">
        <f>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
      </c>
      <c r="D24" s="97">
        <f>IFERROR(INDEX(Backlog[Sprint],MATCH($A24,Backlog[Requirement ID],0)),IFERROR(INDEX('Q1 Backlog Report 2026'!$J:$J,MATCH($A24,'Q1 Backlog Report 2026'!$A:$A,0)),IFERROR(INDEX('Q2 Backlog Report 2026'!$J:$J,MATCH($A24,'Q2 Backlog Report 2026'!$A:$A,0)),IFERROR(INDEX('Q3 Backlog Report 2026'!$J:$J,MATCH($A24,'Q3 Backlog Report 2026'!$A:$A,0)),IFERROR(INDEX('Q4 Backlog Report 2026'!$J:$J,MATCH($A24,'Q4 Backlog Report 2026'!$A:$A,0)),"")))))</f>
        <v/>
      </c>
      <c r="E24" s="97">
        <f>IFERROR(INDEX(Backlog[Jira Link],MATCH($A24,Backlog[Requirement ID],0)),IFERROR(INDEX('Q1 Backlog Report 2026'!$H:$H,MATCH($A24,'Q1 Backlog Report 2026'!$A:$A,0)),IFERROR(INDEX('Q2 Backlog Report 2026'!$H:$H,MATCH($A24,'Q2 Backlog Report 2026'!$A:$A,0)),IFERROR(INDEX('Q3 Backlog Report 2026'!$H:$H,MATCH($A24,'Q3 Backlog Report 2026'!$A:$A,0)),IFERROR(INDEX('Q4 Backlog Report 2026'!$H:$H,MATCH($A24,'Q4 Backlog Report 2026'!$A:$A,0)),"")))))</f>
        <v/>
      </c>
      <c r="F24" s="97">
        <f>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
      </c>
      <c r="G24" s="97">
        <f>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
      </c>
      <c r="H24" s="97">
        <f>IFERROR(INDEX(Backlog[HLE],MATCH($A24,Backlog[Requirement ID],0)),IFERROR(INDEX('Q1 Backlog Report 2026'!$L:$L,MATCH($A24,'Q1 Backlog Report 2026'!$A:$A,0)),IFERROR(INDEX('Q2 Backlog Report 2026'!$L:$L,MATCH($A24,'Q2 Backlog Report 2026'!$A:$A,0)),IFERROR(INDEX('Q3 Backlog Report 2026'!$L:$L,MATCH($A24,'Q3 Backlog Report 2026'!$A:$A,0)),IFERROR(INDEX('Q4 Backlog Report 2026'!$L:$L,MATCH($A24,'Q4 Backlog Report 2026'!$A:$A,0)),"")))))</f>
        <v/>
      </c>
    </row>
    <row r="25" ht="15" customHeight="1" s="93">
      <c r="A25" s="97" t="inlineStr">
        <is>
          <t>NEW-0386</t>
        </is>
      </c>
      <c r="B25" s="97">
        <f>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
      </c>
      <c r="C25" s="97">
        <f>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
      </c>
      <c r="D25" s="97">
        <f>IFERROR(INDEX(Backlog[Sprint],MATCH($A25,Backlog[Requirement ID],0)),IFERROR(INDEX('Q1 Backlog Report 2026'!$J:$J,MATCH($A25,'Q1 Backlog Report 2026'!$A:$A,0)),IFERROR(INDEX('Q2 Backlog Report 2026'!$J:$J,MATCH($A25,'Q2 Backlog Report 2026'!$A:$A,0)),IFERROR(INDEX('Q3 Backlog Report 2026'!$J:$J,MATCH($A25,'Q3 Backlog Report 2026'!$A:$A,0)),IFERROR(INDEX('Q4 Backlog Report 2026'!$J:$J,MATCH($A25,'Q4 Backlog Report 2026'!$A:$A,0)),"")))))</f>
        <v/>
      </c>
      <c r="E25" s="97">
        <f>IFERROR(INDEX(Backlog[Jira Link],MATCH($A25,Backlog[Requirement ID],0)),IFERROR(INDEX('Q1 Backlog Report 2026'!$H:$H,MATCH($A25,'Q1 Backlog Report 2026'!$A:$A,0)),IFERROR(INDEX('Q2 Backlog Report 2026'!$H:$H,MATCH($A25,'Q2 Backlog Report 2026'!$A:$A,0)),IFERROR(INDEX('Q3 Backlog Report 2026'!$H:$H,MATCH($A25,'Q3 Backlog Report 2026'!$A:$A,0)),IFERROR(INDEX('Q4 Backlog Report 2026'!$H:$H,MATCH($A25,'Q4 Backlog Report 2026'!$A:$A,0)),"")))))</f>
        <v/>
      </c>
      <c r="F25" s="97">
        <f>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
      </c>
      <c r="G25" s="97">
        <f>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
      </c>
      <c r="H25" s="97">
        <f>IFERROR(INDEX(Backlog[HLE],MATCH($A25,Backlog[Requirement ID],0)),IFERROR(INDEX('Q1 Backlog Report 2026'!$L:$L,MATCH($A25,'Q1 Backlog Report 2026'!$A:$A,0)),IFERROR(INDEX('Q2 Backlog Report 2026'!$L:$L,MATCH($A25,'Q2 Backlog Report 2026'!$A:$A,0)),IFERROR(INDEX('Q3 Backlog Report 2026'!$L:$L,MATCH($A25,'Q3 Backlog Report 2026'!$A:$A,0)),IFERROR(INDEX('Q4 Backlog Report 2026'!$L:$L,MATCH($A25,'Q4 Backlog Report 2026'!$A:$A,0)),"")))))</f>
        <v/>
      </c>
    </row>
    <row r="26" ht="15" customHeight="1" s="93">
      <c r="A26" s="97" t="inlineStr">
        <is>
          <t>NEW-0390</t>
        </is>
      </c>
      <c r="B26" s="97">
        <f>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
      </c>
      <c r="C26" s="97">
        <f>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
      </c>
      <c r="D26" s="97">
        <f>IFERROR(INDEX(Backlog[Sprint],MATCH($A26,Backlog[Requirement ID],0)),IFERROR(INDEX('Q1 Backlog Report 2026'!$J:$J,MATCH($A26,'Q1 Backlog Report 2026'!$A:$A,0)),IFERROR(INDEX('Q2 Backlog Report 2026'!$J:$J,MATCH($A26,'Q2 Backlog Report 2026'!$A:$A,0)),IFERROR(INDEX('Q3 Backlog Report 2026'!$J:$J,MATCH($A26,'Q3 Backlog Report 2026'!$A:$A,0)),IFERROR(INDEX('Q4 Backlog Report 2026'!$J:$J,MATCH($A26,'Q4 Backlog Report 2026'!$A:$A,0)),"")))))</f>
        <v/>
      </c>
      <c r="E26" s="97">
        <f>IFERROR(INDEX(Backlog[Jira Link],MATCH($A26,Backlog[Requirement ID],0)),IFERROR(INDEX('Q1 Backlog Report 2026'!$H:$H,MATCH($A26,'Q1 Backlog Report 2026'!$A:$A,0)),IFERROR(INDEX('Q2 Backlog Report 2026'!$H:$H,MATCH($A26,'Q2 Backlog Report 2026'!$A:$A,0)),IFERROR(INDEX('Q3 Backlog Report 2026'!$H:$H,MATCH($A26,'Q3 Backlog Report 2026'!$A:$A,0)),IFERROR(INDEX('Q4 Backlog Report 2026'!$H:$H,MATCH($A26,'Q4 Backlog Report 2026'!$A:$A,0)),"")))))</f>
        <v/>
      </c>
      <c r="F26" s="97">
        <f>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
      </c>
      <c r="G26" s="97">
        <f>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
      </c>
      <c r="H26" s="97">
        <f>IFERROR(INDEX(Backlog[HLE],MATCH($A26,Backlog[Requirement ID],0)),IFERROR(INDEX('Q1 Backlog Report 2026'!$L:$L,MATCH($A26,'Q1 Backlog Report 2026'!$A:$A,0)),IFERROR(INDEX('Q2 Backlog Report 2026'!$L:$L,MATCH($A26,'Q2 Backlog Report 2026'!$A:$A,0)),IFERROR(INDEX('Q3 Backlog Report 2026'!$L:$L,MATCH($A26,'Q3 Backlog Report 2026'!$A:$A,0)),IFERROR(INDEX('Q4 Backlog Report 2026'!$L:$L,MATCH($A26,'Q4 Backlog Report 2026'!$A:$A,0)),"")))))</f>
        <v/>
      </c>
      <c r="I26" s="169" t="inlineStr">
        <is>
          <t>- Released on July 16 (CHG0070881)</t>
        </is>
      </c>
      <c r="J26" s="169" t="inlineStr">
        <is>
          <t>- Released on July 16 (CHG0070881)</t>
        </is>
      </c>
      <c r="K26" s="169" t="inlineStr">
        <is>
          <t>- Meeting has been conducted last week.
- LLD is still pending.
- Dependency with DTS</t>
        </is>
      </c>
    </row>
    <row r="27" ht="15" customHeight="1" s="93">
      <c r="A27" s="97" t="inlineStr">
        <is>
          <t>NEW-0392</t>
        </is>
      </c>
      <c r="B27" s="97">
        <f>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
      </c>
      <c r="C27" s="97">
        <f>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
      </c>
      <c r="D27" s="97">
        <f>IFERROR(INDEX(Backlog[Sprint],MATCH($A27,Backlog[Requirement ID],0)),IFERROR(INDEX('Q1 Backlog Report 2026'!$J:$J,MATCH($A27,'Q1 Backlog Report 2026'!$A:$A,0)),IFERROR(INDEX('Q2 Backlog Report 2026'!$J:$J,MATCH($A27,'Q2 Backlog Report 2026'!$A:$A,0)),IFERROR(INDEX('Q3 Backlog Report 2026'!$J:$J,MATCH($A27,'Q3 Backlog Report 2026'!$A:$A,0)),IFERROR(INDEX('Q4 Backlog Report 2026'!$J:$J,MATCH($A27,'Q4 Backlog Report 2026'!$A:$A,0)),"")))))</f>
        <v/>
      </c>
      <c r="E27" s="97">
        <f>IFERROR(INDEX(Backlog[Jira Link],MATCH($A27,Backlog[Requirement ID],0)),IFERROR(INDEX('Q1 Backlog Report 2026'!$H:$H,MATCH($A27,'Q1 Backlog Report 2026'!$A:$A,0)),IFERROR(INDEX('Q2 Backlog Report 2026'!$H:$H,MATCH($A27,'Q2 Backlog Report 2026'!$A:$A,0)),IFERROR(INDEX('Q3 Backlog Report 2026'!$H:$H,MATCH($A27,'Q3 Backlog Report 2026'!$A:$A,0)),IFERROR(INDEX('Q4 Backlog Report 2026'!$H:$H,MATCH($A27,'Q4 Backlog Report 2026'!$A:$A,0)),"")))))</f>
        <v/>
      </c>
      <c r="F27" s="97">
        <f>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
      </c>
      <c r="G27" s="97">
        <f>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
      </c>
      <c r="H27" s="97">
        <f>IFERROR(INDEX(Backlog[HLE],MATCH($A27,Backlog[Requirement ID],0)),IFERROR(INDEX('Q1 Backlog Report 2026'!$L:$L,MATCH($A27,'Q1 Backlog Report 2026'!$A:$A,0)),IFERROR(INDEX('Q2 Backlog Report 2026'!$L:$L,MATCH($A27,'Q2 Backlog Report 2026'!$A:$A,0)),IFERROR(INDEX('Q3 Backlog Report 2026'!$L:$L,MATCH($A27,'Q3 Backlog Report 2026'!$A:$A,0)),IFERROR(INDEX('Q4 Backlog Report 2026'!$L:$L,MATCH($A27,'Q4 Backlog Report 2026'!$A:$A,0)),"")))))</f>
        <v/>
      </c>
      <c r="I27" s="169" t="inlineStr">
        <is>
          <t>- Changes not to be included in the first Aug 3 GO Live (confirmed by Salvatore Verzura)</t>
        </is>
      </c>
      <c r="J27" s="169" t="inlineStr">
        <is>
          <t>- Changes released in CHAIN1/TEST on Aug 3 as per the plan.
- Waiting for the Mobile Team Feedback.</t>
        </is>
      </c>
      <c r="K27" s="169" t="inlineStr">
        <is>
          <t>- Changes released in CHAIN1/TEST on Aug 3 as per the plan.
- Still waiting for the Mobile Team Feedback.</t>
        </is>
      </c>
    </row>
    <row r="28" ht="15" customHeight="1" s="93">
      <c r="A28" s="97" t="inlineStr">
        <is>
          <t>NEW-0426</t>
        </is>
      </c>
      <c r="B28" s="97">
        <f>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
      </c>
      <c r="C28" s="97">
        <f>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
      </c>
      <c r="D28" s="97">
        <f>IFERROR(INDEX(Backlog[Sprint],MATCH($A28,Backlog[Requirement ID],0)),IFERROR(INDEX('Q1 Backlog Report 2026'!$J:$J,MATCH($A28,'Q1 Backlog Report 2026'!$A:$A,0)),IFERROR(INDEX('Q2 Backlog Report 2026'!$J:$J,MATCH($A28,'Q2 Backlog Report 2026'!$A:$A,0)),IFERROR(INDEX('Q3 Backlog Report 2026'!$J:$J,MATCH($A28,'Q3 Backlog Report 2026'!$A:$A,0)),IFERROR(INDEX('Q4 Backlog Report 2026'!$J:$J,MATCH($A28,'Q4 Backlog Report 2026'!$A:$A,0)),"")))))</f>
        <v/>
      </c>
      <c r="E28" s="97">
        <f>IFERROR(INDEX(Backlog[Jira Link],MATCH($A28,Backlog[Requirement ID],0)),IFERROR(INDEX('Q1 Backlog Report 2026'!$H:$H,MATCH($A28,'Q1 Backlog Report 2026'!$A:$A,0)),IFERROR(INDEX('Q2 Backlog Report 2026'!$H:$H,MATCH($A28,'Q2 Backlog Report 2026'!$A:$A,0)),IFERROR(INDEX('Q3 Backlog Report 2026'!$H:$H,MATCH($A28,'Q3 Backlog Report 2026'!$A:$A,0)),IFERROR(INDEX('Q4 Backlog Report 2026'!$H:$H,MATCH($A28,'Q4 Backlog Report 2026'!$A:$A,0)),"")))))</f>
        <v/>
      </c>
      <c r="F28" s="97">
        <f>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
      </c>
      <c r="G28" s="97">
        <f>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
      </c>
      <c r="H28" s="97">
        <f>IFERROR(INDEX(Backlog[HLE],MATCH($A28,Backlog[Requirement ID],0)),IFERROR(INDEX('Q1 Backlog Report 2026'!$L:$L,MATCH($A28,'Q1 Backlog Report 2026'!$A:$A,0)),IFERROR(INDEX('Q2 Backlog Report 2026'!$L:$L,MATCH($A28,'Q2 Backlog Report 2026'!$A:$A,0)),IFERROR(INDEX('Q3 Backlog Report 2026'!$L:$L,MATCH($A28,'Q3 Backlog Report 2026'!$A:$A,0)),IFERROR(INDEX('Q4 Backlog Report 2026'!$L:$L,MATCH($A28,'Q4 Backlog Report 2026'!$A:$A,0)),"")))))</f>
        <v/>
      </c>
      <c r="I28" s="169" t="inlineStr">
        <is>
          <t>- Changes not to be included in the first Aug 3 GO Live (confirmed by Salvatore Verzura)</t>
        </is>
      </c>
      <c r="J28" s="169" t="inlineStr">
        <is>
          <t>- Changes released in CHAIN1/TEST on Aug 3 as per the plan.
- Waiting for the Mobile Team Feedback.</t>
        </is>
      </c>
      <c r="K28" s="169" t="inlineStr">
        <is>
          <t>- Changes released in CHAIN1/TEST on Aug 3 as per the plan.
- Still waiting for the Mobile Team Feedback.</t>
        </is>
      </c>
    </row>
    <row r="29" ht="15" customHeight="1" s="93">
      <c r="A29" s="97" t="inlineStr">
        <is>
          <t>NEW-0427</t>
        </is>
      </c>
      <c r="B29" s="97">
        <f>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
      </c>
      <c r="C29" s="97">
        <f>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
      </c>
      <c r="D29" s="97">
        <f>IFERROR(INDEX(Backlog[Sprint],MATCH($A29,Backlog[Requirement ID],0)),IFERROR(INDEX('Q1 Backlog Report 2026'!$J:$J,MATCH($A29,'Q1 Backlog Report 2026'!$A:$A,0)),IFERROR(INDEX('Q2 Backlog Report 2026'!$J:$J,MATCH($A29,'Q2 Backlog Report 2026'!$A:$A,0)),IFERROR(INDEX('Q3 Backlog Report 2026'!$J:$J,MATCH($A29,'Q3 Backlog Report 2026'!$A:$A,0)),IFERROR(INDEX('Q4 Backlog Report 2026'!$J:$J,MATCH($A29,'Q4 Backlog Report 2026'!$A:$A,0)),"")))))</f>
        <v/>
      </c>
      <c r="E29" s="97">
        <f>IFERROR(INDEX(Backlog[Jira Link],MATCH($A29,Backlog[Requirement ID],0)),IFERROR(INDEX('Q1 Backlog Report 2026'!$H:$H,MATCH($A29,'Q1 Backlog Report 2026'!$A:$A,0)),IFERROR(INDEX('Q2 Backlog Report 2026'!$H:$H,MATCH($A29,'Q2 Backlog Report 2026'!$A:$A,0)),IFERROR(INDEX('Q3 Backlog Report 2026'!$H:$H,MATCH($A29,'Q3 Backlog Report 2026'!$A:$A,0)),IFERROR(INDEX('Q4 Backlog Report 2026'!$H:$H,MATCH($A29,'Q4 Backlog Report 2026'!$A:$A,0)),"")))))</f>
        <v/>
      </c>
      <c r="F29" s="97">
        <f>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
      </c>
      <c r="G29" s="97">
        <f>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
      </c>
      <c r="H29" s="97">
        <f>IFERROR(INDEX(Backlog[HLE],MATCH($A29,Backlog[Requirement ID],0)),IFERROR(INDEX('Q1 Backlog Report 2026'!$L:$L,MATCH($A29,'Q1 Backlog Report 2026'!$A:$A,0)),IFERROR(INDEX('Q2 Backlog Report 2026'!$L:$L,MATCH($A29,'Q2 Backlog Report 2026'!$A:$A,0)),IFERROR(INDEX('Q3 Backlog Report 2026'!$L:$L,MATCH($A29,'Q3 Backlog Report 2026'!$A:$A,0)),IFERROR(INDEX('Q4 Backlog Report 2026'!$L:$L,MATCH($A29,'Q4 Backlog Report 2026'!$A:$A,0)),"")))))</f>
        <v/>
      </c>
      <c r="I29" s="169" t="inlineStr">
        <is>
          <t>- Changes not to be included in the first Aug 3 GO Live (confirmed by Salvatore Verzura)</t>
        </is>
      </c>
      <c r="J29" s="169" t="inlineStr">
        <is>
          <t>- Changes released in CHAIN1/TEST on Aug 3 as per the plan.
- Waiting for the Mobile Team Feedback.</t>
        </is>
      </c>
      <c r="K29" s="169" t="inlineStr">
        <is>
          <t>- Changes released in CHAIN1/TEST on Aug 3 as per the plan.
- Still waiting for the Mobile Team Feedback.</t>
        </is>
      </c>
    </row>
    <row r="30" ht="15" customHeight="1" s="93">
      <c r="A30" s="97" t="inlineStr">
        <is>
          <t>NEW-0428</t>
        </is>
      </c>
      <c r="B30" s="97">
        <f>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
      </c>
      <c r="C30" s="97">
        <f>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
      </c>
      <c r="D30" s="97">
        <f>IFERROR(INDEX(Backlog[Sprint],MATCH($A30,Backlog[Requirement ID],0)),IFERROR(INDEX('Q1 Backlog Report 2026'!$J:$J,MATCH($A30,'Q1 Backlog Report 2026'!$A:$A,0)),IFERROR(INDEX('Q2 Backlog Report 2026'!$J:$J,MATCH($A30,'Q2 Backlog Report 2026'!$A:$A,0)),IFERROR(INDEX('Q3 Backlog Report 2026'!$J:$J,MATCH($A30,'Q3 Backlog Report 2026'!$A:$A,0)),IFERROR(INDEX('Q4 Backlog Report 2026'!$J:$J,MATCH($A30,'Q4 Backlog Report 2026'!$A:$A,0)),"")))))</f>
        <v/>
      </c>
      <c r="E30" s="97">
        <f>IFERROR(INDEX(Backlog[Jira Link],MATCH($A30,Backlog[Requirement ID],0)),IFERROR(INDEX('Q1 Backlog Report 2026'!$H:$H,MATCH($A30,'Q1 Backlog Report 2026'!$A:$A,0)),IFERROR(INDEX('Q2 Backlog Report 2026'!$H:$H,MATCH($A30,'Q2 Backlog Report 2026'!$A:$A,0)),IFERROR(INDEX('Q3 Backlog Report 2026'!$H:$H,MATCH($A30,'Q3 Backlog Report 2026'!$A:$A,0)),IFERROR(INDEX('Q4 Backlog Report 2026'!$H:$H,MATCH($A30,'Q4 Backlog Report 2026'!$A:$A,0)),"")))))</f>
        <v/>
      </c>
      <c r="F30" s="97">
        <f>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
      </c>
      <c r="G30" s="97">
        <f>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
      </c>
      <c r="H30" s="97">
        <f>IFERROR(INDEX(Backlog[HLE],MATCH($A30,Backlog[Requirement ID],0)),IFERROR(INDEX('Q1 Backlog Report 2026'!$L:$L,MATCH($A30,'Q1 Backlog Report 2026'!$A:$A,0)),IFERROR(INDEX('Q2 Backlog Report 2026'!$L:$L,MATCH($A30,'Q2 Backlog Report 2026'!$A:$A,0)),IFERROR(INDEX('Q3 Backlog Report 2026'!$L:$L,MATCH($A30,'Q3 Backlog Report 2026'!$A:$A,0)),IFERROR(INDEX('Q4 Backlog Report 2026'!$L:$L,MATCH($A30,'Q4 Backlog Report 2026'!$A:$A,0)),"")))))</f>
        <v/>
      </c>
      <c r="I30" s="169" t="inlineStr">
        <is>
          <t>- Changes not to be included in the first Aug 3 GO Live (confirmed by Salvatore Verzura)</t>
        </is>
      </c>
      <c r="J30" s="169" t="inlineStr">
        <is>
          <t>- Changes released in CHAIN1/TEST on Aug 3 as per the plan.
- Waiting for the Mobile Team Feedback.</t>
        </is>
      </c>
      <c r="K30" s="169" t="inlineStr">
        <is>
          <t>- Changes released in CHAIN1/TEST on Aug 3 as per the plan.
- Still waiting for the Mobile Team Feedback.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9.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baseColWidth="8" defaultColWidth="8.66796875" defaultRowHeight="15" customHeight="0" zeroHeight="0" outlineLevelRow="0"/>
  <cols>
    <col width="16" customWidth="1" style="92" min="1" max="1"/>
    <col width="38" customWidth="1" style="92" min="2" max="2"/>
    <col width="12" customWidth="1" style="92" min="3" max="4"/>
    <col width="14" customWidth="1" style="92" min="5" max="5"/>
    <col width="10" customWidth="1" style="92" min="6" max="6"/>
    <col width="14" customWidth="1" style="92" min="7" max="7"/>
    <col width="30" customWidth="1" style="92" min="8" max="8"/>
    <col width="12" customWidth="1" style="92" min="9" max="9"/>
    <col width="14" customWidth="1" style="92" min="10" max="10"/>
    <col width="12" customWidth="1" style="92" min="11" max="11"/>
    <col width="8" customWidth="1" style="92" min="12" max="12"/>
  </cols>
  <sheetData>
    <row r="1" ht="30" customHeight="1" s="93">
      <c r="A1" s="113" t="inlineStr">
        <is>
          <t>Requirement ID</t>
        </is>
      </c>
      <c r="B1" s="113" t="inlineStr">
        <is>
          <t>Requirement Name</t>
        </is>
      </c>
      <c r="C1" s="113" t="inlineStr">
        <is>
          <t>Type</t>
        </is>
      </c>
      <c r="D1" s="113" t="inlineStr">
        <is>
          <t>Stream</t>
        </is>
      </c>
      <c r="E1" s="113" t="inlineStr">
        <is>
          <t>Stream Owner</t>
        </is>
      </c>
      <c r="F1" s="113" t="inlineStr">
        <is>
          <t>Status</t>
        </is>
      </c>
      <c r="G1" s="113" t="inlineStr">
        <is>
          <t>Jira Key</t>
        </is>
      </c>
      <c r="H1" s="113" t="inlineStr">
        <is>
          <t>Jira Link</t>
        </is>
      </c>
      <c r="I1" s="113" t="inlineStr">
        <is>
          <t>Priority</t>
        </is>
      </c>
      <c r="J1" s="113" t="inlineStr">
        <is>
          <t>Sprint</t>
        </is>
      </c>
      <c r="K1" s="113" t="inlineStr">
        <is>
          <t>Release</t>
        </is>
      </c>
      <c r="L1" s="113" t="inlineStr">
        <is>
          <t>HLE</t>
        </is>
      </c>
      <c r="M1" s="170" t="n"/>
      <c r="N1" s="170" t="n"/>
      <c r="O1" s="170" t="n"/>
      <c r="P1" s="170" t="n"/>
      <c r="Q1" s="170" t="n"/>
      <c r="R1" s="170" t="n"/>
    </row>
    <row r="2" ht="15" customHeight="1" s="93">
      <c r="A2" s="117" t="inlineStr">
        <is>
          <t>NEW-0123</t>
        </is>
      </c>
      <c r="B2" s="117" t="inlineStr">
        <is>
          <t>Data Lodging - INT 007</t>
        </is>
      </c>
      <c r="C2" s="117" t="inlineStr">
        <is>
          <t>CR</t>
        </is>
      </c>
      <c r="D2" s="117" t="inlineStr">
        <is>
          <t>US</t>
        </is>
      </c>
      <c r="E2" s="117" t="inlineStr">
        <is>
          <t>B2CW</t>
        </is>
      </c>
      <c r="F2" s="117" t="inlineStr">
        <is>
          <t>DONE</t>
        </is>
      </c>
      <c r="G2" s="117" t="inlineStr">
        <is>
          <t>MDTTPU-2694</t>
        </is>
      </c>
      <c r="H2" s="117" t="inlineStr">
        <is>
          <t>https://smartship.atlassian.net/browse/MDTTPU-2694</t>
        </is>
      </c>
      <c r="I2" s="117" t="inlineStr">
        <is>
          <t>Medium</t>
        </is>
      </c>
      <c r="J2" s="117" t="inlineStr">
        <is>
          <t>Sprint 4</t>
        </is>
      </c>
      <c r="K2" s="117" t="inlineStr">
        <is>
          <t>Release 19</t>
        </is>
      </c>
      <c r="L2" s="117" t="n">
        <v>5</v>
      </c>
      <c r="M2" s="117" t="n"/>
      <c r="N2" s="117" t="n"/>
      <c r="O2" s="117" t="n"/>
      <c r="P2" s="117" t="n"/>
      <c r="Q2" s="117" t="n"/>
      <c r="R2" s="117" t="n"/>
    </row>
    <row r="3" ht="15" customHeight="1" s="93">
      <c r="A3" s="92" t="inlineStr">
        <is>
          <t>NEW-0249</t>
        </is>
      </c>
      <c r="B3" s="92" t="inlineStr">
        <is>
          <t>Pre Booking Customisation - INT017v1 - Ship Postion</t>
        </is>
      </c>
      <c r="C3" s="92" t="inlineStr">
        <is>
          <t>CR</t>
        </is>
      </c>
      <c r="D3" s="92" t="inlineStr">
        <is>
          <t>US</t>
        </is>
      </c>
      <c r="E3" s="92" t="inlineStr">
        <is>
          <t>B2CW</t>
        </is>
      </c>
      <c r="F3" s="92" t="inlineStr">
        <is>
          <t>DONE</t>
        </is>
      </c>
      <c r="G3" s="92" t="inlineStr">
        <is>
          <t>MDTTPU-1817</t>
        </is>
      </c>
      <c r="H3" s="92" t="inlineStr">
        <is>
          <t>https://smartship.atlassian.net/browse/MDTTPU-1817</t>
        </is>
      </c>
      <c r="I3" s="92" t="inlineStr">
        <is>
          <t>Medium</t>
        </is>
      </c>
      <c r="J3" s="92" t="inlineStr">
        <is>
          <t>Sprint 4</t>
        </is>
      </c>
      <c r="K3" s="92" t="inlineStr">
        <is>
          <t>Release 19</t>
        </is>
      </c>
      <c r="L3" s="92" t="n">
        <v>2</v>
      </c>
    </row>
    <row r="4" ht="15" customHeight="1" s="93">
      <c r="A4" s="92" t="inlineStr">
        <is>
          <t>NEW-0250</t>
        </is>
      </c>
      <c r="B4" s="92" t="inlineStr">
        <is>
          <t>Pre Booking Customisation - INT 007/006 - Error management – Fully booked cabin</t>
        </is>
      </c>
      <c r="C4" s="92" t="inlineStr">
        <is>
          <t>CR</t>
        </is>
      </c>
      <c r="D4" s="92" t="inlineStr">
        <is>
          <t>US</t>
        </is>
      </c>
      <c r="E4" s="92" t="inlineStr">
        <is>
          <t>B2CW</t>
        </is>
      </c>
      <c r="F4" s="92" t="inlineStr">
        <is>
          <t>DONE</t>
        </is>
      </c>
      <c r="G4" s="92" t="inlineStr">
        <is>
          <t>MDTTPU-1818</t>
        </is>
      </c>
      <c r="H4" s="92" t="inlineStr">
        <is>
          <t>https://smartship.atlassian.net/browse/MDTTPU-1818</t>
        </is>
      </c>
      <c r="I4" s="92" t="inlineStr">
        <is>
          <t>Medium</t>
        </is>
      </c>
      <c r="J4" s="92" t="inlineStr">
        <is>
          <t>Sprint 4</t>
        </is>
      </c>
      <c r="K4" s="92" t="inlineStr">
        <is>
          <t>Release 19</t>
        </is>
      </c>
      <c r="L4" s="92" t="n">
        <v>5</v>
      </c>
    </row>
    <row r="5" ht="15" customHeight="1" s="93">
      <c r="A5" s="92" t="inlineStr">
        <is>
          <t>NEW-0251</t>
        </is>
      </c>
      <c r="B5" s="92" t="inlineStr">
        <is>
          <t>Pre Booking Customisation - Refresh availability  – Change to INT 002</t>
        </is>
      </c>
      <c r="C5" s="92" t="inlineStr">
        <is>
          <t>CR</t>
        </is>
      </c>
      <c r="D5" s="92" t="inlineStr">
        <is>
          <t>US</t>
        </is>
      </c>
      <c r="E5" s="92" t="inlineStr">
        <is>
          <t>B2CW</t>
        </is>
      </c>
      <c r="F5" s="92" t="inlineStr">
        <is>
          <t>DONE</t>
        </is>
      </c>
      <c r="G5" s="92" t="inlineStr">
        <is>
          <t>MDTTPU-3291</t>
        </is>
      </c>
      <c r="H5" s="92" t="inlineStr">
        <is>
          <t>https://smartship.atlassian.net/browse/MDTTPU-3291</t>
        </is>
      </c>
      <c r="I5" s="92" t="inlineStr">
        <is>
          <t>Medium</t>
        </is>
      </c>
      <c r="J5" s="92" t="inlineStr">
        <is>
          <t>Sprint 4</t>
        </is>
      </c>
      <c r="K5" s="92" t="inlineStr">
        <is>
          <t>Release 19</t>
        </is>
      </c>
      <c r="L5" s="92" t="n">
        <v>5</v>
      </c>
    </row>
    <row r="6" ht="15" customHeight="1" s="93">
      <c r="A6" s="92" t="inlineStr">
        <is>
          <t>NEW-0252</t>
        </is>
      </c>
      <c r="B6" s="92" t="inlineStr">
        <is>
          <t>Pre Booking Customisation - OBC Pills</t>
        </is>
      </c>
      <c r="C6" s="92" t="inlineStr">
        <is>
          <t>CR</t>
        </is>
      </c>
      <c r="D6" s="92" t="inlineStr">
        <is>
          <t>US</t>
        </is>
      </c>
      <c r="E6" s="92" t="inlineStr">
        <is>
          <t>B2CW</t>
        </is>
      </c>
      <c r="F6" s="92" t="inlineStr">
        <is>
          <t>DONE</t>
        </is>
      </c>
      <c r="G6" s="92" t="inlineStr">
        <is>
          <t>MDTTPU-2801</t>
        </is>
      </c>
      <c r="H6" s="92" t="inlineStr">
        <is>
          <t>https://smartship.atlassian.net/browse/MDTTPU-2801</t>
        </is>
      </c>
      <c r="I6" s="92" t="inlineStr">
        <is>
          <t>Medium</t>
        </is>
      </c>
      <c r="J6" s="92" t="inlineStr">
        <is>
          <t>Sprint 4</t>
        </is>
      </c>
      <c r="K6" s="92" t="inlineStr">
        <is>
          <t>Release 19</t>
        </is>
      </c>
      <c r="L6" s="92" t="n">
        <v>5</v>
      </c>
    </row>
    <row r="7" ht="15" customHeight="1" s="93">
      <c r="A7" s="92" t="inlineStr">
        <is>
          <t>NEW-0260</t>
        </is>
      </c>
      <c r="B7" s="92" t="inlineStr">
        <is>
          <t>B2CW Payment Review - Tokenisation (Booking Funnel)</t>
        </is>
      </c>
      <c r="C7" s="92" t="inlineStr">
        <is>
          <t>CR</t>
        </is>
      </c>
      <c r="D7" s="92" t="inlineStr">
        <is>
          <t>US</t>
        </is>
      </c>
      <c r="E7" s="92" t="inlineStr">
        <is>
          <t>B2CW</t>
        </is>
      </c>
      <c r="F7" s="92" t="inlineStr">
        <is>
          <t>DONE</t>
        </is>
      </c>
      <c r="G7" s="92" t="inlineStr">
        <is>
          <t>MDTTPU-2693</t>
        </is>
      </c>
      <c r="H7" s="92" t="inlineStr">
        <is>
          <t>https://smartship.atlassian.net/browse/MDTTPU-2693</t>
        </is>
      </c>
      <c r="I7" s="92" t="inlineStr">
        <is>
          <t>Medium</t>
        </is>
      </c>
      <c r="J7" s="92" t="inlineStr">
        <is>
          <t>Sprint 4</t>
        </is>
      </c>
      <c r="K7" s="92" t="inlineStr">
        <is>
          <t>Release 19</t>
        </is>
      </c>
      <c r="L7" s="92" t="n">
        <v>13</v>
      </c>
    </row>
    <row r="8" ht="15" customHeight="1" s="93">
      <c r="A8" s="92" t="inlineStr">
        <is>
          <t>NEW-0261</t>
        </is>
      </c>
      <c r="B8" s="92" t="inlineStr">
        <is>
          <t>B2CW Payment Review - Tokenisation (myMSC)</t>
        </is>
      </c>
      <c r="C8" s="92" t="inlineStr">
        <is>
          <t>CR</t>
        </is>
      </c>
      <c r="D8" s="92" t="inlineStr">
        <is>
          <t>US</t>
        </is>
      </c>
      <c r="E8" s="92" t="inlineStr">
        <is>
          <t>B2CW</t>
        </is>
      </c>
      <c r="F8" s="92" t="inlineStr">
        <is>
          <t>DONE</t>
        </is>
      </c>
      <c r="G8" s="92" t="inlineStr">
        <is>
          <t>MDTTPU-4426</t>
        </is>
      </c>
      <c r="H8" s="92" t="inlineStr">
        <is>
          <t>https://smartship.atlassian.net/browse/MDTTPU-4426</t>
        </is>
      </c>
      <c r="I8" s="92" t="inlineStr">
        <is>
          <t>Medium</t>
        </is>
      </c>
      <c r="J8" s="92" t="inlineStr">
        <is>
          <t>Sprint 4</t>
        </is>
      </c>
      <c r="K8" s="92" t="inlineStr">
        <is>
          <t>Release 19</t>
        </is>
      </c>
      <c r="L8" s="92" t="n">
        <v>5</v>
      </c>
    </row>
    <row r="9" ht="15" customHeight="1" s="93">
      <c r="A9" s="92" t="inlineStr">
        <is>
          <t>NEW-0262</t>
        </is>
      </c>
      <c r="B9" s="92" t="inlineStr">
        <is>
          <t>B2CW Payment Review - Data lodging - cruise booking - Booking funnel</t>
        </is>
      </c>
      <c r="C9" s="92" t="inlineStr">
        <is>
          <t>CR</t>
        </is>
      </c>
      <c r="D9" s="92" t="inlineStr">
        <is>
          <t>US</t>
        </is>
      </c>
      <c r="E9" s="92" t="inlineStr">
        <is>
          <t>B2CW</t>
        </is>
      </c>
      <c r="F9" s="92" t="inlineStr">
        <is>
          <t>DONE</t>
        </is>
      </c>
      <c r="G9" s="92" t="inlineStr">
        <is>
          <t>MDTTPU-2597</t>
        </is>
      </c>
      <c r="H9" s="92" t="inlineStr">
        <is>
          <t>https://smartship.atlassian.net/browse/MDTTPU-2597</t>
        </is>
      </c>
      <c r="I9" s="92" t="inlineStr">
        <is>
          <t>Medium</t>
        </is>
      </c>
      <c r="J9" s="92" t="inlineStr">
        <is>
          <t>Sprint 4</t>
        </is>
      </c>
      <c r="K9" s="92" t="inlineStr">
        <is>
          <t>Release 18</t>
        </is>
      </c>
      <c r="L9" s="92" t="n">
        <v>5</v>
      </c>
    </row>
    <row r="10" ht="15" customHeight="1" s="93">
      <c r="A10" s="92" t="inlineStr">
        <is>
          <t>NEW-0306</t>
        </is>
      </c>
      <c r="B10" s="92" t="inlineStr">
        <is>
          <t>INT139 handling of coupons</t>
        </is>
      </c>
      <c r="C10" s="92" t="inlineStr">
        <is>
          <t>CR</t>
        </is>
      </c>
      <c r="D10" s="92" t="inlineStr">
        <is>
          <t>MyMSC</t>
        </is>
      </c>
      <c r="E10" s="92" t="inlineStr">
        <is>
          <t>B2CW</t>
        </is>
      </c>
      <c r="F10" s="92" t="inlineStr">
        <is>
          <t>DONE</t>
        </is>
      </c>
      <c r="G10" s="92" t="inlineStr">
        <is>
          <t>DTTP25-34471</t>
        </is>
      </c>
      <c r="H10" s="92" t="inlineStr">
        <is>
          <t>https://smartship.atlassian.net/browse/DTTP25-34471</t>
        </is>
      </c>
      <c r="I10" s="92" t="inlineStr">
        <is>
          <t>Medium</t>
        </is>
      </c>
      <c r="J10" s="92" t="inlineStr">
        <is>
          <t>Sprint 4</t>
        </is>
      </c>
      <c r="L10" s="92" t="n">
        <v>13</v>
      </c>
    </row>
    <row r="11" ht="15" customHeight="1" s="93">
      <c r="A11" s="92" t="inlineStr">
        <is>
          <t>NEW-0308</t>
        </is>
      </c>
      <c r="B11" s="92" t="inlineStr">
        <is>
          <t>Voyager Club - INT152 - Add Total Points per cruise</t>
        </is>
      </c>
      <c r="C11" s="92" t="inlineStr">
        <is>
          <t>CR</t>
        </is>
      </c>
      <c r="D11" s="92" t="inlineStr">
        <is>
          <t>MyMSC</t>
        </is>
      </c>
      <c r="E11" s="92" t="inlineStr">
        <is>
          <t>B2CW</t>
        </is>
      </c>
      <c r="F11" s="92" t="inlineStr">
        <is>
          <t>DONE</t>
        </is>
      </c>
      <c r="G11" s="92" t="inlineStr">
        <is>
          <t>DTTP25-32814</t>
        </is>
      </c>
      <c r="H11" s="92" t="inlineStr">
        <is>
          <t>https://smartship.atlassian.net/browse/DTTP25-32814</t>
        </is>
      </c>
      <c r="I11" s="92" t="inlineStr">
        <is>
          <t>Medium</t>
        </is>
      </c>
      <c r="J11" s="92" t="inlineStr">
        <is>
          <t>Sprint 4</t>
        </is>
      </c>
      <c r="K11" s="92" t="inlineStr">
        <is>
          <t>Release 12</t>
        </is>
      </c>
      <c r="L11" s="92" t="n">
        <v>2</v>
      </c>
    </row>
    <row r="12" ht="15" customHeight="1" s="93">
      <c r="A12" s="92" t="inlineStr">
        <is>
          <t>NEW-0309</t>
        </is>
      </c>
      <c r="B12" s="92" t="inlineStr">
        <is>
          <t>INT139 Add new field regarding coupon discount</t>
        </is>
      </c>
      <c r="C12" s="92" t="inlineStr">
        <is>
          <t>CR</t>
        </is>
      </c>
      <c r="D12" s="92" t="inlineStr">
        <is>
          <t>MyMSC</t>
        </is>
      </c>
      <c r="E12" s="92" t="inlineStr">
        <is>
          <t>B2CW</t>
        </is>
      </c>
      <c r="F12" s="92" t="inlineStr">
        <is>
          <t>DONE</t>
        </is>
      </c>
      <c r="G12" s="92" t="inlineStr">
        <is>
          <t>DTTP25-33595</t>
        </is>
      </c>
      <c r="H12" s="92" t="inlineStr">
        <is>
          <t>https://smartship.atlassian.net/browse/DTTP25-33595</t>
        </is>
      </c>
      <c r="I12" s="92" t="inlineStr">
        <is>
          <t>Medium</t>
        </is>
      </c>
      <c r="J12" s="92" t="inlineStr">
        <is>
          <t>Sprint 4</t>
        </is>
      </c>
      <c r="L12" s="92" t="n">
        <v>3</v>
      </c>
    </row>
    <row r="13" ht="15" customHeight="1" s="93">
      <c r="A13" s="92" t="inlineStr">
        <is>
          <t>NEW-0339</t>
        </is>
      </c>
      <c r="B13" s="92" t="inlineStr">
        <is>
          <t>CDP / DTS Post Booking - CR - Beverage/ Bundle Campaigns</t>
        </is>
      </c>
      <c r="C13" s="92" t="inlineStr">
        <is>
          <t>CR</t>
        </is>
      </c>
      <c r="D13" s="92" t="inlineStr">
        <is>
          <t>Backlog</t>
        </is>
      </c>
      <c r="E13" s="92" t="inlineStr">
        <is>
          <t>MA</t>
        </is>
      </c>
      <c r="F13" s="92" t="inlineStr">
        <is>
          <t>DONE</t>
        </is>
      </c>
      <c r="G13" s="92" t="inlineStr">
        <is>
          <t>DTTP25-34477</t>
        </is>
      </c>
      <c r="H13" s="92" t="inlineStr">
        <is>
          <t>https://smartship.atlassian.net/browse/DTTP25-34477</t>
        </is>
      </c>
      <c r="I13" s="92" t="inlineStr">
        <is>
          <t>Medium</t>
        </is>
      </c>
      <c r="J13" s="92" t="inlineStr">
        <is>
          <t>Sprint 4</t>
        </is>
      </c>
      <c r="K13" s="92" t="inlineStr">
        <is>
          <t>Release 10</t>
        </is>
      </c>
      <c r="L13" s="92" t="n">
        <v>5</v>
      </c>
    </row>
    <row r="14" ht="15" customHeight="1" s="93">
      <c r="A14" s="92" t="inlineStr">
        <is>
          <t>NEW-0382</t>
        </is>
      </c>
      <c r="B14" s="92" t="inlineStr">
        <is>
          <t>DTTP - MA - Integration between AJO and OBR/Shorex Platform/Catalog [ANALYSIS]_EA</t>
        </is>
      </c>
      <c r="C14" s="92" t="inlineStr">
        <is>
          <t>CR</t>
        </is>
      </c>
      <c r="D14" s="92" t="inlineStr">
        <is>
          <t>PI9</t>
        </is>
      </c>
      <c r="E14" s="92" t="inlineStr">
        <is>
          <t>MA</t>
        </is>
      </c>
      <c r="F14" s="92" t="inlineStr">
        <is>
          <t>DONE</t>
        </is>
      </c>
      <c r="G14" s="92" t="inlineStr">
        <is>
          <t>CRM2-5703</t>
        </is>
      </c>
      <c r="H14" s="92" t="inlineStr">
        <is>
          <t>https://smartship.atlassian.net/browse/CRM2-5703</t>
        </is>
      </c>
      <c r="I14" s="92" t="inlineStr">
        <is>
          <t>Medium</t>
        </is>
      </c>
      <c r="J14" s="92" t="inlineStr">
        <is>
          <t>Sprint 4</t>
        </is>
      </c>
    </row>
    <row r="15" ht="15" customHeight="1" s="93">
      <c r="A15" s="92" t="inlineStr">
        <is>
          <t>NEW-0099</t>
        </is>
      </c>
      <c r="B15" s="92" t="inlineStr">
        <is>
          <t>Verbal DNC</t>
        </is>
      </c>
      <c r="C15" s="92" t="inlineStr">
        <is>
          <t>CR</t>
        </is>
      </c>
      <c r="D15" s="92" t="inlineStr">
        <is>
          <t>US</t>
        </is>
      </c>
      <c r="E15" s="92" t="inlineStr">
        <is>
          <t>S&amp;S</t>
        </is>
      </c>
      <c r="F15" s="92" t="inlineStr">
        <is>
          <t>DONE</t>
        </is>
      </c>
      <c r="G15" s="92" t="inlineStr">
        <is>
          <t>MDTTPU-1452</t>
        </is>
      </c>
      <c r="H15" s="92" t="inlineStr">
        <is>
          <t>https://smartship.atlassian.net/browse/MDTTPU-1452</t>
        </is>
      </c>
      <c r="I15" s="92" t="inlineStr">
        <is>
          <t>Medium</t>
        </is>
      </c>
      <c r="J15" s="92" t="inlineStr">
        <is>
          <t>Sprint 3</t>
        </is>
      </c>
      <c r="K15" s="92" t="inlineStr">
        <is>
          <t>Release 18</t>
        </is>
      </c>
    </row>
    <row r="16" ht="15" customHeight="1" s="93">
      <c r="A16" s="92" t="inlineStr">
        <is>
          <t>NEW-0133</t>
        </is>
      </c>
      <c r="B16" s="92" t="inlineStr">
        <is>
          <t>Error mapping INT 140 - Promo no longer available</t>
        </is>
      </c>
      <c r="C16" s="92" t="inlineStr">
        <is>
          <t>CR</t>
        </is>
      </c>
      <c r="D16" s="92" t="inlineStr">
        <is>
          <t>MyMSC</t>
        </is>
      </c>
      <c r="E16" s="92" t="inlineStr">
        <is>
          <t>B2CW</t>
        </is>
      </c>
      <c r="F16" s="92" t="inlineStr">
        <is>
          <t>DONE</t>
        </is>
      </c>
      <c r="G16" s="92" t="inlineStr">
        <is>
          <t>DTTP25-31218</t>
        </is>
      </c>
      <c r="H16" s="92" t="inlineStr">
        <is>
          <t>https://smartship.atlassian.net/browse/DTTP25-31218</t>
        </is>
      </c>
      <c r="I16" s="92" t="inlineStr">
        <is>
          <t>Medium</t>
        </is>
      </c>
      <c r="J16" s="92" t="inlineStr">
        <is>
          <t>Sprint 3</t>
        </is>
      </c>
      <c r="K16" s="92" t="inlineStr">
        <is>
          <t>Release 12</t>
        </is>
      </c>
      <c r="L16" s="92" t="n">
        <v>3</v>
      </c>
    </row>
    <row r="17" ht="15" customHeight="1" s="93">
      <c r="A17" s="92" t="inlineStr">
        <is>
          <t>NEW-0239</t>
        </is>
      </c>
      <c r="B17" s="92" t="inlineStr">
        <is>
          <t>[EAINT] [CR] Missing market code PAPI</t>
        </is>
      </c>
      <c r="C17" s="92" t="inlineStr">
        <is>
          <t>Config</t>
        </is>
      </c>
      <c r="D17" s="92" t="inlineStr">
        <is>
          <t>US</t>
        </is>
      </c>
      <c r="E17" s="92" t="inlineStr">
        <is>
          <t>MA</t>
        </is>
      </c>
      <c r="F17" s="92" t="inlineStr">
        <is>
          <t>DONE</t>
        </is>
      </c>
      <c r="G17" s="92" t="inlineStr">
        <is>
          <t>MDTTPU-4055</t>
        </is>
      </c>
      <c r="H17" s="92" t="inlineStr">
        <is>
          <t>https://smartship.atlassian.net/browse/MDTTPU-4055</t>
        </is>
      </c>
      <c r="I17" s="92" t="inlineStr">
        <is>
          <t>Medium</t>
        </is>
      </c>
      <c r="J17" s="92" t="inlineStr">
        <is>
          <t>Sprint 3</t>
        </is>
      </c>
      <c r="K17" s="92" t="inlineStr">
        <is>
          <t>Release 18</t>
        </is>
      </c>
      <c r="L17" s="92" t="n">
        <v>3</v>
      </c>
    </row>
    <row r="18" ht="15" customHeight="1" s="93">
      <c r="A18" s="92" t="inlineStr">
        <is>
          <t>NEW-0282</t>
        </is>
      </c>
      <c r="B18" s="92" t="inlineStr">
        <is>
          <t>Light Login Flow for DEM Email</t>
        </is>
      </c>
      <c r="C18" s="92" t="inlineStr">
        <is>
          <t>CR</t>
        </is>
      </c>
      <c r="D18" s="92" t="inlineStr">
        <is>
          <t>MyMSC</t>
        </is>
      </c>
      <c r="E18" s="92" t="inlineStr">
        <is>
          <t>B2CW</t>
        </is>
      </c>
      <c r="F18" s="92" t="inlineStr">
        <is>
          <t>DONE</t>
        </is>
      </c>
      <c r="G18" s="92" t="inlineStr">
        <is>
          <t>DTTP25-14580</t>
        </is>
      </c>
      <c r="H18" s="92" t="inlineStr">
        <is>
          <t>https://smartship.atlassian.net/browse/DTTP25-14580</t>
        </is>
      </c>
      <c r="I18" s="92" t="inlineStr">
        <is>
          <t>Medium</t>
        </is>
      </c>
      <c r="J18" s="92" t="inlineStr">
        <is>
          <t>Sprint 3</t>
        </is>
      </c>
      <c r="L18" s="92" t="n">
        <v>8</v>
      </c>
    </row>
    <row r="19" ht="15" customHeight="1" s="93">
      <c r="A19" s="92" t="inlineStr">
        <is>
          <t>NEW-0286</t>
        </is>
      </c>
      <c r="B19" s="92" t="inlineStr">
        <is>
          <t>Error Management - Promotion no longer available – Change to INT 140</t>
        </is>
      </c>
      <c r="C19" s="92" t="inlineStr">
        <is>
          <t>CR</t>
        </is>
      </c>
      <c r="D19" s="92" t="inlineStr">
        <is>
          <t>MyMSC</t>
        </is>
      </c>
      <c r="E19" s="92" t="inlineStr">
        <is>
          <t>B2CW</t>
        </is>
      </c>
      <c r="F19" s="92" t="inlineStr">
        <is>
          <t>DONE</t>
        </is>
      </c>
      <c r="G19" s="92" t="inlineStr">
        <is>
          <t>DTTP25-31218</t>
        </is>
      </c>
      <c r="H19" s="92" t="inlineStr">
        <is>
          <t>https://smartship.atlassian.net/browse/DTTP25-31218</t>
        </is>
      </c>
      <c r="I19" s="92" t="inlineStr">
        <is>
          <t>Medium</t>
        </is>
      </c>
      <c r="J19" s="92" t="inlineStr">
        <is>
          <t>Sprint 3</t>
        </is>
      </c>
      <c r="L19" s="92" t="n">
        <v>3</v>
      </c>
    </row>
    <row r="20" ht="15" customHeight="1" s="93">
      <c r="A20" s="92" t="inlineStr">
        <is>
          <t>NEW-0337</t>
        </is>
      </c>
      <c r="B20" s="92" t="inlineStr">
        <is>
          <t>INT024.1 - Changes to accommodate DTS Post Booking</t>
        </is>
      </c>
      <c r="C20" s="92" t="inlineStr">
        <is>
          <t>CR</t>
        </is>
      </c>
      <c r="D20" s="92" t="inlineStr">
        <is>
          <t>Backlog</t>
        </is>
      </c>
      <c r="E20" s="92" t="inlineStr">
        <is>
          <t>MA</t>
        </is>
      </c>
      <c r="F20" s="92" t="inlineStr">
        <is>
          <t>DONE</t>
        </is>
      </c>
      <c r="G20" s="92" t="inlineStr">
        <is>
          <t>DTTP25-15335</t>
        </is>
      </c>
      <c r="H20" s="92" t="inlineStr">
        <is>
          <t>https://smartship.atlassian.net/browse/DTTP25-15335</t>
        </is>
      </c>
      <c r="I20" s="92" t="inlineStr">
        <is>
          <t>Medium</t>
        </is>
      </c>
      <c r="J20" s="92" t="inlineStr">
        <is>
          <t>Sprint 3</t>
        </is>
      </c>
      <c r="L20" s="92" t="n">
        <v>42</v>
      </c>
    </row>
    <row r="21" ht="15" customHeight="1" s="93">
      <c r="A21" s="92" t="inlineStr">
        <is>
          <t>NEW-0338</t>
        </is>
      </c>
      <c r="B21" s="97" t="inlineStr">
        <is>
          <t>CDP / DTS Post Booking
MuleSoft Scalability, Performance, Resilience Assessment</t>
        </is>
      </c>
      <c r="C21" s="92" t="inlineStr">
        <is>
          <t>Tech Task</t>
        </is>
      </c>
      <c r="D21" s="92" t="inlineStr">
        <is>
          <t>Backlog</t>
        </is>
      </c>
      <c r="E21" s="92" t="inlineStr">
        <is>
          <t>ALL</t>
        </is>
      </c>
      <c r="F21" s="92" t="inlineStr">
        <is>
          <t>DONE</t>
        </is>
      </c>
      <c r="G21" s="92" t="inlineStr">
        <is>
          <t>DTTP25-36961</t>
        </is>
      </c>
      <c r="H21" s="92" t="inlineStr">
        <is>
          <t>https://smartship.atlassian.net/browse/DTTP25-36961</t>
        </is>
      </c>
      <c r="I21" s="92" t="inlineStr">
        <is>
          <t>Medium</t>
        </is>
      </c>
      <c r="J21" s="92" t="inlineStr">
        <is>
          <t>Sprint 3</t>
        </is>
      </c>
      <c r="L21" s="92" t="n">
        <v>4</v>
      </c>
    </row>
    <row r="22" ht="15" customHeight="1" s="93">
      <c r="A22" s="92" t="inlineStr">
        <is>
          <t>NEW-0350</t>
        </is>
      </c>
      <c r="B22" s="92" t="inlineStr">
        <is>
          <t>INT 004.4 - Update to support Klarna payment method</t>
        </is>
      </c>
      <c r="C22" s="92" t="inlineStr">
        <is>
          <t>CR</t>
        </is>
      </c>
      <c r="D22" s="92" t="inlineStr">
        <is>
          <t>Growth</t>
        </is>
      </c>
      <c r="E22" s="92" t="inlineStr">
        <is>
          <t>B2CW</t>
        </is>
      </c>
      <c r="F22" s="92" t="inlineStr">
        <is>
          <t>DONE</t>
        </is>
      </c>
      <c r="G22" s="92" t="inlineStr">
        <is>
          <t>DTTP25-31069</t>
        </is>
      </c>
      <c r="H22" s="92" t="inlineStr">
        <is>
          <t>https://smartship.atlassian.net/browse/DTTP25-31069</t>
        </is>
      </c>
      <c r="I22" s="92" t="inlineStr">
        <is>
          <t>Medium</t>
        </is>
      </c>
      <c r="J22" s="92" t="inlineStr">
        <is>
          <t>Sprint 3</t>
        </is>
      </c>
      <c r="K22" s="92" t="inlineStr">
        <is>
          <t>Release 9</t>
        </is>
      </c>
      <c r="L22" s="92" t="n">
        <v>13</v>
      </c>
    </row>
    <row r="23" ht="15" customHeight="1" s="93">
      <c r="A23" s="92" t="inlineStr">
        <is>
          <t>NEW-0351</t>
        </is>
      </c>
      <c r="B23" s="92" t="inlineStr">
        <is>
          <t>Klarna - Itinerary cache - shared access</t>
        </is>
      </c>
      <c r="C23" s="92" t="inlineStr">
        <is>
          <t>CR</t>
        </is>
      </c>
      <c r="D23" s="92" t="inlineStr">
        <is>
          <t>Growth</t>
        </is>
      </c>
      <c r="E23" s="92" t="inlineStr">
        <is>
          <t>B2CW</t>
        </is>
      </c>
      <c r="F23" s="92" t="inlineStr">
        <is>
          <t>DONE</t>
        </is>
      </c>
      <c r="G23" s="92" t="inlineStr">
        <is>
          <t>DTTP25-32844</t>
        </is>
      </c>
      <c r="H23" s="92" t="inlineStr">
        <is>
          <t>https://smartship.atlassian.net/browse/DTTP25-32844</t>
        </is>
      </c>
      <c r="I23" s="92" t="inlineStr">
        <is>
          <t>Medium</t>
        </is>
      </c>
      <c r="J23" s="92" t="inlineStr">
        <is>
          <t>Sprint 3</t>
        </is>
      </c>
      <c r="L23" s="92" t="n">
        <v>5</v>
      </c>
    </row>
    <row r="24" ht="15" customHeight="1" s="93">
      <c r="A24" s="92" t="inlineStr">
        <is>
          <t>NEW-0419</t>
        </is>
      </c>
      <c r="B24" s="92" t="inlineStr">
        <is>
          <t>INT004.4 - Enable Klarna Webhook URL (dtt-payment-sapi)</t>
        </is>
      </c>
      <c r="C24" s="92" t="inlineStr">
        <is>
          <t>New</t>
        </is>
      </c>
      <c r="D24" s="92" t="inlineStr">
        <is>
          <t>Growth</t>
        </is>
      </c>
      <c r="E24" s="92" t="inlineStr">
        <is>
          <t>B2CW</t>
        </is>
      </c>
      <c r="F24" s="92" t="inlineStr">
        <is>
          <t>DONE</t>
        </is>
      </c>
      <c r="G24" s="92" t="inlineStr">
        <is>
          <t>DTTP25-38109</t>
        </is>
      </c>
      <c r="H24" s="92" t="inlineStr">
        <is>
          <t>https://smartship.atlassian.net/browse/DTTP25-38109</t>
        </is>
      </c>
      <c r="I24" s="92" t="inlineStr">
        <is>
          <t>Medium</t>
        </is>
      </c>
      <c r="J24" s="92" t="inlineStr">
        <is>
          <t>Sprint 3</t>
        </is>
      </c>
      <c r="K24" s="92" t="inlineStr">
        <is>
          <t>Release 15</t>
        </is>
      </c>
    </row>
    <row r="25" ht="15" customHeight="1" s="93">
      <c r="A25" s="92" t="inlineStr">
        <is>
          <t>NEW-0423</t>
        </is>
      </c>
      <c r="B25" s="92" t="inlineStr">
        <is>
          <t>INT 007 - Update to support Klarna payment method</t>
        </is>
      </c>
      <c r="C25" s="92" t="inlineStr">
        <is>
          <t>CR</t>
        </is>
      </c>
      <c r="D25" s="92" t="inlineStr">
        <is>
          <t>Growth</t>
        </is>
      </c>
      <c r="E25" s="92" t="inlineStr">
        <is>
          <t>B2CW</t>
        </is>
      </c>
      <c r="F25" s="92" t="inlineStr">
        <is>
          <t>DONE</t>
        </is>
      </c>
      <c r="G25" s="92" t="inlineStr">
        <is>
          <t>DTTP25-31070</t>
        </is>
      </c>
      <c r="H25" s="92" t="inlineStr">
        <is>
          <t>https://smartship.atlassian.net/browse/DTTP25-31070</t>
        </is>
      </c>
      <c r="I25" s="92" t="inlineStr">
        <is>
          <t>Medium</t>
        </is>
      </c>
      <c r="J25" s="92" t="inlineStr">
        <is>
          <t>Sprint 3</t>
        </is>
      </c>
      <c r="K25" s="92" t="inlineStr">
        <is>
          <t>Release 9</t>
        </is>
      </c>
      <c r="L25" s="92" t="n">
        <v>3</v>
      </c>
    </row>
    <row r="26" ht="15" customHeight="1" s="93">
      <c r="A26" s="92" t="inlineStr">
        <is>
          <t>NEW-0424</t>
        </is>
      </c>
      <c r="B26" s="92" t="inlineStr">
        <is>
          <t>INT100 - BookingProfileOrchestration (New Interface, DTS Post Booking)</t>
        </is>
      </c>
      <c r="C26" s="92" t="inlineStr">
        <is>
          <t>New</t>
        </is>
      </c>
      <c r="D26" s="92" t="inlineStr">
        <is>
          <t>Backlog</t>
        </is>
      </c>
      <c r="E26" s="92" t="inlineStr">
        <is>
          <t>MA</t>
        </is>
      </c>
      <c r="F26" s="92" t="inlineStr">
        <is>
          <t>DONE</t>
        </is>
      </c>
      <c r="G26" s="92" t="inlineStr">
        <is>
          <t>DTTP25-15383</t>
        </is>
      </c>
      <c r="H26" s="92" t="inlineStr">
        <is>
          <t>https://smartship.atlassian.net/browse/DTTP25-15383</t>
        </is>
      </c>
      <c r="I26" s="92" t="inlineStr">
        <is>
          <t>Medium</t>
        </is>
      </c>
      <c r="J26" s="92" t="inlineStr">
        <is>
          <t>Sprint 3</t>
        </is>
      </c>
    </row>
    <row r="27" ht="15" customHeight="1" s="93">
      <c r="A27" s="92" t="inlineStr">
        <is>
          <t>NEW-0425</t>
        </is>
      </c>
      <c r="B27" s="92" t="inlineStr">
        <is>
          <t>INT025 - BookingEventOrchestration (New Interface, DTS Post Booking)</t>
        </is>
      </c>
      <c r="C27" s="92" t="inlineStr">
        <is>
          <t>New</t>
        </is>
      </c>
      <c r="D27" s="92" t="inlineStr">
        <is>
          <t>Backlog</t>
        </is>
      </c>
      <c r="E27" s="92" t="inlineStr">
        <is>
          <t>MA</t>
        </is>
      </c>
      <c r="F27" s="92" t="inlineStr">
        <is>
          <t>DONE</t>
        </is>
      </c>
      <c r="G27" s="92" t="inlineStr">
        <is>
          <t>DTTP25-15384</t>
        </is>
      </c>
      <c r="H27" s="92" t="inlineStr">
        <is>
          <t>https://smartship.atlassian.net/browse/DTTP25-15384</t>
        </is>
      </c>
      <c r="I27" s="92" t="inlineStr">
        <is>
          <t>Medium</t>
        </is>
      </c>
      <c r="J27" s="92" t="inlineStr">
        <is>
          <t>Sprint 3</t>
        </is>
      </c>
    </row>
    <row r="28" ht="15" customHeight="1" s="93">
      <c r="A28" s="92" t="inlineStr">
        <is>
          <t>NEW-0093</t>
        </is>
      </c>
      <c r="B28" s="92" t="inlineStr">
        <is>
          <t>[CR] [EAINT] INT069: Marketing SAPI / CRM EAPI updates to support routing to CDP based on market code</t>
        </is>
      </c>
      <c r="C28" s="92" t="inlineStr">
        <is>
          <t>CR</t>
        </is>
      </c>
      <c r="D28" s="92" t="inlineStr">
        <is>
          <t>US</t>
        </is>
      </c>
      <c r="E28" s="92" t="inlineStr">
        <is>
          <t>MA</t>
        </is>
      </c>
      <c r="F28" s="92" t="inlineStr">
        <is>
          <t>DONE</t>
        </is>
      </c>
      <c r="G28" s="92" t="inlineStr">
        <is>
          <t>MDTTPU-1248</t>
        </is>
      </c>
      <c r="H28" s="92" t="inlineStr">
        <is>
          <t>https://smartship.atlassian.net/browse/MDTTPU-1248</t>
        </is>
      </c>
      <c r="I28" s="92" t="inlineStr">
        <is>
          <t>Medium</t>
        </is>
      </c>
      <c r="J28" s="92" t="inlineStr">
        <is>
          <t>Sprint 2</t>
        </is>
      </c>
      <c r="K28" s="92" t="inlineStr">
        <is>
          <t>Release 19</t>
        </is>
      </c>
      <c r="L28" s="92" t="n">
        <v>2</v>
      </c>
    </row>
    <row r="29" ht="15" customHeight="1" s="93">
      <c r="A29" s="92" t="inlineStr">
        <is>
          <t>NEW-0094</t>
        </is>
      </c>
      <c r="B29" s="92" t="inlineStr">
        <is>
          <t>[CR] [EAINT] INT077: Dual CDP (US and HQ) Loading with Retry Logic</t>
        </is>
      </c>
      <c r="C29" s="92" t="inlineStr">
        <is>
          <t>CR</t>
        </is>
      </c>
      <c r="D29" s="92" t="inlineStr">
        <is>
          <t>US</t>
        </is>
      </c>
      <c r="E29" s="92" t="inlineStr">
        <is>
          <t>MA</t>
        </is>
      </c>
      <c r="F29" s="92" t="inlineStr">
        <is>
          <t>DONE</t>
        </is>
      </c>
      <c r="G29" s="92" t="inlineStr">
        <is>
          <t>MDTTPU-1255</t>
        </is>
      </c>
      <c r="H29" s="92" t="inlineStr">
        <is>
          <t>https://smartship.atlassian.net/browse/MDTTPU-1255</t>
        </is>
      </c>
      <c r="I29" s="92" t="inlineStr">
        <is>
          <t>Medium</t>
        </is>
      </c>
      <c r="J29" s="92" t="inlineStr">
        <is>
          <t>Sprint 2</t>
        </is>
      </c>
      <c r="K29" s="92" t="inlineStr">
        <is>
          <t>Release 19</t>
        </is>
      </c>
      <c r="L29" s="92" t="n">
        <v>3</v>
      </c>
    </row>
    <row r="30" ht="15" customHeight="1" s="93">
      <c r="A30" s="92" t="inlineStr">
        <is>
          <t>NEW-0236</t>
        </is>
      </c>
      <c r="B30" s="92" t="inlineStr">
        <is>
          <t>GBP Enablement</t>
        </is>
      </c>
      <c r="C30" s="92" t="inlineStr">
        <is>
          <t>CR</t>
        </is>
      </c>
      <c r="D30" s="92" t="inlineStr">
        <is>
          <t>PP</t>
        </is>
      </c>
      <c r="E30" s="92" t="inlineStr">
        <is>
          <t>B2CW</t>
        </is>
      </c>
      <c r="F30" s="92" t="inlineStr">
        <is>
          <t>DONE</t>
        </is>
      </c>
      <c r="G30" s="92" t="inlineStr">
        <is>
          <t>FFPP-348</t>
        </is>
      </c>
      <c r="H30" s="92" t="inlineStr">
        <is>
          <t>https://smartship.atlassian.net/browse/FFPP-348</t>
        </is>
      </c>
      <c r="I30" s="92" t="inlineStr">
        <is>
          <t>Medium</t>
        </is>
      </c>
      <c r="J30" s="92" t="inlineStr">
        <is>
          <t>Sprint 2</t>
        </is>
      </c>
      <c r="L30" s="92" t="n">
        <v>2</v>
      </c>
    </row>
    <row r="31" ht="15" customHeight="1" s="93">
      <c r="A31" s="92" t="inlineStr">
        <is>
          <t>NEW-0241</t>
        </is>
      </c>
      <c r="B31" s="92" t="inlineStr">
        <is>
          <t>PVC - INT069 CR</t>
        </is>
      </c>
      <c r="C31" s="92" t="inlineStr">
        <is>
          <t>CR</t>
        </is>
      </c>
      <c r="D31" s="92" t="inlineStr">
        <is>
          <t>US</t>
        </is>
      </c>
      <c r="E31" s="92" t="inlineStr">
        <is>
          <t>S&amp;S</t>
        </is>
      </c>
      <c r="F31" s="92" t="inlineStr">
        <is>
          <t>DONE</t>
        </is>
      </c>
      <c r="G31" s="92" t="inlineStr">
        <is>
          <t>MDTTPU-1450</t>
        </is>
      </c>
      <c r="H31" s="92" t="inlineStr">
        <is>
          <t>https://smartship.atlassian.net/browse/MDTTPU-1450</t>
        </is>
      </c>
      <c r="I31" s="92" t="inlineStr">
        <is>
          <t>Medium</t>
        </is>
      </c>
      <c r="J31" s="92" t="inlineStr">
        <is>
          <t>Sprint 2</t>
        </is>
      </c>
      <c r="K31" s="92" t="inlineStr">
        <is>
          <t>Release 19</t>
        </is>
      </c>
      <c r="L31" s="92" t="n">
        <v>3</v>
      </c>
    </row>
    <row r="32" ht="15" customHeight="1" s="93">
      <c r="A32" s="92" t="inlineStr">
        <is>
          <t>NEW-0245</t>
        </is>
      </c>
      <c r="B32" s="92" t="inlineStr">
        <is>
          <t>Do not Call INT044, INT014, INT500</t>
        </is>
      </c>
      <c r="C32" s="92" t="inlineStr">
        <is>
          <t>CR</t>
        </is>
      </c>
      <c r="D32" s="92" t="inlineStr">
        <is>
          <t>US</t>
        </is>
      </c>
      <c r="E32" s="92" t="inlineStr">
        <is>
          <t>S&amp;S</t>
        </is>
      </c>
      <c r="F32" s="92" t="inlineStr">
        <is>
          <t>DONE</t>
        </is>
      </c>
      <c r="G32" s="92" t="inlineStr">
        <is>
          <t>MDTTPU-1452</t>
        </is>
      </c>
      <c r="H32" s="92" t="inlineStr">
        <is>
          <t>https://smartship.atlassian.net/browse/MDTTPU-1452</t>
        </is>
      </c>
      <c r="I32" s="92" t="inlineStr">
        <is>
          <t>Medium</t>
        </is>
      </c>
      <c r="J32" s="92" t="inlineStr">
        <is>
          <t>Sprint 2</t>
        </is>
      </c>
      <c r="K32" s="92" t="inlineStr">
        <is>
          <t>Release 19</t>
        </is>
      </c>
      <c r="L32" s="92" t="n">
        <v>3</v>
      </c>
    </row>
    <row r="33" ht="15" customHeight="1" s="93">
      <c r="A33" s="92" t="inlineStr">
        <is>
          <t>NEW-0285</t>
        </is>
      </c>
      <c r="B33" s="92" t="inlineStr">
        <is>
          <t>Update Excursions node in INT140 request</t>
        </is>
      </c>
      <c r="C33" s="92" t="inlineStr">
        <is>
          <t>CR</t>
        </is>
      </c>
      <c r="D33" s="92" t="inlineStr">
        <is>
          <t>MyMSC</t>
        </is>
      </c>
      <c r="E33" s="92" t="inlineStr">
        <is>
          <t>B2CW</t>
        </is>
      </c>
      <c r="F33" s="92" t="inlineStr">
        <is>
          <t>DONE</t>
        </is>
      </c>
      <c r="G33" s="92" t="inlineStr">
        <is>
          <t>DTTP25-29370</t>
        </is>
      </c>
      <c r="H33" s="92" t="inlineStr">
        <is>
          <t>https://smartship.atlassian.net/browse/DTTP25-29370</t>
        </is>
      </c>
      <c r="I33" s="92" t="inlineStr">
        <is>
          <t>Medium</t>
        </is>
      </c>
      <c r="J33" s="92" t="inlineStr">
        <is>
          <t>Sprint 2</t>
        </is>
      </c>
      <c r="K33" s="92" t="inlineStr">
        <is>
          <t>Release 12</t>
        </is>
      </c>
      <c r="L33" s="92" t="n">
        <v>3</v>
      </c>
    </row>
    <row r="34" ht="15" customHeight="1" s="93">
      <c r="A34" s="92" t="inlineStr">
        <is>
          <t>NEW-0330</t>
        </is>
      </c>
      <c r="B34" s="92" t="inlineStr">
        <is>
          <t>Emergent Markets (PL-TR-MT) APIs Configuration - CHAIN1/2, Prod</t>
        </is>
      </c>
      <c r="C34" s="92" t="inlineStr">
        <is>
          <t>Config</t>
        </is>
      </c>
      <c r="D34" s="92" t="inlineStr">
        <is>
          <t>MVP Rollout</t>
        </is>
      </c>
      <c r="E34" s="92" t="inlineStr">
        <is>
          <t>B2CW</t>
        </is>
      </c>
      <c r="F34" s="92" t="inlineStr">
        <is>
          <t>DONE</t>
        </is>
      </c>
      <c r="G34" s="92" t="inlineStr">
        <is>
          <t>DE-39</t>
        </is>
      </c>
      <c r="H34" s="92" t="inlineStr">
        <is>
          <t>https://smartship.atlassian.net/browse/DE-39</t>
        </is>
      </c>
      <c r="I34" s="92" t="inlineStr">
        <is>
          <t>Medium</t>
        </is>
      </c>
      <c r="J34" s="92" t="inlineStr">
        <is>
          <t>Sprint 2</t>
        </is>
      </c>
      <c r="L34" s="92" t="n">
        <v>8</v>
      </c>
    </row>
    <row r="35" ht="15" customHeight="1" s="93">
      <c r="A35" s="92" t="inlineStr">
        <is>
          <t>NEW-0331</t>
        </is>
      </c>
      <c r="B35" s="92" t="inlineStr">
        <is>
          <t>Accessibility Form - "Transfer between checking and boarding gate" new field CR</t>
        </is>
      </c>
      <c r="C35" s="92" t="inlineStr">
        <is>
          <t>CR</t>
        </is>
      </c>
      <c r="D35" s="92" t="inlineStr">
        <is>
          <t>MVP Rollout</t>
        </is>
      </c>
      <c r="E35" s="92" t="inlineStr">
        <is>
          <t>B2CW</t>
        </is>
      </c>
      <c r="F35" s="92" t="inlineStr">
        <is>
          <t>DONE</t>
        </is>
      </c>
      <c r="G35" s="92" t="inlineStr">
        <is>
          <t>DTTP25-31264</t>
        </is>
      </c>
      <c r="H35" s="92" t="inlineStr">
        <is>
          <t>https://smartship.atlassian.net/browse/DTTP25-31264</t>
        </is>
      </c>
      <c r="I35" s="92" t="inlineStr">
        <is>
          <t>Medium</t>
        </is>
      </c>
      <c r="J35" s="92" t="inlineStr">
        <is>
          <t>Sprint 2</t>
        </is>
      </c>
      <c r="L35" s="92" t="n">
        <v>3</v>
      </c>
    </row>
    <row r="36" ht="15" customHeight="1" s="93">
      <c r="A36" s="92" t="inlineStr">
        <is>
          <t>NEW-0374</t>
        </is>
      </c>
      <c r="B36" s="92" t="inlineStr">
        <is>
          <t>[Load Test] Prepare new environement for load testing activities</t>
        </is>
      </c>
      <c r="C36" s="92" t="inlineStr">
        <is>
          <t>Tech Task</t>
        </is>
      </c>
      <c r="D36" s="92" t="inlineStr">
        <is>
          <t>Backlog / Tech Enh</t>
        </is>
      </c>
      <c r="E36" s="92" t="inlineStr">
        <is>
          <t>ALL</t>
        </is>
      </c>
      <c r="F36" s="92" t="inlineStr">
        <is>
          <t>DONE</t>
        </is>
      </c>
      <c r="G36" s="92" t="inlineStr">
        <is>
          <t>DTTP25-32150</t>
        </is>
      </c>
      <c r="H36" s="92" t="inlineStr">
        <is>
          <t>https://smartship.atlassian.net/browse/DTTP25-32150</t>
        </is>
      </c>
      <c r="I36" s="92" t="inlineStr">
        <is>
          <t>Medium</t>
        </is>
      </c>
      <c r="J36" s="92" t="inlineStr">
        <is>
          <t>Sprint 2</t>
        </is>
      </c>
      <c r="L36" s="92" t="n">
        <v>21</v>
      </c>
    </row>
    <row r="37" ht="15" customHeight="1" s="93">
      <c r="A37" s="92" t="inlineStr">
        <is>
          <t>NEW-0383</t>
        </is>
      </c>
      <c r="B37" s="92" t="inlineStr">
        <is>
          <t>DTTP - MA - B2B2C App Check-in On Demand (MSC Book)_EA</t>
        </is>
      </c>
      <c r="C37" s="92" t="inlineStr">
        <is>
          <t>CR</t>
        </is>
      </c>
      <c r="D37" s="92" t="inlineStr">
        <is>
          <t>PI9</t>
        </is>
      </c>
      <c r="E37" s="92" t="inlineStr">
        <is>
          <t>MA</t>
        </is>
      </c>
      <c r="F37" s="92" t="inlineStr">
        <is>
          <t>DONE</t>
        </is>
      </c>
      <c r="G37" s="92" t="inlineStr">
        <is>
          <t>EA-1124</t>
        </is>
      </c>
      <c r="H37" s="92" t="inlineStr">
        <is>
          <t>https://smartship.atlassian.net/browse/EA-1124</t>
        </is>
      </c>
      <c r="I37" s="92" t="inlineStr">
        <is>
          <t>Medium</t>
        </is>
      </c>
      <c r="J37" s="92" t="inlineStr">
        <is>
          <t>Sprint 2</t>
        </is>
      </c>
      <c r="K37" s="92" t="inlineStr">
        <is>
          <t>Release 15</t>
        </is>
      </c>
      <c r="L37" s="92" t="n">
        <v>8</v>
      </c>
    </row>
    <row r="38" ht="15" customHeight="1" s="93">
      <c r="A38" s="92" t="inlineStr">
        <is>
          <t>NEW-0090</t>
        </is>
      </c>
      <c r="B38" s="92" t="inlineStr">
        <is>
          <t>API Configurations for US market</t>
        </is>
      </c>
      <c r="C38" s="92" t="inlineStr">
        <is>
          <t>Config</t>
        </is>
      </c>
      <c r="D38" s="92" t="inlineStr">
        <is>
          <t>US</t>
        </is>
      </c>
      <c r="E38" s="92" t="inlineStr">
        <is>
          <t>ALL</t>
        </is>
      </c>
      <c r="F38" s="92" t="inlineStr">
        <is>
          <t>DONE</t>
        </is>
      </c>
      <c r="G38" s="92" t="inlineStr">
        <is>
          <t>MDTTPU-1291</t>
        </is>
      </c>
      <c r="H38" s="92" t="inlineStr">
        <is>
          <t>https://smartship.atlassian.net/browse/MDTTPU-1291</t>
        </is>
      </c>
      <c r="I38" s="92" t="inlineStr">
        <is>
          <t>Medium</t>
        </is>
      </c>
      <c r="J38" s="92" t="inlineStr">
        <is>
          <t>Sprint 1</t>
        </is>
      </c>
      <c r="K38" s="92" t="inlineStr">
        <is>
          <t>Release 18</t>
        </is>
      </c>
      <c r="L38" s="92" t="n">
        <v>8</v>
      </c>
    </row>
    <row r="39" ht="15" customHeight="1" s="93">
      <c r="A39" s="92" t="inlineStr">
        <is>
          <t>NEW-0235</t>
        </is>
      </c>
      <c r="B39" s="92" t="inlineStr">
        <is>
          <t>Phase 1 Payment Auth CR</t>
        </is>
      </c>
      <c r="C39" s="92" t="inlineStr">
        <is>
          <t>CR</t>
        </is>
      </c>
      <c r="D39" s="92" t="inlineStr">
        <is>
          <t>PP</t>
        </is>
      </c>
      <c r="E39" s="92" t="inlineStr">
        <is>
          <t>B2CW</t>
        </is>
      </c>
      <c r="F39" s="92" t="inlineStr">
        <is>
          <t>DONE</t>
        </is>
      </c>
      <c r="G39" s="92" t="inlineStr">
        <is>
          <t>FFPP-337</t>
        </is>
      </c>
      <c r="H39" s="92" t="inlineStr">
        <is>
          <t>https://smartship.atlassian.net/browse/FFPP-337</t>
        </is>
      </c>
      <c r="I39" s="92" t="inlineStr">
        <is>
          <t>Medium</t>
        </is>
      </c>
      <c r="J39" s="92" t="inlineStr">
        <is>
          <t>Sprint 1</t>
        </is>
      </c>
      <c r="K39" s="92" t="inlineStr">
        <is>
          <t>Release 5B</t>
        </is>
      </c>
      <c r="L39" s="92" t="n">
        <v>21</v>
      </c>
    </row>
    <row r="40" ht="15" customHeight="1" s="93">
      <c r="A40" s="92" t="inlineStr">
        <is>
          <t>NEW-0237</t>
        </is>
      </c>
      <c r="B40" s="92" t="inlineStr">
        <is>
          <t>US configurations  - Chain 1 / Chain 2</t>
        </is>
      </c>
      <c r="C40" s="92" t="inlineStr">
        <is>
          <t>Config</t>
        </is>
      </c>
      <c r="D40" s="92" t="inlineStr">
        <is>
          <t>US</t>
        </is>
      </c>
      <c r="E40" s="92" t="inlineStr">
        <is>
          <t>B2CW</t>
        </is>
      </c>
      <c r="F40" s="92" t="inlineStr">
        <is>
          <t>DONE</t>
        </is>
      </c>
      <c r="G40" s="92" t="inlineStr">
        <is>
          <t>MDTTPU-1291</t>
        </is>
      </c>
      <c r="H40" s="92" t="inlineStr">
        <is>
          <t>https://smartship.atlassian.net/browse/MDTTPU-1291</t>
        </is>
      </c>
      <c r="I40" s="92" t="inlineStr">
        <is>
          <t>Medium</t>
        </is>
      </c>
      <c r="J40" s="92" t="inlineStr">
        <is>
          <t>Sprint 1</t>
        </is>
      </c>
      <c r="K40" s="92" t="inlineStr">
        <is>
          <t>Release 19</t>
        </is>
      </c>
      <c r="L40" s="92" t="n">
        <v>8</v>
      </c>
    </row>
    <row r="41" ht="15" customHeight="1" s="93">
      <c r="A41" s="92" t="inlineStr">
        <is>
          <t>NEW-0238</t>
        </is>
      </c>
      <c r="B41" s="92" t="inlineStr">
        <is>
          <t>CDP Sandbox Support for US</t>
        </is>
      </c>
      <c r="C41" s="92" t="inlineStr">
        <is>
          <t>Config</t>
        </is>
      </c>
      <c r="D41" s="92" t="inlineStr">
        <is>
          <t>US</t>
        </is>
      </c>
      <c r="E41" s="92" t="inlineStr">
        <is>
          <t>MA</t>
        </is>
      </c>
      <c r="F41" s="92" t="inlineStr">
        <is>
          <t>DONE</t>
        </is>
      </c>
      <c r="G41" s="92" t="inlineStr">
        <is>
          <t>MDTTPU-1285</t>
        </is>
      </c>
      <c r="H41" s="92" t="inlineStr">
        <is>
          <t>https://smartship.atlassian.net/browse/MDTTPU-1285</t>
        </is>
      </c>
      <c r="I41" s="92" t="inlineStr">
        <is>
          <t>Medium</t>
        </is>
      </c>
      <c r="J41" s="92" t="inlineStr">
        <is>
          <t>Sprint 1</t>
        </is>
      </c>
      <c r="K41" s="92" t="inlineStr">
        <is>
          <t>Release 19</t>
        </is>
      </c>
      <c r="L41" s="92" t="n">
        <v>3</v>
      </c>
    </row>
    <row r="42" ht="15" customHeight="1" s="93">
      <c r="A42" s="92" t="inlineStr">
        <is>
          <t>NEW-0329</t>
        </is>
      </c>
      <c r="B42" s="92" t="inlineStr">
        <is>
          <t>LATAM Configurations - Chain1 / Chain 2 / Prod</t>
        </is>
      </c>
      <c r="C42" s="92" t="inlineStr">
        <is>
          <t>Config</t>
        </is>
      </c>
      <c r="D42" s="92" t="inlineStr">
        <is>
          <t>MVP Rollout</t>
        </is>
      </c>
      <c r="E42" s="92" t="inlineStr">
        <is>
          <t>B2CW</t>
        </is>
      </c>
      <c r="F42" s="92" t="inlineStr">
        <is>
          <t>DONE</t>
        </is>
      </c>
      <c r="G42" s="92" t="inlineStr">
        <is>
          <t>DTTP25-25776</t>
        </is>
      </c>
      <c r="H42" s="92" t="inlineStr">
        <is>
          <t>https://smartship.atlassian.net/browse/DTTP25-25776</t>
        </is>
      </c>
      <c r="I42" s="92" t="inlineStr">
        <is>
          <t>Medium</t>
        </is>
      </c>
      <c r="J42" s="92" t="inlineStr">
        <is>
          <t>Sprint 1</t>
        </is>
      </c>
      <c r="K42" s="92" t="inlineStr">
        <is>
          <t>Release 5A</t>
        </is>
      </c>
      <c r="L42" s="92" t="n">
        <v>7</v>
      </c>
    </row>
    <row r="43" ht="15" customHeight="1" s="93">
      <c r="A43" s="92" t="inlineStr">
        <is>
          <t>NEW-0336</t>
        </is>
      </c>
      <c r="B43" s="92" t="inlineStr">
        <is>
          <t>Consent Management</t>
        </is>
      </c>
      <c r="C43" s="92" t="inlineStr">
        <is>
          <t>CR</t>
        </is>
      </c>
      <c r="D43" s="92" t="inlineStr">
        <is>
          <t>Backlog</t>
        </is>
      </c>
      <c r="E43" s="92" t="inlineStr">
        <is>
          <t>B2CW</t>
        </is>
      </c>
      <c r="F43" s="92" t="inlineStr">
        <is>
          <t>DONE</t>
        </is>
      </c>
      <c r="G43" s="92" t="inlineStr">
        <is>
          <t>DTTP25-28557</t>
        </is>
      </c>
      <c r="H43" s="92" t="inlineStr">
        <is>
          <t>https://smartship.atlassian.net/browse/DTTP25-28557</t>
        </is>
      </c>
      <c r="I43" s="92" t="inlineStr">
        <is>
          <t>Medium</t>
        </is>
      </c>
      <c r="J43" s="92" t="inlineStr">
        <is>
          <t>Sprint 1</t>
        </is>
      </c>
      <c r="K43" s="92" t="inlineStr">
        <is>
          <t>Release 7</t>
        </is>
      </c>
      <c r="L43" s="92" t="n">
        <v>23</v>
      </c>
    </row>
    <row r="44" ht="15" customHeight="1" s="93">
      <c r="A44" s="92" t="inlineStr">
        <is>
          <t>NEW-0372</t>
        </is>
      </c>
      <c r="B44" s="92" t="inlineStr">
        <is>
          <t>Booking Funnel - Market Segregation</t>
        </is>
      </c>
      <c r="C44" s="92" t="inlineStr">
        <is>
          <t>Tech Task</t>
        </is>
      </c>
      <c r="D44" s="92" t="inlineStr">
        <is>
          <t>Backlog / Tech Enh</t>
        </is>
      </c>
      <c r="E44" s="92" t="inlineStr">
        <is>
          <t>ALL</t>
        </is>
      </c>
      <c r="F44" s="92" t="inlineStr">
        <is>
          <t>DONE</t>
        </is>
      </c>
      <c r="G44" s="92" t="inlineStr">
        <is>
          <t>DTTP25-27361</t>
        </is>
      </c>
      <c r="H44" s="92" t="inlineStr">
        <is>
          <t>https://smartship.atlassian.net/browse/DTTP25-27361</t>
        </is>
      </c>
      <c r="I44" s="92" t="inlineStr">
        <is>
          <t>Medium</t>
        </is>
      </c>
      <c r="J44" s="92" t="inlineStr">
        <is>
          <t>Sprint 1</t>
        </is>
      </c>
      <c r="L44" s="92" t="n">
        <v>16</v>
      </c>
    </row>
    <row r="45" ht="15" customHeight="1" s="93">
      <c r="A45" s="92" t="inlineStr">
        <is>
          <t>NEW-0379</t>
        </is>
      </c>
      <c r="B45" s="92" t="inlineStr">
        <is>
          <t>Attentive Marketo CR</t>
        </is>
      </c>
      <c r="C45" s="92" t="inlineStr">
        <is>
          <t>CR</t>
        </is>
      </c>
      <c r="D45" s="92" t="inlineStr">
        <is>
          <t>PI9</t>
        </is>
      </c>
      <c r="E45" s="92" t="inlineStr">
        <is>
          <t>MA</t>
        </is>
      </c>
      <c r="F45" s="92" t="inlineStr">
        <is>
          <t>DONE</t>
        </is>
      </c>
      <c r="G45" s="92" t="inlineStr">
        <is>
          <t>EA-1097</t>
        </is>
      </c>
      <c r="H45" s="92" t="inlineStr">
        <is>
          <t>https://smartship.atlassian.net/browse/EA-1097</t>
        </is>
      </c>
      <c r="I45" s="92" t="inlineStr">
        <is>
          <t>Medium</t>
        </is>
      </c>
      <c r="J45" s="92" t="inlineStr">
        <is>
          <t>Sprint 1</t>
        </is>
      </c>
      <c r="L45" s="92" t="n">
        <v>8</v>
      </c>
    </row>
    <row r="46" ht="15" customHeight="1" s="93">
      <c r="A46" s="92" t="inlineStr">
        <is>
          <t>NEW-0381</t>
        </is>
      </c>
      <c r="B46" s="92" t="inlineStr">
        <is>
          <t>ALT Text - Enhancement</t>
        </is>
      </c>
      <c r="C46" s="92" t="inlineStr">
        <is>
          <t>CR</t>
        </is>
      </c>
      <c r="D46" s="92" t="inlineStr">
        <is>
          <t>PI9</t>
        </is>
      </c>
      <c r="E46" s="92" t="inlineStr">
        <is>
          <t>B2CW</t>
        </is>
      </c>
      <c r="F46" s="92" t="inlineStr">
        <is>
          <t>DONE</t>
        </is>
      </c>
      <c r="G46" s="92" t="inlineStr">
        <is>
          <t>EA-1154</t>
        </is>
      </c>
      <c r="H46" s="92" t="inlineStr">
        <is>
          <t>https://smartship.atlassian.net/browse/EA-1154</t>
        </is>
      </c>
      <c r="I46" s="92" t="inlineStr">
        <is>
          <t>Medium</t>
        </is>
      </c>
      <c r="J46" s="92" t="inlineStr">
        <is>
          <t>Sprint 1</t>
        </is>
      </c>
      <c r="L46" s="92" t="n">
        <v>2</v>
      </c>
    </row>
    <row r="47" ht="15" customHeight="1" s="93">
      <c r="A47" s="92" t="inlineStr">
        <is>
          <t>NEW-0391</t>
        </is>
      </c>
      <c r="B47" s="92" t="inlineStr">
        <is>
          <t>Rosetta Stone</t>
        </is>
      </c>
      <c r="C47" s="92" t="inlineStr">
        <is>
          <t>New</t>
        </is>
      </c>
      <c r="D47" s="92" t="inlineStr">
        <is>
          <t>HR</t>
        </is>
      </c>
      <c r="E47" s="92" t="inlineStr">
        <is>
          <t>ALL</t>
        </is>
      </c>
      <c r="F47" s="92" t="inlineStr">
        <is>
          <t>DONE</t>
        </is>
      </c>
      <c r="G47" s="92" t="inlineStr">
        <is>
          <t>EA-1130</t>
        </is>
      </c>
      <c r="H47" s="92" t="inlineStr">
        <is>
          <t>https://smartship.atlassian.net/browse/EA-1130</t>
        </is>
      </c>
      <c r="I47" s="92" t="inlineStr">
        <is>
          <t>Medium</t>
        </is>
      </c>
      <c r="J47" s="92" t="inlineStr">
        <is>
          <t>Sprint 1</t>
        </is>
      </c>
      <c r="L47" s="92" t="n">
        <v>8</v>
      </c>
    </row>
    <row r="48" ht="15" customHeight="1" s="93"/>
    <row r="49" ht="15" customHeight="1" s="93"/>
    <row r="50" ht="15" customHeight="1" s="93"/>
    <row r="51" ht="15" customHeight="1" s="93"/>
    <row r="52" ht="15" customHeight="1" s="93"/>
    <row r="53" ht="15" customHeight="1" s="93"/>
    <row r="54" ht="15" customHeight="1" s="93"/>
    <row r="55" ht="15" customHeight="1" s="93"/>
    <row r="56" ht="15" customHeight="1" s="93"/>
    <row r="57" ht="15" customHeight="1" s="93"/>
    <row r="58" ht="15" customHeight="1" s="93"/>
    <row r="59" ht="15" customHeight="1" s="93"/>
    <row r="60" ht="15" customHeight="1" s="93"/>
    <row r="61" ht="15" customHeight="1" s="93"/>
    <row r="62" ht="15" customHeight="1" s="93"/>
    <row r="63" ht="15" customHeight="1" s="93"/>
    <row r="64" ht="15" customHeight="1" s="93"/>
    <row r="65" ht="15" customHeight="1" s="93"/>
    <row r="66" ht="15" customHeight="1" s="93"/>
    <row r="67" ht="15" customHeight="1" s="93"/>
    <row r="68" ht="15" customHeight="1" s="93"/>
    <row r="69" ht="15" customHeight="1" s="93"/>
    <row r="70" ht="15" customHeight="1" s="93"/>
    <row r="71" ht="15" customHeight="1" s="93"/>
    <row r="72" ht="15" customHeight="1" s="93"/>
    <row r="73" ht="15" customHeight="1" s="93"/>
    <row r="74" ht="15" customHeight="1" s="93"/>
    <row r="75" ht="15" customHeight="1" s="93"/>
    <row r="76" ht="15" customHeight="1" s="93"/>
    <row r="77" ht="15" customHeight="1" s="93"/>
    <row r="78" ht="15" customHeight="1" s="93"/>
    <row r="79" ht="15" customHeight="1" s="93"/>
    <row r="80" ht="15" customHeight="1" s="93"/>
    <row r="81" ht="15" customHeight="1" s="93"/>
    <row r="82" ht="15" customHeight="1" s="93"/>
    <row r="83" ht="15" customHeight="1" s="93"/>
    <row r="84" ht="15" customHeight="1" s="93"/>
    <row r="85" ht="15" customHeight="1" s="93"/>
    <row r="86" ht="15" customHeight="1" s="93"/>
    <row r="87" ht="15" customHeight="1" s="93"/>
    <row r="88" ht="15" customHeight="1" s="93"/>
    <row r="89" ht="15" customHeight="1" s="93"/>
    <row r="90" ht="15" customHeight="1" s="93"/>
    <row r="91" ht="15" customHeight="1" s="93"/>
    <row r="92" ht="15" customHeight="1" s="93"/>
    <row r="93" ht="15" customHeight="1" s="93"/>
    <row r="94" ht="15" customHeight="1" s="93"/>
    <row r="95" ht="15" customHeight="1" s="93"/>
    <row r="96" ht="15" customHeight="1" s="93"/>
    <row r="97" ht="15" customHeight="1" s="93"/>
    <row r="98" ht="15" customHeight="1" s="93"/>
    <row r="99" ht="15" customHeight="1" s="93"/>
    <row r="100" ht="15" customHeight="1" s="93"/>
    <row r="101" ht="15" customHeight="1" s="93"/>
    <row r="102" ht="15" customHeight="1" s="93"/>
    <row r="103" ht="15" customHeight="1" s="93"/>
    <row r="104" ht="15" customHeight="1" s="93"/>
    <row r="105" ht="15" customHeight="1" s="93"/>
    <row r="106" ht="15" customHeight="1" s="93"/>
    <row r="107" ht="15" customHeight="1" s="93"/>
    <row r="108" ht="15" customHeight="1" s="93"/>
    <row r="109" ht="15" customHeight="1" s="93"/>
    <row r="110" ht="15" customHeight="1" s="93"/>
    <row r="111" ht="15" customHeight="1" s="93"/>
    <row r="112" ht="15" customHeight="1" s="93"/>
    <row r="113" ht="15" customHeight="1" s="93"/>
    <row r="114" ht="15" customHeight="1" s="93"/>
    <row r="115" ht="15" customHeight="1" s="93"/>
    <row r="116" ht="15" customHeight="1" s="93"/>
    <row r="117" ht="15" customHeight="1" s="93"/>
    <row r="118" ht="15" customHeight="1" s="93"/>
    <row r="119" ht="15" customHeight="1" s="93"/>
    <row r="120" ht="15" customHeight="1" s="93"/>
    <row r="121" ht="15" customHeight="1" s="93"/>
    <row r="122" ht="15" customHeight="1" s="93"/>
    <row r="123" ht="15" customHeight="1" s="93"/>
    <row r="124" ht="15" customHeight="1" s="93"/>
    <row r="125" ht="15" customHeight="1" s="93"/>
    <row r="126" ht="15" customHeight="1" s="93"/>
    <row r="127" ht="15" customHeight="1" s="93"/>
    <row r="128" ht="15" customHeight="1" s="93"/>
    <row r="129" ht="15" customHeight="1" s="93"/>
    <row r="130" ht="15" customHeight="1" s="93"/>
    <row r="131" ht="15" customHeight="1" s="93"/>
    <row r="132" ht="15" customHeight="1" s="93"/>
    <row r="133" ht="15" customHeight="1" s="93"/>
    <row r="134" ht="15" customHeight="1" s="93"/>
    <row r="135" ht="15" customHeight="1" s="93"/>
    <row r="136" ht="15" customHeight="1" s="93"/>
    <row r="137" ht="15" customHeight="1" s="93"/>
    <row r="138" ht="15" customHeight="1" s="93"/>
    <row r="139" ht="15" customHeight="1" s="93"/>
    <row r="140" ht="15" customHeight="1" s="93"/>
    <row r="141" ht="15" customHeight="1" s="93"/>
    <row r="142" ht="15" customHeight="1" s="93"/>
    <row r="143" ht="15" customHeight="1" s="93"/>
    <row r="144" ht="15" customHeight="1" s="93"/>
    <row r="145" ht="15" customHeight="1" s="93"/>
    <row r="146" ht="15" customHeight="1" s="93"/>
    <row r="147" ht="15" customHeight="1" s="93"/>
    <row r="148" ht="15" customHeight="1" s="93"/>
    <row r="149" ht="15" customHeight="1" s="93"/>
    <row r="150" ht="15" customHeight="1" s="93"/>
    <row r="151" ht="15" customHeight="1" s="93"/>
    <row r="152" ht="15" customHeight="1" s="93"/>
    <row r="153" ht="15" customHeight="1" s="93"/>
    <row r="154" ht="15" customHeight="1" s="93"/>
    <row r="155" ht="15" customHeight="1" s="93"/>
    <row r="156" ht="15" customHeight="1" s="93"/>
    <row r="157" ht="15" customHeight="1" s="93"/>
    <row r="158" ht="15" customHeight="1" s="93"/>
    <row r="159" ht="15" customHeight="1" s="93"/>
    <row r="160" ht="15" customHeight="1" s="93"/>
    <row r="161" ht="15" customHeight="1" s="93"/>
    <row r="162" ht="15" customHeight="1" s="93"/>
    <row r="163" ht="15" customHeight="1" s="93"/>
    <row r="164" ht="15" customHeight="1" s="93"/>
    <row r="165" ht="15" customHeight="1" s="93"/>
    <row r="166" ht="15" customHeight="1" s="93"/>
    <row r="167" ht="15" customHeight="1" s="93"/>
    <row r="168" ht="15" customHeight="1" s="93"/>
    <row r="169" ht="15" customHeight="1" s="93"/>
    <row r="170" ht="15" customHeight="1" s="93"/>
    <row r="171" ht="15" customHeight="1" s="93"/>
    <row r="172" ht="15" customHeight="1" s="93"/>
    <row r="173" ht="15" customHeight="1" s="93"/>
    <row r="174" ht="15" customHeight="1" s="93"/>
    <row r="175" ht="15" customHeight="1" s="93"/>
    <row r="176" ht="15" customHeight="1" s="93"/>
    <row r="177" ht="15" customHeight="1" s="93"/>
    <row r="178" ht="15" customHeight="1" s="93"/>
    <row r="179" ht="15" customHeight="1" s="93"/>
    <row r="180" ht="15" customHeight="1" s="93"/>
    <row r="181" ht="15" customHeight="1" s="93"/>
    <row r="182" ht="15" customHeight="1" s="93"/>
    <row r="183" ht="15" customHeight="1" s="93"/>
    <row r="184" ht="15" customHeight="1" s="93"/>
    <row r="185" ht="15" customHeight="1" s="93"/>
    <row r="186" ht="15" customHeight="1" s="93"/>
    <row r="187" ht="15" customHeight="1" s="93"/>
    <row r="188" ht="15" customHeight="1" s="93"/>
    <row r="189" ht="15" customHeight="1" s="93"/>
    <row r="190" ht="15" customHeight="1" s="93"/>
    <row r="191" ht="15" customHeight="1" s="93"/>
    <row r="192" ht="15" customHeight="1" s="93"/>
    <row r="193" ht="15" customHeight="1" s="93"/>
    <row r="194" ht="15" customHeight="1" s="93"/>
    <row r="195" ht="15" customHeight="1" s="93"/>
    <row r="196" ht="15" customHeight="1" s="93"/>
    <row r="197" ht="15" customHeight="1" s="93"/>
    <row r="198" ht="15" customHeight="1" s="93"/>
    <row r="199" ht="15" customHeight="1" s="93"/>
    <row r="200" ht="15" customHeight="1" s="93"/>
    <row r="201" ht="15" customHeight="1" s="93"/>
    <row r="202" ht="15" customHeight="1" s="93"/>
    <row r="203" ht="15" customHeight="1" s="93"/>
    <row r="204" ht="15" customHeight="1" s="93"/>
    <row r="205" ht="15" customHeight="1" s="93"/>
    <row r="206" ht="15" customHeight="1" s="93"/>
    <row r="207" ht="15" customHeight="1" s="93"/>
    <row r="208" ht="15" customHeight="1" s="93"/>
    <row r="209" ht="15" customHeight="1" s="93"/>
    <row r="210" ht="15" customHeight="1" s="93"/>
    <row r="211" ht="15" customHeight="1" s="93"/>
    <row r="212" ht="15" customHeight="1" s="93"/>
    <row r="213" ht="15" customHeight="1" s="93"/>
    <row r="214" ht="15" customHeight="1" s="93"/>
    <row r="215" ht="15" customHeight="1" s="93"/>
    <row r="216" ht="15" customHeight="1" s="93"/>
    <row r="217" ht="15" customHeight="1" s="93"/>
    <row r="218" ht="15" customHeight="1" s="93"/>
    <row r="219" ht="15" customHeight="1" s="93"/>
    <row r="220" ht="15" customHeight="1" s="93"/>
    <row r="221" ht="15" customHeight="1" s="93"/>
    <row r="222" ht="15" customHeight="1" s="93"/>
    <row r="223" ht="15" customHeight="1" s="93"/>
    <row r="224" ht="15" customHeight="1" s="93"/>
    <row r="225" ht="15" customHeight="1" s="93"/>
    <row r="226" ht="15" customHeight="1" s="93"/>
    <row r="227" ht="15" customHeight="1" s="93"/>
    <row r="228" ht="15" customHeight="1" s="93"/>
    <row r="229" ht="15" customHeight="1" s="93"/>
    <row r="230" ht="15" customHeight="1" s="93"/>
    <row r="231" ht="15" customHeight="1" s="93"/>
    <row r="232" ht="15" customHeight="1" s="93"/>
    <row r="233" ht="15" customHeight="1" s="93"/>
    <row r="234" ht="15" customHeight="1" s="93"/>
    <row r="235" ht="15" customHeight="1" s="93"/>
    <row r="236" ht="15" customHeight="1" s="93"/>
    <row r="237" ht="15" customHeight="1" s="93"/>
    <row r="238" ht="15" customHeight="1" s="93"/>
    <row r="239" ht="15" customHeight="1" s="93"/>
    <row r="240" ht="15" customHeight="1" s="93"/>
    <row r="241" ht="15" customHeight="1" s="93"/>
    <row r="242" ht="15" customHeight="1" s="93"/>
    <row r="243" ht="15" customHeight="1" s="93"/>
    <row r="244" ht="15" customHeight="1" s="93"/>
    <row r="245" ht="15" customHeight="1" s="93"/>
    <row r="246" ht="15" customHeight="1" s="93"/>
    <row r="247" ht="15" customHeight="1" s="93"/>
    <row r="248" ht="15" customHeight="1" s="93"/>
    <row r="249" ht="15" customHeight="1" s="93"/>
    <row r="250" ht="15" customHeight="1" s="93"/>
    <row r="251" ht="15" customHeight="1" s="93"/>
    <row r="252" ht="15" customHeight="1" s="93"/>
    <row r="253" ht="15" customHeight="1" s="93"/>
    <row r="254" ht="15" customHeight="1" s="93"/>
    <row r="255" ht="15" customHeight="1" s="93"/>
    <row r="256" ht="15" customHeight="1" s="93"/>
    <row r="257" ht="15" customHeight="1" s="93"/>
    <row r="258" ht="15" customHeight="1" s="93"/>
    <row r="259" ht="15" customHeight="1" s="93"/>
    <row r="260" ht="15" customHeight="1" s="93"/>
    <row r="261" ht="15" customHeight="1" s="93"/>
    <row r="262" ht="15" customHeight="1" s="93"/>
    <row r="263" ht="15" customHeight="1" s="93"/>
    <row r="264" ht="15" customHeight="1" s="93"/>
    <row r="265" ht="15" customHeight="1" s="93"/>
    <row r="266" ht="15" customHeight="1" s="93"/>
    <row r="267" ht="15" customHeight="1" s="93"/>
    <row r="268" ht="15" customHeight="1" s="93"/>
    <row r="269" ht="15" customHeight="1" s="93"/>
    <row r="270" ht="15" customHeight="1" s="93"/>
    <row r="271" ht="15" customHeight="1" s="93"/>
    <row r="272" ht="15" customHeight="1" s="93"/>
    <row r="273" ht="15" customHeight="1" s="93"/>
    <row r="274" ht="15" customHeight="1" s="93"/>
    <row r="275" ht="15" customHeight="1" s="93"/>
    <row r="276" ht="15" customHeight="1" s="93"/>
    <row r="277" ht="15" customHeight="1" s="93"/>
    <row r="278" ht="15" customHeight="1" s="93"/>
    <row r="279" ht="15" customHeight="1" s="93"/>
    <row r="280" ht="15" customHeight="1" s="93"/>
    <row r="281" ht="15" customHeight="1" s="93"/>
    <row r="282" ht="15" customHeight="1" s="93"/>
    <row r="283" ht="15" customHeight="1" s="93"/>
    <row r="284" ht="15" customHeight="1" s="93"/>
    <row r="285" ht="15" customHeight="1" s="93"/>
    <row r="286" ht="15" customHeight="1" s="93"/>
    <row r="287" ht="15" customHeight="1" s="93"/>
    <row r="288" ht="15" customHeight="1" s="93"/>
    <row r="289" ht="15" customHeight="1" s="93"/>
    <row r="290" ht="15" customHeight="1" s="93"/>
    <row r="291" ht="15" customHeight="1" s="93"/>
    <row r="292" ht="15" customHeight="1" s="93"/>
    <row r="293" ht="15" customHeight="1" s="93"/>
    <row r="294" ht="15" customHeight="1" s="93"/>
    <row r="295" ht="15" customHeight="1" s="93"/>
    <row r="296" ht="15" customHeight="1" s="93"/>
    <row r="297" ht="15" customHeight="1" s="93"/>
    <row r="298" ht="15" customHeight="1" s="93"/>
    <row r="299" ht="15" customHeight="1" s="93"/>
    <row r="300" ht="15" customHeight="1" s="93"/>
    <row r="301" ht="15" customHeight="1" s="93"/>
    <row r="302" ht="15" customHeight="1" s="93"/>
    <row r="303" ht="15" customHeight="1" s="93"/>
    <row r="304" ht="15" customHeight="1" s="93"/>
    <row r="305" ht="15" customHeight="1" s="93"/>
    <row r="306" ht="15" customHeight="1" s="93"/>
    <row r="307" ht="15" customHeight="1" s="93"/>
    <row r="308" ht="15" customHeight="1" s="93"/>
    <row r="309" ht="15" customHeight="1" s="93"/>
    <row r="310" ht="15" customHeight="1" s="93"/>
    <row r="311" ht="15" customHeight="1" s="93"/>
    <row r="312" ht="15" customHeight="1" s="93"/>
    <row r="313" ht="15" customHeight="1" s="93"/>
    <row r="314" ht="15" customHeight="1" s="93"/>
    <row r="315" ht="15" customHeight="1" s="93"/>
    <row r="316" ht="15" customHeight="1" s="93"/>
    <row r="317" ht="15" customHeight="1" s="93"/>
    <row r="318" ht="15" customHeight="1" s="93"/>
    <row r="319" ht="15" customHeight="1" s="93"/>
    <row r="320" ht="15" customHeight="1" s="93"/>
    <row r="321" ht="15" customHeight="1" s="93"/>
    <row r="322" ht="15" customHeight="1" s="93"/>
    <row r="323" ht="15" customHeight="1" s="93"/>
    <row r="324" ht="15" customHeight="1" s="93"/>
    <row r="325" ht="15" customHeight="1" s="93"/>
    <row r="326" ht="15" customHeight="1" s="93"/>
    <row r="327" ht="15" customHeight="1" s="93"/>
    <row r="328" ht="15" customHeight="1" s="93"/>
    <row r="329" ht="15" customHeight="1" s="93"/>
    <row r="330" ht="15" customHeight="1" s="93"/>
    <row r="331" ht="15" customHeight="1" s="93"/>
    <row r="332" ht="15" customHeight="1" s="93"/>
    <row r="333" ht="15" customHeight="1" s="93"/>
    <row r="334" ht="15" customHeight="1" s="93"/>
    <row r="335" ht="15" customHeight="1" s="93"/>
    <row r="336" ht="15" customHeight="1" s="93"/>
    <row r="337" ht="15" customHeight="1" s="93"/>
    <row r="338" ht="15" customHeight="1" s="93"/>
    <row r="339" ht="15" customHeight="1" s="93"/>
    <row r="340" ht="15" customHeight="1" s="93"/>
    <row r="341" ht="15" customHeight="1" s="93"/>
    <row r="342" ht="15" customHeight="1" s="93"/>
    <row r="343" ht="15" customHeight="1" s="93"/>
    <row r="344" ht="15" customHeight="1" s="93"/>
    <row r="345" ht="15" customHeight="1" s="93"/>
    <row r="346" ht="15" customHeight="1" s="93"/>
    <row r="347" ht="15" customHeight="1" s="93"/>
    <row r="348" ht="15" customHeight="1" s="93"/>
    <row r="349" ht="15" customHeight="1" s="93"/>
    <row r="350" ht="15" customHeight="1" s="93"/>
    <row r="351" ht="15" customHeight="1" s="93"/>
    <row r="352" ht="15" customHeight="1" s="93"/>
    <row r="353" ht="15" customHeight="1" s="93"/>
    <row r="354" ht="15" customHeight="1" s="93"/>
    <row r="355" ht="15" customHeight="1" s="93"/>
    <row r="356" ht="15" customHeight="1" s="93"/>
    <row r="357" ht="15" customHeight="1" s="93"/>
    <row r="358" ht="15" customHeight="1" s="93"/>
    <row r="359" ht="15" customHeight="1" s="93"/>
    <row r="360" ht="15" customHeight="1" s="93"/>
    <row r="361" ht="15" customHeight="1" s="93"/>
    <row r="362" ht="15" customHeight="1" s="93"/>
    <row r="363" ht="15" customHeight="1" s="93"/>
    <row r="364" ht="15" customHeight="1" s="93"/>
    <row r="365" ht="15" customHeight="1" s="93"/>
    <row r="366" ht="15" customHeight="1" s="93"/>
    <row r="367" ht="15" customHeight="1" s="93"/>
    <row r="368" ht="15" customHeight="1" s="93"/>
    <row r="369" ht="15" customHeight="1" s="93"/>
    <row r="370" ht="15" customHeight="1" s="93"/>
    <row r="371" ht="15" customHeight="1" s="93"/>
    <row r="372" ht="15" customHeight="1" s="93"/>
    <row r="373" ht="15" customHeight="1" s="93"/>
    <row r="374" ht="15" customHeight="1" s="93"/>
    <row r="375" ht="15" customHeight="1" s="93"/>
    <row r="376" ht="15" customHeight="1" s="93"/>
    <row r="377" ht="15" customHeight="1" s="93"/>
    <row r="378" ht="15" customHeight="1" s="93"/>
    <row r="379" ht="15" customHeight="1" s="93"/>
    <row r="380" ht="15" customHeight="1" s="93"/>
    <row r="381" ht="15" customHeight="1" s="93"/>
    <row r="382" ht="15" customHeight="1" s="93"/>
    <row r="383" ht="15" customHeight="1" s="93"/>
    <row r="384" ht="15" customHeight="1" s="93"/>
    <row r="385" ht="15" customHeight="1" s="93"/>
    <row r="386" ht="15" customHeight="1" s="93"/>
    <row r="387" ht="15" customHeight="1" s="93"/>
    <row r="388" ht="15" customHeight="1" s="93"/>
    <row r="389" ht="15" customHeight="1" s="93"/>
    <row r="390" ht="15" customHeight="1" s="93"/>
    <row r="391" ht="15" customHeight="1" s="93"/>
    <row r="392" ht="15" customHeight="1" s="93"/>
    <row r="393" ht="15" customHeight="1" s="93"/>
    <row r="394" ht="15" customHeight="1" s="93"/>
    <row r="395" ht="15" customHeight="1" s="93"/>
    <row r="396" ht="15" customHeight="1" s="93"/>
    <row r="397" ht="15" customHeight="1" s="93"/>
    <row r="398" ht="15" customHeight="1" s="93"/>
    <row r="399" ht="15" customHeight="1" s="93"/>
    <row r="400" ht="15" customHeight="1" s="93"/>
    <row r="401" ht="15" customHeight="1" s="93"/>
    <row r="402" ht="15" customHeight="1" s="93"/>
    <row r="403" ht="15" customHeight="1" s="93"/>
    <row r="404" ht="15" customHeight="1" s="93"/>
    <row r="405" ht="15" customHeight="1" s="93"/>
    <row r="406" ht="15" customHeight="1" s="93"/>
    <row r="407" ht="15" customHeight="1" s="93"/>
    <row r="408" ht="15" customHeight="1" s="93"/>
    <row r="409" ht="15" customHeight="1" s="93"/>
    <row r="410" ht="15" customHeight="1" s="93"/>
    <row r="411" ht="15" customHeight="1" s="93"/>
    <row r="412" ht="15" customHeight="1" s="93"/>
    <row r="413" ht="15" customHeight="1" s="93"/>
    <row r="414" ht="15" customHeight="1" s="93"/>
    <row r="415" ht="15" customHeight="1" s="93"/>
    <row r="416" ht="15" customHeight="1" s="93"/>
    <row r="417" ht="15" customHeight="1" s="93"/>
    <row r="418" ht="15" customHeight="1" s="93"/>
    <row r="419" ht="15" customHeight="1" s="93"/>
    <row r="420" ht="15" customHeight="1" s="93"/>
    <row r="421" ht="15" customHeight="1" s="93"/>
    <row r="422" ht="15" customHeight="1" s="93"/>
    <row r="423" ht="15" customHeight="1" s="93"/>
    <row r="424" ht="15" customHeight="1" s="93"/>
    <row r="425" ht="15" customHeight="1" s="93"/>
    <row r="426" ht="15" customHeight="1" s="93"/>
    <row r="427" ht="15" customHeight="1" s="93"/>
    <row r="428" ht="15" customHeight="1" s="93"/>
    <row r="429" ht="15" customHeight="1" s="93"/>
    <row r="430" ht="15" customHeight="1" s="93"/>
    <row r="431" ht="15" customHeight="1" s="93"/>
    <row r="432" ht="15" customHeight="1" s="93"/>
    <row r="433" ht="15" customHeight="1" s="93"/>
    <row r="434" ht="15" customHeight="1" s="93"/>
    <row r="435" ht="15" customHeight="1" s="93"/>
    <row r="436" ht="15" customHeight="1" s="93"/>
    <row r="437" ht="15" customHeight="1" s="93"/>
    <row r="438" ht="15" customHeight="1" s="93"/>
    <row r="439" ht="15" customHeight="1" s="93"/>
    <row r="440" ht="15" customHeight="1" s="93"/>
    <row r="441" ht="15" customHeight="1" s="93"/>
    <row r="442" ht="15" customHeight="1" s="93"/>
    <row r="443" ht="15" customHeight="1" s="93"/>
    <row r="444" ht="15" customHeight="1" s="93"/>
    <row r="445" ht="15" customHeight="1" s="93"/>
    <row r="446" ht="15" customHeight="1" s="93"/>
    <row r="447" ht="15" customHeight="1" s="93"/>
    <row r="448" ht="15" customHeight="1" s="93"/>
    <row r="449" ht="15" customHeight="1" s="93"/>
    <row r="450" ht="15" customHeight="1" s="93"/>
    <row r="451" ht="15" customHeight="1" s="93"/>
    <row r="452" ht="15" customHeight="1" s="93"/>
    <row r="453" ht="15" customHeight="1" s="93"/>
    <row r="454" ht="15" customHeight="1" s="93"/>
    <row r="455" ht="15" customHeight="1" s="93"/>
    <row r="456" ht="15" customHeight="1" s="93"/>
    <row r="457" ht="15" customHeight="1" s="93"/>
    <row r="458" ht="15" customHeight="1" s="93"/>
    <row r="459" ht="15" customHeight="1" s="93"/>
    <row r="460" ht="15" customHeight="1" s="93"/>
    <row r="461" ht="15" customHeight="1" s="93"/>
    <row r="462" ht="15" customHeight="1" s="93"/>
    <row r="463" ht="15" customHeight="1" s="93"/>
    <row r="464" ht="15" customHeight="1" s="93"/>
    <row r="465" ht="15" customHeight="1" s="93"/>
    <row r="466" ht="15" customHeight="1" s="93"/>
    <row r="467" ht="15" customHeight="1" s="93"/>
    <row r="468" ht="15" customHeight="1" s="93"/>
    <row r="469" ht="15" customHeight="1" s="93"/>
    <row r="470" ht="15" customHeight="1" s="93"/>
    <row r="471" ht="15" customHeight="1" s="93"/>
    <row r="472" ht="15" customHeight="1" s="93"/>
    <row r="473" ht="15" customHeight="1" s="93"/>
    <row r="474" ht="15" customHeight="1" s="93"/>
    <row r="475" ht="15" customHeight="1" s="93"/>
    <row r="476" ht="15" customHeight="1" s="93"/>
    <row r="477" ht="15" customHeight="1" s="93"/>
    <row r="478" ht="15" customHeight="1" s="93"/>
    <row r="479" ht="15" customHeight="1" s="93"/>
    <row r="480" ht="15" customHeight="1" s="93"/>
    <row r="481" ht="15" customHeight="1" s="93"/>
    <row r="482" ht="15" customHeight="1" s="93"/>
    <row r="483" ht="15" customHeight="1" s="93"/>
    <row r="484" ht="15" customHeight="1" s="93"/>
    <row r="485" ht="15" customHeight="1" s="93"/>
    <row r="486" ht="15" customHeight="1" s="93"/>
    <row r="487" ht="15" customHeight="1" s="93"/>
    <row r="488" ht="15" customHeight="1" s="93"/>
    <row r="489" ht="15" customHeight="1" s="93"/>
    <row r="490" ht="15" customHeight="1" s="93"/>
    <row r="491" ht="15" customHeight="1" s="93"/>
    <row r="492" ht="15" customHeight="1" s="93"/>
    <row r="493" ht="15" customHeight="1" s="93"/>
    <row r="494" ht="15" customHeight="1" s="93"/>
    <row r="495" ht="15" customHeight="1" s="93"/>
    <row r="496" ht="15" customHeight="1" s="93"/>
    <row r="497" ht="15" customHeight="1" s="93"/>
    <row r="498" ht="15" customHeight="1" s="93"/>
    <row r="499" ht="15" customHeight="1" s="93"/>
    <row r="500" ht="15" customHeight="1" s="93"/>
    <row r="501" ht="15" customHeight="1" s="93"/>
    <row r="502" ht="15" customHeight="1" s="93"/>
    <row r="503" ht="15" customHeight="1" s="93"/>
    <row r="504" ht="15" customHeight="1" s="93"/>
    <row r="505" ht="15" customHeight="1" s="93"/>
    <row r="506" ht="15" customHeight="1" s="93"/>
    <row r="507" ht="15" customHeight="1" s="93"/>
    <row r="508" ht="15" customHeight="1" s="93"/>
    <row r="509" ht="15" customHeight="1" s="93"/>
    <row r="510" ht="15" customHeight="1" s="93"/>
    <row r="511" ht="15" customHeight="1" s="93"/>
    <row r="512" ht="15" customHeight="1" s="93"/>
    <row r="513" ht="15" customHeight="1" s="93"/>
    <row r="514" ht="15" customHeight="1" s="93"/>
    <row r="515" ht="15" customHeight="1" s="93"/>
    <row r="516" ht="15" customHeight="1" s="93"/>
    <row r="517" ht="15" customHeight="1" s="93"/>
    <row r="518" ht="15" customHeight="1" s="93"/>
    <row r="519" ht="15" customHeight="1" s="93"/>
    <row r="520" ht="15" customHeight="1" s="93"/>
    <row r="521" ht="15" customHeight="1" s="93"/>
    <row r="522" ht="15" customHeight="1" s="93"/>
    <row r="523" ht="15" customHeight="1" s="93"/>
    <row r="524" ht="15" customHeight="1" s="93"/>
    <row r="525" ht="15" customHeight="1" s="93"/>
    <row r="526" ht="15" customHeight="1" s="93"/>
    <row r="527" ht="15" customHeight="1" s="93"/>
    <row r="528" ht="15" customHeight="1" s="93"/>
    <row r="529" ht="15" customHeight="1" s="93"/>
    <row r="530" ht="15" customHeight="1" s="93"/>
    <row r="531" ht="15" customHeight="1" s="93"/>
    <row r="532" ht="15" customHeight="1" s="93"/>
    <row r="533" ht="15" customHeight="1" s="93"/>
    <row r="534" ht="15" customHeight="1" s="93"/>
    <row r="535" ht="15" customHeight="1" s="93"/>
    <row r="536" ht="15" customHeight="1" s="93"/>
    <row r="537" ht="15" customHeight="1" s="93"/>
    <row r="538" ht="15" customHeight="1" s="93"/>
    <row r="539" ht="15" customHeight="1" s="93"/>
    <row r="540" ht="15" customHeight="1" s="93"/>
    <row r="541" ht="15" customHeight="1" s="93"/>
    <row r="542" ht="15" customHeight="1" s="93"/>
    <row r="543" ht="15" customHeight="1" s="93"/>
    <row r="544" ht="15" customHeight="1" s="93"/>
    <row r="545" ht="15" customHeight="1" s="93"/>
    <row r="546" ht="15" customHeight="1" s="93"/>
    <row r="547" ht="15" customHeight="1" s="93"/>
    <row r="548" ht="15" customHeight="1" s="93"/>
    <row r="549" ht="15" customHeight="1" s="93"/>
    <row r="550" ht="15" customHeight="1" s="93"/>
    <row r="551" ht="15" customHeight="1" s="93"/>
    <row r="552" ht="15" customHeight="1" s="93"/>
    <row r="553" ht="15" customHeight="1" s="93"/>
    <row r="554" ht="15" customHeight="1" s="93"/>
    <row r="555" ht="15" customHeight="1" s="93"/>
    <row r="556" ht="15" customHeight="1" s="93"/>
    <row r="557" ht="15" customHeight="1" s="93"/>
    <row r="558" ht="15" customHeight="1" s="93"/>
    <row r="559" ht="15" customHeight="1" s="93"/>
    <row r="560" ht="15" customHeight="1" s="93"/>
    <row r="561" ht="15" customHeight="1" s="93"/>
    <row r="562" ht="15" customHeight="1" s="93"/>
    <row r="563" ht="15" customHeight="1" s="93"/>
    <row r="564" ht="15" customHeight="1" s="93"/>
    <row r="565" ht="15" customHeight="1" s="93"/>
    <row r="566" ht="15" customHeight="1" s="93"/>
    <row r="567" ht="15" customHeight="1" s="93"/>
    <row r="568" ht="15" customHeight="1" s="93"/>
    <row r="569" ht="15" customHeight="1" s="93"/>
    <row r="570" ht="15" customHeight="1" s="93"/>
    <row r="571" ht="15" customHeight="1" s="93"/>
    <row r="572" ht="15" customHeight="1" s="93"/>
    <row r="573" ht="15" customHeight="1" s="93"/>
    <row r="574" ht="15" customHeight="1" s="93"/>
    <row r="575" ht="15" customHeight="1" s="93"/>
    <row r="576" ht="15" customHeight="1" s="93"/>
    <row r="577" ht="15" customHeight="1" s="93"/>
    <row r="578" ht="15" customHeight="1" s="93"/>
    <row r="579" ht="15" customHeight="1" s="93"/>
    <row r="580" ht="15" customHeight="1" s="93"/>
    <row r="581" ht="15" customHeight="1" s="93"/>
    <row r="582" ht="15" customHeight="1" s="93"/>
    <row r="583" ht="15" customHeight="1" s="93"/>
    <row r="584" ht="15" customHeight="1" s="93"/>
    <row r="585" ht="15" customHeight="1" s="93"/>
    <row r="586" ht="15" customHeight="1" s="93"/>
    <row r="587" ht="15" customHeight="1" s="93"/>
    <row r="588" ht="15" customHeight="1" s="93"/>
    <row r="589" ht="15" customHeight="1" s="93"/>
    <row r="590" ht="15" customHeight="1" s="93"/>
    <row r="591" ht="15" customHeight="1" s="93"/>
    <row r="592" ht="15" customHeight="1" s="93"/>
    <row r="593" ht="15" customHeight="1" s="93"/>
    <row r="594" ht="15" customHeight="1" s="93"/>
    <row r="595" ht="15" customHeight="1" s="93"/>
    <row r="596" ht="15" customHeight="1" s="93"/>
    <row r="597" ht="15" customHeight="1" s="93"/>
    <row r="598" ht="15" customHeight="1" s="93"/>
    <row r="599" ht="15" customHeight="1" s="93"/>
    <row r="600" ht="15" customHeight="1" s="93"/>
    <row r="601" ht="15" customHeight="1" s="93"/>
    <row r="602" ht="15" customHeight="1" s="93"/>
    <row r="603" ht="15" customHeight="1" s="93"/>
    <row r="604" ht="15" customHeight="1" s="93"/>
    <row r="605" ht="15" customHeight="1" s="93"/>
    <row r="606" ht="15" customHeight="1" s="93"/>
    <row r="607" ht="15" customHeight="1" s="93"/>
    <row r="608" ht="15" customHeight="1" s="93"/>
    <row r="609" ht="15" customHeight="1" s="93"/>
    <row r="610" ht="15" customHeight="1" s="93"/>
    <row r="611" ht="15" customHeight="1" s="93"/>
    <row r="612" ht="15" customHeight="1" s="93"/>
    <row r="613" ht="15" customHeight="1" s="93"/>
    <row r="614" ht="15" customHeight="1" s="93"/>
    <row r="615" ht="15" customHeight="1" s="93"/>
    <row r="616" ht="15" customHeight="1" s="93"/>
    <row r="617" ht="15" customHeight="1" s="93"/>
    <row r="618" ht="15" customHeight="1" s="93"/>
    <row r="619" ht="15" customHeight="1" s="93"/>
    <row r="620" ht="15" customHeight="1" s="93"/>
    <row r="621" ht="15" customHeight="1" s="93"/>
    <row r="622" ht="15" customHeight="1" s="93"/>
    <row r="623" ht="15" customHeight="1" s="93"/>
    <row r="624" ht="15" customHeight="1" s="93"/>
    <row r="625" ht="15" customHeight="1" s="93"/>
    <row r="626" ht="15" customHeight="1" s="93"/>
    <row r="627" ht="15" customHeight="1" s="93"/>
    <row r="628" ht="15" customHeight="1" s="93"/>
    <row r="629" ht="15" customHeight="1" s="93"/>
    <row r="630" ht="15" customHeight="1" s="93"/>
    <row r="631" ht="15" customHeight="1" s="93"/>
    <row r="632" ht="15" customHeight="1" s="93"/>
    <row r="633" ht="15" customHeight="1" s="93"/>
    <row r="634" ht="15" customHeight="1" s="93"/>
    <row r="635" ht="15" customHeight="1" s="93"/>
    <row r="636" ht="15" customHeight="1" s="93"/>
    <row r="637" ht="15" customHeight="1" s="93"/>
    <row r="638" ht="15" customHeight="1" s="93"/>
    <row r="639" ht="15" customHeight="1" s="93"/>
    <row r="640" ht="15" customHeight="1" s="93"/>
    <row r="641" ht="15" customHeight="1" s="93"/>
    <row r="642" ht="15" customHeight="1" s="93"/>
    <row r="643" ht="15" customHeight="1" s="93"/>
    <row r="644" ht="15" customHeight="1" s="93"/>
    <row r="645" ht="15" customHeight="1" s="93"/>
    <row r="646" ht="15" customHeight="1" s="93"/>
    <row r="647" ht="15" customHeight="1" s="93"/>
    <row r="648" ht="15" customHeight="1" s="93"/>
    <row r="649" ht="15" customHeight="1" s="93"/>
    <row r="650" ht="15" customHeight="1" s="93"/>
    <row r="651" ht="15" customHeight="1" s="93"/>
    <row r="652" ht="15" customHeight="1" s="93"/>
    <row r="653" ht="15" customHeight="1" s="93"/>
    <row r="654" ht="15" customHeight="1" s="93"/>
    <row r="655" ht="15" customHeight="1" s="93"/>
    <row r="656" ht="15" customHeight="1" s="93"/>
    <row r="657" ht="15" customHeight="1" s="93"/>
    <row r="658" ht="15" customHeight="1" s="93"/>
    <row r="659" ht="15" customHeight="1" s="93"/>
    <row r="660" ht="15" customHeight="1" s="93"/>
    <row r="661" ht="15" customHeight="1" s="93"/>
    <row r="662" ht="15" customHeight="1" s="93"/>
    <row r="663" ht="15" customHeight="1" s="93"/>
    <row r="664" ht="15" customHeight="1" s="93"/>
    <row r="665" ht="15" customHeight="1" s="93"/>
    <row r="666" ht="15" customHeight="1" s="93"/>
    <row r="667" ht="15" customHeight="1" s="93"/>
    <row r="668" ht="15" customHeight="1" s="93"/>
    <row r="669" ht="15" customHeight="1" s="93"/>
    <row r="670" ht="15" customHeight="1" s="93"/>
    <row r="671" ht="15" customHeight="1" s="93"/>
    <row r="672" ht="15" customHeight="1" s="93"/>
    <row r="673" ht="15" customHeight="1" s="93"/>
    <row r="674" ht="15" customHeight="1" s="93"/>
    <row r="675" ht="15" customHeight="1" s="93"/>
    <row r="676" ht="15" customHeight="1" s="93"/>
    <row r="677" ht="15" customHeight="1" s="93"/>
    <row r="678" ht="15" customHeight="1" s="93"/>
    <row r="679" ht="15" customHeight="1" s="93"/>
    <row r="680" ht="15" customHeight="1" s="93"/>
    <row r="681" ht="15" customHeight="1" s="93"/>
    <row r="682" ht="15" customHeight="1" s="93"/>
    <row r="683" ht="15" customHeight="1" s="93"/>
    <row r="684" ht="15" customHeight="1" s="93"/>
    <row r="685" ht="15" customHeight="1" s="93"/>
    <row r="686" ht="15" customHeight="1" s="93"/>
    <row r="687" ht="15" customHeight="1" s="93"/>
    <row r="688" ht="15" customHeight="1" s="93"/>
    <row r="689" ht="15" customHeight="1" s="93"/>
    <row r="690" ht="15" customHeight="1" s="93"/>
    <row r="691" ht="15" customHeight="1" s="93"/>
    <row r="692" ht="15" customHeight="1" s="93"/>
    <row r="693" ht="15" customHeight="1" s="93"/>
    <row r="694" ht="15" customHeight="1" s="93"/>
    <row r="695" ht="15" customHeight="1" s="93"/>
    <row r="696" ht="15" customHeight="1" s="93"/>
    <row r="697" ht="15" customHeight="1" s="93"/>
    <row r="698" ht="15" customHeight="1" s="93"/>
    <row r="699" ht="15" customHeight="1" s="93"/>
    <row r="700" ht="15" customHeight="1" s="93"/>
    <row r="701" ht="15" customHeight="1" s="93"/>
    <row r="702" ht="15" customHeight="1" s="93"/>
    <row r="703" ht="15" customHeight="1" s="93"/>
    <row r="704" ht="15" customHeight="1" s="93"/>
    <row r="705" ht="15" customHeight="1" s="93"/>
    <row r="706" ht="15" customHeight="1" s="93"/>
    <row r="707" ht="15" customHeight="1" s="93"/>
    <row r="708" ht="15" customHeight="1" s="93"/>
    <row r="709" ht="15" customHeight="1" s="93"/>
    <row r="710" ht="15" customHeight="1" s="93"/>
    <row r="711" ht="15" customHeight="1" s="93"/>
    <row r="712" ht="15" customHeight="1" s="93"/>
    <row r="713" ht="15" customHeight="1" s="93"/>
    <row r="714" ht="15" customHeight="1" s="93"/>
    <row r="715" ht="15" customHeight="1" s="93"/>
    <row r="716" ht="15" customHeight="1" s="93"/>
    <row r="717" ht="15" customHeight="1" s="93"/>
    <row r="718" ht="15" customHeight="1" s="93"/>
    <row r="719" ht="15" customHeight="1" s="93"/>
    <row r="720" ht="15" customHeight="1" s="93"/>
    <row r="721" ht="15" customHeight="1" s="93"/>
    <row r="722" ht="15" customHeight="1" s="93"/>
    <row r="723" ht="15" customHeight="1" s="93"/>
    <row r="724" ht="15" customHeight="1" s="93"/>
    <row r="725" ht="15" customHeight="1" s="93"/>
    <row r="726" ht="15" customHeight="1" s="93"/>
    <row r="727" ht="15" customHeight="1" s="93"/>
    <row r="728" ht="15" customHeight="1" s="93"/>
    <row r="729" ht="15" customHeight="1" s="93"/>
    <row r="730" ht="15" customHeight="1" s="93"/>
    <row r="731" ht="15" customHeight="1" s="93"/>
    <row r="732" ht="15" customHeight="1" s="93"/>
    <row r="733" ht="15" customHeight="1" s="93"/>
    <row r="734" ht="15" customHeight="1" s="93"/>
    <row r="735" ht="15" customHeight="1" s="93"/>
    <row r="736" ht="15" customHeight="1" s="93"/>
    <row r="737" ht="15" customHeight="1" s="93"/>
    <row r="738" ht="15" customHeight="1" s="93"/>
    <row r="739" ht="15" customHeight="1" s="93"/>
    <row r="740" ht="15" customHeight="1" s="93"/>
    <row r="741" ht="15" customHeight="1" s="93"/>
    <row r="742" ht="15" customHeight="1" s="93"/>
    <row r="743" ht="15" customHeight="1" s="93"/>
    <row r="744" ht="15" customHeight="1" s="93"/>
    <row r="745" ht="15" customHeight="1" s="93"/>
    <row r="746" ht="15" customHeight="1" s="93"/>
    <row r="747" ht="15" customHeight="1" s="93"/>
    <row r="748" ht="15" customHeight="1" s="93"/>
    <row r="749" ht="15" customHeight="1" s="93"/>
    <row r="750" ht="15" customHeight="1" s="93"/>
    <row r="751" ht="15" customHeight="1" s="93"/>
    <row r="752" ht="15" customHeight="1" s="93"/>
    <row r="753" ht="15" customHeight="1" s="93"/>
    <row r="754" ht="15" customHeight="1" s="93"/>
    <row r="755" ht="15" customHeight="1" s="93"/>
    <row r="756" ht="15" customHeight="1" s="93"/>
    <row r="757" ht="15" customHeight="1" s="93"/>
    <row r="758" ht="15" customHeight="1" s="93"/>
    <row r="759" ht="15" customHeight="1" s="93"/>
    <row r="760" ht="15" customHeight="1" s="93"/>
    <row r="761" ht="15" customHeight="1" s="93"/>
    <row r="762" ht="15" customHeight="1" s="93"/>
    <row r="763" ht="15" customHeight="1" s="93"/>
    <row r="764" ht="15" customHeight="1" s="93"/>
    <row r="765" ht="15" customHeight="1" s="93"/>
    <row r="766" ht="15" customHeight="1" s="93"/>
    <row r="767" ht="15" customHeight="1" s="93"/>
    <row r="768" ht="15" customHeight="1" s="93"/>
    <row r="769" ht="15" customHeight="1" s="93"/>
    <row r="770" ht="15" customHeight="1" s="93"/>
    <row r="771" ht="15" customHeight="1" s="93"/>
    <row r="772" ht="15" customHeight="1" s="93"/>
    <row r="773" ht="15" customHeight="1" s="93"/>
    <row r="774" ht="15" customHeight="1" s="93"/>
    <row r="775" ht="15" customHeight="1" s="93"/>
    <row r="776" ht="15" customHeight="1" s="93"/>
    <row r="777" ht="15" customHeight="1" s="93"/>
    <row r="778" ht="15" customHeight="1" s="93"/>
    <row r="779" ht="15" customHeight="1" s="93"/>
    <row r="780" ht="15" customHeight="1" s="93"/>
    <row r="781" ht="15" customHeight="1" s="93"/>
    <row r="782" ht="15" customHeight="1" s="93"/>
    <row r="783" ht="15" customHeight="1" s="93"/>
    <row r="784" ht="15" customHeight="1" s="93"/>
    <row r="785" ht="15" customHeight="1" s="93"/>
    <row r="786" ht="15" customHeight="1" s="93"/>
    <row r="787" ht="15" customHeight="1" s="93"/>
    <row r="788" ht="15" customHeight="1" s="93"/>
    <row r="789" ht="15" customHeight="1" s="93"/>
    <row r="790" ht="15" customHeight="1" s="93"/>
    <row r="791" ht="15" customHeight="1" s="93"/>
    <row r="792" ht="15" customHeight="1" s="93"/>
    <row r="793" ht="15" customHeight="1" s="93"/>
    <row r="794" ht="15" customHeight="1" s="93"/>
    <row r="795" ht="15" customHeight="1" s="93"/>
    <row r="796" ht="15" customHeight="1" s="93"/>
    <row r="797" ht="15" customHeight="1" s="93"/>
    <row r="798" ht="15" customHeight="1" s="93"/>
    <row r="799" ht="15" customHeight="1" s="93"/>
    <row r="800" ht="15" customHeight="1" s="93"/>
    <row r="801" ht="15" customHeight="1" s="93"/>
    <row r="802" ht="15" customHeight="1" s="93"/>
    <row r="803" ht="15" customHeight="1" s="93"/>
    <row r="804" ht="15" customHeight="1" s="93"/>
    <row r="805" ht="15" customHeight="1" s="93"/>
    <row r="806" ht="15" customHeight="1" s="93"/>
    <row r="807" ht="15" customHeight="1" s="93"/>
    <row r="808" ht="15" customHeight="1" s="93"/>
    <row r="809" ht="15" customHeight="1" s="93"/>
    <row r="810" ht="15" customHeight="1" s="93"/>
    <row r="811" ht="15" customHeight="1" s="93"/>
    <row r="812" ht="15" customHeight="1" s="93"/>
    <row r="813" ht="15" customHeight="1" s="93"/>
    <row r="814" ht="15" customHeight="1" s="93"/>
    <row r="815" ht="15" customHeight="1" s="93"/>
    <row r="816" ht="15" customHeight="1" s="93"/>
    <row r="817" ht="15" customHeight="1" s="93"/>
    <row r="818" ht="15" customHeight="1" s="93"/>
    <row r="819" ht="15" customHeight="1" s="93"/>
    <row r="820" ht="15" customHeight="1" s="93"/>
    <row r="821" ht="15" customHeight="1" s="93"/>
    <row r="822" ht="15" customHeight="1" s="93"/>
    <row r="823" ht="15" customHeight="1" s="93"/>
    <row r="824" ht="15" customHeight="1" s="93"/>
    <row r="825" ht="15" customHeight="1" s="93"/>
    <row r="826" ht="15" customHeight="1" s="93"/>
    <row r="827" ht="15" customHeight="1" s="93"/>
    <row r="828" ht="15" customHeight="1" s="93"/>
    <row r="829" ht="15" customHeight="1" s="93"/>
    <row r="830" ht="15" customHeight="1" s="93"/>
    <row r="831" ht="15" customHeight="1" s="93"/>
    <row r="832" ht="15" customHeight="1" s="93"/>
    <row r="833" ht="15" customHeight="1" s="93"/>
    <row r="834" ht="15" customHeight="1" s="93"/>
    <row r="835" ht="15" customHeight="1" s="93"/>
    <row r="836" ht="15" customHeight="1" s="93"/>
    <row r="837" ht="15" customHeight="1" s="93"/>
    <row r="838" ht="15" customHeight="1" s="93"/>
    <row r="839" ht="15" customHeight="1" s="93"/>
    <row r="840" ht="15" customHeight="1" s="93"/>
    <row r="841" ht="15" customHeight="1" s="93"/>
    <row r="842" ht="15" customHeight="1" s="93"/>
    <row r="843" ht="15" customHeight="1" s="93"/>
    <row r="844" ht="15" customHeight="1" s="93"/>
    <row r="845" ht="15" customHeight="1" s="93"/>
    <row r="846" ht="15" customHeight="1" s="93"/>
    <row r="847" ht="15" customHeight="1" s="93"/>
    <row r="848" ht="15" customHeight="1" s="93"/>
    <row r="849" ht="15" customHeight="1" s="93"/>
    <row r="850" ht="15" customHeight="1" s="93"/>
    <row r="851" ht="15" customHeight="1" s="93"/>
    <row r="852" ht="15" customHeight="1" s="93"/>
    <row r="853" ht="15" customHeight="1" s="93"/>
    <row r="854" ht="15" customHeight="1" s="93"/>
    <row r="855" ht="15" customHeight="1" s="93"/>
    <row r="856" ht="15" customHeight="1" s="93"/>
    <row r="857" ht="15" customHeight="1" s="93"/>
    <row r="858" ht="15" customHeight="1" s="93"/>
    <row r="859" ht="15" customHeight="1" s="93"/>
    <row r="860" ht="15" customHeight="1" s="93"/>
    <row r="861" ht="15" customHeight="1" s="93"/>
    <row r="862" ht="15" customHeight="1" s="93"/>
    <row r="863" ht="15" customHeight="1" s="93"/>
    <row r="864" ht="15" customHeight="1" s="93"/>
    <row r="865" ht="15" customHeight="1" s="93"/>
    <row r="866" ht="15" customHeight="1" s="93"/>
    <row r="867" ht="15" customHeight="1" s="93"/>
    <row r="868" ht="15" customHeight="1" s="93"/>
    <row r="869" ht="15" customHeight="1" s="93"/>
    <row r="870" ht="15" customHeight="1" s="93"/>
    <row r="871" ht="15" customHeight="1" s="93"/>
    <row r="872" ht="15" customHeight="1" s="93"/>
    <row r="873" ht="15" customHeight="1" s="93"/>
    <row r="874" ht="15" customHeight="1" s="93"/>
    <row r="875" ht="15" customHeight="1" s="93"/>
    <row r="876" ht="15" customHeight="1" s="93"/>
    <row r="877" ht="15" customHeight="1" s="93"/>
    <row r="878" ht="15" customHeight="1" s="93"/>
    <row r="879" ht="15" customHeight="1" s="93"/>
    <row r="880" ht="15" customHeight="1" s="93"/>
    <row r="881" ht="15" customHeight="1" s="93"/>
    <row r="882" ht="15" customHeight="1" s="93"/>
    <row r="883" ht="15" customHeight="1" s="93"/>
    <row r="884" ht="15" customHeight="1" s="93"/>
    <row r="885" ht="15" customHeight="1" s="93"/>
    <row r="886" ht="15" customHeight="1" s="93"/>
    <row r="887" ht="15" customHeight="1" s="93"/>
    <row r="888" ht="15" customHeight="1" s="93"/>
    <row r="889" ht="15" customHeight="1" s="93"/>
    <row r="890" ht="15" customHeight="1" s="93"/>
    <row r="891" ht="15" customHeight="1" s="93"/>
    <row r="892" ht="15" customHeight="1" s="93"/>
    <row r="893" ht="15" customHeight="1" s="93"/>
    <row r="894" ht="15" customHeight="1" s="93"/>
    <row r="895" ht="15" customHeight="1" s="93"/>
    <row r="896" ht="15" customHeight="1" s="93"/>
    <row r="897" ht="15" customHeight="1" s="93"/>
    <row r="898" ht="15" customHeight="1" s="93"/>
    <row r="899" ht="15" customHeight="1" s="93"/>
    <row r="900" ht="15" customHeight="1" s="93"/>
    <row r="901" ht="15" customHeight="1" s="93"/>
    <row r="902" ht="15" customHeight="1" s="93"/>
    <row r="903" ht="15" customHeight="1" s="93"/>
    <row r="904" ht="15" customHeight="1" s="93"/>
    <row r="905" ht="15" customHeight="1" s="93"/>
    <row r="906" ht="15" customHeight="1" s="93"/>
    <row r="907" ht="15" customHeight="1" s="93"/>
    <row r="908" ht="15" customHeight="1" s="93"/>
    <row r="909" ht="15" customHeight="1" s="93"/>
    <row r="910" ht="15" customHeight="1" s="93"/>
    <row r="911" ht="15" customHeight="1" s="93"/>
    <row r="912" ht="15" customHeight="1" s="93"/>
    <row r="913" ht="15" customHeight="1" s="93"/>
    <row r="914" ht="15" customHeight="1" s="93"/>
    <row r="915" ht="15" customHeight="1" s="93"/>
    <row r="916" ht="15" customHeight="1" s="93"/>
    <row r="917" ht="15" customHeight="1" s="93"/>
    <row r="918" ht="15" customHeight="1" s="93"/>
    <row r="919" ht="15" customHeight="1" s="93"/>
    <row r="920" ht="15" customHeight="1" s="93"/>
    <row r="921" ht="15" customHeight="1" s="93"/>
    <row r="922" ht="15" customHeight="1" s="93"/>
    <row r="923" ht="15" customHeight="1" s="93"/>
    <row r="924" ht="15" customHeight="1" s="93"/>
    <row r="925" ht="15" customHeight="1" s="93"/>
    <row r="926" ht="15" customHeight="1" s="93"/>
    <row r="927" ht="15" customHeight="1" s="93"/>
    <row r="928" ht="15" customHeight="1" s="93"/>
    <row r="929" ht="15" customHeight="1" s="93"/>
    <row r="930" ht="15" customHeight="1" s="93"/>
    <row r="931" ht="15" customHeight="1" s="93"/>
    <row r="932" ht="15" customHeight="1" s="93"/>
    <row r="933" ht="15" customHeight="1" s="93"/>
    <row r="934" ht="15" customHeight="1" s="93"/>
    <row r="935" ht="15" customHeight="1" s="93"/>
    <row r="936" ht="15" customHeight="1" s="93"/>
    <row r="937" ht="15" customHeight="1" s="93"/>
    <row r="938" ht="15" customHeight="1" s="93"/>
    <row r="939" ht="15" customHeight="1" s="93"/>
    <row r="940" ht="15" customHeight="1" s="93"/>
    <row r="941" ht="15" customHeight="1" s="93"/>
    <row r="942" ht="15" customHeight="1" s="93"/>
    <row r="943" ht="15" customHeight="1" s="93"/>
    <row r="944" ht="15" customHeight="1" s="93"/>
    <row r="945" ht="15" customHeight="1" s="93"/>
    <row r="946" ht="15" customHeight="1" s="93"/>
    <row r="947" ht="15" customHeight="1" s="93"/>
    <row r="948" ht="15" customHeight="1" s="93"/>
    <row r="949" ht="15" customHeight="1" s="93"/>
    <row r="950" ht="15" customHeight="1" s="93"/>
    <row r="951" ht="15" customHeight="1" s="93"/>
    <row r="952" ht="15" customHeight="1" s="93"/>
    <row r="953" ht="15" customHeight="1" s="93"/>
    <row r="954" ht="15" customHeight="1" s="93"/>
    <row r="955" ht="15" customHeight="1" s="93"/>
    <row r="956" ht="15" customHeight="1" s="93"/>
    <row r="957" ht="15" customHeight="1" s="93"/>
    <row r="958" ht="15" customHeight="1" s="93"/>
    <row r="959" ht="15" customHeight="1" s="93"/>
    <row r="960" ht="15" customHeight="1" s="93"/>
    <row r="961" ht="15" customHeight="1" s="93"/>
    <row r="962" ht="15" customHeight="1" s="93"/>
    <row r="963" ht="15" customHeight="1" s="93"/>
    <row r="964" ht="15" customHeight="1" s="93"/>
    <row r="965" ht="15" customHeight="1" s="93"/>
    <row r="966" ht="15" customHeight="1" s="93"/>
    <row r="967" ht="15" customHeight="1" s="93"/>
    <row r="968" ht="15" customHeight="1" s="93"/>
    <row r="969" ht="15" customHeight="1" s="93"/>
    <row r="970" ht="15" customHeight="1" s="93"/>
    <row r="971" ht="15" customHeight="1" s="93"/>
    <row r="972" ht="15" customHeight="1" s="93"/>
    <row r="973" ht="15" customHeight="1" s="93"/>
    <row r="974" ht="15" customHeight="1" s="93"/>
    <row r="975" ht="15" customHeight="1" s="93"/>
    <row r="976" ht="15" customHeight="1" s="93"/>
    <row r="977" ht="15" customHeight="1" s="93"/>
    <row r="978" ht="15" customHeight="1" s="93"/>
    <row r="979" ht="15" customHeight="1" s="93"/>
    <row r="980" ht="15" customHeight="1" s="93"/>
    <row r="981" ht="15" customHeight="1" s="93"/>
    <row r="982" ht="15" customHeight="1" s="93"/>
    <row r="983" ht="15" customHeight="1" s="93"/>
    <row r="984" ht="15" customHeight="1" s="93"/>
    <row r="985" ht="15" customHeight="1" s="93"/>
    <row r="986" ht="15" customHeight="1" s="93"/>
    <row r="987" ht="15" customHeight="1" s="93"/>
    <row r="988" ht="15" customHeight="1" s="93"/>
    <row r="989" ht="15" customHeight="1" s="93"/>
    <row r="990" ht="15" customHeight="1" s="93"/>
    <row r="991" ht="15" customHeight="1" s="93"/>
    <row r="992" ht="15" customHeight="1" s="93"/>
    <row r="993" ht="15" customHeight="1" s="93"/>
    <row r="994" ht="15" customHeight="1" s="93"/>
    <row r="995" ht="15" customHeight="1" s="93"/>
    <row r="996" ht="15" customHeight="1" s="93"/>
    <row r="997" ht="15" customHeight="1" s="93"/>
    <row r="998" ht="15" customHeight="1" s="93"/>
    <row r="999" ht="15" customHeight="1" s="93"/>
    <row r="1000" ht="15" customHeight="1" s="93"/>
  </sheetData>
  <conditionalFormatting sqref="A2:R1000">
    <cfRule type="expression" rank="0" priority="2" equalAverage="0" aboveAverage="0" dxfId="11" text="" percent="0" bottom="0">
      <formula>$D2="US"</formula>
    </cfRule>
    <cfRule type="expression" rank="0" priority="3" equalAverage="0" aboveAverage="0" dxfId="12" text="" percent="0" bottom="0">
      <formula>$D2="MyMSC"</formula>
    </cfRule>
    <cfRule type="expression" rank="0" priority="4" equalAverage="0" aboveAverage="0" dxfId="13" text="" percent="0" bottom="0">
      <formula>$D2="Rollout"</formula>
    </cfRule>
    <cfRule type="expression" rank="0" priority="5" equalAverage="0" aboveAverage="0" dxfId="13" text="" percent="0" bottom="0">
      <formula>$D2="MVP Rollout"</formula>
    </cfRule>
    <cfRule type="expression" rank="0" priority="6" equalAverage="0" aboveAverage="0" dxfId="14" text="" percent="0" bottom="0">
      <formula>$D2="Backlog"</formula>
    </cfRule>
    <cfRule type="expression" rank="0" priority="7" equalAverage="0" aboveAverage="0" dxfId="14" text="" percent="0" bottom="0">
      <formula>$D2="Growth"</formula>
    </cfRule>
    <cfRule type="expression" rank="0" priority="8" equalAverage="0" aboveAverage="0" dxfId="15" text="" percent="0" bottom="0">
      <formula>$D2="Tech Enhancements"</formula>
    </cfRule>
    <cfRule type="expression" rank="0" priority="9" equalAverage="0" aboveAverage="0" dxfId="16"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8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0" zeroHeight="0" outlineLevelRow="0"/>
  <cols>
    <col width="16" customWidth="1" style="92" min="1" max="1"/>
    <col width="38" customWidth="1" style="92" min="2" max="2"/>
    <col width="12" customWidth="1" style="92" min="3" max="4"/>
    <col width="14" customWidth="1" style="92" min="5" max="5"/>
    <col width="10" customWidth="1" style="92" min="6" max="6"/>
    <col width="14" customWidth="1" style="92" min="7" max="7"/>
    <col width="30" customWidth="1" style="92" min="8" max="8"/>
    <col width="12" customWidth="1" style="92" min="9" max="9"/>
    <col width="14" customWidth="1" style="92" min="10" max="10"/>
    <col width="12" customWidth="1" style="92" min="11" max="11"/>
    <col width="8" customWidth="1" style="92" min="12" max="12"/>
  </cols>
  <sheetData>
    <row r="1" ht="30" customHeight="1" s="93">
      <c r="A1" s="113" t="inlineStr">
        <is>
          <t>Requirement ID</t>
        </is>
      </c>
      <c r="B1" s="113" t="inlineStr">
        <is>
          <t>Requirement Name</t>
        </is>
      </c>
      <c r="C1" s="113" t="inlineStr">
        <is>
          <t>Type</t>
        </is>
      </c>
      <c r="D1" s="113" t="inlineStr">
        <is>
          <t>Stream</t>
        </is>
      </c>
      <c r="E1" s="113" t="inlineStr">
        <is>
          <t>Stream Owner</t>
        </is>
      </c>
      <c r="F1" s="113" t="inlineStr">
        <is>
          <t>Status</t>
        </is>
      </c>
      <c r="G1" s="113" t="inlineStr">
        <is>
          <t>Jira Key</t>
        </is>
      </c>
      <c r="H1" s="113" t="inlineStr">
        <is>
          <t>Jira Link</t>
        </is>
      </c>
      <c r="I1" s="113" t="inlineStr">
        <is>
          <t>Priority</t>
        </is>
      </c>
      <c r="J1" s="113" t="inlineStr">
        <is>
          <t>Sprint</t>
        </is>
      </c>
      <c r="K1" s="113" t="inlineStr">
        <is>
          <t>Release</t>
        </is>
      </c>
      <c r="L1" s="113" t="inlineStr">
        <is>
          <t>HLE</t>
        </is>
      </c>
      <c r="M1" s="170" t="n"/>
      <c r="N1" s="170" t="n"/>
      <c r="O1" s="170" t="n"/>
      <c r="P1" s="170" t="n"/>
      <c r="Q1" s="170" t="n"/>
      <c r="R1" s="170" t="n"/>
    </row>
    <row r="2" ht="15" customHeight="1" s="93">
      <c r="A2" s="117" t="inlineStr">
        <is>
          <t>NEW-0012</t>
        </is>
      </c>
      <c r="B2" s="117" t="inlineStr">
        <is>
          <t>INT 103 - agency email,.  Representative code in INT 101/ 103 (webform US)</t>
        </is>
      </c>
      <c r="C2" s="117" t="inlineStr">
        <is>
          <t>CR</t>
        </is>
      </c>
      <c r="D2" s="117" t="inlineStr">
        <is>
          <t>US</t>
        </is>
      </c>
      <c r="E2" s="117" t="inlineStr">
        <is>
          <t>S&amp;S</t>
        </is>
      </c>
      <c r="F2" s="117" t="inlineStr">
        <is>
          <t>DONE</t>
        </is>
      </c>
      <c r="G2" s="117" t="inlineStr">
        <is>
          <t>MDTTPU-6137</t>
        </is>
      </c>
      <c r="H2" s="117" t="inlineStr">
        <is>
          <t>https://smartship.atlassian.net/browse/MDTTPU-6137</t>
        </is>
      </c>
      <c r="I2" s="117" t="inlineStr">
        <is>
          <t>Medium</t>
        </is>
      </c>
      <c r="J2" s="117" t="inlineStr">
        <is>
          <t>Sprint 8</t>
        </is>
      </c>
      <c r="K2" s="117" t="inlineStr">
        <is>
          <t>Release 18</t>
        </is>
      </c>
      <c r="L2" s="117" t="n">
        <v>5</v>
      </c>
      <c r="M2" s="117" t="n"/>
      <c r="N2" s="117" t="n"/>
      <c r="O2" s="117" t="n"/>
      <c r="P2" s="117" t="n"/>
      <c r="Q2" s="117" t="n"/>
      <c r="R2" s="117" t="n"/>
    </row>
    <row r="3" ht="15" customHeight="1" s="93">
      <c r="A3" s="92" t="inlineStr">
        <is>
          <t>NEW-0015</t>
        </is>
      </c>
      <c r="B3" s="92" t="inlineStr">
        <is>
          <t>Tokenisation - CR - INT 007/ INT 146</t>
        </is>
      </c>
      <c r="C3" s="92" t="inlineStr">
        <is>
          <t>CR</t>
        </is>
      </c>
      <c r="D3" s="92" t="inlineStr">
        <is>
          <t>US</t>
        </is>
      </c>
      <c r="E3" s="92" t="inlineStr">
        <is>
          <t>B2CW</t>
        </is>
      </c>
      <c r="F3" s="92" t="inlineStr">
        <is>
          <t>DONE</t>
        </is>
      </c>
      <c r="G3" s="92" t="inlineStr">
        <is>
          <t>MDTTPU-10926</t>
        </is>
      </c>
      <c r="H3" s="92" t="inlineStr">
        <is>
          <t>https://smartship.atlassian.net/browse/MDTTPU-10926</t>
        </is>
      </c>
      <c r="I3" s="92" t="inlineStr">
        <is>
          <t>Medium</t>
        </is>
      </c>
      <c r="J3" s="92" t="inlineStr">
        <is>
          <t>Sprint 8</t>
        </is>
      </c>
      <c r="K3" s="92" t="inlineStr">
        <is>
          <t>Release 18</t>
        </is>
      </c>
      <c r="L3" s="92" t="n">
        <v>5</v>
      </c>
    </row>
    <row r="4" ht="15" customHeight="1" s="93">
      <c r="A4" s="92" t="inlineStr">
        <is>
          <t>NEW-0043</t>
        </is>
      </c>
      <c r="B4" s="92" t="inlineStr">
        <is>
          <t>CR INT 113 - FormofPayment (PL)</t>
        </is>
      </c>
      <c r="C4" s="92" t="inlineStr">
        <is>
          <t>CR</t>
        </is>
      </c>
      <c r="D4" s="92" t="inlineStr">
        <is>
          <t>MyMSC</t>
        </is>
      </c>
      <c r="E4" s="92" t="inlineStr">
        <is>
          <t>B2CW</t>
        </is>
      </c>
      <c r="F4" s="92" t="inlineStr">
        <is>
          <t>DONE</t>
        </is>
      </c>
      <c r="G4" s="92" t="inlineStr">
        <is>
          <t>DTTP25-38934</t>
        </is>
      </c>
      <c r="H4" s="92" t="inlineStr">
        <is>
          <t>https://smartship.atlassian.net/browse/DTTP25-38934</t>
        </is>
      </c>
      <c r="I4" s="92" t="inlineStr">
        <is>
          <t>Medium</t>
        </is>
      </c>
      <c r="J4" s="92" t="inlineStr">
        <is>
          <t>Sprint 8</t>
        </is>
      </c>
      <c r="L4" s="92" t="n">
        <v>2</v>
      </c>
    </row>
    <row r="5" ht="15" customHeight="1" s="93">
      <c r="A5" s="92" t="inlineStr">
        <is>
          <t>NEW-0044</t>
        </is>
      </c>
      <c r="B5" s="92" t="inlineStr">
        <is>
          <t>CR INT 113/ INT 142 - Group type field</t>
        </is>
      </c>
      <c r="C5" s="92" t="inlineStr">
        <is>
          <t>CR</t>
        </is>
      </c>
      <c r="D5" s="92" t="inlineStr">
        <is>
          <t>MyMSC</t>
        </is>
      </c>
      <c r="E5" s="92" t="inlineStr">
        <is>
          <t>B2CW</t>
        </is>
      </c>
      <c r="F5" s="92" t="inlineStr">
        <is>
          <t>DONE</t>
        </is>
      </c>
      <c r="G5" s="92" t="inlineStr">
        <is>
          <t>DTTP25-38931</t>
        </is>
      </c>
      <c r="H5" s="92" t="inlineStr">
        <is>
          <t>https://smartship.atlassian.net/browse/DTTP25-38931</t>
        </is>
      </c>
      <c r="I5" s="92" t="inlineStr">
        <is>
          <t>Medium</t>
        </is>
      </c>
      <c r="J5" s="92" t="inlineStr">
        <is>
          <t>Sprint 8</t>
        </is>
      </c>
      <c r="L5" s="92" t="n">
        <v>3</v>
      </c>
    </row>
    <row r="6" ht="15" customHeight="1" s="93">
      <c r="A6" s="92" t="inlineStr">
        <is>
          <t>NEW-0263</t>
        </is>
      </c>
      <c r="B6" s="92" t="inlineStr">
        <is>
          <t>B2CW Payment Review - Data Lodging - INT140 &amp; INT146 - prepaid/cruise booking myAREA</t>
        </is>
      </c>
      <c r="C6" s="92" t="inlineStr">
        <is>
          <t>CR</t>
        </is>
      </c>
      <c r="D6" s="92" t="inlineStr">
        <is>
          <t>US</t>
        </is>
      </c>
      <c r="E6" s="92" t="inlineStr">
        <is>
          <t>B2CW</t>
        </is>
      </c>
      <c r="F6" s="92" t="inlineStr">
        <is>
          <t>DONE</t>
        </is>
      </c>
      <c r="G6" s="92" t="inlineStr">
        <is>
          <t>MDTTPU-4728</t>
        </is>
      </c>
      <c r="H6" s="92" t="inlineStr">
        <is>
          <t>https://smartship.atlassian.net/browse/MDTTPU-4728</t>
        </is>
      </c>
      <c r="I6" s="92" t="inlineStr">
        <is>
          <t>Medium</t>
        </is>
      </c>
      <c r="J6" s="92" t="inlineStr">
        <is>
          <t>Sprint 8</t>
        </is>
      </c>
      <c r="K6" s="92" t="inlineStr">
        <is>
          <t>Release 18</t>
        </is>
      </c>
      <c r="L6" s="92" t="n">
        <v>10</v>
      </c>
    </row>
    <row r="7" ht="15" customHeight="1" s="93">
      <c r="A7" s="92" t="inlineStr">
        <is>
          <t>NEW-0264</t>
        </is>
      </c>
      <c r="B7" s="92" t="inlineStr">
        <is>
          <t>Web form for US</t>
        </is>
      </c>
      <c r="C7" s="92" t="inlineStr">
        <is>
          <t>CR</t>
        </is>
      </c>
      <c r="D7" s="92" t="inlineStr">
        <is>
          <t>US</t>
        </is>
      </c>
      <c r="E7" s="92" t="inlineStr">
        <is>
          <t>MA</t>
        </is>
      </c>
      <c r="F7" s="92" t="inlineStr">
        <is>
          <t>DONE</t>
        </is>
      </c>
      <c r="G7" s="92" t="inlineStr">
        <is>
          <t>MDTTPU-6137</t>
        </is>
      </c>
      <c r="H7" s="92" t="inlineStr">
        <is>
          <t>https://smartship.atlassian.net/browse/MDTTPU-6137</t>
        </is>
      </c>
      <c r="I7" s="92" t="inlineStr">
        <is>
          <t>Medium</t>
        </is>
      </c>
      <c r="J7" s="92" t="inlineStr">
        <is>
          <t>Sprint 8</t>
        </is>
      </c>
      <c r="K7" s="92" t="inlineStr">
        <is>
          <t>Release 18</t>
        </is>
      </c>
      <c r="L7" s="92" t="n">
        <v>6</v>
      </c>
    </row>
    <row r="8" ht="15" customHeight="1" s="93">
      <c r="A8" s="92" t="inlineStr">
        <is>
          <t>NEW-0292</t>
        </is>
      </c>
      <c r="B8" s="92" t="inlineStr">
        <is>
          <t>INT139 / INT140 - CR - Klarna Prepaid + PDC Customer Contacts</t>
        </is>
      </c>
      <c r="C8" s="92" t="inlineStr">
        <is>
          <t>CR</t>
        </is>
      </c>
      <c r="D8" s="92" t="inlineStr">
        <is>
          <t>MyMSC</t>
        </is>
      </c>
      <c r="E8" s="92" t="inlineStr">
        <is>
          <t>B2CW</t>
        </is>
      </c>
      <c r="F8" s="92" t="inlineStr">
        <is>
          <t>DONE</t>
        </is>
      </c>
      <c r="G8" s="92" t="inlineStr">
        <is>
          <t>DTTP25-35604</t>
        </is>
      </c>
      <c r="H8" s="92" t="inlineStr">
        <is>
          <t>https://smartship.atlassian.net/browse/DTTP25-35604</t>
        </is>
      </c>
      <c r="I8" s="92" t="inlineStr">
        <is>
          <t>Medium</t>
        </is>
      </c>
      <c r="J8" s="92" t="inlineStr">
        <is>
          <t>Sprint 8</t>
        </is>
      </c>
      <c r="L8" s="92" t="n">
        <v>16</v>
      </c>
    </row>
    <row r="9" ht="15" customHeight="1" s="93">
      <c r="A9" s="92" t="inlineStr">
        <is>
          <t>NEW-0293</t>
        </is>
      </c>
      <c r="B9" s="92" t="inlineStr">
        <is>
          <t>INT145 - CR - Klarna - MyMSC Checkout Payment Support</t>
        </is>
      </c>
      <c r="C9" s="92" t="inlineStr">
        <is>
          <t>CR</t>
        </is>
      </c>
      <c r="D9" s="92" t="inlineStr">
        <is>
          <t>MyMSC</t>
        </is>
      </c>
      <c r="E9" s="92" t="inlineStr">
        <is>
          <t>B2CW</t>
        </is>
      </c>
      <c r="F9" s="92" t="inlineStr">
        <is>
          <t>DONE</t>
        </is>
      </c>
      <c r="G9" s="92" t="inlineStr">
        <is>
          <t>DTTP25-35603</t>
        </is>
      </c>
      <c r="H9" s="92" t="inlineStr">
        <is>
          <t>https://smartship.atlassian.net/browse/DTTP25-35603</t>
        </is>
      </c>
      <c r="I9" s="92" t="inlineStr">
        <is>
          <t>Medium</t>
        </is>
      </c>
      <c r="J9" s="92" t="inlineStr">
        <is>
          <t>Sprint 8</t>
        </is>
      </c>
      <c r="K9" s="92" t="inlineStr">
        <is>
          <t>Release 16</t>
        </is>
      </c>
      <c r="L9" s="92" t="n">
        <v>8</v>
      </c>
    </row>
    <row r="10" ht="15" customHeight="1" s="93">
      <c r="A10" s="92" t="inlineStr">
        <is>
          <t>NEW-0313</t>
        </is>
      </c>
      <c r="B10" s="92" t="inlineStr">
        <is>
          <t>Idempotency on booking payments</t>
        </is>
      </c>
      <c r="C10" s="92" t="inlineStr">
        <is>
          <t>CR</t>
        </is>
      </c>
      <c r="D10" s="92" t="inlineStr">
        <is>
          <t>MyMSC</t>
        </is>
      </c>
      <c r="E10" s="92" t="inlineStr">
        <is>
          <t>B2CW</t>
        </is>
      </c>
      <c r="F10" s="92" t="inlineStr">
        <is>
          <t>DONE</t>
        </is>
      </c>
      <c r="G10" s="92" t="inlineStr">
        <is>
          <t>DTTP25-36938</t>
        </is>
      </c>
      <c r="H10" s="92" t="inlineStr">
        <is>
          <t>https://smartship.atlassian.net/browse/DTTP25-36938</t>
        </is>
      </c>
      <c r="I10" s="92" t="inlineStr">
        <is>
          <t>Medium</t>
        </is>
      </c>
      <c r="J10" s="92" t="inlineStr">
        <is>
          <t>Sprint 8</t>
        </is>
      </c>
      <c r="K10" s="92" t="inlineStr">
        <is>
          <t>Release 15</t>
        </is>
      </c>
      <c r="L10" s="92" t="n">
        <v>8</v>
      </c>
    </row>
    <row r="11" ht="15" customHeight="1" s="93">
      <c r="A11" s="92" t="inlineStr">
        <is>
          <t>NEW-0341</t>
        </is>
      </c>
      <c r="B11" s="92" t="inlineStr">
        <is>
          <t>DTS Post Booking Migration - Market US + CAN</t>
        </is>
      </c>
      <c r="C11" s="92" t="inlineStr">
        <is>
          <t>CR</t>
        </is>
      </c>
      <c r="D11" s="92" t="inlineStr">
        <is>
          <t>Backlog</t>
        </is>
      </c>
      <c r="E11" s="92" t="inlineStr">
        <is>
          <t>MA</t>
        </is>
      </c>
      <c r="F11" s="92" t="inlineStr">
        <is>
          <t>DONE</t>
        </is>
      </c>
      <c r="G11" s="92" t="inlineStr">
        <is>
          <t>DTTP25-38409</t>
        </is>
      </c>
      <c r="H11" s="92" t="inlineStr">
        <is>
          <t>https://smartship.atlassian.net/browse/DTTP25-38409</t>
        </is>
      </c>
      <c r="I11" s="92" t="inlineStr">
        <is>
          <t>Medium</t>
        </is>
      </c>
      <c r="J11" s="92" t="inlineStr">
        <is>
          <t>Sprint 8</t>
        </is>
      </c>
      <c r="K11" s="92" t="inlineStr">
        <is>
          <t>Release 15C</t>
        </is>
      </c>
      <c r="L11" s="92" t="n">
        <v>8</v>
      </c>
    </row>
    <row r="12" ht="15" customHeight="1" s="93">
      <c r="A12" s="92" t="inlineStr">
        <is>
          <t>NEW-0342</t>
        </is>
      </c>
      <c r="B12" s="92" t="inlineStr">
        <is>
          <t>CDP / DTS Post Booking - CR - Pax details Change</t>
        </is>
      </c>
      <c r="C12" s="92" t="inlineStr">
        <is>
          <t>CR</t>
        </is>
      </c>
      <c r="D12" s="92" t="inlineStr">
        <is>
          <t>Backlog</t>
        </is>
      </c>
      <c r="E12" s="92" t="inlineStr">
        <is>
          <t>MA</t>
        </is>
      </c>
      <c r="F12" s="92" t="inlineStr">
        <is>
          <t>DONE</t>
        </is>
      </c>
      <c r="G12" s="92" t="inlineStr">
        <is>
          <t>DTTP25-36972</t>
        </is>
      </c>
      <c r="H12" s="92" t="inlineStr">
        <is>
          <t>https://smartship.atlassian.net/browse/DTTP25-36972</t>
        </is>
      </c>
      <c r="I12" s="92" t="inlineStr">
        <is>
          <t>Medium</t>
        </is>
      </c>
      <c r="J12" s="92" t="inlineStr">
        <is>
          <t>Sprint 8</t>
        </is>
      </c>
      <c r="L12" s="92" t="n">
        <v>5</v>
      </c>
    </row>
    <row r="13" ht="15" customHeight="1" s="93">
      <c r="A13" s="92" t="inlineStr">
        <is>
          <t>NEW-0380</t>
        </is>
      </c>
      <c r="B13" s="92" t="inlineStr">
        <is>
          <t>MSC4Me Precruise - Prepaids flow indipendence</t>
        </is>
      </c>
      <c r="C13" s="92" t="inlineStr">
        <is>
          <t>New</t>
        </is>
      </c>
      <c r="D13" s="92" t="inlineStr">
        <is>
          <t>PI9</t>
        </is>
      </c>
      <c r="E13" s="92" t="inlineStr">
        <is>
          <t>M4M</t>
        </is>
      </c>
      <c r="F13" s="92" t="inlineStr">
        <is>
          <t>DONE</t>
        </is>
      </c>
      <c r="G13" s="92" t="inlineStr">
        <is>
          <t>EA-1117</t>
        </is>
      </c>
      <c r="H13" s="92" t="inlineStr">
        <is>
          <t>https://smartship.atlassian.net/browse/EA-1117</t>
        </is>
      </c>
      <c r="I13" s="92" t="inlineStr">
        <is>
          <t>Medium</t>
        </is>
      </c>
      <c r="J13" s="92" t="inlineStr">
        <is>
          <t>Sprint 8</t>
        </is>
      </c>
      <c r="K13" s="92" t="inlineStr">
        <is>
          <t>Release 17</t>
        </is>
      </c>
    </row>
    <row r="14" ht="15" customHeight="1" s="93">
      <c r="A14" s="92" t="inlineStr">
        <is>
          <t>NEW-0042</t>
        </is>
      </c>
      <c r="B14" s="92" t="inlineStr">
        <is>
          <t>Idempotency Key for Prepaids + Refund</t>
        </is>
      </c>
      <c r="C14" s="92" t="inlineStr">
        <is>
          <t>CR</t>
        </is>
      </c>
      <c r="D14" s="92" t="inlineStr">
        <is>
          <t>MyMSC</t>
        </is>
      </c>
      <c r="E14" s="92" t="inlineStr">
        <is>
          <t>B2CW</t>
        </is>
      </c>
      <c r="F14" s="92" t="inlineStr">
        <is>
          <t>DONE</t>
        </is>
      </c>
      <c r="G14" s="92" t="inlineStr">
        <is>
          <t>DTTP25-36939</t>
        </is>
      </c>
      <c r="H14" s="92" t="inlineStr">
        <is>
          <t>https://smartship.atlassian.net/browse/DTTP25-36939</t>
        </is>
      </c>
      <c r="I14" s="92" t="inlineStr">
        <is>
          <t>Medium</t>
        </is>
      </c>
      <c r="J14" s="92" t="inlineStr">
        <is>
          <t>Sprint 8</t>
        </is>
      </c>
      <c r="K14" s="92" t="inlineStr">
        <is>
          <t>Release 15</t>
        </is>
      </c>
      <c r="L14" s="92" t="n">
        <v>3</v>
      </c>
    </row>
    <row r="15" ht="15" customHeight="1" s="93">
      <c r="A15" s="92" t="inlineStr">
        <is>
          <t>NEW-0417</t>
        </is>
      </c>
      <c r="B15" s="92" t="inlineStr">
        <is>
          <t>Configure APIs for India</t>
        </is>
      </c>
      <c r="C15" s="92" t="inlineStr">
        <is>
          <t>Config</t>
        </is>
      </c>
      <c r="D15" s="92" t="inlineStr">
        <is>
          <t>MVP Rollout</t>
        </is>
      </c>
      <c r="E15" s="92" t="inlineStr">
        <is>
          <t>B2CW</t>
        </is>
      </c>
      <c r="F15" s="92" t="inlineStr">
        <is>
          <t>DONE</t>
        </is>
      </c>
      <c r="G15" s="92" t="inlineStr">
        <is>
          <t>DTTP25-40332</t>
        </is>
      </c>
      <c r="H15" s="92" t="inlineStr">
        <is>
          <t>https://smartship.atlassian.net/browse/DTTP25-40332</t>
        </is>
      </c>
      <c r="I15" s="92" t="inlineStr">
        <is>
          <t>Medium</t>
        </is>
      </c>
      <c r="J15" s="92" t="inlineStr">
        <is>
          <t>Sprint 8</t>
        </is>
      </c>
      <c r="K15" s="92" t="inlineStr">
        <is>
          <t>Release 18</t>
        </is>
      </c>
      <c r="L15" s="92" t="n">
        <v>8</v>
      </c>
    </row>
    <row r="16" ht="15" customHeight="1" s="93">
      <c r="A16" s="92" t="inlineStr">
        <is>
          <t>NEW-0418</t>
        </is>
      </c>
      <c r="B16" s="92" t="inlineStr">
        <is>
          <t>INT146 - CR - Klarna - MyMSC Post-Booking Payment Support</t>
        </is>
      </c>
      <c r="C16" s="92" t="inlineStr">
        <is>
          <t>CR</t>
        </is>
      </c>
      <c r="D16" s="92" t="inlineStr">
        <is>
          <t>MyMSC</t>
        </is>
      </c>
      <c r="E16" s="92" t="inlineStr">
        <is>
          <t>B2CW</t>
        </is>
      </c>
      <c r="F16" s="92" t="inlineStr">
        <is>
          <t>DONE</t>
        </is>
      </c>
      <c r="G16" s="92" t="inlineStr">
        <is>
          <t>DTTP25-38635</t>
        </is>
      </c>
      <c r="H16" s="92" t="inlineStr">
        <is>
          <t>https://smartship.atlassian.net/browse/DTTP25-38635</t>
        </is>
      </c>
      <c r="I16" s="92" t="inlineStr">
        <is>
          <t>Medium</t>
        </is>
      </c>
      <c r="J16" s="92" t="inlineStr">
        <is>
          <t>Sprint 8</t>
        </is>
      </c>
      <c r="K16" s="92" t="inlineStr">
        <is>
          <t>Release 16</t>
        </is>
      </c>
      <c r="L16" s="92" t="n">
        <v>13</v>
      </c>
    </row>
    <row r="17" ht="15" customHeight="1" s="93">
      <c r="A17" s="92" t="inlineStr">
        <is>
          <t>NEW-0063</t>
        </is>
      </c>
      <c r="B17" s="92" t="inlineStr">
        <is>
          <t>INT 005.2 - Support One-Way Air Packages in Flight Availability</t>
        </is>
      </c>
      <c r="C17" s="92" t="inlineStr">
        <is>
          <t>CR</t>
        </is>
      </c>
      <c r="D17" s="92" t="inlineStr">
        <is>
          <t>Growth</t>
        </is>
      </c>
      <c r="E17" s="92" t="inlineStr">
        <is>
          <t>B2CW</t>
        </is>
      </c>
      <c r="F17" s="92" t="inlineStr">
        <is>
          <t>DONE</t>
        </is>
      </c>
      <c r="G17" s="92" t="inlineStr">
        <is>
          <t>DTTP25-37438</t>
        </is>
      </c>
      <c r="H17" s="92" t="inlineStr">
        <is>
          <t>https://smartship.atlassian.net/browse/DTTP25-37438</t>
        </is>
      </c>
      <c r="I17" s="92" t="inlineStr">
        <is>
          <t>Critical</t>
        </is>
      </c>
      <c r="J17" s="92" t="inlineStr">
        <is>
          <t>Sprint 7</t>
        </is>
      </c>
      <c r="K17" s="92" t="inlineStr">
        <is>
          <t>Release 15</t>
        </is>
      </c>
      <c r="L17" s="92" t="n">
        <v>5</v>
      </c>
    </row>
    <row r="18" ht="15" customHeight="1" s="93">
      <c r="A18" s="92" t="inlineStr">
        <is>
          <t>NEW-0112</t>
        </is>
      </c>
      <c r="B18" s="92" t="inlineStr">
        <is>
          <t>Lead pax details in booking event</t>
        </is>
      </c>
      <c r="C18" s="92" t="inlineStr">
        <is>
          <t>CR</t>
        </is>
      </c>
      <c r="D18" s="92" t="inlineStr">
        <is>
          <t>US</t>
        </is>
      </c>
      <c r="E18" s="92" t="inlineStr">
        <is>
          <t>S&amp;S</t>
        </is>
      </c>
      <c r="F18" s="92" t="inlineStr">
        <is>
          <t>DONE</t>
        </is>
      </c>
      <c r="G18" s="92" t="inlineStr">
        <is>
          <t>DTTP25-36972</t>
        </is>
      </c>
      <c r="H18" s="92" t="inlineStr">
        <is>
          <t>https://smartship.atlassian.net/browse/DTTP25-36972</t>
        </is>
      </c>
      <c r="I18" s="92" t="inlineStr">
        <is>
          <t>Medium</t>
        </is>
      </c>
      <c r="J18" s="92" t="inlineStr">
        <is>
          <t>Sprint 7</t>
        </is>
      </c>
      <c r="K18" s="92" t="inlineStr">
        <is>
          <t>Release 18</t>
        </is>
      </c>
    </row>
    <row r="19" ht="15" customHeight="1" s="93">
      <c r="A19" s="92" t="inlineStr">
        <is>
          <t>NEW-0113</t>
        </is>
      </c>
      <c r="B19" s="92" t="inlineStr">
        <is>
          <t>INT 710 Timezone Lookup</t>
        </is>
      </c>
      <c r="C19" s="92" t="inlineStr">
        <is>
          <t>CR</t>
        </is>
      </c>
      <c r="D19" s="92" t="inlineStr">
        <is>
          <t>US</t>
        </is>
      </c>
      <c r="E19" s="92" t="inlineStr">
        <is>
          <t>S&amp;S</t>
        </is>
      </c>
      <c r="F19" s="92" t="inlineStr">
        <is>
          <t>DONE</t>
        </is>
      </c>
      <c r="G19" s="92" t="inlineStr">
        <is>
          <t>MDTTPU-6141</t>
        </is>
      </c>
      <c r="H19" s="92" t="inlineStr">
        <is>
          <t>https://smartship.atlassian.net/browse/MDTTPU-6141</t>
        </is>
      </c>
      <c r="I19" s="92" t="inlineStr">
        <is>
          <t>Medium</t>
        </is>
      </c>
      <c r="J19" s="92" t="inlineStr">
        <is>
          <t>Sprint 7</t>
        </is>
      </c>
      <c r="K19" s="92" t="inlineStr">
        <is>
          <t>Release 18</t>
        </is>
      </c>
    </row>
    <row r="20" ht="15" customHeight="1" s="93">
      <c r="A20" s="92" t="inlineStr">
        <is>
          <t>NEW-0120</t>
        </is>
      </c>
      <c r="B20" s="92" t="inlineStr">
        <is>
          <t>INT 101 - Add group id in webforms</t>
        </is>
      </c>
      <c r="C20" s="92" t="inlineStr">
        <is>
          <t>CR</t>
        </is>
      </c>
      <c r="D20" s="92" t="inlineStr">
        <is>
          <t>US</t>
        </is>
      </c>
      <c r="E20" s="92" t="inlineStr">
        <is>
          <t>S&amp;S</t>
        </is>
      </c>
      <c r="F20" s="92" t="inlineStr">
        <is>
          <t>DONE</t>
        </is>
      </c>
      <c r="G20" s="92" t="inlineStr">
        <is>
          <t>MDTTPU-8133</t>
        </is>
      </c>
      <c r="H20" s="92" t="inlineStr">
        <is>
          <t>https://smartship.atlassian.net/browse/MDTTPU-8133</t>
        </is>
      </c>
      <c r="I20" s="92" t="inlineStr">
        <is>
          <t>Medium</t>
        </is>
      </c>
      <c r="J20" s="92" t="inlineStr">
        <is>
          <t>Sprint 7</t>
        </is>
      </c>
      <c r="K20" s="92" t="inlineStr">
        <is>
          <t>Release 18</t>
        </is>
      </c>
    </row>
    <row r="21" ht="15" customHeight="1" s="93">
      <c r="A21" s="92" t="inlineStr">
        <is>
          <t>NEW-0121</t>
        </is>
      </c>
      <c r="B21" s="92" t="inlineStr">
        <is>
          <t>INT 024.1/ INT 025/ INT100 - Add group type field</t>
        </is>
      </c>
      <c r="C21" s="92" t="inlineStr">
        <is>
          <t>CR</t>
        </is>
      </c>
      <c r="D21" s="92" t="inlineStr">
        <is>
          <t>US</t>
        </is>
      </c>
      <c r="E21" s="92" t="inlineStr">
        <is>
          <t>S&amp;S</t>
        </is>
      </c>
      <c r="F21" s="92" t="inlineStr">
        <is>
          <t>DONE</t>
        </is>
      </c>
      <c r="G21" s="92" t="inlineStr">
        <is>
          <t>MDTTPU-6140</t>
        </is>
      </c>
      <c r="H21" s="92" t="inlineStr">
        <is>
          <t>https://smartship.atlassian.net/browse/MDTTPU-6140</t>
        </is>
      </c>
      <c r="I21" s="92" t="inlineStr">
        <is>
          <t>Medium</t>
        </is>
      </c>
      <c r="J21" s="92" t="inlineStr">
        <is>
          <t>Sprint 7</t>
        </is>
      </c>
      <c r="K21" s="92" t="inlineStr">
        <is>
          <t>Release 18</t>
        </is>
      </c>
      <c r="L21" s="92" t="n">
        <v>3</v>
      </c>
    </row>
    <row r="22" ht="15" customHeight="1" s="93">
      <c r="A22" s="92" t="inlineStr">
        <is>
          <t>NEW-0122</t>
        </is>
      </c>
      <c r="B22" s="92" t="inlineStr">
        <is>
          <t>INT 037 - B2B Representative Event</t>
        </is>
      </c>
      <c r="C22" s="92" t="inlineStr">
        <is>
          <t>New</t>
        </is>
      </c>
      <c r="D22" s="92" t="inlineStr">
        <is>
          <t>US</t>
        </is>
      </c>
      <c r="E22" s="92" t="inlineStr">
        <is>
          <t>S&amp;S</t>
        </is>
      </c>
      <c r="F22" s="92" t="inlineStr">
        <is>
          <t>DONE</t>
        </is>
      </c>
      <c r="G22" s="92" t="inlineStr">
        <is>
          <t>MDTTPU-2675</t>
        </is>
      </c>
      <c r="H22" s="92" t="inlineStr">
        <is>
          <t>https://smartship.atlassian.net/browse/MDTTPU-2675</t>
        </is>
      </c>
      <c r="I22" s="92" t="inlineStr">
        <is>
          <t>Medium</t>
        </is>
      </c>
      <c r="J22" s="92" t="inlineStr">
        <is>
          <t>Sprint 7</t>
        </is>
      </c>
      <c r="K22" s="92" t="inlineStr">
        <is>
          <t>Release 19</t>
        </is>
      </c>
      <c r="L22" s="92" t="n">
        <v>5</v>
      </c>
    </row>
    <row r="23" ht="15" customHeight="1" s="93">
      <c r="A23" s="92" t="inlineStr">
        <is>
          <t>NEW-0151</t>
        </is>
      </c>
      <c r="B23" s="92" t="inlineStr">
        <is>
          <t>INT 139 / 140 - additional applicability logic</t>
        </is>
      </c>
      <c r="C23" s="92" t="inlineStr">
        <is>
          <t>CR</t>
        </is>
      </c>
      <c r="D23" s="92" t="inlineStr">
        <is>
          <t>MyMSC</t>
        </is>
      </c>
      <c r="E23" s="92" t="inlineStr">
        <is>
          <t>B2CW</t>
        </is>
      </c>
      <c r="F23" s="92" t="inlineStr">
        <is>
          <t>DONE</t>
        </is>
      </c>
      <c r="G23" s="92" t="inlineStr">
        <is>
          <t>DTTP25-35437</t>
        </is>
      </c>
      <c r="H23" s="92" t="inlineStr">
        <is>
          <t>https://smartship.atlassian.net/browse/DTTP25-35437</t>
        </is>
      </c>
      <c r="I23" s="92" t="inlineStr">
        <is>
          <t>Medium</t>
        </is>
      </c>
      <c r="J23" s="92" t="inlineStr">
        <is>
          <t>Sprint 7</t>
        </is>
      </c>
    </row>
    <row r="24" ht="15" customHeight="1" s="93">
      <c r="A24" s="92" t="inlineStr">
        <is>
          <t>NEW-0219</t>
        </is>
      </c>
      <c r="B24" s="92" t="inlineStr">
        <is>
          <t>INT710 - Outbound leads - Abandoned Cart - Genesys Contact ID Mapping and Multiple Case Handling</t>
        </is>
      </c>
      <c r="C24" s="92" t="inlineStr">
        <is>
          <t>CR</t>
        </is>
      </c>
      <c r="D24" s="92" t="inlineStr">
        <is>
          <t>US</t>
        </is>
      </c>
      <c r="E24" s="92" t="inlineStr">
        <is>
          <t>S&amp;S</t>
        </is>
      </c>
      <c r="F24" s="92" t="inlineStr">
        <is>
          <t>DONE</t>
        </is>
      </c>
      <c r="G24" s="92" t="inlineStr">
        <is>
          <t>MDTTPU-5929</t>
        </is>
      </c>
      <c r="H24" s="92" t="inlineStr">
        <is>
          <t>https://smartship.atlassian.net/browse/MDTTPU-5929</t>
        </is>
      </c>
      <c r="I24" s="92" t="inlineStr">
        <is>
          <t>Medium</t>
        </is>
      </c>
      <c r="J24" s="92" t="inlineStr">
        <is>
          <t>Sprint 7</t>
        </is>
      </c>
      <c r="K24" s="92" t="inlineStr">
        <is>
          <t>Release 18</t>
        </is>
      </c>
      <c r="L24" s="92" t="n">
        <v>5</v>
      </c>
    </row>
    <row r="25" ht="15" customHeight="1" s="93">
      <c r="A25" s="92" t="inlineStr">
        <is>
          <t>NEW-0228</t>
        </is>
      </c>
      <c r="B25" s="92" t="inlineStr">
        <is>
          <t>INT114.1 / INT114.2 / INT113 Limit access to bookings from the same office as the website agency</t>
        </is>
      </c>
      <c r="C25" s="92" t="inlineStr">
        <is>
          <t>CR</t>
        </is>
      </c>
      <c r="D25" s="92" t="inlineStr">
        <is>
          <t>MyMSC</t>
        </is>
      </c>
      <c r="E25" s="92" t="inlineStr">
        <is>
          <t>B2CW</t>
        </is>
      </c>
      <c r="F25" s="92" t="inlineStr">
        <is>
          <t>DONE</t>
        </is>
      </c>
      <c r="G25" s="92" t="inlineStr">
        <is>
          <t>DTTP25-38013</t>
        </is>
      </c>
      <c r="H25" s="92" t="inlineStr">
        <is>
          <t>https://smartship.atlassian.net/browse/DTTP25-38013</t>
        </is>
      </c>
      <c r="I25" s="92" t="inlineStr">
        <is>
          <t>Medium</t>
        </is>
      </c>
      <c r="J25" s="92" t="inlineStr">
        <is>
          <t>Sprint 7</t>
        </is>
      </c>
      <c r="K25" s="92" t="inlineStr">
        <is>
          <t>Release 13</t>
        </is>
      </c>
      <c r="L25" s="92" t="n">
        <v>3</v>
      </c>
    </row>
    <row r="26" ht="15" customHeight="1" s="93">
      <c r="A26" s="92" t="inlineStr">
        <is>
          <t>NEW-0233</t>
        </is>
      </c>
      <c r="B26" s="92" t="inlineStr">
        <is>
          <t>[CR] Booking Funnel Market Segregation - Include market-level data in logging</t>
        </is>
      </c>
      <c r="C26" s="92" t="inlineStr">
        <is>
          <t>Tech Task</t>
        </is>
      </c>
      <c r="D26" s="92" t="inlineStr">
        <is>
          <t>Tech</t>
        </is>
      </c>
      <c r="E26" s="92" t="inlineStr">
        <is>
          <t>ALL</t>
        </is>
      </c>
      <c r="F26" s="92" t="inlineStr">
        <is>
          <t>DONE</t>
        </is>
      </c>
      <c r="G26" s="92" t="inlineStr">
        <is>
          <t>DTTP25-34120</t>
        </is>
      </c>
      <c r="H26" s="92" t="inlineStr">
        <is>
          <t>https://smartship.atlassian.net/browse/DTTP25-34120</t>
        </is>
      </c>
      <c r="I26" s="92" t="inlineStr">
        <is>
          <t>Medium</t>
        </is>
      </c>
      <c r="J26" s="92" t="inlineStr">
        <is>
          <t>Sprint 7</t>
        </is>
      </c>
      <c r="K26" s="92" t="inlineStr">
        <is>
          <t>Release 15</t>
        </is>
      </c>
      <c r="L26" s="92" t="n">
        <v>8</v>
      </c>
    </row>
    <row r="27" ht="15" customHeight="1" s="93">
      <c r="A27" s="92" t="inlineStr">
        <is>
          <t>NEW-0234</t>
        </is>
      </c>
      <c r="B27" s="92" t="inlineStr">
        <is>
          <t>LOAD TEST in Perf Env - Part 2</t>
        </is>
      </c>
      <c r="C27" s="92" t="inlineStr">
        <is>
          <t>Tech Task</t>
        </is>
      </c>
      <c r="D27" s="92" t="inlineStr">
        <is>
          <t>Tech</t>
        </is>
      </c>
      <c r="E27" s="92" t="inlineStr">
        <is>
          <t>ALL</t>
        </is>
      </c>
      <c r="F27" s="92" t="inlineStr">
        <is>
          <t>DONE</t>
        </is>
      </c>
      <c r="I27" s="92" t="inlineStr">
        <is>
          <t>Medium</t>
        </is>
      </c>
      <c r="J27" s="92" t="inlineStr">
        <is>
          <t>Sprint 7</t>
        </is>
      </c>
      <c r="L27" s="92" t="n">
        <v>5</v>
      </c>
    </row>
    <row r="28" ht="15" customHeight="1" s="93">
      <c r="A28" s="92" t="inlineStr">
        <is>
          <t>NEW-0242</t>
        </is>
      </c>
      <c r="B28" s="92" t="inlineStr">
        <is>
          <t>PVC - INT024.2 CR</t>
        </is>
      </c>
      <c r="C28" s="92" t="inlineStr">
        <is>
          <t>CR</t>
        </is>
      </c>
      <c r="D28" s="92" t="inlineStr">
        <is>
          <t>US</t>
        </is>
      </c>
      <c r="E28" s="92" t="inlineStr">
        <is>
          <t>S&amp;S</t>
        </is>
      </c>
      <c r="F28" s="92" t="inlineStr">
        <is>
          <t>DONE</t>
        </is>
      </c>
      <c r="G28" s="92" t="inlineStr">
        <is>
          <t>MDTTPU-4777</t>
        </is>
      </c>
      <c r="H28" s="92" t="inlineStr">
        <is>
          <t>https://smartship.atlassian.net/browse/MDTTPU-4777</t>
        </is>
      </c>
      <c r="I28" s="92" t="inlineStr">
        <is>
          <t>Medium</t>
        </is>
      </c>
      <c r="J28" s="92" t="inlineStr">
        <is>
          <t>Sprint 7</t>
        </is>
      </c>
      <c r="K28" s="92" t="inlineStr">
        <is>
          <t>Release 18</t>
        </is>
      </c>
      <c r="L28" s="92" t="n">
        <v>2</v>
      </c>
    </row>
    <row r="29" ht="15" customHeight="1" s="93">
      <c r="A29" s="92" t="inlineStr">
        <is>
          <t>NEW-0247</t>
        </is>
      </c>
      <c r="B29" s="92" t="inlineStr">
        <is>
          <t>Attentive - INT172</t>
        </is>
      </c>
      <c r="C29" s="92" t="inlineStr">
        <is>
          <t>New</t>
        </is>
      </c>
      <c r="D29" s="92" t="inlineStr">
        <is>
          <t>US</t>
        </is>
      </c>
      <c r="E29" s="92" t="inlineStr">
        <is>
          <t>MA</t>
        </is>
      </c>
      <c r="F29" s="92" t="inlineStr">
        <is>
          <t>DONE</t>
        </is>
      </c>
      <c r="I29" s="92" t="inlineStr">
        <is>
          <t>Medium</t>
        </is>
      </c>
      <c r="J29" s="92" t="inlineStr">
        <is>
          <t>Sprint 7</t>
        </is>
      </c>
      <c r="K29" s="92" t="inlineStr">
        <is>
          <t>Release 18</t>
        </is>
      </c>
      <c r="L29" s="92" t="n">
        <v>21</v>
      </c>
    </row>
    <row r="30" ht="15" customHeight="1" s="93">
      <c r="A30" s="92" t="inlineStr">
        <is>
          <t>NEW-0248</t>
        </is>
      </c>
      <c r="B30" s="92" t="inlineStr">
        <is>
          <t>Attentive - INT174</t>
        </is>
      </c>
      <c r="C30" s="92" t="inlineStr">
        <is>
          <t>New</t>
        </is>
      </c>
      <c r="D30" s="92" t="inlineStr">
        <is>
          <t>US</t>
        </is>
      </c>
      <c r="E30" s="92" t="inlineStr">
        <is>
          <t>MA</t>
        </is>
      </c>
      <c r="F30" s="92" t="inlineStr">
        <is>
          <t>DONE</t>
        </is>
      </c>
      <c r="I30" s="92" t="inlineStr">
        <is>
          <t>Medium</t>
        </is>
      </c>
      <c r="J30" s="92" t="inlineStr">
        <is>
          <t>Sprint 7</t>
        </is>
      </c>
      <c r="K30" s="92" t="inlineStr">
        <is>
          <t>Release 18</t>
        </is>
      </c>
      <c r="L30" s="92" t="n">
        <v>8</v>
      </c>
    </row>
    <row r="31" ht="15" customHeight="1" s="93">
      <c r="A31" s="92" t="inlineStr">
        <is>
          <t>NEW-0269</t>
        </is>
      </c>
      <c r="B31" s="92" t="inlineStr">
        <is>
          <t>Pre-booking customisation - Free Balcony Upgrades</t>
        </is>
      </c>
      <c r="C31" s="92" t="inlineStr">
        <is>
          <t>CR</t>
        </is>
      </c>
      <c r="D31" s="92" t="inlineStr">
        <is>
          <t>US</t>
        </is>
      </c>
      <c r="E31" s="92" t="inlineStr">
        <is>
          <t>B2CW</t>
        </is>
      </c>
      <c r="F31" s="92" t="inlineStr">
        <is>
          <t>DONE</t>
        </is>
      </c>
      <c r="G31" s="92" t="inlineStr">
        <is>
          <t>MDTTPU-9536</t>
        </is>
      </c>
      <c r="H31" s="92" t="inlineStr">
        <is>
          <t>https://smartship.atlassian.net/browse/MDTTPU-9536</t>
        </is>
      </c>
      <c r="I31" s="92" t="inlineStr">
        <is>
          <t>Medium</t>
        </is>
      </c>
      <c r="J31" s="92" t="inlineStr">
        <is>
          <t>Sprint 7</t>
        </is>
      </c>
      <c r="K31" s="92" t="inlineStr">
        <is>
          <t>Release 18</t>
        </is>
      </c>
      <c r="L31" s="92" t="n">
        <v>3</v>
      </c>
    </row>
    <row r="32" ht="15" customHeight="1" s="93">
      <c r="A32" s="92" t="inlineStr">
        <is>
          <t>NEW-0271</t>
        </is>
      </c>
      <c r="B32" s="92" t="inlineStr">
        <is>
          <t>INT 002 CR - Kids Sail Free</t>
        </is>
      </c>
      <c r="C32" s="92" t="inlineStr">
        <is>
          <t>CR</t>
        </is>
      </c>
      <c r="D32" s="92" t="inlineStr">
        <is>
          <t>US</t>
        </is>
      </c>
      <c r="E32" s="92" t="inlineStr">
        <is>
          <t>B2CW</t>
        </is>
      </c>
      <c r="F32" s="92" t="inlineStr">
        <is>
          <t>DONE</t>
        </is>
      </c>
      <c r="G32" s="92" t="inlineStr">
        <is>
          <t>MDTTPU-7976</t>
        </is>
      </c>
      <c r="H32" s="92" t="inlineStr">
        <is>
          <t>https://smartship.atlassian.net/browse/MDTTPU-7976</t>
        </is>
      </c>
      <c r="I32" s="92" t="inlineStr">
        <is>
          <t>Medium</t>
        </is>
      </c>
      <c r="J32" s="92" t="inlineStr">
        <is>
          <t>Sprint 7</t>
        </is>
      </c>
      <c r="K32" s="92" t="inlineStr">
        <is>
          <t>Release 18</t>
        </is>
      </c>
      <c r="L32" s="92" t="n">
        <v>5</v>
      </c>
    </row>
    <row r="33" ht="15" customHeight="1" s="93">
      <c r="A33" s="92" t="inlineStr">
        <is>
          <t>NEW-0304</t>
        </is>
      </c>
      <c r="B33" s="92" t="inlineStr">
        <is>
          <t>INT139 / INT140 - Applicability of items during all inclusive logic - CR passenger type logic</t>
        </is>
      </c>
      <c r="C33" s="92" t="inlineStr">
        <is>
          <t>CR</t>
        </is>
      </c>
      <c r="D33" s="92" t="inlineStr">
        <is>
          <t>MyMSC</t>
        </is>
      </c>
      <c r="E33" s="92" t="inlineStr">
        <is>
          <t>B2CW</t>
        </is>
      </c>
      <c r="F33" s="92" t="inlineStr">
        <is>
          <t>DONE</t>
        </is>
      </c>
      <c r="G33" s="92" t="inlineStr">
        <is>
          <t>DTTP25-37982</t>
        </is>
      </c>
      <c r="H33" s="92" t="inlineStr">
        <is>
          <t>https://smartship.atlassian.net/browse/DTTP25-37982</t>
        </is>
      </c>
      <c r="I33" s="92" t="inlineStr">
        <is>
          <t>Medium</t>
        </is>
      </c>
      <c r="J33" s="92" t="inlineStr">
        <is>
          <t>Sprint 7</t>
        </is>
      </c>
      <c r="K33" s="92" t="inlineStr">
        <is>
          <t>Release 13</t>
        </is>
      </c>
      <c r="L33" s="92" t="n">
        <v>2</v>
      </c>
    </row>
    <row r="34" ht="15" customHeight="1" s="93">
      <c r="A34" s="92" t="inlineStr">
        <is>
          <t>NEW-0310</t>
        </is>
      </c>
      <c r="B34" s="92" t="inlineStr">
        <is>
          <t>Super Agency Access - Short term workaround CR</t>
        </is>
      </c>
      <c r="C34" s="92" t="inlineStr">
        <is>
          <t>CR</t>
        </is>
      </c>
      <c r="D34" s="92" t="inlineStr">
        <is>
          <t>MyMSC</t>
        </is>
      </c>
      <c r="E34" s="92" t="inlineStr">
        <is>
          <t>B2CW</t>
        </is>
      </c>
      <c r="F34" s="92" t="inlineStr">
        <is>
          <t>DONE</t>
        </is>
      </c>
      <c r="G34" s="92" t="inlineStr">
        <is>
          <t>DTTP25-38013</t>
        </is>
      </c>
      <c r="H34" s="92" t="inlineStr">
        <is>
          <t>https://smartship.atlassian.net/browse/DTTP25-38013</t>
        </is>
      </c>
      <c r="I34" s="92" t="inlineStr">
        <is>
          <t>Medium</t>
        </is>
      </c>
      <c r="J34" s="92" t="inlineStr">
        <is>
          <t>Sprint 7</t>
        </is>
      </c>
      <c r="L34" s="92" t="n">
        <v>3</v>
      </c>
    </row>
    <row r="35" ht="15" customHeight="1" s="93">
      <c r="A35" s="92" t="inlineStr">
        <is>
          <t>NEW-0312</t>
        </is>
      </c>
      <c r="B35" s="92" t="inlineStr">
        <is>
          <t>INT114 Modify rule on departure date</t>
        </is>
      </c>
      <c r="C35" s="92" t="inlineStr">
        <is>
          <t>CR</t>
        </is>
      </c>
      <c r="D35" s="92" t="inlineStr">
        <is>
          <t>MyMSC</t>
        </is>
      </c>
      <c r="E35" s="92" t="inlineStr">
        <is>
          <t>B2CW</t>
        </is>
      </c>
      <c r="F35" s="92" t="inlineStr">
        <is>
          <t>DONE</t>
        </is>
      </c>
      <c r="G35" s="92" t="inlineStr">
        <is>
          <t>DTTP25-35435</t>
        </is>
      </c>
      <c r="H35" s="92" t="inlineStr">
        <is>
          <t>https://smartship.atlassian.net/browse/DTTP25-35435</t>
        </is>
      </c>
      <c r="I35" s="92" t="inlineStr">
        <is>
          <t>Medium</t>
        </is>
      </c>
      <c r="J35" s="92" t="inlineStr">
        <is>
          <t>Sprint 7</t>
        </is>
      </c>
      <c r="K35" s="92" t="inlineStr">
        <is>
          <t>Release 15</t>
        </is>
      </c>
      <c r="L35" s="92" t="n">
        <v>2</v>
      </c>
    </row>
    <row r="36" ht="15" customHeight="1" s="93">
      <c r="A36" s="92" t="inlineStr">
        <is>
          <t>NEW-0388</t>
        </is>
      </c>
      <c r="B36" s="92" t="inlineStr">
        <is>
          <t>DTTP - Sign Up Event Tracking in AEP/AJO/CDP/SALESFORCE_EAImpact</t>
        </is>
      </c>
      <c r="C36" s="92" t="inlineStr">
        <is>
          <t>CR</t>
        </is>
      </c>
      <c r="D36" s="92" t="inlineStr">
        <is>
          <t>PI10</t>
        </is>
      </c>
      <c r="E36" s="92" t="inlineStr">
        <is>
          <t>MA</t>
        </is>
      </c>
      <c r="F36" s="92" t="inlineStr">
        <is>
          <t>DONE</t>
        </is>
      </c>
      <c r="G36" s="92" t="inlineStr">
        <is>
          <t>EA-1307</t>
        </is>
      </c>
      <c r="H36" s="92" t="inlineStr">
        <is>
          <t>https://smartship.atlassian.net/browse/EA-1307</t>
        </is>
      </c>
      <c r="I36" s="92" t="inlineStr">
        <is>
          <t>Medium</t>
        </is>
      </c>
      <c r="J36" s="92" t="inlineStr">
        <is>
          <t>Sprint 7</t>
        </is>
      </c>
      <c r="K36" s="92" t="inlineStr">
        <is>
          <t>Release 15C</t>
        </is>
      </c>
      <c r="L36" s="92" t="n">
        <v>5</v>
      </c>
    </row>
    <row r="37" ht="15" customHeight="1" s="93">
      <c r="A37" s="92" t="inlineStr">
        <is>
          <t>NEW-0420</t>
        </is>
      </c>
      <c r="B37" s="92" t="inlineStr">
        <is>
          <t>INT 004.3/004.4/006/007 - Forward airType to DTS in Insurance, Price, Booking, and Hold Option Requests (One-Way Air Packages)</t>
        </is>
      </c>
      <c r="C37" s="92" t="inlineStr">
        <is>
          <t>CR</t>
        </is>
      </c>
      <c r="D37" s="92" t="inlineStr">
        <is>
          <t>Growth</t>
        </is>
      </c>
      <c r="E37" s="92" t="inlineStr">
        <is>
          <t>B2CW</t>
        </is>
      </c>
      <c r="F37" s="92" t="inlineStr">
        <is>
          <t>DONE</t>
        </is>
      </c>
      <c r="G37" s="92" t="inlineStr">
        <is>
          <t>DTTP25-37439</t>
        </is>
      </c>
      <c r="H37" s="92" t="inlineStr">
        <is>
          <t>https://smartship.atlassian.net/browse/DTTP25-37439</t>
        </is>
      </c>
      <c r="I37" s="92" t="inlineStr">
        <is>
          <t>Critical</t>
        </is>
      </c>
      <c r="J37" s="92" t="inlineStr">
        <is>
          <t>Sprint 7</t>
        </is>
      </c>
      <c r="K37" s="92" t="inlineStr">
        <is>
          <t>Release 15</t>
        </is>
      </c>
      <c r="L37" s="92" t="n">
        <v>13</v>
      </c>
    </row>
    <row r="38" ht="15" customHeight="1" s="93">
      <c r="A38" s="92" t="inlineStr">
        <is>
          <t>NEW-0421</t>
        </is>
      </c>
      <c r="B38" s="92" t="inlineStr">
        <is>
          <t>INT 002.x - Expose airType in Category Search Responses (One-Way Air Packages)</t>
        </is>
      </c>
      <c r="C38" s="92" t="inlineStr">
        <is>
          <t>CR</t>
        </is>
      </c>
      <c r="D38" s="92" t="inlineStr">
        <is>
          <t>Growth</t>
        </is>
      </c>
      <c r="E38" s="92" t="inlineStr">
        <is>
          <t>B2CW</t>
        </is>
      </c>
      <c r="F38" s="92" t="inlineStr">
        <is>
          <t>DONE</t>
        </is>
      </c>
      <c r="G38" s="92" t="inlineStr">
        <is>
          <t>DTTP25-31684</t>
        </is>
      </c>
      <c r="H38" s="92" t="inlineStr">
        <is>
          <t>https://smartship.atlassian.net/browse/DTTP25-31684</t>
        </is>
      </c>
      <c r="I38" s="92" t="inlineStr">
        <is>
          <t>Critical</t>
        </is>
      </c>
      <c r="J38" s="92" t="inlineStr">
        <is>
          <t>Sprint 7</t>
        </is>
      </c>
      <c r="K38" s="92" t="inlineStr">
        <is>
          <t>Release 15</t>
        </is>
      </c>
      <c r="L38" s="92" t="n">
        <v>5</v>
      </c>
    </row>
    <row r="39" ht="15" customHeight="1" s="93">
      <c r="A39" s="92" t="inlineStr">
        <is>
          <t>NEW-0422</t>
        </is>
      </c>
      <c r="B39" s="92" t="inlineStr">
        <is>
          <t>[Rollout] Configure APIs for India - CHAIN1&amp;2 Config</t>
        </is>
      </c>
      <c r="C39" s="92" t="inlineStr">
        <is>
          <t>Config</t>
        </is>
      </c>
      <c r="D39" s="92" t="inlineStr">
        <is>
          <t>MVP Rollout</t>
        </is>
      </c>
      <c r="E39" s="92" t="inlineStr">
        <is>
          <t>B2CW</t>
        </is>
      </c>
      <c r="F39" s="92" t="inlineStr">
        <is>
          <t>DONE</t>
        </is>
      </c>
      <c r="G39" s="92" t="inlineStr">
        <is>
          <t>DTTP25-39645</t>
        </is>
      </c>
      <c r="H39" s="92" t="inlineStr">
        <is>
          <t>https://smartship.atlassian.net/browse/DTTP25-39645</t>
        </is>
      </c>
      <c r="I39" s="92" t="inlineStr">
        <is>
          <t>Medium</t>
        </is>
      </c>
      <c r="J39" s="92" t="inlineStr">
        <is>
          <t>Sprint 7</t>
        </is>
      </c>
      <c r="K39" s="92" t="inlineStr">
        <is>
          <t>Release 15</t>
        </is>
      </c>
      <c r="L39" s="92" t="n">
        <v>8</v>
      </c>
    </row>
    <row r="40" ht="15" customHeight="1" s="93">
      <c r="A40" s="92" t="inlineStr">
        <is>
          <t>NEW-0100</t>
        </is>
      </c>
      <c r="B40" s="92" t="inlineStr">
        <is>
          <t>Call me back / Already sent</t>
        </is>
      </c>
      <c r="C40" s="92" t="inlineStr">
        <is>
          <t>CR</t>
        </is>
      </c>
      <c r="D40" s="92" t="inlineStr">
        <is>
          <t>US</t>
        </is>
      </c>
      <c r="E40" s="92" t="inlineStr">
        <is>
          <t>S&amp;S</t>
        </is>
      </c>
      <c r="F40" s="92" t="inlineStr">
        <is>
          <t>DONE</t>
        </is>
      </c>
      <c r="G40" s="92" t="inlineStr">
        <is>
          <t>MDTTPU-4412</t>
        </is>
      </c>
      <c r="H40" s="92" t="inlineStr">
        <is>
          <t>https://smartship.atlassian.net/browse/MDTTPU-4412</t>
        </is>
      </c>
      <c r="I40" s="92" t="inlineStr">
        <is>
          <t>Medium</t>
        </is>
      </c>
      <c r="J40" s="92" t="inlineStr">
        <is>
          <t>Sprint 6</t>
        </is>
      </c>
      <c r="K40" s="92" t="inlineStr">
        <is>
          <t>Release 19</t>
        </is>
      </c>
      <c r="L40" s="92" t="n">
        <v>8</v>
      </c>
    </row>
    <row r="41" ht="15" customHeight="1" s="93">
      <c r="A41" s="92" t="inlineStr">
        <is>
          <t>NEW-0103</t>
        </is>
      </c>
      <c r="B41" s="92" t="inlineStr">
        <is>
          <t>Outbound leads - Abandoned Cart - New Interface INT007.2</t>
        </is>
      </c>
      <c r="C41" s="92" t="inlineStr">
        <is>
          <t>CR</t>
        </is>
      </c>
      <c r="D41" s="92" t="inlineStr">
        <is>
          <t>US</t>
        </is>
      </c>
      <c r="E41" s="92" t="inlineStr">
        <is>
          <t>B2CW</t>
        </is>
      </c>
      <c r="F41" s="92" t="inlineStr">
        <is>
          <t>DONE</t>
        </is>
      </c>
      <c r="G41" s="92" t="inlineStr">
        <is>
          <t>MDTTPU-5928</t>
        </is>
      </c>
      <c r="H41" s="92" t="inlineStr">
        <is>
          <t>https://smartship.atlassian.net/browse/MDTTPU-5928</t>
        </is>
      </c>
      <c r="I41" s="92" t="inlineStr">
        <is>
          <t>Medium</t>
        </is>
      </c>
      <c r="J41" s="92" t="inlineStr">
        <is>
          <t>Sprint 6</t>
        </is>
      </c>
      <c r="K41" s="92" t="inlineStr">
        <is>
          <t>Release 19</t>
        </is>
      </c>
      <c r="L41" s="92" t="n">
        <v>8</v>
      </c>
    </row>
    <row r="42" ht="15" customHeight="1" s="93">
      <c r="A42" s="92" t="inlineStr">
        <is>
          <t>NEW-0104</t>
        </is>
      </c>
      <c r="B42" s="92" t="inlineStr">
        <is>
          <t>Outbound leads - Abandoned Cart - Change to INT710</t>
        </is>
      </c>
      <c r="C42" s="92" t="inlineStr">
        <is>
          <t>CR</t>
        </is>
      </c>
      <c r="D42" s="92" t="inlineStr">
        <is>
          <t>US</t>
        </is>
      </c>
      <c r="E42" s="92" t="inlineStr">
        <is>
          <t>B2CW</t>
        </is>
      </c>
      <c r="F42" s="92" t="inlineStr">
        <is>
          <t>DONE</t>
        </is>
      </c>
      <c r="I42" s="92" t="inlineStr">
        <is>
          <t>Medium</t>
        </is>
      </c>
      <c r="J42" s="92" t="inlineStr">
        <is>
          <t>Sprint 6</t>
        </is>
      </c>
      <c r="K42" s="92" t="inlineStr">
        <is>
          <t>Release 18</t>
        </is>
      </c>
      <c r="L42" s="92" t="n">
        <v>5</v>
      </c>
    </row>
    <row r="43" ht="15" customHeight="1" s="93">
      <c r="A43" s="92" t="inlineStr">
        <is>
          <t>NEW-0105</t>
        </is>
      </c>
      <c r="B43" s="92" t="inlineStr">
        <is>
          <t>Uknown Web Option</t>
        </is>
      </c>
      <c r="C43" s="92" t="inlineStr">
        <is>
          <t>CR</t>
        </is>
      </c>
      <c r="D43" s="92" t="inlineStr">
        <is>
          <t>US</t>
        </is>
      </c>
      <c r="E43" s="92" t="inlineStr">
        <is>
          <t>B2CW</t>
        </is>
      </c>
      <c r="F43" s="92" t="inlineStr">
        <is>
          <t>DONE</t>
        </is>
      </c>
      <c r="I43" s="92" t="inlineStr">
        <is>
          <t>Medium</t>
        </is>
      </c>
      <c r="J43" s="92" t="inlineStr">
        <is>
          <t>Sprint 6</t>
        </is>
      </c>
      <c r="K43" s="92" t="inlineStr">
        <is>
          <t>Release 18</t>
        </is>
      </c>
      <c r="L43" s="92" t="n">
        <v>3</v>
      </c>
    </row>
    <row r="44" ht="15" customHeight="1" s="93">
      <c r="A44" s="92" t="inlineStr">
        <is>
          <t>NEW-0111</t>
        </is>
      </c>
      <c r="B44" s="92" t="inlineStr">
        <is>
          <t>INT 158 - Assign Opportunity ID to existing booking</t>
        </is>
      </c>
      <c r="C44" s="92" t="inlineStr">
        <is>
          <t>New</t>
        </is>
      </c>
      <c r="D44" s="92" t="inlineStr">
        <is>
          <t>US</t>
        </is>
      </c>
      <c r="E44" s="92" t="inlineStr">
        <is>
          <t>S&amp;S</t>
        </is>
      </c>
      <c r="F44" s="92" t="inlineStr">
        <is>
          <t>DONE</t>
        </is>
      </c>
      <c r="G44" s="92" t="inlineStr">
        <is>
          <t>MDTTPU-1816</t>
        </is>
      </c>
      <c r="H44" s="92" t="inlineStr">
        <is>
          <t>https://smartship.atlassian.net/browse/MDTTPU-1816</t>
        </is>
      </c>
      <c r="I44" s="92" t="inlineStr">
        <is>
          <t>Medium</t>
        </is>
      </c>
      <c r="J44" s="92" t="inlineStr">
        <is>
          <t>Sprint 6</t>
        </is>
      </c>
      <c r="K44" s="92" t="inlineStr">
        <is>
          <t>Release 18</t>
        </is>
      </c>
      <c r="L44" s="92" t="n">
        <v>5</v>
      </c>
    </row>
    <row r="45" ht="15" customHeight="1" s="93">
      <c r="A45" s="92" t="inlineStr">
        <is>
          <t>NEW-0127</t>
        </is>
      </c>
      <c r="B45" s="92" t="inlineStr">
        <is>
          <t>Flight classes</t>
        </is>
      </c>
      <c r="C45" s="92" t="inlineStr">
        <is>
          <t>CR</t>
        </is>
      </c>
      <c r="D45" s="92" t="inlineStr">
        <is>
          <t>Growth</t>
        </is>
      </c>
      <c r="E45" s="92" t="inlineStr">
        <is>
          <t>B2CW</t>
        </is>
      </c>
      <c r="F45" s="92" t="inlineStr">
        <is>
          <t>DONE</t>
        </is>
      </c>
      <c r="G45" s="92" t="inlineStr">
        <is>
          <t>DTTP25-35414</t>
        </is>
      </c>
      <c r="H45" s="92" t="inlineStr">
        <is>
          <t>https://smartship.atlassian.net/browse/DTTP25-35414</t>
        </is>
      </c>
      <c r="I45" s="92" t="inlineStr">
        <is>
          <t>Medium</t>
        </is>
      </c>
      <c r="J45" s="92" t="inlineStr">
        <is>
          <t>Sprint 6</t>
        </is>
      </c>
      <c r="K45" s="92" t="inlineStr">
        <is>
          <t>Release 13</t>
        </is>
      </c>
      <c r="L45" s="92" t="n">
        <v>5</v>
      </c>
    </row>
    <row r="46" ht="15" customHeight="1" s="93">
      <c r="A46" s="92" t="inlineStr">
        <is>
          <t>NEW-0131</t>
        </is>
      </c>
      <c r="B46" s="92" t="inlineStr">
        <is>
          <t>Datatrans webhook INT165 inc. routing to AZF005</t>
        </is>
      </c>
      <c r="C46" s="92" t="inlineStr">
        <is>
          <t>CR</t>
        </is>
      </c>
      <c r="D46" s="92" t="inlineStr">
        <is>
          <t>Growth</t>
        </is>
      </c>
      <c r="E46" s="92" t="inlineStr">
        <is>
          <t>B2CW</t>
        </is>
      </c>
      <c r="F46" s="92" t="inlineStr">
        <is>
          <t>DONE</t>
        </is>
      </c>
      <c r="G46" s="92" t="inlineStr">
        <is>
          <t>DTTP25-36856</t>
        </is>
      </c>
      <c r="H46" s="92" t="inlineStr">
        <is>
          <t>https://smartship.atlassian.net/browse/DTTP25-36856</t>
        </is>
      </c>
      <c r="I46" s="92" t="inlineStr">
        <is>
          <t>Medium</t>
        </is>
      </c>
      <c r="J46" s="92" t="inlineStr">
        <is>
          <t>Sprint 6</t>
        </is>
      </c>
      <c r="K46" s="92" t="inlineStr">
        <is>
          <t>Release 15</t>
        </is>
      </c>
      <c r="L46" s="92" t="n">
        <v>8</v>
      </c>
    </row>
    <row r="47" ht="15" customHeight="1" s="93">
      <c r="A47" s="92" t="inlineStr">
        <is>
          <t>NEW-0143</t>
        </is>
      </c>
      <c r="B47" s="92" t="inlineStr">
        <is>
          <t>INT 130 - Dining Slots CR</t>
        </is>
      </c>
      <c r="C47" s="92" t="inlineStr">
        <is>
          <t>CR</t>
        </is>
      </c>
      <c r="D47" s="92" t="inlineStr">
        <is>
          <t>MyMSC</t>
        </is>
      </c>
      <c r="E47" s="92" t="inlineStr">
        <is>
          <t>B2CW</t>
        </is>
      </c>
      <c r="F47" s="92" t="inlineStr">
        <is>
          <t>DONE</t>
        </is>
      </c>
      <c r="G47" s="92" t="inlineStr">
        <is>
          <t>DTTP25-35956</t>
        </is>
      </c>
      <c r="H47" s="92" t="inlineStr">
        <is>
          <t>https://smartship.atlassian.net/browse/DTTP25-35956</t>
        </is>
      </c>
      <c r="I47" s="92" t="inlineStr">
        <is>
          <t>Medium</t>
        </is>
      </c>
      <c r="J47" s="92" t="inlineStr">
        <is>
          <t>Sprint 6</t>
        </is>
      </c>
      <c r="K47" s="92" t="inlineStr">
        <is>
          <t>Release 13</t>
        </is>
      </c>
      <c r="L47" s="92" t="n">
        <v>3</v>
      </c>
    </row>
    <row r="48" ht="15" customHeight="1" s="93">
      <c r="A48" s="92" t="inlineStr">
        <is>
          <t>NEW-0146</t>
        </is>
      </c>
      <c r="B48" s="92" t="inlineStr">
        <is>
          <t>INT 139/ INT 140 Applicability ALL INC</t>
        </is>
      </c>
      <c r="C48" s="92" t="inlineStr">
        <is>
          <t>CR</t>
        </is>
      </c>
      <c r="D48" s="92" t="inlineStr">
        <is>
          <t>MyMSC</t>
        </is>
      </c>
      <c r="E48" s="92" t="inlineStr">
        <is>
          <t>B2CW</t>
        </is>
      </c>
      <c r="F48" s="92" t="inlineStr">
        <is>
          <t>DONE</t>
        </is>
      </c>
      <c r="G48" s="92" t="inlineStr">
        <is>
          <t>DTTP25-35437</t>
        </is>
      </c>
      <c r="H48" s="92" t="inlineStr">
        <is>
          <t>https://smartship.atlassian.net/browse/DTTP25-35437</t>
        </is>
      </c>
      <c r="I48" s="92" t="inlineStr">
        <is>
          <t>Medium</t>
        </is>
      </c>
      <c r="J48" s="92" t="inlineStr">
        <is>
          <t>Sprint 6</t>
        </is>
      </c>
      <c r="K48" s="92" t="inlineStr">
        <is>
          <t>Release 13</t>
        </is>
      </c>
      <c r="L48" s="92" t="n">
        <v>8</v>
      </c>
    </row>
    <row r="49" ht="15" customHeight="1" s="93">
      <c r="A49" s="92" t="inlineStr">
        <is>
          <t>NEW-0148</t>
        </is>
      </c>
      <c r="B49" s="92" t="inlineStr">
        <is>
          <t>Already Purchased - item no longer sold - INT 142</t>
        </is>
      </c>
      <c r="C49" s="92" t="inlineStr">
        <is>
          <t>CR</t>
        </is>
      </c>
      <c r="D49" s="92" t="inlineStr">
        <is>
          <t>MyMSC</t>
        </is>
      </c>
      <c r="E49" s="92" t="inlineStr">
        <is>
          <t>B2CW</t>
        </is>
      </c>
      <c r="F49" s="92" t="inlineStr">
        <is>
          <t>DONE</t>
        </is>
      </c>
      <c r="G49" s="92" t="inlineStr">
        <is>
          <t>DTTP25-37062</t>
        </is>
      </c>
      <c r="H49" s="92" t="inlineStr">
        <is>
          <t>https://smartship.atlassian.net/browse/DTTP25-37062</t>
        </is>
      </c>
      <c r="I49" s="92" t="inlineStr">
        <is>
          <t>Medium</t>
        </is>
      </c>
      <c r="J49" s="92" t="inlineStr">
        <is>
          <t>Sprint 6</t>
        </is>
      </c>
      <c r="K49" s="92" t="inlineStr">
        <is>
          <t>Release 13</t>
        </is>
      </c>
      <c r="L49" s="92" t="n">
        <v>5</v>
      </c>
    </row>
    <row r="50" ht="15" customHeight="1" s="93">
      <c r="A50" s="92" t="inlineStr">
        <is>
          <t>NEW-0150</t>
        </is>
      </c>
      <c r="B50" s="92" t="inlineStr">
        <is>
          <t>INT 139/140 -all inc item missing from OBS List</t>
        </is>
      </c>
      <c r="C50" s="92" t="inlineStr">
        <is>
          <t>CR</t>
        </is>
      </c>
      <c r="D50" s="92" t="inlineStr">
        <is>
          <t>MyMSC</t>
        </is>
      </c>
      <c r="E50" s="92" t="inlineStr">
        <is>
          <t>B2CW</t>
        </is>
      </c>
      <c r="F50" s="92" t="inlineStr">
        <is>
          <t>DONE</t>
        </is>
      </c>
      <c r="I50" s="92" t="inlineStr">
        <is>
          <t>Medium</t>
        </is>
      </c>
      <c r="J50" s="92" t="inlineStr">
        <is>
          <t>Sprint 6</t>
        </is>
      </c>
      <c r="L50" s="92" t="n">
        <v>3</v>
      </c>
    </row>
    <row r="51" ht="15" customHeight="1" s="93">
      <c r="A51" s="92" t="inlineStr">
        <is>
          <t>NEW-0240</t>
        </is>
      </c>
      <c r="B51" s="92" t="inlineStr">
        <is>
          <t>Setup of DTS credit card codes for US</t>
        </is>
      </c>
      <c r="C51" s="92" t="inlineStr">
        <is>
          <t>CR</t>
        </is>
      </c>
      <c r="D51" s="92" t="inlineStr">
        <is>
          <t>US</t>
        </is>
      </c>
      <c r="E51" s="92" t="inlineStr">
        <is>
          <t>S&amp;S</t>
        </is>
      </c>
      <c r="F51" s="92" t="inlineStr">
        <is>
          <t>DONE</t>
        </is>
      </c>
      <c r="G51" s="92" t="inlineStr">
        <is>
          <t>MDTTPU-6139</t>
        </is>
      </c>
      <c r="H51" s="92" t="inlineStr">
        <is>
          <t>https://smartship.atlassian.net/browse/MDTTPU-6139</t>
        </is>
      </c>
      <c r="I51" s="92" t="inlineStr">
        <is>
          <t>Medium</t>
        </is>
      </c>
      <c r="J51" s="92" t="inlineStr">
        <is>
          <t>Sprint 6</t>
        </is>
      </c>
      <c r="K51" s="92" t="inlineStr">
        <is>
          <t>Release 19</t>
        </is>
      </c>
      <c r="L51" s="92" t="n">
        <v>2</v>
      </c>
    </row>
    <row r="52" ht="15" customHeight="1" s="93">
      <c r="A52" s="92" t="inlineStr">
        <is>
          <t>NEW-0243</t>
        </is>
      </c>
      <c r="B52" s="92" t="inlineStr">
        <is>
          <t>PVC - INT158 (New Interface)</t>
        </is>
      </c>
      <c r="C52" s="92" t="inlineStr">
        <is>
          <t>New</t>
        </is>
      </c>
      <c r="D52" s="92" t="inlineStr">
        <is>
          <t>US</t>
        </is>
      </c>
      <c r="E52" s="92" t="inlineStr">
        <is>
          <t>S&amp;S</t>
        </is>
      </c>
      <c r="F52" s="92" t="inlineStr">
        <is>
          <t>DONE</t>
        </is>
      </c>
      <c r="G52" s="92" t="inlineStr">
        <is>
          <t>MDTTPU-1336</t>
        </is>
      </c>
      <c r="H52" s="92" t="inlineStr">
        <is>
          <t>https://smartship.atlassian.net/browse/MDTTPU-1336</t>
        </is>
      </c>
      <c r="I52" s="92" t="inlineStr">
        <is>
          <t>Medium</t>
        </is>
      </c>
      <c r="J52" s="92" t="inlineStr">
        <is>
          <t>Sprint 6</t>
        </is>
      </c>
      <c r="K52" s="92" t="inlineStr">
        <is>
          <t>Release 18</t>
        </is>
      </c>
      <c r="L52" s="92" t="n">
        <v>5</v>
      </c>
    </row>
    <row r="53" ht="15" customHeight="1" s="93">
      <c r="A53" s="92" t="inlineStr">
        <is>
          <t>NEW-0246</t>
        </is>
      </c>
      <c r="B53" s="92" t="inlineStr">
        <is>
          <t>Attentive - INT175</t>
        </is>
      </c>
      <c r="C53" s="92" t="inlineStr">
        <is>
          <t>New</t>
        </is>
      </c>
      <c r="D53" s="92" t="inlineStr">
        <is>
          <t>US</t>
        </is>
      </c>
      <c r="E53" s="92" t="inlineStr">
        <is>
          <t>MA</t>
        </is>
      </c>
      <c r="F53" s="92" t="inlineStr">
        <is>
          <t>DONE</t>
        </is>
      </c>
      <c r="I53" s="92" t="inlineStr">
        <is>
          <t>Medium</t>
        </is>
      </c>
      <c r="J53" s="92" t="inlineStr">
        <is>
          <t>Sprint 6</t>
        </is>
      </c>
      <c r="K53" s="92" t="inlineStr">
        <is>
          <t>Release 18</t>
        </is>
      </c>
      <c r="L53" s="92" t="n">
        <v>5</v>
      </c>
    </row>
    <row r="54" ht="15" customHeight="1" s="93">
      <c r="A54" s="92" t="inlineStr">
        <is>
          <t>NEW-0253</t>
        </is>
      </c>
      <c r="B54" s="92" t="inlineStr">
        <is>
          <t>Outbound leads - Already Sent</t>
        </is>
      </c>
      <c r="C54" s="92" t="inlineStr">
        <is>
          <t>CR</t>
        </is>
      </c>
      <c r="D54" s="92" t="inlineStr">
        <is>
          <t>US</t>
        </is>
      </c>
      <c r="E54" s="92" t="inlineStr">
        <is>
          <t>S&amp;S</t>
        </is>
      </c>
      <c r="F54" s="92" t="inlineStr">
        <is>
          <t>DONE</t>
        </is>
      </c>
      <c r="G54" s="92" t="inlineStr">
        <is>
          <t>MDTTPU-2573</t>
        </is>
      </c>
      <c r="H54" s="92" t="inlineStr">
        <is>
          <t>https://smartship.atlassian.net/browse/MDTTPU-2573</t>
        </is>
      </c>
      <c r="I54" s="92" t="inlineStr">
        <is>
          <t>Medium</t>
        </is>
      </c>
      <c r="J54" s="92" t="inlineStr">
        <is>
          <t>Sprint 6</t>
        </is>
      </c>
      <c r="K54" s="92" t="inlineStr">
        <is>
          <t>Release 18</t>
        </is>
      </c>
      <c r="L54" s="92" t="n">
        <v>8</v>
      </c>
    </row>
    <row r="55" ht="15" customHeight="1" s="93">
      <c r="A55" s="92" t="inlineStr">
        <is>
          <t>NEW-0257</t>
        </is>
      </c>
      <c r="B55" s="92" t="inlineStr">
        <is>
          <t>DTS-Salesforce Optimisations - INT 037</t>
        </is>
      </c>
      <c r="C55" s="92" t="inlineStr">
        <is>
          <t>New</t>
        </is>
      </c>
      <c r="D55" s="92" t="inlineStr">
        <is>
          <t>US</t>
        </is>
      </c>
      <c r="E55" s="92" t="inlineStr">
        <is>
          <t>S&amp;S</t>
        </is>
      </c>
      <c r="F55" s="92" t="inlineStr">
        <is>
          <t>DONE</t>
        </is>
      </c>
      <c r="I55" s="92" t="inlineStr">
        <is>
          <t>Medium</t>
        </is>
      </c>
      <c r="J55" s="92" t="inlineStr">
        <is>
          <t>Sprint 6</t>
        </is>
      </c>
      <c r="K55" s="92" t="inlineStr">
        <is>
          <t>Release 18</t>
        </is>
      </c>
      <c r="L55" s="92" t="n">
        <v>5</v>
      </c>
    </row>
    <row r="56" ht="15" customHeight="1" s="93">
      <c r="A56" s="92" t="inlineStr">
        <is>
          <t>NEW-0268</t>
        </is>
      </c>
      <c r="B56" s="92" t="inlineStr">
        <is>
          <t>Not To Sail</t>
        </is>
      </c>
      <c r="C56" s="92" t="inlineStr">
        <is>
          <t>CR</t>
        </is>
      </c>
      <c r="D56" s="92" t="inlineStr">
        <is>
          <t>US</t>
        </is>
      </c>
      <c r="E56" s="92" t="inlineStr">
        <is>
          <t>S&amp;S</t>
        </is>
      </c>
      <c r="F56" s="92" t="inlineStr">
        <is>
          <t>DONE</t>
        </is>
      </c>
      <c r="G56" s="92" t="inlineStr">
        <is>
          <t>MDTTPU-6142</t>
        </is>
      </c>
      <c r="H56" s="92" t="inlineStr">
        <is>
          <t>https://smartship.atlassian.net/browse/MDTTPU-6142</t>
        </is>
      </c>
      <c r="I56" s="92" t="inlineStr">
        <is>
          <t>Medium</t>
        </is>
      </c>
      <c r="J56" s="92" t="inlineStr">
        <is>
          <t>Sprint 6</t>
        </is>
      </c>
      <c r="K56" s="92" t="inlineStr">
        <is>
          <t>Release 19</t>
        </is>
      </c>
      <c r="L56" s="92" t="n">
        <v>5</v>
      </c>
    </row>
    <row r="57" ht="15" customHeight="1" s="93">
      <c r="A57" s="92" t="inlineStr">
        <is>
          <t>NEW-0291</t>
        </is>
      </c>
      <c r="B57" s="92" t="inlineStr">
        <is>
          <t>INT159 - Lab item for myMSC</t>
        </is>
      </c>
      <c r="C57" s="92" t="inlineStr">
        <is>
          <t>New</t>
        </is>
      </c>
      <c r="D57" s="92" t="inlineStr">
        <is>
          <t>MyMSC</t>
        </is>
      </c>
      <c r="E57" s="92" t="inlineStr">
        <is>
          <t>B2CW</t>
        </is>
      </c>
      <c r="F57" s="92" t="inlineStr">
        <is>
          <t>DONE</t>
        </is>
      </c>
      <c r="G57" s="92" t="inlineStr">
        <is>
          <t>DTTP25-35279</t>
        </is>
      </c>
      <c r="H57" s="92" t="inlineStr">
        <is>
          <t>https://smartship.atlassian.net/browse/DTTP25-35279</t>
        </is>
      </c>
      <c r="I57" s="92" t="inlineStr">
        <is>
          <t>Medium</t>
        </is>
      </c>
      <c r="J57" s="92" t="inlineStr">
        <is>
          <t>Sprint 6</t>
        </is>
      </c>
      <c r="K57" s="92" t="inlineStr">
        <is>
          <t>Release 13</t>
        </is>
      </c>
      <c r="L57" s="92" t="n">
        <v>5</v>
      </c>
    </row>
    <row r="58" ht="15" customHeight="1" s="93">
      <c r="A58" s="92" t="inlineStr">
        <is>
          <t>NEW-0294</t>
        </is>
      </c>
      <c r="B58" s="92" t="inlineStr">
        <is>
          <t>INT142 fix for flights</t>
        </is>
      </c>
      <c r="C58" s="92" t="inlineStr">
        <is>
          <t>CR</t>
        </is>
      </c>
      <c r="D58" s="92" t="inlineStr">
        <is>
          <t>MyMSC</t>
        </is>
      </c>
      <c r="E58" s="92" t="inlineStr">
        <is>
          <t>B2CW</t>
        </is>
      </c>
      <c r="F58" s="92" t="inlineStr">
        <is>
          <t>DONE</t>
        </is>
      </c>
      <c r="I58" s="92" t="inlineStr">
        <is>
          <t>Medium</t>
        </is>
      </c>
      <c r="J58" s="92" t="inlineStr">
        <is>
          <t>Sprint 6</t>
        </is>
      </c>
      <c r="L58" s="92" t="n">
        <v>5</v>
      </c>
    </row>
    <row r="59" ht="15" customHeight="1" s="93">
      <c r="A59" s="92" t="inlineStr">
        <is>
          <t>NEW-0303</t>
        </is>
      </c>
      <c r="B59" s="92" t="inlineStr">
        <is>
          <t>INT139 / INT140 - Applicability of items during all inclusive logic - CR related items</t>
        </is>
      </c>
      <c r="C59" s="92" t="inlineStr">
        <is>
          <t>CR</t>
        </is>
      </c>
      <c r="D59" s="92" t="inlineStr">
        <is>
          <t>MyMSC</t>
        </is>
      </c>
      <c r="E59" s="92" t="inlineStr">
        <is>
          <t>B2CW</t>
        </is>
      </c>
      <c r="F59" s="92" t="inlineStr">
        <is>
          <t>DONE</t>
        </is>
      </c>
      <c r="I59" s="92" t="inlineStr">
        <is>
          <t>Medium</t>
        </is>
      </c>
      <c r="J59" s="92" t="inlineStr">
        <is>
          <t>Sprint 6</t>
        </is>
      </c>
      <c r="L59" s="92" t="n">
        <v>8</v>
      </c>
    </row>
    <row r="60" ht="15" customHeight="1" s="93">
      <c r="A60" s="92" t="inlineStr">
        <is>
          <t>NEW-0305</t>
        </is>
      </c>
      <c r="B60" s="92" t="inlineStr">
        <is>
          <t>INT130 / INT139 / INT140 - Applicability of Items - Switch to new cache jsononboardservice</t>
        </is>
      </c>
      <c r="C60" s="92" t="inlineStr">
        <is>
          <t>CR</t>
        </is>
      </c>
      <c r="D60" s="92" t="inlineStr">
        <is>
          <t>MyMSC</t>
        </is>
      </c>
      <c r="E60" s="92" t="inlineStr">
        <is>
          <t>B2CW</t>
        </is>
      </c>
      <c r="F60" s="92" t="inlineStr">
        <is>
          <t>DONE</t>
        </is>
      </c>
      <c r="G60" s="92" t="inlineStr">
        <is>
          <t>DTTP25-36730</t>
        </is>
      </c>
      <c r="H60" s="92" t="inlineStr">
        <is>
          <t>https://smartship.atlassian.net/browse/DTTP25-36730</t>
        </is>
      </c>
      <c r="I60" s="92" t="inlineStr">
        <is>
          <t>Medium</t>
        </is>
      </c>
      <c r="J60" s="92" t="inlineStr">
        <is>
          <t>Sprint 6</t>
        </is>
      </c>
      <c r="K60" s="92" t="inlineStr">
        <is>
          <t>Release 13</t>
        </is>
      </c>
      <c r="L60" s="92" t="n">
        <v>3</v>
      </c>
    </row>
    <row r="61" ht="15" customHeight="1" s="93">
      <c r="A61" s="92" t="inlineStr">
        <is>
          <t>NEW-0307</t>
        </is>
      </c>
      <c r="B61" s="92" t="inlineStr">
        <is>
          <t>INT140 handling of coupons - error handling</t>
        </is>
      </c>
      <c r="C61" s="92" t="inlineStr">
        <is>
          <t>CR</t>
        </is>
      </c>
      <c r="D61" s="92" t="inlineStr">
        <is>
          <t>MyMSC</t>
        </is>
      </c>
      <c r="E61" s="92" t="inlineStr">
        <is>
          <t>B2CW</t>
        </is>
      </c>
      <c r="F61" s="92" t="inlineStr">
        <is>
          <t>DONE</t>
        </is>
      </c>
      <c r="G61" s="92" t="inlineStr">
        <is>
          <t>DTTP25-34505</t>
        </is>
      </c>
      <c r="H61" s="92" t="inlineStr">
        <is>
          <t>https://smartship.atlassian.net/browse/DTTP25-34505</t>
        </is>
      </c>
      <c r="I61" s="92" t="inlineStr">
        <is>
          <t>Medium</t>
        </is>
      </c>
      <c r="J61" s="92" t="inlineStr">
        <is>
          <t>Sprint 6</t>
        </is>
      </c>
      <c r="K61" s="92" t="inlineStr">
        <is>
          <t>Release 13</t>
        </is>
      </c>
      <c r="L61" s="92" t="n">
        <v>8</v>
      </c>
    </row>
    <row r="62" ht="15" customHeight="1" s="93">
      <c r="A62" s="92" t="inlineStr">
        <is>
          <t>NEW-0319</t>
        </is>
      </c>
      <c r="B62" s="92" t="inlineStr">
        <is>
          <t>INT 163 - Add missing PrepaidShop field</t>
        </is>
      </c>
      <c r="C62" s="92" t="inlineStr">
        <is>
          <t>CR</t>
        </is>
      </c>
      <c r="D62" s="92" t="inlineStr">
        <is>
          <t>MyMSC</t>
        </is>
      </c>
      <c r="E62" s="92" t="inlineStr">
        <is>
          <t>B2CW</t>
        </is>
      </c>
      <c r="F62" s="92" t="inlineStr">
        <is>
          <t>DONE</t>
        </is>
      </c>
      <c r="G62" s="92" t="inlineStr">
        <is>
          <t>DTTP25-36916</t>
        </is>
      </c>
      <c r="H62" s="92" t="inlineStr">
        <is>
          <t>https://smartship.atlassian.net/browse/DTTP25-36916</t>
        </is>
      </c>
      <c r="I62" s="92" t="inlineStr">
        <is>
          <t>Medium</t>
        </is>
      </c>
      <c r="J62" s="92" t="inlineStr">
        <is>
          <t>Sprint 6</t>
        </is>
      </c>
      <c r="K62" s="92" t="inlineStr">
        <is>
          <t>Release 13</t>
        </is>
      </c>
      <c r="L62" s="92" t="n">
        <v>2</v>
      </c>
    </row>
    <row r="63" ht="15" customHeight="1" s="93">
      <c r="A63" s="92" t="inlineStr">
        <is>
          <t>NEW-0352</t>
        </is>
      </c>
      <c r="B63" s="92" t="inlineStr">
        <is>
          <t>INT165 - Datatrans Webhook v1.0</t>
        </is>
      </c>
      <c r="C63" s="92" t="inlineStr">
        <is>
          <t>New</t>
        </is>
      </c>
      <c r="D63" s="92" t="inlineStr">
        <is>
          <t>Growth</t>
        </is>
      </c>
      <c r="E63" s="92" t="inlineStr">
        <is>
          <t>B2CW</t>
        </is>
      </c>
      <c r="F63" s="92" t="inlineStr">
        <is>
          <t>DONE</t>
        </is>
      </c>
      <c r="G63" s="92" t="inlineStr">
        <is>
          <t>DTTP25-34473</t>
        </is>
      </c>
      <c r="H63" s="92" t="inlineStr">
        <is>
          <t>https://smartship.atlassian.net/browse/DTTP25-34473</t>
        </is>
      </c>
      <c r="I63" s="92" t="inlineStr">
        <is>
          <t>Medium</t>
        </is>
      </c>
      <c r="J63" s="92" t="inlineStr">
        <is>
          <t>Sprint 6</t>
        </is>
      </c>
      <c r="K63" s="92" t="inlineStr">
        <is>
          <t>Release 15</t>
        </is>
      </c>
      <c r="L63" s="92" t="n">
        <v>5</v>
      </c>
    </row>
    <row r="64" ht="15" customHeight="1" s="93">
      <c r="A64" s="92" t="inlineStr">
        <is>
          <t>NEW-0357</t>
        </is>
      </c>
      <c r="B64" s="92" t="inlineStr">
        <is>
          <t>PDC - Customer Contacts - B2C Funnel Alignment</t>
        </is>
      </c>
      <c r="C64" s="92" t="inlineStr">
        <is>
          <t>CR</t>
        </is>
      </c>
      <c r="D64" s="92" t="inlineStr">
        <is>
          <t>Growth</t>
        </is>
      </c>
      <c r="E64" s="92" t="inlineStr">
        <is>
          <t>B2CW</t>
        </is>
      </c>
      <c r="F64" s="92" t="inlineStr">
        <is>
          <t>DONE</t>
        </is>
      </c>
      <c r="G64" s="92" t="inlineStr">
        <is>
          <t>DTTP25-35415</t>
        </is>
      </c>
      <c r="H64" s="92" t="inlineStr">
        <is>
          <t>https://smartship.atlassian.net/browse/DTTP25-35415</t>
        </is>
      </c>
      <c r="I64" s="92" t="inlineStr">
        <is>
          <t>Medium</t>
        </is>
      </c>
      <c r="J64" s="92" t="inlineStr">
        <is>
          <t>Sprint 6</t>
        </is>
      </c>
      <c r="K64" s="92" t="inlineStr">
        <is>
          <t>Release 13</t>
        </is>
      </c>
      <c r="L64" s="92" t="n">
        <v>21</v>
      </c>
    </row>
    <row r="65" ht="15" customHeight="1" s="93">
      <c r="A65" s="92" t="inlineStr">
        <is>
          <t>NEW-0387</t>
        </is>
      </c>
      <c r="B65" s="92" t="inlineStr">
        <is>
          <t>DTTP - Lead Management - Web forms - Market-Based Date Format Localization</t>
        </is>
      </c>
      <c r="C65" s="92" t="inlineStr">
        <is>
          <t>CR</t>
        </is>
      </c>
      <c r="D65" s="92" t="inlineStr">
        <is>
          <t>PI10</t>
        </is>
      </c>
      <c r="E65" s="92" t="inlineStr">
        <is>
          <t>MA</t>
        </is>
      </c>
      <c r="F65" s="92" t="inlineStr">
        <is>
          <t>DONE</t>
        </is>
      </c>
      <c r="G65" s="92" t="inlineStr">
        <is>
          <t>EA-1280</t>
        </is>
      </c>
      <c r="H65" s="92" t="inlineStr">
        <is>
          <t>https://smartship.atlassian.net/browse/EA-1280</t>
        </is>
      </c>
      <c r="I65" s="92" t="inlineStr">
        <is>
          <t>Medium</t>
        </is>
      </c>
      <c r="J65" s="92" t="inlineStr">
        <is>
          <t>Sprint 6</t>
        </is>
      </c>
      <c r="K65" s="92" t="inlineStr">
        <is>
          <t>Release 13</t>
        </is>
      </c>
      <c r="L65" s="92" t="n">
        <v>5</v>
      </c>
    </row>
    <row r="66" ht="15" customHeight="1" s="93">
      <c r="A66" s="92" t="inlineStr">
        <is>
          <t>NEW-0108</t>
        </is>
      </c>
      <c r="B66" s="92" t="inlineStr">
        <is>
          <t>Web user cancellation - INT 121</t>
        </is>
      </c>
      <c r="C66" s="92" t="inlineStr">
        <is>
          <t>CR</t>
        </is>
      </c>
      <c r="D66" s="92" t="inlineStr">
        <is>
          <t>US</t>
        </is>
      </c>
      <c r="E66" s="92" t="inlineStr">
        <is>
          <t>S&amp;S</t>
        </is>
      </c>
      <c r="F66" s="92" t="inlineStr">
        <is>
          <t>DONE</t>
        </is>
      </c>
      <c r="G66" s="92" t="inlineStr">
        <is>
          <t>MDTTPU-2673</t>
        </is>
      </c>
      <c r="H66" s="92" t="inlineStr">
        <is>
          <t>https://smartship.atlassian.net/browse/MDTTPU-2673</t>
        </is>
      </c>
      <c r="I66" s="92" t="inlineStr">
        <is>
          <t>Medium</t>
        </is>
      </c>
      <c r="J66" s="92" t="inlineStr">
        <is>
          <t>Sprint 5</t>
        </is>
      </c>
      <c r="K66" s="92" t="inlineStr">
        <is>
          <t>Release 18</t>
        </is>
      </c>
      <c r="L66" s="92" t="n">
        <v>5</v>
      </c>
    </row>
    <row r="67" ht="15" customHeight="1" s="93">
      <c r="A67" s="92" t="inlineStr">
        <is>
          <t>NEW-0109</t>
        </is>
      </c>
      <c r="B67" s="92" t="inlineStr">
        <is>
          <t>Web user cancellation - INT118</t>
        </is>
      </c>
      <c r="C67" s="92" t="inlineStr">
        <is>
          <t>New</t>
        </is>
      </c>
      <c r="D67" s="92" t="inlineStr">
        <is>
          <t>US</t>
        </is>
      </c>
      <c r="E67" s="92" t="inlineStr">
        <is>
          <t>S&amp;S</t>
        </is>
      </c>
      <c r="F67" s="92" t="inlineStr">
        <is>
          <t>DONE</t>
        </is>
      </c>
      <c r="G67" s="92" t="inlineStr">
        <is>
          <t>MDTTPU-2674</t>
        </is>
      </c>
      <c r="H67" s="92" t="inlineStr">
        <is>
          <t>https://smartship.atlassian.net/browse/MDTTPU-2674</t>
        </is>
      </c>
      <c r="I67" s="92" t="inlineStr">
        <is>
          <t>Medium</t>
        </is>
      </c>
      <c r="J67" s="92" t="inlineStr">
        <is>
          <t>Sprint 5</t>
        </is>
      </c>
      <c r="K67" s="92" t="inlineStr">
        <is>
          <t>Release 19</t>
        </is>
      </c>
      <c r="L67" s="92" t="n">
        <v>13</v>
      </c>
    </row>
    <row r="68" ht="15" customHeight="1" s="93">
      <c r="A68" s="92" t="inlineStr">
        <is>
          <t>NEW-0135</t>
        </is>
      </c>
      <c r="B68" s="92" t="inlineStr">
        <is>
          <t>INT 135.1 - Shop Request CR</t>
        </is>
      </c>
      <c r="C68" s="92" t="inlineStr">
        <is>
          <t>CR</t>
        </is>
      </c>
      <c r="D68" s="92" t="inlineStr">
        <is>
          <t>MyMSC</t>
        </is>
      </c>
      <c r="E68" s="92" t="inlineStr">
        <is>
          <t>B2CW</t>
        </is>
      </c>
      <c r="F68" s="92" t="inlineStr">
        <is>
          <t>DONE</t>
        </is>
      </c>
      <c r="G68" s="92" t="inlineStr">
        <is>
          <t>DTTP25-31539</t>
        </is>
      </c>
      <c r="H68" s="92" t="inlineStr">
        <is>
          <t>https://smartship.atlassian.net/browse/DTTP25-31539</t>
        </is>
      </c>
      <c r="I68" s="92" t="inlineStr">
        <is>
          <t>Medium</t>
        </is>
      </c>
      <c r="J68" s="92" t="inlineStr">
        <is>
          <t>Sprint 5</t>
        </is>
      </c>
      <c r="K68" s="92" t="inlineStr">
        <is>
          <t>Release 12</t>
        </is>
      </c>
      <c r="L68" s="92" t="n">
        <v>3</v>
      </c>
    </row>
    <row r="69" ht="15" customHeight="1" s="93">
      <c r="A69" s="92" t="inlineStr">
        <is>
          <t>NEW-0136</t>
        </is>
      </c>
      <c r="B69" s="92" t="inlineStr">
        <is>
          <t>INT 142 - Add thematic Booking id</t>
        </is>
      </c>
      <c r="C69" s="92" t="inlineStr">
        <is>
          <t>CR</t>
        </is>
      </c>
      <c r="D69" s="92" t="inlineStr">
        <is>
          <t>MyMSC</t>
        </is>
      </c>
      <c r="E69" s="92" t="inlineStr">
        <is>
          <t>B2CW</t>
        </is>
      </c>
      <c r="F69" s="92" t="inlineStr">
        <is>
          <t>DONE</t>
        </is>
      </c>
      <c r="G69" s="92" t="inlineStr">
        <is>
          <t>DTTP25-34294</t>
        </is>
      </c>
      <c r="H69" s="92" t="inlineStr">
        <is>
          <t>https://smartship.atlassian.net/browse/DTTP25-34294</t>
        </is>
      </c>
      <c r="I69" s="92" t="inlineStr">
        <is>
          <t>Medium</t>
        </is>
      </c>
      <c r="J69" s="92" t="inlineStr">
        <is>
          <t>Sprint 5</t>
        </is>
      </c>
      <c r="K69" s="92" t="inlineStr">
        <is>
          <t>Release 12</t>
        </is>
      </c>
      <c r="L69" s="92" t="n">
        <v>2</v>
      </c>
    </row>
    <row r="70" ht="15" customHeight="1" s="93">
      <c r="A70" s="92" t="inlineStr">
        <is>
          <t>NEW-0137</t>
        </is>
      </c>
      <c r="B70" s="92" t="inlineStr">
        <is>
          <t>[INT 136.1 - Thematic Availability (Speciality Restaurant)</t>
        </is>
      </c>
      <c r="C70" s="92" t="inlineStr">
        <is>
          <t>New</t>
        </is>
      </c>
      <c r="D70" s="92" t="inlineStr">
        <is>
          <t>MyMSC</t>
        </is>
      </c>
      <c r="E70" s="92" t="inlineStr">
        <is>
          <t>B2CW</t>
        </is>
      </c>
      <c r="F70" s="92" t="inlineStr">
        <is>
          <t>DONE</t>
        </is>
      </c>
      <c r="G70" s="92" t="inlineStr">
        <is>
          <t>DTTP25-34293</t>
        </is>
      </c>
      <c r="H70" s="92" t="inlineStr">
        <is>
          <t>https://smartship.atlassian.net/browse/DTTP25-34293</t>
        </is>
      </c>
      <c r="I70" s="92" t="inlineStr">
        <is>
          <t>Medium</t>
        </is>
      </c>
      <c r="J70" s="92" t="inlineStr">
        <is>
          <t>Sprint 5</t>
        </is>
      </c>
      <c r="K70" s="92" t="inlineStr">
        <is>
          <t>Release 12</t>
        </is>
      </c>
      <c r="L70" s="92" t="n">
        <v>8</v>
      </c>
    </row>
    <row r="71" ht="15" customHeight="1" s="93">
      <c r="A71" s="92" t="inlineStr">
        <is>
          <t>NEW-0138</t>
        </is>
      </c>
      <c r="B71" s="92" t="inlineStr">
        <is>
          <t>INT 139/ INT 140 CR - Pricetobook / bookprepaid itesm</t>
        </is>
      </c>
      <c r="C71" s="92" t="inlineStr">
        <is>
          <t>CR</t>
        </is>
      </c>
      <c r="D71" s="92" t="inlineStr">
        <is>
          <t>MyMSC</t>
        </is>
      </c>
      <c r="E71" s="92" t="inlineStr">
        <is>
          <t>B2CW</t>
        </is>
      </c>
      <c r="F71" s="92" t="inlineStr">
        <is>
          <t>DONE</t>
        </is>
      </c>
      <c r="G71" s="92" t="inlineStr">
        <is>
          <t>DTTP25-34295</t>
        </is>
      </c>
      <c r="H71" s="92" t="inlineStr">
        <is>
          <t>https://smartship.atlassian.net/browse/DTTP25-34295</t>
        </is>
      </c>
      <c r="I71" s="92" t="inlineStr">
        <is>
          <t>Medium</t>
        </is>
      </c>
      <c r="J71" s="92" t="inlineStr">
        <is>
          <t>Sprint 5</t>
        </is>
      </c>
      <c r="K71" s="92" t="inlineStr">
        <is>
          <t>Release 12</t>
        </is>
      </c>
      <c r="L71" s="92" t="n">
        <v>13</v>
      </c>
    </row>
    <row r="72" ht="15" customHeight="1" s="93">
      <c r="A72" s="92" t="inlineStr">
        <is>
          <t>NEW-0139</t>
        </is>
      </c>
      <c r="B72" s="92" t="inlineStr">
        <is>
          <t>INT 163 - Thematic Revise</t>
        </is>
      </c>
      <c r="C72" s="92" t="inlineStr">
        <is>
          <t>New</t>
        </is>
      </c>
      <c r="D72" s="92" t="inlineStr">
        <is>
          <t>MyMSC</t>
        </is>
      </c>
      <c r="E72" s="92" t="inlineStr">
        <is>
          <t>B2CW</t>
        </is>
      </c>
      <c r="F72" s="92" t="inlineStr">
        <is>
          <t>DONE</t>
        </is>
      </c>
      <c r="G72" s="92" t="inlineStr">
        <is>
          <t>DTTP25-34475</t>
        </is>
      </c>
      <c r="H72" s="92" t="inlineStr">
        <is>
          <t>https://smartship.atlassian.net/browse/DTTP25-34475</t>
        </is>
      </c>
      <c r="I72" s="92" t="inlineStr">
        <is>
          <t>Medium</t>
        </is>
      </c>
      <c r="J72" s="92" t="inlineStr">
        <is>
          <t>Sprint 5</t>
        </is>
      </c>
      <c r="K72" s="92" t="inlineStr">
        <is>
          <t>Release 12</t>
        </is>
      </c>
      <c r="L72" s="92" t="n">
        <v>5</v>
      </c>
    </row>
    <row r="73" ht="15" customHeight="1" s="93">
      <c r="A73" s="92" t="inlineStr">
        <is>
          <t>NEW-0142</t>
        </is>
      </c>
      <c r="B73" s="92" t="inlineStr">
        <is>
          <t>INT 139/ INT 140 CR - Item unavailablility</t>
        </is>
      </c>
      <c r="C73" s="92" t="inlineStr">
        <is>
          <t>CR</t>
        </is>
      </c>
      <c r="D73" s="92" t="inlineStr">
        <is>
          <t>MyMSC</t>
        </is>
      </c>
      <c r="E73" s="92" t="inlineStr">
        <is>
          <t>B2CW</t>
        </is>
      </c>
      <c r="F73" s="92" t="inlineStr">
        <is>
          <t>DONE</t>
        </is>
      </c>
      <c r="G73" s="92" t="inlineStr">
        <is>
          <t>DTTP25-35278</t>
        </is>
      </c>
      <c r="H73" s="92" t="inlineStr">
        <is>
          <t>https://smartship.atlassian.net/browse/DTTP25-35278</t>
        </is>
      </c>
      <c r="I73" s="92" t="inlineStr">
        <is>
          <t>Medium</t>
        </is>
      </c>
      <c r="J73" s="92" t="inlineStr">
        <is>
          <t>Sprint 5</t>
        </is>
      </c>
      <c r="K73" s="92" t="inlineStr">
        <is>
          <t>Release 12</t>
        </is>
      </c>
      <c r="L73" s="92" t="n">
        <v>13</v>
      </c>
    </row>
    <row r="74" ht="15" customHeight="1" s="93">
      <c r="A74" s="92" t="inlineStr">
        <is>
          <t>NEW-0153</t>
        </is>
      </c>
      <c r="B74" s="92" t="inlineStr">
        <is>
          <t>Outbound leads - Unknown web option</t>
        </is>
      </c>
      <c r="C74" s="92" t="inlineStr">
        <is>
          <t>CR</t>
        </is>
      </c>
      <c r="D74" s="92" t="inlineStr">
        <is>
          <t>US</t>
        </is>
      </c>
      <c r="E74" s="92" t="inlineStr">
        <is>
          <t>MA</t>
        </is>
      </c>
      <c r="F74" s="92" t="inlineStr">
        <is>
          <t>DONE</t>
        </is>
      </c>
      <c r="G74" s="92" t="inlineStr">
        <is>
          <t>MDTTPU-5927</t>
        </is>
      </c>
      <c r="H74" s="92" t="inlineStr">
        <is>
          <t>https://smartship.atlassian.net/browse/MDTTPU-5927</t>
        </is>
      </c>
      <c r="I74" s="92" t="inlineStr">
        <is>
          <t>Medium</t>
        </is>
      </c>
      <c r="J74" s="92" t="inlineStr">
        <is>
          <t>Sprint 5</t>
        </is>
      </c>
      <c r="K74" s="92" t="inlineStr">
        <is>
          <t>Release 19</t>
        </is>
      </c>
      <c r="L74" s="92" t="n">
        <v>3</v>
      </c>
    </row>
    <row r="75" ht="15" customHeight="1" s="93">
      <c r="A75" s="92" t="inlineStr">
        <is>
          <t>NEW-0187</t>
        </is>
      </c>
      <c r="B75" s="92" t="inlineStr">
        <is>
          <t>Update configurations for Turkey</t>
        </is>
      </c>
      <c r="C75" s="92" t="inlineStr">
        <is>
          <t>Config</t>
        </is>
      </c>
      <c r="D75" s="92" t="inlineStr">
        <is>
          <t>MVP Rollout</t>
        </is>
      </c>
      <c r="E75" s="92" t="inlineStr">
        <is>
          <t>B2CW</t>
        </is>
      </c>
      <c r="F75" s="92" t="inlineStr">
        <is>
          <t>DONE</t>
        </is>
      </c>
      <c r="G75" s="92" t="inlineStr">
        <is>
          <t>DTTP25-35439</t>
        </is>
      </c>
      <c r="H75" s="92" t="inlineStr">
        <is>
          <t>https://smartship.atlassian.net/browse/DTTP25-35439</t>
        </is>
      </c>
      <c r="I75" s="92" t="inlineStr">
        <is>
          <t>Medium</t>
        </is>
      </c>
      <c r="J75" s="92" t="inlineStr">
        <is>
          <t>Sprint 5</t>
        </is>
      </c>
      <c r="K75" s="92" t="inlineStr">
        <is>
          <t>Release 11</t>
        </is>
      </c>
      <c r="L75" s="92" t="n">
        <v>2</v>
      </c>
    </row>
    <row r="76" ht="15" customHeight="1" s="93">
      <c r="A76" s="92" t="inlineStr">
        <is>
          <t>NEW-0188</t>
        </is>
      </c>
      <c r="B76" s="92" t="inlineStr">
        <is>
          <t>DTS Post Booking - Load Test Activities + New Volumes Support</t>
        </is>
      </c>
      <c r="C76" s="92" t="inlineStr">
        <is>
          <t>Tech Task</t>
        </is>
      </c>
      <c r="D76" s="92" t="inlineStr">
        <is>
          <t>Backlog</t>
        </is>
      </c>
      <c r="E76" s="92" t="inlineStr">
        <is>
          <t>ALL</t>
        </is>
      </c>
      <c r="F76" s="92" t="inlineStr">
        <is>
          <t>DONE</t>
        </is>
      </c>
      <c r="G76" s="92" t="inlineStr">
        <is>
          <t>DTTP25-35644</t>
        </is>
      </c>
      <c r="H76" s="92" t="inlineStr">
        <is>
          <t>https://smartship.atlassian.net/browse/DTTP25-35644</t>
        </is>
      </c>
      <c r="I76" s="92" t="inlineStr">
        <is>
          <t>High</t>
        </is>
      </c>
      <c r="J76" s="92" t="inlineStr">
        <is>
          <t>Sprint 5</t>
        </is>
      </c>
      <c r="L76" s="92" t="n">
        <v>18</v>
      </c>
    </row>
    <row r="77" ht="15" customHeight="1" s="93">
      <c r="A77" s="92" t="inlineStr">
        <is>
          <t>NEW-0190</t>
        </is>
      </c>
      <c r="B77" s="92" t="inlineStr">
        <is>
          <t>Outbound leads - Hold Option - INT004.4</t>
        </is>
      </c>
      <c r="C77" s="92" t="inlineStr">
        <is>
          <t>CR</t>
        </is>
      </c>
      <c r="D77" s="92" t="inlineStr">
        <is>
          <t>US</t>
        </is>
      </c>
      <c r="E77" s="92" t="inlineStr">
        <is>
          <t>MA</t>
        </is>
      </c>
      <c r="F77" s="92" t="inlineStr">
        <is>
          <t>DONE</t>
        </is>
      </c>
      <c r="G77" s="92" t="inlineStr">
        <is>
          <t>MDTTPU-5925</t>
        </is>
      </c>
      <c r="H77" s="92" t="inlineStr">
        <is>
          <t>https://smartship.atlassian.net/browse/MDTTPU-5925</t>
        </is>
      </c>
      <c r="I77" s="92" t="inlineStr">
        <is>
          <t>Medium</t>
        </is>
      </c>
      <c r="J77" s="92" t="inlineStr">
        <is>
          <t>Sprint 5</t>
        </is>
      </c>
      <c r="K77" s="92" t="inlineStr">
        <is>
          <t>Release 19</t>
        </is>
      </c>
      <c r="L77" s="92" t="n">
        <v>21</v>
      </c>
    </row>
    <row r="78" ht="15" customHeight="1" s="93">
      <c r="A78" s="92" t="inlineStr">
        <is>
          <t>NEW-0192</t>
        </is>
      </c>
      <c r="B78" s="92" t="inlineStr">
        <is>
          <t>[MyArea] Re-captcha keys - Lower environment TEST</t>
        </is>
      </c>
      <c r="C78" s="92" t="inlineStr">
        <is>
          <t>Tech Task</t>
        </is>
      </c>
      <c r="D78" s="92" t="inlineStr">
        <is>
          <t>MyMSC</t>
        </is>
      </c>
      <c r="E78" s="92" t="inlineStr">
        <is>
          <t>B2CW</t>
        </is>
      </c>
      <c r="F78" s="92" t="inlineStr">
        <is>
          <t>DONE</t>
        </is>
      </c>
      <c r="G78" s="92" t="inlineStr">
        <is>
          <t>DTTP25-35257</t>
        </is>
      </c>
      <c r="H78" s="92" t="inlineStr">
        <is>
          <t>https://smartship.atlassian.net/browse/DTTP25-35257</t>
        </is>
      </c>
      <c r="I78" s="92" t="inlineStr">
        <is>
          <t>Medium</t>
        </is>
      </c>
      <c r="J78" s="92" t="inlineStr">
        <is>
          <t>Sprint 5</t>
        </is>
      </c>
      <c r="L78" s="92" t="n">
        <v>2</v>
      </c>
    </row>
    <row r="79" ht="15" customHeight="1" s="93">
      <c r="A79" s="92" t="inlineStr">
        <is>
          <t>NEW-0256</t>
        </is>
      </c>
      <c r="B79" s="92" t="inlineStr">
        <is>
          <t>Outbound leads - Hold Option - INT006</t>
        </is>
      </c>
      <c r="C79" s="92" t="inlineStr">
        <is>
          <t>CR</t>
        </is>
      </c>
      <c r="D79" s="92" t="inlineStr">
        <is>
          <t>US</t>
        </is>
      </c>
      <c r="E79" s="92" t="inlineStr">
        <is>
          <t>B2CW</t>
        </is>
      </c>
      <c r="F79" s="92" t="inlineStr">
        <is>
          <t>DONE</t>
        </is>
      </c>
      <c r="G79" s="92" t="inlineStr">
        <is>
          <t>MDTTPU-5926</t>
        </is>
      </c>
      <c r="H79" s="92" t="inlineStr">
        <is>
          <t>https://smartship.atlassian.net/browse/MDTTPU-5926</t>
        </is>
      </c>
      <c r="I79" s="92" t="inlineStr">
        <is>
          <t>Medium</t>
        </is>
      </c>
      <c r="J79" s="92" t="inlineStr">
        <is>
          <t>Sprint 5</t>
        </is>
      </c>
      <c r="K79" s="92" t="inlineStr">
        <is>
          <t>Release 19</t>
        </is>
      </c>
      <c r="L79" s="92" t="n">
        <v>8</v>
      </c>
    </row>
    <row r="80" ht="15" customHeight="1" s="93">
      <c r="A80" s="92" t="inlineStr">
        <is>
          <t>NEW-0283</t>
        </is>
      </c>
      <c r="B80" s="92" t="inlineStr">
        <is>
          <t xml:space="preserve">[EINT] Campaign codes for UK/IE myMSC - New HQ Sandbox </t>
        </is>
      </c>
      <c r="C80" s="92" t="inlineStr">
        <is>
          <t>CR</t>
        </is>
      </c>
      <c r="D80" s="92" t="inlineStr">
        <is>
          <t>MyMSC</t>
        </is>
      </c>
      <c r="E80" s="92" t="inlineStr">
        <is>
          <t>B2CW</t>
        </is>
      </c>
      <c r="F80" s="92" t="inlineStr">
        <is>
          <t>DONE</t>
        </is>
      </c>
      <c r="G80" s="92" t="inlineStr">
        <is>
          <t>DTTP25-34495</t>
        </is>
      </c>
      <c r="H80" s="92" t="inlineStr">
        <is>
          <t>https://smartship.atlassian.net/browse/DTTP25-34495</t>
        </is>
      </c>
      <c r="I80" s="92" t="inlineStr">
        <is>
          <t>Medium</t>
        </is>
      </c>
      <c r="J80" s="92" t="inlineStr">
        <is>
          <t>Sprint 5</t>
        </is>
      </c>
      <c r="L80" s="92" t="n">
        <v>3</v>
      </c>
    </row>
    <row r="81" ht="15" customHeight="1" s="93">
      <c r="A81" s="92" t="inlineStr">
        <is>
          <t>NEW-0287</t>
        </is>
      </c>
      <c r="B81" s="92" t="inlineStr">
        <is>
          <t>INT145/146 Revised payment options</t>
        </is>
      </c>
      <c r="C81" s="92" t="inlineStr">
        <is>
          <t>CR</t>
        </is>
      </c>
      <c r="D81" s="92" t="inlineStr">
        <is>
          <t>MyMSC</t>
        </is>
      </c>
      <c r="E81" s="92" t="inlineStr">
        <is>
          <t>B2CW</t>
        </is>
      </c>
      <c r="F81" s="92" t="inlineStr">
        <is>
          <t>DONE</t>
        </is>
      </c>
      <c r="G81" s="92" t="inlineStr">
        <is>
          <t>DTTP25-14439</t>
        </is>
      </c>
      <c r="H81" s="92" t="inlineStr">
        <is>
          <t>https://smartship.atlassian.net/browse/DTTP25-14439</t>
        </is>
      </c>
      <c r="I81" s="92" t="inlineStr">
        <is>
          <t>Medium</t>
        </is>
      </c>
      <c r="J81" s="92" t="inlineStr">
        <is>
          <t>Sprint 5</t>
        </is>
      </c>
      <c r="L81" s="92" t="n">
        <v>5</v>
      </c>
    </row>
    <row r="82" ht="15" customHeight="1" s="93">
      <c r="A82" s="92" t="inlineStr">
        <is>
          <t>NEW-0289</t>
        </is>
      </c>
      <c r="B82" s="92" t="inlineStr">
        <is>
          <t>[EINT] [CR] INT 139/ 140 - Item unavailability</t>
        </is>
      </c>
      <c r="C82" s="92" t="inlineStr">
        <is>
          <t>CR</t>
        </is>
      </c>
      <c r="D82" s="92" t="inlineStr">
        <is>
          <t>MyMSC</t>
        </is>
      </c>
      <c r="E82" s="92" t="inlineStr">
        <is>
          <t>B2CW</t>
        </is>
      </c>
      <c r="F82" s="92" t="inlineStr">
        <is>
          <t>DONE</t>
        </is>
      </c>
      <c r="G82" s="92" t="inlineStr">
        <is>
          <t>DTTP25-35278</t>
        </is>
      </c>
      <c r="H82" s="92" t="inlineStr">
        <is>
          <t>https://smartship.atlassian.net/browse/DTTP25-35278</t>
        </is>
      </c>
      <c r="I82" s="92" t="inlineStr">
        <is>
          <t>Medium</t>
        </is>
      </c>
      <c r="J82" s="92" t="inlineStr">
        <is>
          <t>Sprint 5</t>
        </is>
      </c>
      <c r="L82" s="92" t="n">
        <v>5</v>
      </c>
    </row>
    <row r="83" ht="15" customHeight="1" s="93">
      <c r="A83" s="92" t="inlineStr">
        <is>
          <t>NEW-0295</t>
        </is>
      </c>
      <c r="B83" s="92" t="inlineStr">
        <is>
          <t>Specialty Restaurants - INT135, INT139, INT140, INT142</t>
        </is>
      </c>
      <c r="C83" s="92" t="inlineStr">
        <is>
          <t>CR</t>
        </is>
      </c>
      <c r="D83" s="92" t="inlineStr">
        <is>
          <t>MyMSC</t>
        </is>
      </c>
      <c r="E83" s="92" t="inlineStr">
        <is>
          <t>B2CW</t>
        </is>
      </c>
      <c r="F83" s="92" t="inlineStr">
        <is>
          <t>DONE</t>
        </is>
      </c>
      <c r="G83" s="92" t="inlineStr">
        <is>
          <t>DTTP25-31539</t>
        </is>
      </c>
      <c r="H83" s="92" t="inlineStr">
        <is>
          <t>https://smartship.atlassian.net/browse/DTTP25-31539</t>
        </is>
      </c>
      <c r="I83" s="92" t="inlineStr">
        <is>
          <t>Medium</t>
        </is>
      </c>
      <c r="J83" s="92" t="inlineStr">
        <is>
          <t>Sprint 5</t>
        </is>
      </c>
      <c r="L83" s="92" t="n">
        <v>18</v>
      </c>
    </row>
    <row r="84" ht="15" customHeight="1" s="93">
      <c r="A84" s="92" t="inlineStr">
        <is>
          <t>NEW-0296</t>
        </is>
      </c>
      <c r="B84" s="92" t="inlineStr">
        <is>
          <t>Specialty Restaurants - INT136, INT163</t>
        </is>
      </c>
      <c r="C84" s="92" t="inlineStr">
        <is>
          <t>New</t>
        </is>
      </c>
      <c r="D84" s="92" t="inlineStr">
        <is>
          <t>MyMSC</t>
        </is>
      </c>
      <c r="E84" s="92" t="inlineStr">
        <is>
          <t>B2CW</t>
        </is>
      </c>
      <c r="F84" s="92" t="inlineStr">
        <is>
          <t>DONE</t>
        </is>
      </c>
      <c r="G84" s="92" t="inlineStr">
        <is>
          <t>DTTP25-34475</t>
        </is>
      </c>
      <c r="H84" s="92" t="inlineStr">
        <is>
          <t>https://smartship.atlassian.net/browse/DTTP25-34475</t>
        </is>
      </c>
      <c r="I84" s="92" t="inlineStr">
        <is>
          <t>Medium</t>
        </is>
      </c>
      <c r="J84" s="92" t="inlineStr">
        <is>
          <t>Sprint 5</t>
        </is>
      </c>
      <c r="L84" s="92" t="n">
        <v>13</v>
      </c>
    </row>
    <row r="85" ht="15" customHeight="1" s="93">
      <c r="A85" s="92" t="inlineStr">
        <is>
          <t>NEW-0298</t>
        </is>
      </c>
      <c r="B85" s="92" t="inlineStr">
        <is>
          <t>Consent Management</t>
        </is>
      </c>
      <c r="C85" s="92" t="inlineStr">
        <is>
          <t>CR</t>
        </is>
      </c>
      <c r="D85" s="92" t="inlineStr">
        <is>
          <t>MyMSC</t>
        </is>
      </c>
      <c r="E85" s="92" t="inlineStr">
        <is>
          <t>B2CW</t>
        </is>
      </c>
      <c r="F85" s="92" t="inlineStr">
        <is>
          <t>DONE</t>
        </is>
      </c>
      <c r="G85" s="92" t="inlineStr">
        <is>
          <t>DTTP25-29365</t>
        </is>
      </c>
      <c r="H85" s="92" t="inlineStr">
        <is>
          <t>https://smartship.atlassian.net/browse/DTTP25-29365</t>
        </is>
      </c>
      <c r="I85" s="92" t="inlineStr">
        <is>
          <t>Medium</t>
        </is>
      </c>
      <c r="J85" s="92" t="inlineStr">
        <is>
          <t>Sprint 5</t>
        </is>
      </c>
      <c r="L85" s="92" t="n">
        <v>13</v>
      </c>
    </row>
    <row r="86" ht="15" customHeight="1" s="93">
      <c r="A86" s="92" t="inlineStr">
        <is>
          <t>NEW-0300</t>
        </is>
      </c>
      <c r="B86" s="92" t="inlineStr">
        <is>
          <t>INT137 - Refund: improve long processing time</t>
        </is>
      </c>
      <c r="C86" s="92" t="inlineStr">
        <is>
          <t>CR</t>
        </is>
      </c>
      <c r="D86" s="92" t="inlineStr">
        <is>
          <t>MyMSC</t>
        </is>
      </c>
      <c r="E86" s="92" t="inlineStr">
        <is>
          <t>B2CW</t>
        </is>
      </c>
      <c r="F86" s="92" t="inlineStr">
        <is>
          <t>DONE</t>
        </is>
      </c>
      <c r="G86" s="92" t="inlineStr">
        <is>
          <t>DTTP25-14697</t>
        </is>
      </c>
      <c r="H86" s="92" t="inlineStr">
        <is>
          <t>https://smartship.atlassian.net/browse/DTTP25-14697</t>
        </is>
      </c>
      <c r="I86" s="92" t="inlineStr">
        <is>
          <t>Medium</t>
        </is>
      </c>
      <c r="J86" s="92" t="inlineStr">
        <is>
          <t>Sprint 5</t>
        </is>
      </c>
      <c r="K86" s="92" t="inlineStr">
        <is>
          <t>Release 12</t>
        </is>
      </c>
      <c r="L86" s="92" t="n">
        <v>21</v>
      </c>
    </row>
    <row r="87" ht="15" customHeight="1" s="93">
      <c r="A87" s="92" t="inlineStr">
        <is>
          <t>NEW-0386</t>
        </is>
      </c>
      <c r="B87" s="92" t="inlineStr">
        <is>
          <t>Support for the enabling of IP whitelist for Mulesoft Marketo</t>
        </is>
      </c>
      <c r="C87" s="92" t="inlineStr">
        <is>
          <t>CR</t>
        </is>
      </c>
      <c r="D87" s="92" t="inlineStr">
        <is>
          <t>PI10</t>
        </is>
      </c>
      <c r="E87" s="92" t="inlineStr">
        <is>
          <t>MA</t>
        </is>
      </c>
      <c r="F87" s="92" t="inlineStr">
        <is>
          <t>DONE</t>
        </is>
      </c>
      <c r="G87" s="92" t="inlineStr">
        <is>
          <t>EA-1125</t>
        </is>
      </c>
      <c r="H87" s="92" t="inlineStr">
        <is>
          <t>https://smartship.atlassian.net/browse/EA-1125</t>
        </is>
      </c>
      <c r="I87" s="92" t="inlineStr">
        <is>
          <t>Medium</t>
        </is>
      </c>
      <c r="J87" s="92" t="inlineStr">
        <is>
          <t>Sprint 5</t>
        </is>
      </c>
      <c r="L87" s="92" t="n">
        <v>8</v>
      </c>
    </row>
    <row r="88" ht="15" customHeight="1" s="93">
      <c r="A88" s="92" t="inlineStr">
        <is>
          <t>NEW-0390</t>
        </is>
      </c>
      <c r="B88" s="92" t="inlineStr">
        <is>
          <t>CRM - Consent Management - Profiling info in the Customer Event table CDP/AJ0_EAImpact</t>
        </is>
      </c>
      <c r="D88" s="92" t="inlineStr">
        <is>
          <t>PI10</t>
        </is>
      </c>
      <c r="F88" s="92" t="inlineStr">
        <is>
          <t>DONE</t>
        </is>
      </c>
      <c r="G88" s="92" t="inlineStr">
        <is>
          <t>EA-1327</t>
        </is>
      </c>
      <c r="H88" s="92" t="inlineStr">
        <is>
          <t>https://smartship.atlassian.net/browse/EA-1327</t>
        </is>
      </c>
      <c r="I88" s="92" t="inlineStr">
        <is>
          <t>Medium</t>
        </is>
      </c>
      <c r="J88" s="92" t="inlineStr">
        <is>
          <t>Sprint 7</t>
        </is>
      </c>
      <c r="K88" s="92" t="inlineStr">
        <is>
          <t>Release 15C</t>
        </is>
      </c>
      <c r="L88" s="92" t="n">
        <v>5</v>
      </c>
    </row>
    <row r="89" ht="15" customHeight="1" s="93">
      <c r="A89" s="92" t="inlineStr">
        <is>
          <t>NEW-0272</t>
        </is>
      </c>
      <c r="B89" s="92" t="inlineStr">
        <is>
          <t>B2CW Payment Review Tokenisation - CR to update AJO/CDP A013/A070</t>
        </is>
      </c>
      <c r="C89" s="92" t="inlineStr">
        <is>
          <t>CR</t>
        </is>
      </c>
      <c r="D89" s="92" t="inlineStr">
        <is>
          <t>US</t>
        </is>
      </c>
      <c r="E89" s="92" t="inlineStr">
        <is>
          <t>MA</t>
        </is>
      </c>
      <c r="F89" s="92" t="inlineStr">
        <is>
          <t>DONE</t>
        </is>
      </c>
      <c r="G89" s="92" t="inlineStr">
        <is>
          <t>MDTTPU-10926</t>
        </is>
      </c>
      <c r="H89" s="92" t="inlineStr">
        <is>
          <t>https://smartship.atlassian.net/browse/MDTTPU-10926</t>
        </is>
      </c>
      <c r="I89" s="92" t="inlineStr">
        <is>
          <t>Medium</t>
        </is>
      </c>
      <c r="J89" s="92" t="inlineStr">
        <is>
          <t>Sprint 8</t>
        </is>
      </c>
      <c r="K89" s="92" t="inlineStr">
        <is>
          <t>Release 18</t>
        </is>
      </c>
      <c r="L89" s="92" t="n">
        <v>5</v>
      </c>
    </row>
    <row r="90" ht="15" customHeight="1" s="93"/>
    <row r="91" ht="15" customHeight="1" s="93"/>
    <row r="92" ht="15" customHeight="1" s="93"/>
    <row r="93" ht="15" customHeight="1" s="93"/>
    <row r="94" ht="15" customHeight="1" s="93"/>
    <row r="95" ht="15" customHeight="1" s="93"/>
    <row r="96" ht="15" customHeight="1" s="93"/>
    <row r="97" ht="15" customHeight="1" s="93"/>
    <row r="98" ht="15" customHeight="1" s="93"/>
    <row r="99" ht="15" customHeight="1" s="93"/>
    <row r="100" ht="15" customHeight="1" s="93"/>
    <row r="101" ht="15" customHeight="1" s="93"/>
    <row r="102" ht="15" customHeight="1" s="93"/>
    <row r="103" ht="15" customHeight="1" s="93"/>
    <row r="104" ht="15" customHeight="1" s="93"/>
    <row r="105" ht="15" customHeight="1" s="93"/>
    <row r="106" ht="15" customHeight="1" s="93"/>
    <row r="107" ht="15" customHeight="1" s="93"/>
    <row r="108" ht="15" customHeight="1" s="93"/>
    <row r="109" ht="15" customHeight="1" s="93"/>
    <row r="110" ht="15" customHeight="1" s="93"/>
    <row r="111" ht="15" customHeight="1" s="93"/>
    <row r="112" ht="15" customHeight="1" s="93"/>
    <row r="113" ht="15" customHeight="1" s="93"/>
    <row r="114" ht="15" customHeight="1" s="93"/>
    <row r="115" ht="15" customHeight="1" s="93"/>
    <row r="116" ht="15" customHeight="1" s="93"/>
    <row r="117" ht="15" customHeight="1" s="93"/>
    <row r="118" ht="15" customHeight="1" s="93"/>
    <row r="119" ht="15" customHeight="1" s="93"/>
    <row r="120" ht="15" customHeight="1" s="93"/>
    <row r="121" ht="15" customHeight="1" s="93"/>
    <row r="122" ht="15" customHeight="1" s="93"/>
    <row r="123" ht="15" customHeight="1" s="93"/>
    <row r="124" ht="15" customHeight="1" s="93"/>
    <row r="125" ht="15" customHeight="1" s="93"/>
    <row r="126" ht="15" customHeight="1" s="93"/>
    <row r="127" ht="15" customHeight="1" s="93"/>
    <row r="128" ht="15" customHeight="1" s="93"/>
    <row r="129" ht="15" customHeight="1" s="93"/>
    <row r="130" ht="15" customHeight="1" s="93"/>
    <row r="131" ht="15" customHeight="1" s="93"/>
    <row r="132" ht="15" customHeight="1" s="93"/>
    <row r="133" ht="15" customHeight="1" s="93"/>
    <row r="134" ht="15" customHeight="1" s="93"/>
    <row r="135" ht="15" customHeight="1" s="93"/>
    <row r="136" ht="15" customHeight="1" s="93"/>
    <row r="137" ht="15" customHeight="1" s="93"/>
    <row r="138" ht="15" customHeight="1" s="93"/>
    <row r="139" ht="15" customHeight="1" s="93"/>
    <row r="140" ht="15" customHeight="1" s="93"/>
    <row r="141" ht="15" customHeight="1" s="93"/>
    <row r="142" ht="15" customHeight="1" s="93"/>
    <row r="143" ht="15" customHeight="1" s="93"/>
    <row r="144" ht="15" customHeight="1" s="93"/>
    <row r="145" ht="15" customHeight="1" s="93"/>
    <row r="146" ht="15" customHeight="1" s="93"/>
    <row r="147" ht="15" customHeight="1" s="93"/>
    <row r="148" ht="15" customHeight="1" s="93"/>
    <row r="149" ht="15" customHeight="1" s="93"/>
    <row r="150" ht="15" customHeight="1" s="93"/>
    <row r="151" ht="15" customHeight="1" s="93"/>
    <row r="152" ht="15" customHeight="1" s="93"/>
    <row r="153" ht="15" customHeight="1" s="93"/>
    <row r="154" ht="15" customHeight="1" s="93"/>
    <row r="155" ht="15" customHeight="1" s="93"/>
    <row r="156" ht="15" customHeight="1" s="93"/>
    <row r="157" ht="15" customHeight="1" s="93"/>
    <row r="158" ht="15" customHeight="1" s="93"/>
    <row r="159" ht="15" customHeight="1" s="93"/>
    <row r="160" ht="15" customHeight="1" s="93"/>
    <row r="161" ht="15" customHeight="1" s="93"/>
    <row r="162" ht="15" customHeight="1" s="93"/>
    <row r="163" ht="15" customHeight="1" s="93"/>
    <row r="164" ht="15" customHeight="1" s="93"/>
    <row r="165" ht="15" customHeight="1" s="93"/>
    <row r="166" ht="15" customHeight="1" s="93"/>
    <row r="167" ht="15" customHeight="1" s="93"/>
    <row r="168" ht="15" customHeight="1" s="93"/>
    <row r="169" ht="15" customHeight="1" s="93"/>
    <row r="170" ht="15" customHeight="1" s="93"/>
    <row r="171" ht="15" customHeight="1" s="93"/>
    <row r="172" ht="15" customHeight="1" s="93"/>
    <row r="173" ht="15" customHeight="1" s="93"/>
    <row r="174" ht="15" customHeight="1" s="93"/>
    <row r="175" ht="15" customHeight="1" s="93"/>
    <row r="176" ht="15" customHeight="1" s="93"/>
    <row r="177" ht="15" customHeight="1" s="93"/>
    <row r="178" ht="15" customHeight="1" s="93"/>
    <row r="179" ht="15" customHeight="1" s="93"/>
    <row r="180" ht="15" customHeight="1" s="93"/>
    <row r="181" ht="15" customHeight="1" s="93"/>
    <row r="182" ht="15" customHeight="1" s="93"/>
    <row r="183" ht="15" customHeight="1" s="93"/>
    <row r="184" ht="15" customHeight="1" s="93"/>
    <row r="185" ht="15" customHeight="1" s="93"/>
    <row r="186" ht="15" customHeight="1" s="93"/>
    <row r="187" ht="15" customHeight="1" s="93"/>
    <row r="188" ht="15" customHeight="1" s="93"/>
    <row r="189" ht="15" customHeight="1" s="93"/>
    <row r="190" ht="15" customHeight="1" s="93"/>
    <row r="191" ht="15" customHeight="1" s="93"/>
    <row r="192" ht="15" customHeight="1" s="93"/>
    <row r="193" ht="15" customHeight="1" s="93"/>
    <row r="194" ht="15" customHeight="1" s="93"/>
    <row r="195" ht="15" customHeight="1" s="93"/>
    <row r="196" ht="15" customHeight="1" s="93"/>
    <row r="197" ht="15" customHeight="1" s="93"/>
    <row r="198" ht="15" customHeight="1" s="93"/>
    <row r="199" ht="15" customHeight="1" s="93"/>
    <row r="200" ht="15" customHeight="1" s="93"/>
    <row r="201" ht="15" customHeight="1" s="93"/>
    <row r="202" ht="15" customHeight="1" s="93"/>
    <row r="203" ht="15" customHeight="1" s="93"/>
    <row r="204" ht="15" customHeight="1" s="93"/>
    <row r="205" ht="15" customHeight="1" s="93"/>
    <row r="206" ht="15" customHeight="1" s="93"/>
    <row r="207" ht="15" customHeight="1" s="93"/>
    <row r="208" ht="15" customHeight="1" s="93"/>
    <row r="209" ht="15" customHeight="1" s="93"/>
    <row r="210" ht="15" customHeight="1" s="93"/>
    <row r="211" ht="15" customHeight="1" s="93"/>
    <row r="212" ht="15" customHeight="1" s="93"/>
    <row r="213" ht="15" customHeight="1" s="93"/>
    <row r="214" ht="15" customHeight="1" s="93"/>
    <row r="215" ht="15" customHeight="1" s="93"/>
    <row r="216" ht="15" customHeight="1" s="93"/>
    <row r="217" ht="15" customHeight="1" s="93"/>
    <row r="218" ht="15" customHeight="1" s="93"/>
    <row r="219" ht="15" customHeight="1" s="93"/>
    <row r="220" ht="15" customHeight="1" s="93"/>
    <row r="221" ht="15" customHeight="1" s="93"/>
    <row r="222" ht="15" customHeight="1" s="93"/>
    <row r="223" ht="15" customHeight="1" s="93"/>
    <row r="224" ht="15" customHeight="1" s="93"/>
    <row r="225" ht="15" customHeight="1" s="93"/>
    <row r="226" ht="15" customHeight="1" s="93"/>
    <row r="227" ht="15" customHeight="1" s="93"/>
    <row r="228" ht="15" customHeight="1" s="93"/>
    <row r="229" ht="15" customHeight="1" s="93"/>
    <row r="230" ht="15" customHeight="1" s="93"/>
    <row r="231" ht="15" customHeight="1" s="93"/>
    <row r="232" ht="15" customHeight="1" s="93"/>
    <row r="233" ht="15" customHeight="1" s="93"/>
    <row r="234" ht="15" customHeight="1" s="93"/>
    <row r="235" ht="15" customHeight="1" s="93"/>
    <row r="236" ht="15" customHeight="1" s="93"/>
    <row r="237" ht="15" customHeight="1" s="93"/>
    <row r="238" ht="15" customHeight="1" s="93"/>
    <row r="239" ht="15" customHeight="1" s="93"/>
    <row r="240" ht="15" customHeight="1" s="93"/>
    <row r="241" ht="15" customHeight="1" s="93"/>
    <row r="242" ht="15" customHeight="1" s="93"/>
    <row r="243" ht="15" customHeight="1" s="93"/>
    <row r="244" ht="15" customHeight="1" s="93"/>
    <row r="245" ht="15" customHeight="1" s="93"/>
    <row r="246" ht="15" customHeight="1" s="93"/>
    <row r="247" ht="15" customHeight="1" s="93"/>
    <row r="248" ht="15" customHeight="1" s="93"/>
    <row r="249" ht="15" customHeight="1" s="93"/>
    <row r="250" ht="15" customHeight="1" s="93"/>
    <row r="251" ht="15" customHeight="1" s="93"/>
    <row r="252" ht="15" customHeight="1" s="93"/>
    <row r="253" ht="15" customHeight="1" s="93"/>
    <row r="254" ht="15" customHeight="1" s="93"/>
    <row r="255" ht="15" customHeight="1" s="93"/>
    <row r="256" ht="15" customHeight="1" s="93"/>
    <row r="257" ht="15" customHeight="1" s="93"/>
    <row r="258" ht="15" customHeight="1" s="93"/>
    <row r="259" ht="15" customHeight="1" s="93"/>
    <row r="260" ht="15" customHeight="1" s="93"/>
    <row r="261" ht="15" customHeight="1" s="93"/>
    <row r="262" ht="15" customHeight="1" s="93"/>
    <row r="263" ht="15" customHeight="1" s="93"/>
    <row r="264" ht="15" customHeight="1" s="93"/>
    <row r="265" ht="15" customHeight="1" s="93"/>
    <row r="266" ht="15" customHeight="1" s="93"/>
    <row r="267" ht="15" customHeight="1" s="93"/>
    <row r="268" ht="15" customHeight="1" s="93"/>
    <row r="269" ht="15" customHeight="1" s="93"/>
    <row r="270" ht="15" customHeight="1" s="93"/>
    <row r="271" ht="15" customHeight="1" s="93"/>
    <row r="272" ht="15" customHeight="1" s="93"/>
    <row r="273" ht="15" customHeight="1" s="93"/>
    <row r="274" ht="15" customHeight="1" s="93"/>
    <row r="275" ht="15" customHeight="1" s="93"/>
    <row r="276" ht="15" customHeight="1" s="93"/>
    <row r="277" ht="15" customHeight="1" s="93"/>
    <row r="278" ht="15" customHeight="1" s="93"/>
    <row r="279" ht="15" customHeight="1" s="93"/>
    <row r="280" ht="15" customHeight="1" s="93"/>
    <row r="281" ht="15" customHeight="1" s="93"/>
    <row r="282" ht="15" customHeight="1" s="93"/>
    <row r="283" ht="15" customHeight="1" s="93"/>
    <row r="284" ht="15" customHeight="1" s="93"/>
    <row r="285" ht="15" customHeight="1" s="93"/>
    <row r="286" ht="15" customHeight="1" s="93"/>
    <row r="287" ht="15" customHeight="1" s="93"/>
    <row r="288" ht="15" customHeight="1" s="93"/>
    <row r="289" ht="15" customHeight="1" s="93"/>
    <row r="290" ht="15" customHeight="1" s="93"/>
    <row r="291" ht="15" customHeight="1" s="93"/>
    <row r="292" ht="15" customHeight="1" s="93"/>
    <row r="293" ht="15" customHeight="1" s="93"/>
    <row r="294" ht="15" customHeight="1" s="93"/>
    <row r="295" ht="15" customHeight="1" s="93"/>
    <row r="296" ht="15" customHeight="1" s="93"/>
    <row r="297" ht="15" customHeight="1" s="93"/>
    <row r="298" ht="15" customHeight="1" s="93"/>
    <row r="299" ht="15" customHeight="1" s="93"/>
    <row r="300" ht="15" customHeight="1" s="93"/>
    <row r="301" ht="15" customHeight="1" s="93"/>
    <row r="302" ht="15" customHeight="1" s="93"/>
    <row r="303" ht="15" customHeight="1" s="93"/>
    <row r="304" ht="15" customHeight="1" s="93"/>
    <row r="305" ht="15" customHeight="1" s="93"/>
    <row r="306" ht="15" customHeight="1" s="93"/>
    <row r="307" ht="15" customHeight="1" s="93"/>
    <row r="308" ht="15" customHeight="1" s="93"/>
    <row r="309" ht="15" customHeight="1" s="93"/>
    <row r="310" ht="15" customHeight="1" s="93"/>
    <row r="311" ht="15" customHeight="1" s="93"/>
    <row r="312" ht="15" customHeight="1" s="93"/>
    <row r="313" ht="15" customHeight="1" s="93"/>
    <row r="314" ht="15" customHeight="1" s="93"/>
    <row r="315" ht="15" customHeight="1" s="93"/>
    <row r="316" ht="15" customHeight="1" s="93"/>
    <row r="317" ht="15" customHeight="1" s="93"/>
    <row r="318" ht="15" customHeight="1" s="93"/>
    <row r="319" ht="15" customHeight="1" s="93"/>
    <row r="320" ht="15" customHeight="1" s="93"/>
    <row r="321" ht="15" customHeight="1" s="93"/>
    <row r="322" ht="15" customHeight="1" s="93"/>
    <row r="323" ht="15" customHeight="1" s="93"/>
    <row r="324" ht="15" customHeight="1" s="93"/>
    <row r="325" ht="15" customHeight="1" s="93"/>
    <row r="326" ht="15" customHeight="1" s="93"/>
    <row r="327" ht="15" customHeight="1" s="93"/>
    <row r="328" ht="15" customHeight="1" s="93"/>
    <row r="329" ht="15" customHeight="1" s="93"/>
    <row r="330" ht="15" customHeight="1" s="93"/>
    <row r="331" ht="15" customHeight="1" s="93"/>
    <row r="332" ht="15" customHeight="1" s="93"/>
    <row r="333" ht="15" customHeight="1" s="93"/>
    <row r="334" ht="15" customHeight="1" s="93"/>
    <row r="335" ht="15" customHeight="1" s="93"/>
    <row r="336" ht="15" customHeight="1" s="93"/>
    <row r="337" ht="15" customHeight="1" s="93"/>
    <row r="338" ht="15" customHeight="1" s="93"/>
    <row r="339" ht="15" customHeight="1" s="93"/>
    <row r="340" ht="15" customHeight="1" s="93"/>
    <row r="341" ht="15" customHeight="1" s="93"/>
    <row r="342" ht="15" customHeight="1" s="93"/>
    <row r="343" ht="15" customHeight="1" s="93"/>
    <row r="344" ht="15" customHeight="1" s="93"/>
    <row r="345" ht="15" customHeight="1" s="93"/>
    <row r="346" ht="15" customHeight="1" s="93"/>
    <row r="347" ht="15" customHeight="1" s="93"/>
    <row r="348" ht="15" customHeight="1" s="93"/>
    <row r="349" ht="15" customHeight="1" s="93"/>
    <row r="350" ht="15" customHeight="1" s="93"/>
    <row r="351" ht="15" customHeight="1" s="93"/>
    <row r="352" ht="15" customHeight="1" s="93"/>
    <row r="353" ht="15" customHeight="1" s="93"/>
    <row r="354" ht="15" customHeight="1" s="93"/>
    <row r="355" ht="15" customHeight="1" s="93"/>
    <row r="356" ht="15" customHeight="1" s="93"/>
    <row r="357" ht="15" customHeight="1" s="93"/>
    <row r="358" ht="15" customHeight="1" s="93"/>
    <row r="359" ht="15" customHeight="1" s="93"/>
    <row r="360" ht="15" customHeight="1" s="93"/>
    <row r="361" ht="15" customHeight="1" s="93"/>
    <row r="362" ht="15" customHeight="1" s="93"/>
    <row r="363" ht="15" customHeight="1" s="93"/>
    <row r="364" ht="15" customHeight="1" s="93"/>
    <row r="365" ht="15" customHeight="1" s="93"/>
    <row r="366" ht="15" customHeight="1" s="93"/>
    <row r="367" ht="15" customHeight="1" s="93"/>
    <row r="368" ht="15" customHeight="1" s="93"/>
    <row r="369" ht="15" customHeight="1" s="93"/>
    <row r="370" ht="15" customHeight="1" s="93"/>
    <row r="371" ht="15" customHeight="1" s="93"/>
    <row r="372" ht="15" customHeight="1" s="93"/>
    <row r="373" ht="15" customHeight="1" s="93"/>
    <row r="374" ht="15" customHeight="1" s="93"/>
    <row r="375" ht="15" customHeight="1" s="93"/>
    <row r="376" ht="15" customHeight="1" s="93"/>
    <row r="377" ht="15" customHeight="1" s="93"/>
    <row r="378" ht="15" customHeight="1" s="93"/>
    <row r="379" ht="15" customHeight="1" s="93"/>
    <row r="380" ht="15" customHeight="1" s="93"/>
    <row r="381" ht="15" customHeight="1" s="93"/>
    <row r="382" ht="15" customHeight="1" s="93"/>
    <row r="383" ht="15" customHeight="1" s="93"/>
    <row r="384" ht="15" customHeight="1" s="93"/>
    <row r="385" ht="15" customHeight="1" s="93"/>
    <row r="386" ht="15" customHeight="1" s="93"/>
    <row r="387" ht="15" customHeight="1" s="93"/>
    <row r="388" ht="15" customHeight="1" s="93"/>
    <row r="389" ht="15" customHeight="1" s="93"/>
    <row r="390" ht="15" customHeight="1" s="93"/>
    <row r="391" ht="15" customHeight="1" s="93"/>
    <row r="392" ht="15" customHeight="1" s="93"/>
    <row r="393" ht="15" customHeight="1" s="93"/>
    <row r="394" ht="15" customHeight="1" s="93"/>
    <row r="395" ht="15" customHeight="1" s="93"/>
    <row r="396" ht="15" customHeight="1" s="93"/>
    <row r="397" ht="15" customHeight="1" s="93"/>
    <row r="398" ht="15" customHeight="1" s="93"/>
    <row r="399" ht="15" customHeight="1" s="93"/>
    <row r="400" ht="15" customHeight="1" s="93"/>
    <row r="401" ht="15" customHeight="1" s="93"/>
    <row r="402" ht="15" customHeight="1" s="93"/>
    <row r="403" ht="15" customHeight="1" s="93"/>
    <row r="404" ht="15" customHeight="1" s="93"/>
    <row r="405" ht="15" customHeight="1" s="93"/>
    <row r="406" ht="15" customHeight="1" s="93"/>
    <row r="407" ht="15" customHeight="1" s="93"/>
    <row r="408" ht="15" customHeight="1" s="93"/>
    <row r="409" ht="15" customHeight="1" s="93"/>
    <row r="410" ht="15" customHeight="1" s="93"/>
    <row r="411" ht="15" customHeight="1" s="93"/>
    <row r="412" ht="15" customHeight="1" s="93"/>
    <row r="413" ht="15" customHeight="1" s="93"/>
    <row r="414" ht="15" customHeight="1" s="93"/>
    <row r="415" ht="15" customHeight="1" s="93"/>
    <row r="416" ht="15" customHeight="1" s="93"/>
    <row r="417" ht="15" customHeight="1" s="93"/>
    <row r="418" ht="15" customHeight="1" s="93"/>
    <row r="419" ht="15" customHeight="1" s="93"/>
    <row r="420" ht="15" customHeight="1" s="93"/>
    <row r="421" ht="15" customHeight="1" s="93"/>
    <row r="422" ht="15" customHeight="1" s="93"/>
    <row r="423" ht="15" customHeight="1" s="93"/>
    <row r="424" ht="15" customHeight="1" s="93"/>
    <row r="425" ht="15" customHeight="1" s="93"/>
    <row r="426" ht="15" customHeight="1" s="93"/>
    <row r="427" ht="15" customHeight="1" s="93"/>
    <row r="428" ht="15" customHeight="1" s="93"/>
    <row r="429" ht="15" customHeight="1" s="93"/>
    <row r="430" ht="15" customHeight="1" s="93"/>
    <row r="431" ht="15" customHeight="1" s="93"/>
    <row r="432" ht="15" customHeight="1" s="93"/>
    <row r="433" ht="15" customHeight="1" s="93"/>
    <row r="434" ht="15" customHeight="1" s="93"/>
    <row r="435" ht="15" customHeight="1" s="93"/>
    <row r="436" ht="15" customHeight="1" s="93"/>
    <row r="437" ht="15" customHeight="1" s="93"/>
    <row r="438" ht="15" customHeight="1" s="93"/>
    <row r="439" ht="15" customHeight="1" s="93"/>
    <row r="440" ht="15" customHeight="1" s="93"/>
    <row r="441" ht="15" customHeight="1" s="93"/>
    <row r="442" ht="15" customHeight="1" s="93"/>
    <row r="443" ht="15" customHeight="1" s="93"/>
    <row r="444" ht="15" customHeight="1" s="93"/>
    <row r="445" ht="15" customHeight="1" s="93"/>
    <row r="446" ht="15" customHeight="1" s="93"/>
    <row r="447" ht="15" customHeight="1" s="93"/>
    <row r="448" ht="15" customHeight="1" s="93"/>
    <row r="449" ht="15" customHeight="1" s="93"/>
    <row r="450" ht="15" customHeight="1" s="93"/>
    <row r="451" ht="15" customHeight="1" s="93"/>
    <row r="452" ht="15" customHeight="1" s="93"/>
    <row r="453" ht="15" customHeight="1" s="93"/>
    <row r="454" ht="15" customHeight="1" s="93"/>
    <row r="455" ht="15" customHeight="1" s="93"/>
    <row r="456" ht="15" customHeight="1" s="93"/>
    <row r="457" ht="15" customHeight="1" s="93"/>
    <row r="458" ht="15" customHeight="1" s="93"/>
    <row r="459" ht="15" customHeight="1" s="93"/>
    <row r="460" ht="15" customHeight="1" s="93"/>
    <row r="461" ht="15" customHeight="1" s="93"/>
    <row r="462" ht="15" customHeight="1" s="93"/>
    <row r="463" ht="15" customHeight="1" s="93"/>
    <row r="464" ht="15" customHeight="1" s="93"/>
    <row r="465" ht="15" customHeight="1" s="93"/>
    <row r="466" ht="15" customHeight="1" s="93"/>
    <row r="467" ht="15" customHeight="1" s="93"/>
    <row r="468" ht="15" customHeight="1" s="93"/>
    <row r="469" ht="15" customHeight="1" s="93"/>
    <row r="470" ht="15" customHeight="1" s="93"/>
    <row r="471" ht="15" customHeight="1" s="93"/>
    <row r="472" ht="15" customHeight="1" s="93"/>
    <row r="473" ht="15" customHeight="1" s="93"/>
    <row r="474" ht="15" customHeight="1" s="93"/>
    <row r="475" ht="15" customHeight="1" s="93"/>
    <row r="476" ht="15" customHeight="1" s="93"/>
    <row r="477" ht="15" customHeight="1" s="93"/>
    <row r="478" ht="15" customHeight="1" s="93"/>
    <row r="479" ht="15" customHeight="1" s="93"/>
    <row r="480" ht="15" customHeight="1" s="93"/>
    <row r="481" ht="15" customHeight="1" s="93"/>
    <row r="482" ht="15" customHeight="1" s="93"/>
    <row r="483" ht="15" customHeight="1" s="93"/>
    <row r="484" ht="15" customHeight="1" s="93"/>
    <row r="485" ht="15" customHeight="1" s="93"/>
    <row r="486" ht="15" customHeight="1" s="93"/>
    <row r="487" ht="15" customHeight="1" s="93"/>
    <row r="488" ht="15" customHeight="1" s="93"/>
    <row r="489" ht="15" customHeight="1" s="93"/>
    <row r="490" ht="15" customHeight="1" s="93"/>
    <row r="491" ht="15" customHeight="1" s="93"/>
    <row r="492" ht="15" customHeight="1" s="93"/>
    <row r="493" ht="15" customHeight="1" s="93"/>
    <row r="494" ht="15" customHeight="1" s="93"/>
    <row r="495" ht="15" customHeight="1" s="93"/>
    <row r="496" ht="15" customHeight="1" s="93"/>
    <row r="497" ht="15" customHeight="1" s="93"/>
    <row r="498" ht="15" customHeight="1" s="93"/>
    <row r="499" ht="15" customHeight="1" s="93"/>
    <row r="500" ht="15" customHeight="1" s="93"/>
    <row r="501" ht="15" customHeight="1" s="93"/>
    <row r="502" ht="15" customHeight="1" s="93"/>
    <row r="503" ht="15" customHeight="1" s="93"/>
    <row r="504" ht="15" customHeight="1" s="93"/>
    <row r="505" ht="15" customHeight="1" s="93"/>
    <row r="506" ht="15" customHeight="1" s="93"/>
    <row r="507" ht="15" customHeight="1" s="93"/>
    <row r="508" ht="15" customHeight="1" s="93"/>
    <row r="509" ht="15" customHeight="1" s="93"/>
    <row r="510" ht="15" customHeight="1" s="93"/>
    <row r="511" ht="15" customHeight="1" s="93"/>
    <row r="512" ht="15" customHeight="1" s="93"/>
    <row r="513" ht="15" customHeight="1" s="93"/>
    <row r="514" ht="15" customHeight="1" s="93"/>
    <row r="515" ht="15" customHeight="1" s="93"/>
    <row r="516" ht="15" customHeight="1" s="93"/>
    <row r="517" ht="15" customHeight="1" s="93"/>
    <row r="518" ht="15" customHeight="1" s="93"/>
    <row r="519" ht="15" customHeight="1" s="93"/>
    <row r="520" ht="15" customHeight="1" s="93"/>
    <row r="521" ht="15" customHeight="1" s="93"/>
    <row r="522" ht="15" customHeight="1" s="93"/>
    <row r="523" ht="15" customHeight="1" s="93"/>
    <row r="524" ht="15" customHeight="1" s="93"/>
    <row r="525" ht="15" customHeight="1" s="93"/>
    <row r="526" ht="15" customHeight="1" s="93"/>
    <row r="527" ht="15" customHeight="1" s="93"/>
    <row r="528" ht="15" customHeight="1" s="93"/>
    <row r="529" ht="15" customHeight="1" s="93"/>
    <row r="530" ht="15" customHeight="1" s="93"/>
    <row r="531" ht="15" customHeight="1" s="93"/>
    <row r="532" ht="15" customHeight="1" s="93"/>
    <row r="533" ht="15" customHeight="1" s="93"/>
    <row r="534" ht="15" customHeight="1" s="93"/>
    <row r="535" ht="15" customHeight="1" s="93"/>
    <row r="536" ht="15" customHeight="1" s="93"/>
    <row r="537" ht="15" customHeight="1" s="93"/>
    <row r="538" ht="15" customHeight="1" s="93"/>
    <row r="539" ht="15" customHeight="1" s="93"/>
    <row r="540" ht="15" customHeight="1" s="93"/>
    <row r="541" ht="15" customHeight="1" s="93"/>
    <row r="542" ht="15" customHeight="1" s="93"/>
    <row r="543" ht="15" customHeight="1" s="93"/>
    <row r="544" ht="15" customHeight="1" s="93"/>
    <row r="545" ht="15" customHeight="1" s="93"/>
    <row r="546" ht="15" customHeight="1" s="93"/>
    <row r="547" ht="15" customHeight="1" s="93"/>
    <row r="548" ht="15" customHeight="1" s="93"/>
    <row r="549" ht="15" customHeight="1" s="93"/>
    <row r="550" ht="15" customHeight="1" s="93"/>
    <row r="551" ht="15" customHeight="1" s="93"/>
    <row r="552" ht="15" customHeight="1" s="93"/>
    <row r="553" ht="15" customHeight="1" s="93"/>
    <row r="554" ht="15" customHeight="1" s="93"/>
    <row r="555" ht="15" customHeight="1" s="93"/>
    <row r="556" ht="15" customHeight="1" s="93"/>
    <row r="557" ht="15" customHeight="1" s="93"/>
    <row r="558" ht="15" customHeight="1" s="93"/>
    <row r="559" ht="15" customHeight="1" s="93"/>
    <row r="560" ht="15" customHeight="1" s="93"/>
    <row r="561" ht="15" customHeight="1" s="93"/>
    <row r="562" ht="15" customHeight="1" s="93"/>
    <row r="563" ht="15" customHeight="1" s="93"/>
    <row r="564" ht="15" customHeight="1" s="93"/>
    <row r="565" ht="15" customHeight="1" s="93"/>
    <row r="566" ht="15" customHeight="1" s="93"/>
    <row r="567" ht="15" customHeight="1" s="93"/>
    <row r="568" ht="15" customHeight="1" s="93"/>
    <row r="569" ht="15" customHeight="1" s="93"/>
    <row r="570" ht="15" customHeight="1" s="93"/>
    <row r="571" ht="15" customHeight="1" s="93"/>
    <row r="572" ht="15" customHeight="1" s="93"/>
    <row r="573" ht="15" customHeight="1" s="93"/>
    <row r="574" ht="15" customHeight="1" s="93"/>
    <row r="575" ht="15" customHeight="1" s="93"/>
    <row r="576" ht="15" customHeight="1" s="93"/>
    <row r="577" ht="15" customHeight="1" s="93"/>
    <row r="578" ht="15" customHeight="1" s="93"/>
    <row r="579" ht="15" customHeight="1" s="93"/>
    <row r="580" ht="15" customHeight="1" s="93"/>
    <row r="581" ht="15" customHeight="1" s="93"/>
    <row r="582" ht="15" customHeight="1" s="93"/>
    <row r="583" ht="15" customHeight="1" s="93"/>
    <row r="584" ht="15" customHeight="1" s="93"/>
    <row r="585" ht="15" customHeight="1" s="93"/>
    <row r="586" ht="15" customHeight="1" s="93"/>
    <row r="587" ht="15" customHeight="1" s="93"/>
    <row r="588" ht="15" customHeight="1" s="93"/>
    <row r="589" ht="15" customHeight="1" s="93"/>
    <row r="590" ht="15" customHeight="1" s="93"/>
    <row r="591" ht="15" customHeight="1" s="93"/>
    <row r="592" ht="15" customHeight="1" s="93"/>
    <row r="593" ht="15" customHeight="1" s="93"/>
    <row r="594" ht="15" customHeight="1" s="93"/>
    <row r="595" ht="15" customHeight="1" s="93"/>
    <row r="596" ht="15" customHeight="1" s="93"/>
    <row r="597" ht="15" customHeight="1" s="93"/>
    <row r="598" ht="15" customHeight="1" s="93"/>
    <row r="599" ht="15" customHeight="1" s="93"/>
    <row r="600" ht="15" customHeight="1" s="93"/>
    <row r="601" ht="15" customHeight="1" s="93"/>
    <row r="602" ht="15" customHeight="1" s="93"/>
    <row r="603" ht="15" customHeight="1" s="93"/>
    <row r="604" ht="15" customHeight="1" s="93"/>
    <row r="605" ht="15" customHeight="1" s="93"/>
    <row r="606" ht="15" customHeight="1" s="93"/>
    <row r="607" ht="15" customHeight="1" s="93"/>
    <row r="608" ht="15" customHeight="1" s="93"/>
    <row r="609" ht="15" customHeight="1" s="93"/>
    <row r="610" ht="15" customHeight="1" s="93"/>
    <row r="611" ht="15" customHeight="1" s="93"/>
    <row r="612" ht="15" customHeight="1" s="93"/>
    <row r="613" ht="15" customHeight="1" s="93"/>
    <row r="614" ht="15" customHeight="1" s="93"/>
    <row r="615" ht="15" customHeight="1" s="93"/>
    <row r="616" ht="15" customHeight="1" s="93"/>
    <row r="617" ht="15" customHeight="1" s="93"/>
    <row r="618" ht="15" customHeight="1" s="93"/>
    <row r="619" ht="15" customHeight="1" s="93"/>
    <row r="620" ht="15" customHeight="1" s="93"/>
    <row r="621" ht="15" customHeight="1" s="93"/>
    <row r="622" ht="15" customHeight="1" s="93"/>
    <row r="623" ht="15" customHeight="1" s="93"/>
    <row r="624" ht="15" customHeight="1" s="93"/>
    <row r="625" ht="15" customHeight="1" s="93"/>
    <row r="626" ht="15" customHeight="1" s="93"/>
    <row r="627" ht="15" customHeight="1" s="93"/>
    <row r="628" ht="15" customHeight="1" s="93"/>
    <row r="629" ht="15" customHeight="1" s="93"/>
    <row r="630" ht="15" customHeight="1" s="93"/>
    <row r="631" ht="15" customHeight="1" s="93"/>
    <row r="632" ht="15" customHeight="1" s="93"/>
    <row r="633" ht="15" customHeight="1" s="93"/>
    <row r="634" ht="15" customHeight="1" s="93"/>
    <row r="635" ht="15" customHeight="1" s="93"/>
    <row r="636" ht="15" customHeight="1" s="93"/>
    <row r="637" ht="15" customHeight="1" s="93"/>
    <row r="638" ht="15" customHeight="1" s="93"/>
    <row r="639" ht="15" customHeight="1" s="93"/>
    <row r="640" ht="15" customHeight="1" s="93"/>
    <row r="641" ht="15" customHeight="1" s="93"/>
    <row r="642" ht="15" customHeight="1" s="93"/>
    <row r="643" ht="15" customHeight="1" s="93"/>
    <row r="644" ht="15" customHeight="1" s="93"/>
    <row r="645" ht="15" customHeight="1" s="93"/>
    <row r="646" ht="15" customHeight="1" s="93"/>
    <row r="647" ht="15" customHeight="1" s="93"/>
    <row r="648" ht="15" customHeight="1" s="93"/>
    <row r="649" ht="15" customHeight="1" s="93"/>
    <row r="650" ht="15" customHeight="1" s="93"/>
    <row r="651" ht="15" customHeight="1" s="93"/>
    <row r="652" ht="15" customHeight="1" s="93"/>
    <row r="653" ht="15" customHeight="1" s="93"/>
    <row r="654" ht="15" customHeight="1" s="93"/>
    <row r="655" ht="15" customHeight="1" s="93"/>
    <row r="656" ht="15" customHeight="1" s="93"/>
    <row r="657" ht="15" customHeight="1" s="93"/>
    <row r="658" ht="15" customHeight="1" s="93"/>
    <row r="659" ht="15" customHeight="1" s="93"/>
    <row r="660" ht="15" customHeight="1" s="93"/>
    <row r="661" ht="15" customHeight="1" s="93"/>
    <row r="662" ht="15" customHeight="1" s="93"/>
    <row r="663" ht="15" customHeight="1" s="93"/>
    <row r="664" ht="15" customHeight="1" s="93"/>
    <row r="665" ht="15" customHeight="1" s="93"/>
    <row r="666" ht="15" customHeight="1" s="93"/>
    <row r="667" ht="15" customHeight="1" s="93"/>
    <row r="668" ht="15" customHeight="1" s="93"/>
    <row r="669" ht="15" customHeight="1" s="93"/>
    <row r="670" ht="15" customHeight="1" s="93"/>
    <row r="671" ht="15" customHeight="1" s="93"/>
    <row r="672" ht="15" customHeight="1" s="93"/>
    <row r="673" ht="15" customHeight="1" s="93"/>
    <row r="674" ht="15" customHeight="1" s="93"/>
    <row r="675" ht="15" customHeight="1" s="93"/>
    <row r="676" ht="15" customHeight="1" s="93"/>
    <row r="677" ht="15" customHeight="1" s="93"/>
    <row r="678" ht="15" customHeight="1" s="93"/>
    <row r="679" ht="15" customHeight="1" s="93"/>
    <row r="680" ht="15" customHeight="1" s="93"/>
    <row r="681" ht="15" customHeight="1" s="93"/>
    <row r="682" ht="15" customHeight="1" s="93"/>
    <row r="683" ht="15" customHeight="1" s="93"/>
    <row r="684" ht="15" customHeight="1" s="93"/>
    <row r="685" ht="15" customHeight="1" s="93"/>
    <row r="686" ht="15" customHeight="1" s="93"/>
    <row r="687" ht="15" customHeight="1" s="93"/>
    <row r="688" ht="15" customHeight="1" s="93"/>
    <row r="689" ht="15" customHeight="1" s="93"/>
    <row r="690" ht="15" customHeight="1" s="93"/>
    <row r="691" ht="15" customHeight="1" s="93"/>
    <row r="692" ht="15" customHeight="1" s="93"/>
    <row r="693" ht="15" customHeight="1" s="93"/>
    <row r="694" ht="15" customHeight="1" s="93"/>
    <row r="695" ht="15" customHeight="1" s="93"/>
    <row r="696" ht="15" customHeight="1" s="93"/>
    <row r="697" ht="15" customHeight="1" s="93"/>
    <row r="698" ht="15" customHeight="1" s="93"/>
    <row r="699" ht="15" customHeight="1" s="93"/>
    <row r="700" ht="15" customHeight="1" s="93"/>
    <row r="701" ht="15" customHeight="1" s="93"/>
    <row r="702" ht="15" customHeight="1" s="93"/>
    <row r="703" ht="15" customHeight="1" s="93"/>
    <row r="704" ht="15" customHeight="1" s="93"/>
    <row r="705" ht="15" customHeight="1" s="93"/>
    <row r="706" ht="15" customHeight="1" s="93"/>
    <row r="707" ht="15" customHeight="1" s="93"/>
    <row r="708" ht="15" customHeight="1" s="93"/>
    <row r="709" ht="15" customHeight="1" s="93"/>
    <row r="710" ht="15" customHeight="1" s="93"/>
    <row r="711" ht="15" customHeight="1" s="93"/>
    <row r="712" ht="15" customHeight="1" s="93"/>
    <row r="713" ht="15" customHeight="1" s="93"/>
    <row r="714" ht="15" customHeight="1" s="93"/>
    <row r="715" ht="15" customHeight="1" s="93"/>
    <row r="716" ht="15" customHeight="1" s="93"/>
    <row r="717" ht="15" customHeight="1" s="93"/>
    <row r="718" ht="15" customHeight="1" s="93"/>
    <row r="719" ht="15" customHeight="1" s="93"/>
    <row r="720" ht="15" customHeight="1" s="93"/>
    <row r="721" ht="15" customHeight="1" s="93"/>
    <row r="722" ht="15" customHeight="1" s="93"/>
    <row r="723" ht="15" customHeight="1" s="93"/>
    <row r="724" ht="15" customHeight="1" s="93"/>
    <row r="725" ht="15" customHeight="1" s="93"/>
    <row r="726" ht="15" customHeight="1" s="93"/>
    <row r="727" ht="15" customHeight="1" s="93"/>
    <row r="728" ht="15" customHeight="1" s="93"/>
    <row r="729" ht="15" customHeight="1" s="93"/>
    <row r="730" ht="15" customHeight="1" s="93"/>
    <row r="731" ht="15" customHeight="1" s="93"/>
    <row r="732" ht="15" customHeight="1" s="93"/>
    <row r="733" ht="15" customHeight="1" s="93"/>
    <row r="734" ht="15" customHeight="1" s="93"/>
    <row r="735" ht="15" customHeight="1" s="93"/>
    <row r="736" ht="15" customHeight="1" s="93"/>
    <row r="737" ht="15" customHeight="1" s="93"/>
    <row r="738" ht="15" customHeight="1" s="93"/>
    <row r="739" ht="15" customHeight="1" s="93"/>
    <row r="740" ht="15" customHeight="1" s="93"/>
    <row r="741" ht="15" customHeight="1" s="93"/>
    <row r="742" ht="15" customHeight="1" s="93"/>
    <row r="743" ht="15" customHeight="1" s="93"/>
    <row r="744" ht="15" customHeight="1" s="93"/>
    <row r="745" ht="15" customHeight="1" s="93"/>
    <row r="746" ht="15" customHeight="1" s="93"/>
    <row r="747" ht="15" customHeight="1" s="93"/>
    <row r="748" ht="15" customHeight="1" s="93"/>
    <row r="749" ht="15" customHeight="1" s="93"/>
    <row r="750" ht="15" customHeight="1" s="93"/>
    <row r="751" ht="15" customHeight="1" s="93"/>
    <row r="752" ht="15" customHeight="1" s="93"/>
    <row r="753" ht="15" customHeight="1" s="93"/>
    <row r="754" ht="15" customHeight="1" s="93"/>
    <row r="755" ht="15" customHeight="1" s="93"/>
    <row r="756" ht="15" customHeight="1" s="93"/>
    <row r="757" ht="15" customHeight="1" s="93"/>
    <row r="758" ht="15" customHeight="1" s="93"/>
    <row r="759" ht="15" customHeight="1" s="93"/>
    <row r="760" ht="15" customHeight="1" s="93"/>
    <row r="761" ht="15" customHeight="1" s="93"/>
    <row r="762" ht="15" customHeight="1" s="93"/>
    <row r="763" ht="15" customHeight="1" s="93"/>
    <row r="764" ht="15" customHeight="1" s="93"/>
    <row r="765" ht="15" customHeight="1" s="93"/>
    <row r="766" ht="15" customHeight="1" s="93"/>
    <row r="767" ht="15" customHeight="1" s="93"/>
    <row r="768" ht="15" customHeight="1" s="93"/>
    <row r="769" ht="15" customHeight="1" s="93"/>
    <row r="770" ht="15" customHeight="1" s="93"/>
    <row r="771" ht="15" customHeight="1" s="93"/>
    <row r="772" ht="15" customHeight="1" s="93"/>
    <row r="773" ht="15" customHeight="1" s="93"/>
    <row r="774" ht="15" customHeight="1" s="93"/>
    <row r="775" ht="15" customHeight="1" s="93"/>
    <row r="776" ht="15" customHeight="1" s="93"/>
    <row r="777" ht="15" customHeight="1" s="93"/>
    <row r="778" ht="15" customHeight="1" s="93"/>
    <row r="779" ht="15" customHeight="1" s="93"/>
    <row r="780" ht="15" customHeight="1" s="93"/>
    <row r="781" ht="15" customHeight="1" s="93"/>
    <row r="782" ht="15" customHeight="1" s="93"/>
    <row r="783" ht="15" customHeight="1" s="93"/>
    <row r="784" ht="15" customHeight="1" s="93"/>
    <row r="785" ht="15" customHeight="1" s="93"/>
    <row r="786" ht="15" customHeight="1" s="93"/>
    <row r="787" ht="15" customHeight="1" s="93"/>
    <row r="788" ht="15" customHeight="1" s="93"/>
    <row r="789" ht="15" customHeight="1" s="93"/>
    <row r="790" ht="15" customHeight="1" s="93"/>
    <row r="791" ht="15" customHeight="1" s="93"/>
    <row r="792" ht="15" customHeight="1" s="93"/>
    <row r="793" ht="15" customHeight="1" s="93"/>
    <row r="794" ht="15" customHeight="1" s="93"/>
    <row r="795" ht="15" customHeight="1" s="93"/>
    <row r="796" ht="15" customHeight="1" s="93"/>
    <row r="797" ht="15" customHeight="1" s="93"/>
    <row r="798" ht="15" customHeight="1" s="93"/>
    <row r="799" ht="15" customHeight="1" s="93"/>
    <row r="800" ht="15" customHeight="1" s="93"/>
    <row r="801" ht="15" customHeight="1" s="93"/>
    <row r="802" ht="15" customHeight="1" s="93"/>
    <row r="803" ht="15" customHeight="1" s="93"/>
    <row r="804" ht="15" customHeight="1" s="93"/>
    <row r="805" ht="15" customHeight="1" s="93"/>
    <row r="806" ht="15" customHeight="1" s="93"/>
    <row r="807" ht="15" customHeight="1" s="93"/>
    <row r="808" ht="15" customHeight="1" s="93"/>
    <row r="809" ht="15" customHeight="1" s="93"/>
    <row r="810" ht="15" customHeight="1" s="93"/>
    <row r="811" ht="15" customHeight="1" s="93"/>
    <row r="812" ht="15" customHeight="1" s="93"/>
    <row r="813" ht="15" customHeight="1" s="93"/>
    <row r="814" ht="15" customHeight="1" s="93"/>
    <row r="815" ht="15" customHeight="1" s="93"/>
    <row r="816" ht="15" customHeight="1" s="93"/>
    <row r="817" ht="15" customHeight="1" s="93"/>
    <row r="818" ht="15" customHeight="1" s="93"/>
    <row r="819" ht="15" customHeight="1" s="93"/>
    <row r="820" ht="15" customHeight="1" s="93"/>
    <row r="821" ht="15" customHeight="1" s="93"/>
    <row r="822" ht="15" customHeight="1" s="93"/>
    <row r="823" ht="15" customHeight="1" s="93"/>
    <row r="824" ht="15" customHeight="1" s="93"/>
    <row r="825" ht="15" customHeight="1" s="93"/>
    <row r="826" ht="15" customHeight="1" s="93"/>
    <row r="827" ht="15" customHeight="1" s="93"/>
    <row r="828" ht="15" customHeight="1" s="93"/>
    <row r="829" ht="15" customHeight="1" s="93"/>
    <row r="830" ht="15" customHeight="1" s="93"/>
    <row r="831" ht="15" customHeight="1" s="93"/>
    <row r="832" ht="15" customHeight="1" s="93"/>
    <row r="833" ht="15" customHeight="1" s="93"/>
    <row r="834" ht="15" customHeight="1" s="93"/>
    <row r="835" ht="15" customHeight="1" s="93"/>
    <row r="836" ht="15" customHeight="1" s="93"/>
    <row r="837" ht="15" customHeight="1" s="93"/>
    <row r="838" ht="15" customHeight="1" s="93"/>
    <row r="839" ht="15" customHeight="1" s="93"/>
    <row r="840" ht="15" customHeight="1" s="93"/>
    <row r="841" ht="15" customHeight="1" s="93"/>
    <row r="842" ht="15" customHeight="1" s="93"/>
    <row r="843" ht="15" customHeight="1" s="93"/>
    <row r="844" ht="15" customHeight="1" s="93"/>
    <row r="845" ht="15" customHeight="1" s="93"/>
    <row r="846" ht="15" customHeight="1" s="93"/>
    <row r="847" ht="15" customHeight="1" s="93"/>
    <row r="848" ht="15" customHeight="1" s="93"/>
    <row r="849" ht="15" customHeight="1" s="93"/>
    <row r="850" ht="15" customHeight="1" s="93"/>
    <row r="851" ht="15" customHeight="1" s="93"/>
    <row r="852" ht="15" customHeight="1" s="93"/>
    <row r="853" ht="15" customHeight="1" s="93"/>
    <row r="854" ht="15" customHeight="1" s="93"/>
    <row r="855" ht="15" customHeight="1" s="93"/>
    <row r="856" ht="15" customHeight="1" s="93"/>
    <row r="857" ht="15" customHeight="1" s="93"/>
    <row r="858" ht="15" customHeight="1" s="93"/>
    <row r="859" ht="15" customHeight="1" s="93"/>
    <row r="860" ht="15" customHeight="1" s="93"/>
    <row r="861" ht="15" customHeight="1" s="93"/>
    <row r="862" ht="15" customHeight="1" s="93"/>
    <row r="863" ht="15" customHeight="1" s="93"/>
    <row r="864" ht="15" customHeight="1" s="93"/>
    <row r="865" ht="15" customHeight="1" s="93"/>
    <row r="866" ht="15" customHeight="1" s="93"/>
    <row r="867" ht="15" customHeight="1" s="93"/>
    <row r="868" ht="15" customHeight="1" s="93"/>
    <row r="869" ht="15" customHeight="1" s="93"/>
    <row r="870" ht="15" customHeight="1" s="93"/>
    <row r="871" ht="15" customHeight="1" s="93"/>
    <row r="872" ht="15" customHeight="1" s="93"/>
    <row r="873" ht="15" customHeight="1" s="93"/>
    <row r="874" ht="15" customHeight="1" s="93"/>
    <row r="875" ht="15" customHeight="1" s="93"/>
    <row r="876" ht="15" customHeight="1" s="93"/>
    <row r="877" ht="15" customHeight="1" s="93"/>
    <row r="878" ht="15" customHeight="1" s="93"/>
    <row r="879" ht="15" customHeight="1" s="93"/>
    <row r="880" ht="15" customHeight="1" s="93"/>
    <row r="881" ht="15" customHeight="1" s="93"/>
    <row r="882" ht="15" customHeight="1" s="93"/>
    <row r="883" ht="15" customHeight="1" s="93"/>
    <row r="884" ht="15" customHeight="1" s="93"/>
    <row r="885" ht="15" customHeight="1" s="93"/>
    <row r="886" ht="15" customHeight="1" s="93"/>
    <row r="887" ht="15" customHeight="1" s="93"/>
    <row r="888" ht="15" customHeight="1" s="93"/>
    <row r="889" ht="15" customHeight="1" s="93"/>
    <row r="890" ht="15" customHeight="1" s="93"/>
    <row r="891" ht="15" customHeight="1" s="93"/>
    <row r="892" ht="15" customHeight="1" s="93"/>
    <row r="893" ht="15" customHeight="1" s="93"/>
    <row r="894" ht="15" customHeight="1" s="93"/>
    <row r="895" ht="15" customHeight="1" s="93"/>
    <row r="896" ht="15" customHeight="1" s="93"/>
    <row r="897" ht="15" customHeight="1" s="93"/>
    <row r="898" ht="15" customHeight="1" s="93"/>
    <row r="899" ht="15" customHeight="1" s="93"/>
    <row r="900" ht="15" customHeight="1" s="93"/>
    <row r="901" ht="15" customHeight="1" s="93"/>
    <row r="902" ht="15" customHeight="1" s="93"/>
    <row r="903" ht="15" customHeight="1" s="93"/>
    <row r="904" ht="15" customHeight="1" s="93"/>
    <row r="905" ht="15" customHeight="1" s="93"/>
    <row r="906" ht="15" customHeight="1" s="93"/>
    <row r="907" ht="15" customHeight="1" s="93"/>
    <row r="908" ht="15" customHeight="1" s="93"/>
    <row r="909" ht="15" customHeight="1" s="93"/>
    <row r="910" ht="15" customHeight="1" s="93"/>
    <row r="911" ht="15" customHeight="1" s="93"/>
    <row r="912" ht="15" customHeight="1" s="93"/>
    <row r="913" ht="15" customHeight="1" s="93"/>
    <row r="914" ht="15" customHeight="1" s="93"/>
    <row r="915" ht="15" customHeight="1" s="93"/>
    <row r="916" ht="15" customHeight="1" s="93"/>
    <row r="917" ht="15" customHeight="1" s="93"/>
    <row r="918" ht="15" customHeight="1" s="93"/>
    <row r="919" ht="15" customHeight="1" s="93"/>
    <row r="920" ht="15" customHeight="1" s="93"/>
    <row r="921" ht="15" customHeight="1" s="93"/>
    <row r="922" ht="15" customHeight="1" s="93"/>
    <row r="923" ht="15" customHeight="1" s="93"/>
    <row r="924" ht="15" customHeight="1" s="93"/>
    <row r="925" ht="15" customHeight="1" s="93"/>
    <row r="926" ht="15" customHeight="1" s="93"/>
    <row r="927" ht="15" customHeight="1" s="93"/>
    <row r="928" ht="15" customHeight="1" s="93"/>
    <row r="929" ht="15" customHeight="1" s="93"/>
    <row r="930" ht="15" customHeight="1" s="93"/>
    <row r="931" ht="15" customHeight="1" s="93"/>
    <row r="932" ht="15" customHeight="1" s="93"/>
    <row r="933" ht="15" customHeight="1" s="93"/>
    <row r="934" ht="15" customHeight="1" s="93"/>
    <row r="935" ht="15" customHeight="1" s="93"/>
    <row r="936" ht="15" customHeight="1" s="93"/>
    <row r="937" ht="15" customHeight="1" s="93"/>
    <row r="938" ht="15" customHeight="1" s="93"/>
    <row r="939" ht="15" customHeight="1" s="93"/>
    <row r="940" ht="15" customHeight="1" s="93"/>
    <row r="941" ht="15" customHeight="1" s="93"/>
    <row r="942" ht="15" customHeight="1" s="93"/>
    <row r="943" ht="15" customHeight="1" s="93"/>
    <row r="944" ht="15" customHeight="1" s="93"/>
    <row r="945" ht="15" customHeight="1" s="93"/>
    <row r="946" ht="15" customHeight="1" s="93"/>
    <row r="947" ht="15" customHeight="1" s="93"/>
    <row r="948" ht="15" customHeight="1" s="93"/>
    <row r="949" ht="15" customHeight="1" s="93"/>
    <row r="950" ht="15" customHeight="1" s="93"/>
    <row r="951" ht="15" customHeight="1" s="93"/>
    <row r="952" ht="15" customHeight="1" s="93"/>
    <row r="953" ht="15" customHeight="1" s="93"/>
    <row r="954" ht="15" customHeight="1" s="93"/>
    <row r="955" ht="15" customHeight="1" s="93"/>
    <row r="956" ht="15" customHeight="1" s="93"/>
    <row r="957" ht="15" customHeight="1" s="93"/>
    <row r="958" ht="15" customHeight="1" s="93"/>
    <row r="959" ht="15" customHeight="1" s="93"/>
    <row r="960" ht="15" customHeight="1" s="93"/>
    <row r="961" ht="15" customHeight="1" s="93"/>
    <row r="962" ht="15" customHeight="1" s="93"/>
    <row r="963" ht="15" customHeight="1" s="93"/>
    <row r="964" ht="15" customHeight="1" s="93"/>
    <row r="965" ht="15" customHeight="1" s="93"/>
    <row r="966" ht="15" customHeight="1" s="93"/>
    <row r="967" ht="15" customHeight="1" s="93"/>
    <row r="968" ht="15" customHeight="1" s="93"/>
    <row r="969" ht="15" customHeight="1" s="93"/>
    <row r="970" ht="15" customHeight="1" s="93"/>
    <row r="971" ht="15" customHeight="1" s="93"/>
    <row r="972" ht="15" customHeight="1" s="93"/>
    <row r="973" ht="15" customHeight="1" s="93"/>
    <row r="974" ht="15" customHeight="1" s="93"/>
    <row r="975" ht="15" customHeight="1" s="93"/>
    <row r="976" ht="15" customHeight="1" s="93"/>
    <row r="977" ht="15" customHeight="1" s="93"/>
    <row r="978" ht="15" customHeight="1" s="93"/>
    <row r="979" ht="15" customHeight="1" s="93"/>
    <row r="980" ht="15" customHeight="1" s="93"/>
    <row r="981" ht="15" customHeight="1" s="93"/>
    <row r="982" ht="15" customHeight="1" s="93"/>
    <row r="983" ht="15" customHeight="1" s="93"/>
    <row r="984" ht="15" customHeight="1" s="93"/>
    <row r="985" ht="15" customHeight="1" s="93"/>
    <row r="986" ht="15" customHeight="1" s="93"/>
    <row r="987" ht="15" customHeight="1" s="93"/>
    <row r="988" ht="15" customHeight="1" s="93"/>
    <row r="989" ht="15" customHeight="1" s="93"/>
    <row r="990" ht="15" customHeight="1" s="93"/>
    <row r="991" ht="15" customHeight="1" s="93"/>
    <row r="992" ht="15" customHeight="1" s="93"/>
    <row r="993" ht="15" customHeight="1" s="93"/>
    <row r="994" ht="15" customHeight="1" s="93"/>
    <row r="995" ht="15" customHeight="1" s="93"/>
    <row r="996" ht="15" customHeight="1" s="93"/>
    <row r="997" ht="15" customHeight="1" s="93"/>
    <row r="998" ht="15" customHeight="1" s="93"/>
    <row r="999" ht="15" customHeight="1" s="93"/>
    <row r="1000" ht="15" customHeight="1" s="93"/>
  </sheetData>
  <conditionalFormatting sqref="A2:R1000">
    <cfRule type="expression" rank="0" priority="2" equalAverage="0" aboveAverage="0" dxfId="11" text="" percent="0" bottom="0">
      <formula>$D2="US"</formula>
    </cfRule>
    <cfRule type="expression" rank="0" priority="3" equalAverage="0" aboveAverage="0" dxfId="12" text="" percent="0" bottom="0">
      <formula>$D2="MyMSC"</formula>
    </cfRule>
    <cfRule type="expression" rank="0" priority="4" equalAverage="0" aboveAverage="0" dxfId="13" text="" percent="0" bottom="0">
      <formula>$D2="Rollout"</formula>
    </cfRule>
    <cfRule type="expression" rank="0" priority="5" equalAverage="0" aboveAverage="0" dxfId="13" text="" percent="0" bottom="0">
      <formula>$D2="MVP Rollout"</formula>
    </cfRule>
    <cfRule type="expression" rank="0" priority="6" equalAverage="0" aboveAverage="0" dxfId="14" text="" percent="0" bottom="0">
      <formula>$D2="Backlog"</formula>
    </cfRule>
    <cfRule type="expression" rank="0" priority="7" equalAverage="0" aboveAverage="0" dxfId="14" text="" percent="0" bottom="0">
      <formula>$D2="Growth"</formula>
    </cfRule>
    <cfRule type="expression" rank="0" priority="8" equalAverage="0" aboveAverage="0" dxfId="15" text="" percent="0" bottom="0">
      <formula>$D2="Tech Enhancements"</formula>
    </cfRule>
    <cfRule type="expression" rank="0" priority="9" equalAverage="0" aboveAverage="0" dxfId="16"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R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baseColWidth="8" defaultColWidth="8.66796875" defaultRowHeight="15" customHeight="0" zeroHeight="0" outlineLevelRow="0"/>
  <cols>
    <col width="16" customWidth="1" style="92" min="1" max="1"/>
    <col width="38" customWidth="1" style="92" min="2" max="2"/>
    <col width="12" customWidth="1" style="92" min="3" max="4"/>
    <col width="14" customWidth="1" style="92" min="5" max="5"/>
    <col width="10" customWidth="1" style="92" min="6" max="6"/>
    <col width="14" customWidth="1" style="92" min="7" max="7"/>
    <col width="30" customWidth="1" style="92" min="8" max="8"/>
    <col width="12" customWidth="1" style="92" min="9" max="9"/>
    <col width="14" customWidth="1" style="92" min="10" max="10"/>
    <col width="12" customWidth="1" style="92" min="11" max="11"/>
    <col width="8" customWidth="1" style="92" min="12" max="12"/>
  </cols>
  <sheetData>
    <row r="1" ht="30" customHeight="1" s="93">
      <c r="A1" s="113" t="inlineStr">
        <is>
          <t>Requirement ID</t>
        </is>
      </c>
      <c r="B1" s="113" t="inlineStr">
        <is>
          <t>Requirement Name</t>
        </is>
      </c>
      <c r="C1" s="113" t="inlineStr">
        <is>
          <t>Type</t>
        </is>
      </c>
      <c r="D1" s="113" t="inlineStr">
        <is>
          <t>Stream</t>
        </is>
      </c>
      <c r="E1" s="113" t="inlineStr">
        <is>
          <t>Stream Owner</t>
        </is>
      </c>
      <c r="F1" s="113" t="inlineStr">
        <is>
          <t>Status</t>
        </is>
      </c>
      <c r="G1" s="113" t="inlineStr">
        <is>
          <t>Jira Key</t>
        </is>
      </c>
      <c r="H1" s="113" t="inlineStr">
        <is>
          <t>Jira Link</t>
        </is>
      </c>
      <c r="I1" s="113" t="inlineStr">
        <is>
          <t>Priority</t>
        </is>
      </c>
      <c r="J1" s="113" t="inlineStr">
        <is>
          <t>Sprint</t>
        </is>
      </c>
      <c r="K1" s="113" t="inlineStr">
        <is>
          <t>Release</t>
        </is>
      </c>
      <c r="L1" s="113" t="inlineStr">
        <is>
          <t>HLE</t>
        </is>
      </c>
      <c r="M1" s="170" t="n"/>
      <c r="N1" s="170" t="n"/>
      <c r="O1" s="170" t="n"/>
      <c r="P1" s="170" t="n"/>
      <c r="Q1" s="170" t="n"/>
      <c r="R1" s="170" t="n"/>
    </row>
    <row r="2" ht="15" customHeight="1" s="93">
      <c r="A2" s="117" t="inlineStr">
        <is>
          <t>NEW-0032</t>
        </is>
      </c>
      <c r="B2" s="117" t="inlineStr">
        <is>
          <t>Cruise ID / Birthdate missing from A013 and A007</t>
        </is>
      </c>
      <c r="C2" s="117" t="inlineStr">
        <is>
          <t>CR</t>
        </is>
      </c>
      <c r="D2" s="117" t="inlineStr">
        <is>
          <t>MyMSC</t>
        </is>
      </c>
      <c r="E2" s="117" t="inlineStr">
        <is>
          <t>B2CW</t>
        </is>
      </c>
      <c r="F2" s="117" t="inlineStr">
        <is>
          <t>DONE</t>
        </is>
      </c>
      <c r="G2" s="117" t="inlineStr">
        <is>
          <t>DTTP25-40256</t>
        </is>
      </c>
      <c r="H2" s="117" t="inlineStr">
        <is>
          <t>https://smartship.atlassian.net/browse/DTTP25-40256</t>
        </is>
      </c>
      <c r="I2" s="117" t="inlineStr">
        <is>
          <t>Medium</t>
        </is>
      </c>
      <c r="J2" s="117" t="inlineStr">
        <is>
          <t>Sprint 9</t>
        </is>
      </c>
      <c r="K2" s="117" t="n"/>
      <c r="L2" s="117" t="n">
        <v>8</v>
      </c>
      <c r="M2" s="117" t="n"/>
      <c r="N2" s="117" t="n"/>
      <c r="O2" s="117" t="n"/>
      <c r="P2" s="117" t="n"/>
      <c r="Q2" s="117" t="n"/>
      <c r="R2" s="117" t="n"/>
    </row>
    <row r="3" ht="15" customHeight="1" s="93">
      <c r="A3" s="92" t="inlineStr">
        <is>
          <t>NEW-0359</t>
        </is>
      </c>
      <c r="B3" s="92" t="inlineStr">
        <is>
          <t>Paypal Reconciliation for booking payments</t>
        </is>
      </c>
      <c r="C3" s="92" t="inlineStr">
        <is>
          <t>CR</t>
        </is>
      </c>
      <c r="D3" s="92" t="inlineStr">
        <is>
          <t>Growth</t>
        </is>
      </c>
      <c r="E3" s="92" t="inlineStr">
        <is>
          <t>B2CW</t>
        </is>
      </c>
      <c r="F3" s="92" t="inlineStr">
        <is>
          <t>DONE</t>
        </is>
      </c>
      <c r="G3" s="92" t="inlineStr">
        <is>
          <t>DTTP25-19655</t>
        </is>
      </c>
      <c r="H3" s="92" t="inlineStr">
        <is>
          <t>https://smartship.atlassian.net/browse/DTTP25-19655</t>
        </is>
      </c>
      <c r="I3" s="92" t="inlineStr">
        <is>
          <t>High</t>
        </is>
      </c>
      <c r="J3" s="92" t="inlineStr">
        <is>
          <t>Sprint 9</t>
        </is>
      </c>
      <c r="K3" s="92" t="inlineStr">
        <is>
          <t>Release 18</t>
        </is>
      </c>
      <c r="L3" s="92" t="n">
        <v>5</v>
      </c>
    </row>
    <row r="4" ht="15" customHeight="1" s="93">
      <c r="A4" s="92" t="inlineStr">
        <is>
          <t>NEW-0392</t>
        </is>
      </c>
      <c r="B4" s="92" t="inlineStr">
        <is>
          <t>INT183 - Add price per night</t>
        </is>
      </c>
      <c r="C4" s="92" t="inlineStr">
        <is>
          <t>CR</t>
        </is>
      </c>
      <c r="D4" s="92" t="inlineStr">
        <is>
          <t>PI10</t>
        </is>
      </c>
      <c r="E4" s="92" t="inlineStr">
        <is>
          <t>M4M</t>
        </is>
      </c>
      <c r="F4" s="92" t="inlineStr">
        <is>
          <t>DONE</t>
        </is>
      </c>
      <c r="G4" s="92" t="inlineStr">
        <is>
          <t>EA-1772</t>
        </is>
      </c>
      <c r="H4" s="92" t="inlineStr">
        <is>
          <t>https://smartship.atlassian.net/browse/EA-1772</t>
        </is>
      </c>
      <c r="I4" s="92" t="inlineStr">
        <is>
          <t>High</t>
        </is>
      </c>
      <c r="J4" s="92" t="inlineStr">
        <is>
          <t>Sprint 9</t>
        </is>
      </c>
      <c r="L4" s="92" t="n">
        <v>3</v>
      </c>
    </row>
    <row r="5" ht="15" customHeight="1" s="93">
      <c r="A5" s="92" t="inlineStr">
        <is>
          <t>NEW-0416</t>
        </is>
      </c>
      <c r="B5" s="92" t="inlineStr">
        <is>
          <t>Relax MyArea access rules in LL</t>
        </is>
      </c>
      <c r="C5" s="92" t="inlineStr">
        <is>
          <t>CR</t>
        </is>
      </c>
      <c r="D5" s="92" t="inlineStr">
        <is>
          <t>MyMSC</t>
        </is>
      </c>
      <c r="E5" s="92" t="inlineStr">
        <is>
          <t>B2CW</t>
        </is>
      </c>
      <c r="F5" s="92" t="inlineStr">
        <is>
          <t>DONE</t>
        </is>
      </c>
      <c r="G5" s="92" t="inlineStr">
        <is>
          <t>DTTP25-41462</t>
        </is>
      </c>
      <c r="H5" s="92" t="inlineStr">
        <is>
          <t>https://smartship.atlassian.net/browse/DTTP25-41462</t>
        </is>
      </c>
      <c r="I5" s="92" t="inlineStr">
        <is>
          <t>Medium</t>
        </is>
      </c>
      <c r="J5" s="92" t="inlineStr">
        <is>
          <t>Sprint 9</t>
        </is>
      </c>
      <c r="K5" s="92" t="inlineStr">
        <is>
          <t>Release 18</t>
        </is>
      </c>
      <c r="L5" s="92" t="n">
        <v>5</v>
      </c>
    </row>
    <row r="6" ht="15" customHeight="1" s="93">
      <c r="A6" s="92" t="inlineStr">
        <is>
          <t>NEW-0426</t>
        </is>
      </c>
      <c r="B6" s="92" t="inlineStr">
        <is>
          <t>INT182 - Add onboard price and exclusive discount flag</t>
        </is>
      </c>
      <c r="C6" s="92" t="inlineStr">
        <is>
          <t>CR</t>
        </is>
      </c>
      <c r="D6" s="92" t="inlineStr">
        <is>
          <t>PI10</t>
        </is>
      </c>
      <c r="E6" s="92" t="inlineStr">
        <is>
          <t>M4M</t>
        </is>
      </c>
      <c r="F6" s="92" t="inlineStr">
        <is>
          <t>DONE</t>
        </is>
      </c>
      <c r="G6" s="92" t="inlineStr">
        <is>
          <t>EA-1774</t>
        </is>
      </c>
      <c r="H6" s="92" t="inlineStr">
        <is>
          <t>https://smartship.atlassian.net/browse/EA-1774</t>
        </is>
      </c>
      <c r="I6" s="92" t="inlineStr">
        <is>
          <t>High</t>
        </is>
      </c>
      <c r="J6" s="92" t="inlineStr">
        <is>
          <t>Sprint 9</t>
        </is>
      </c>
      <c r="L6" s="92" t="n">
        <v>3</v>
      </c>
    </row>
    <row r="7" ht="15" customHeight="1" s="93">
      <c r="A7" s="92" t="inlineStr">
        <is>
          <t>NEW-0427</t>
        </is>
      </c>
      <c r="B7" s="92" t="inlineStr">
        <is>
          <t>INT181 - Add OBS category type</t>
        </is>
      </c>
      <c r="C7" s="92" t="inlineStr">
        <is>
          <t>CR</t>
        </is>
      </c>
      <c r="D7" s="92" t="inlineStr">
        <is>
          <t>PI10</t>
        </is>
      </c>
      <c r="E7" s="92" t="inlineStr">
        <is>
          <t>M4M</t>
        </is>
      </c>
      <c r="F7" s="92" t="inlineStr">
        <is>
          <t>DONE</t>
        </is>
      </c>
      <c r="G7" s="92" t="inlineStr">
        <is>
          <t>EA-1775</t>
        </is>
      </c>
      <c r="H7" s="92" t="inlineStr">
        <is>
          <t>https://smartship.atlassian.net/browse/EA-1775</t>
        </is>
      </c>
      <c r="I7" s="92" t="inlineStr">
        <is>
          <t>High</t>
        </is>
      </c>
      <c r="J7" s="92" t="inlineStr">
        <is>
          <t>Sprint 9</t>
        </is>
      </c>
      <c r="L7" s="92" t="n">
        <v>3</v>
      </c>
    </row>
    <row r="8" ht="15" customHeight="1" s="93">
      <c r="A8" s="92" t="inlineStr">
        <is>
          <t>NEW-0428</t>
        </is>
      </c>
      <c r="B8" s="92" t="inlineStr">
        <is>
          <t>INT181/INT183 - Add linked item code</t>
        </is>
      </c>
      <c r="C8" s="92" t="inlineStr">
        <is>
          <t>CR</t>
        </is>
      </c>
      <c r="D8" s="92" t="inlineStr">
        <is>
          <t>PI10</t>
        </is>
      </c>
      <c r="E8" s="92" t="inlineStr">
        <is>
          <t>M4M</t>
        </is>
      </c>
      <c r="F8" s="92" t="inlineStr">
        <is>
          <t>DONE</t>
        </is>
      </c>
      <c r="G8" s="92" t="inlineStr">
        <is>
          <t>EA-1773</t>
        </is>
      </c>
      <c r="H8" s="92" t="inlineStr">
        <is>
          <t>https://smartship.atlassian.net/browse/EA-1773</t>
        </is>
      </c>
      <c r="I8" s="92" t="inlineStr">
        <is>
          <t>High</t>
        </is>
      </c>
      <c r="J8" s="92" t="inlineStr">
        <is>
          <t>Sprint 9</t>
        </is>
      </c>
      <c r="L8" s="92" t="n">
        <v>3</v>
      </c>
    </row>
    <row r="9" ht="15" customHeight="1" s="93">
      <c r="A9" s="92" t="inlineStr">
        <is>
          <t>NEW-0406</t>
        </is>
      </c>
      <c r="B9" s="92" t="inlineStr">
        <is>
          <t xml:space="preserve">myMSC Add USA Market Configuration - Production </t>
        </is>
      </c>
      <c r="C9" s="92" t="inlineStr">
        <is>
          <t>Config</t>
        </is>
      </c>
      <c r="D9" s="92" t="inlineStr">
        <is>
          <t>MyMSC</t>
        </is>
      </c>
      <c r="E9" s="92" t="inlineStr">
        <is>
          <t>B2CW</t>
        </is>
      </c>
      <c r="F9" s="92" t="inlineStr">
        <is>
          <t>DONE</t>
        </is>
      </c>
      <c r="G9" s="92" t="inlineStr">
        <is>
          <t>MDTTPU-14018</t>
        </is>
      </c>
      <c r="H9" s="92" t="inlineStr">
        <is>
          <t>https://smartship.atlassian.net/browse/MDTTPU-14018</t>
        </is>
      </c>
      <c r="I9" s="92" t="inlineStr">
        <is>
          <t>Medium</t>
        </is>
      </c>
      <c r="J9" s="92" t="inlineStr">
        <is>
          <t>Sprint 9</t>
        </is>
      </c>
      <c r="L9" s="92" t="n">
        <v>8</v>
      </c>
    </row>
    <row r="10" ht="15" customHeight="1" s="93">
      <c r="A10" s="92" t="inlineStr">
        <is>
          <t>NEW-0047</t>
        </is>
      </c>
      <c r="B10" s="92" t="inlineStr">
        <is>
          <t>Load Test + Performance Enhancements</t>
        </is>
      </c>
      <c r="C10" s="92" t="inlineStr">
        <is>
          <t>Tech Task</t>
        </is>
      </c>
      <c r="D10" s="92" t="inlineStr">
        <is>
          <t>US</t>
        </is>
      </c>
      <c r="E10" s="92" t="inlineStr">
        <is>
          <t>ALL</t>
        </is>
      </c>
      <c r="F10" s="92" t="inlineStr">
        <is>
          <t>DONE</t>
        </is>
      </c>
      <c r="G10" s="92" t="inlineStr">
        <is>
          <t>MDTTPU-13969</t>
        </is>
      </c>
      <c r="H10" s="92" t="inlineStr">
        <is>
          <t>https://smartship.atlassian.net/browse/MDTTPU-13969</t>
        </is>
      </c>
      <c r="I10" s="92" t="inlineStr">
        <is>
          <t>Medium</t>
        </is>
      </c>
      <c r="J10" s="92" t="inlineStr">
        <is>
          <t>Sprint 9</t>
        </is>
      </c>
      <c r="K10" s="92" t="inlineStr">
        <is>
          <t>Release 18</t>
        </is>
      </c>
      <c r="L10" s="92" t="n">
        <v>40</v>
      </c>
    </row>
    <row r="11" ht="15" customHeight="1" s="93">
      <c r="A11" s="92" t="inlineStr">
        <is>
          <t>NEW-0048</t>
        </is>
      </c>
      <c r="B11" s="92" t="inlineStr">
        <is>
          <t>API Prod Configurations</t>
        </is>
      </c>
      <c r="C11" s="92" t="inlineStr">
        <is>
          <t>Config</t>
        </is>
      </c>
      <c r="D11" s="92" t="inlineStr">
        <is>
          <t>US</t>
        </is>
      </c>
      <c r="E11" s="92" t="inlineStr">
        <is>
          <t>B2CW</t>
        </is>
      </c>
      <c r="F11" s="92" t="inlineStr">
        <is>
          <t>DONE</t>
        </is>
      </c>
      <c r="G11" s="92" t="inlineStr">
        <is>
          <t>MDTTPU-1292</t>
        </is>
      </c>
      <c r="H11" s="92" t="inlineStr">
        <is>
          <t>https://smartship.atlassian.net/browse/MDTTPU-1292</t>
        </is>
      </c>
      <c r="I11" s="92" t="inlineStr">
        <is>
          <t>Medium</t>
        </is>
      </c>
      <c r="J11" s="92" t="inlineStr">
        <is>
          <t>Sprint 9</t>
        </is>
      </c>
      <c r="K11" s="92" t="inlineStr">
        <is>
          <t>Release 18</t>
        </is>
      </c>
      <c r="L11" s="92" t="n">
        <v>8</v>
      </c>
    </row>
    <row r="12" ht="15" customHeight="1" s="93">
      <c r="A12" s="92" t="inlineStr">
        <is>
          <t>NEW-0049</t>
        </is>
      </c>
      <c r="B12" s="92" t="inlineStr">
        <is>
          <t>Redo configs of US in Chain 1 branches for non-prod/ prod</t>
        </is>
      </c>
      <c r="C12" s="92" t="inlineStr">
        <is>
          <t>Config</t>
        </is>
      </c>
      <c r="D12" s="92" t="inlineStr">
        <is>
          <t>US</t>
        </is>
      </c>
      <c r="E12" s="92" t="inlineStr">
        <is>
          <t>ALL</t>
        </is>
      </c>
      <c r="F12" s="92" t="inlineStr">
        <is>
          <t>DONE</t>
        </is>
      </c>
      <c r="G12" s="92" t="inlineStr">
        <is>
          <t>MDTTPU-13739</t>
        </is>
      </c>
      <c r="H12" s="92" t="inlineStr">
        <is>
          <t>https://smartship.atlassian.net/browse/MDTTPU-13739</t>
        </is>
      </c>
      <c r="I12" s="92" t="inlineStr">
        <is>
          <t>Medium</t>
        </is>
      </c>
      <c r="J12" s="92" t="inlineStr">
        <is>
          <t>Sprint 9</t>
        </is>
      </c>
      <c r="K12" s="92" t="inlineStr">
        <is>
          <t>Release 18</t>
        </is>
      </c>
      <c r="L12" s="92" t="n">
        <v>8</v>
      </c>
    </row>
    <row r="13" ht="15" customHeight="1" s="93">
      <c r="A13" s="92" t="inlineStr">
        <is>
          <t>NEW-0050</t>
        </is>
      </c>
      <c r="B13" s="92" t="inlineStr">
        <is>
          <t>Redo market routing logic to cover calls to CDP for Chain 1</t>
        </is>
      </c>
      <c r="C13" s="92" t="inlineStr">
        <is>
          <t>Config</t>
        </is>
      </c>
      <c r="D13" s="92" t="inlineStr">
        <is>
          <t>US</t>
        </is>
      </c>
      <c r="E13" s="92" t="inlineStr">
        <is>
          <t>ALL</t>
        </is>
      </c>
      <c r="F13" s="92" t="inlineStr">
        <is>
          <t>DONE</t>
        </is>
      </c>
      <c r="G13" s="92" t="inlineStr">
        <is>
          <t>MDTTPU-13740</t>
        </is>
      </c>
      <c r="H13" s="92" t="inlineStr">
        <is>
          <t>https://smartship.atlassian.net/browse/MDTTPU-13740</t>
        </is>
      </c>
      <c r="I13" s="92" t="inlineStr">
        <is>
          <t>Medium</t>
        </is>
      </c>
      <c r="J13" s="92" t="inlineStr">
        <is>
          <t>Sprint 9</t>
        </is>
      </c>
      <c r="K13" s="92" t="inlineStr">
        <is>
          <t>Release 18</t>
        </is>
      </c>
      <c r="L13" s="92" t="n">
        <v>13</v>
      </c>
    </row>
    <row r="14" ht="15" customHeight="1" s="93">
      <c r="A14" s="92" t="inlineStr">
        <is>
          <t>NEW-0051</t>
        </is>
      </c>
      <c r="B14" s="92" t="inlineStr">
        <is>
          <t>US Migration to CHAIN1</t>
        </is>
      </c>
      <c r="C14" s="92" t="inlineStr">
        <is>
          <t>Tech Task</t>
        </is>
      </c>
      <c r="D14" s="92" t="inlineStr">
        <is>
          <t>US</t>
        </is>
      </c>
      <c r="E14" s="92" t="inlineStr">
        <is>
          <t>ALL</t>
        </is>
      </c>
      <c r="F14" s="92" t="inlineStr">
        <is>
          <t>DONE</t>
        </is>
      </c>
      <c r="G14" s="92" t="inlineStr">
        <is>
          <t>MDTTPU-13970</t>
        </is>
      </c>
      <c r="H14" s="92" t="inlineStr">
        <is>
          <t>https://smartship.atlassian.net/browse/MDTTPU-13970</t>
        </is>
      </c>
      <c r="I14" s="92" t="inlineStr">
        <is>
          <t>High</t>
        </is>
      </c>
      <c r="J14" s="92" t="inlineStr">
        <is>
          <t>Sprint 9</t>
        </is>
      </c>
      <c r="K14" s="92" t="inlineStr">
        <is>
          <t>Release 18</t>
        </is>
      </c>
      <c r="L14" s="92" t="n">
        <v>5</v>
      </c>
    </row>
    <row r="15" ht="15" customHeight="1" s="93">
      <c r="A15" s="92" t="inlineStr">
        <is>
          <t>NEW-0053</t>
        </is>
      </c>
      <c r="B15" s="92" t="inlineStr">
        <is>
          <t>US Configuration CHAIN1/2</t>
        </is>
      </c>
      <c r="C15" s="92" t="inlineStr">
        <is>
          <t>Config</t>
        </is>
      </c>
      <c r="D15" s="92" t="inlineStr">
        <is>
          <t>MyMSC</t>
        </is>
      </c>
      <c r="E15" s="92" t="inlineStr">
        <is>
          <t>B2CW</t>
        </is>
      </c>
      <c r="F15" s="92" t="inlineStr">
        <is>
          <t>DONE</t>
        </is>
      </c>
      <c r="G15" s="92" t="inlineStr">
        <is>
          <t>MDTTPU-13662</t>
        </is>
      </c>
      <c r="H15" s="92" t="inlineStr">
        <is>
          <t>https://smartship.atlassian.net/browse/MDTTPU-13662</t>
        </is>
      </c>
      <c r="I15" s="92" t="inlineStr">
        <is>
          <t>Medium</t>
        </is>
      </c>
      <c r="J15" s="92" t="inlineStr">
        <is>
          <t>Sprint 9</t>
        </is>
      </c>
      <c r="K15" s="92" t="inlineStr">
        <is>
          <t>Release 18</t>
        </is>
      </c>
      <c r="L15" s="92" t="n">
        <v>8</v>
      </c>
    </row>
    <row r="16" ht="15" customHeight="1" s="93">
      <c r="A16" s="92" t="inlineStr">
        <is>
          <t>NEW-0055</t>
        </is>
      </c>
      <c r="B16" s="92" t="inlineStr">
        <is>
          <t>Release Preparation (Release 15, M4M, US)</t>
        </is>
      </c>
      <c r="C16" s="92" t="inlineStr">
        <is>
          <t>Tech Task</t>
        </is>
      </c>
      <c r="D16" s="92" t="inlineStr">
        <is>
          <t>Cross</t>
        </is>
      </c>
      <c r="E16" s="92" t="inlineStr">
        <is>
          <t>ALL</t>
        </is>
      </c>
      <c r="F16" s="92" t="inlineStr">
        <is>
          <t>DONE</t>
        </is>
      </c>
      <c r="G16" s="92" t="inlineStr">
        <is>
          <t>MDTTPU-13971</t>
        </is>
      </c>
      <c r="H16" s="92" t="inlineStr">
        <is>
          <t>https://smartship.atlassian.net/browse/MDTTPU-13971</t>
        </is>
      </c>
      <c r="I16" s="92" t="inlineStr">
        <is>
          <t>High</t>
        </is>
      </c>
      <c r="J16" s="92" t="inlineStr">
        <is>
          <t>Sprint 9</t>
        </is>
      </c>
      <c r="K16" s="92" t="inlineStr">
        <is>
          <t>Release 18</t>
        </is>
      </c>
      <c r="L16" s="92" t="n">
        <v>21</v>
      </c>
    </row>
    <row r="17" ht="15" customHeight="1" s="93">
      <c r="A17" s="92" t="inlineStr">
        <is>
          <t>NEW-0435</t>
        </is>
      </c>
      <c r="B17" s="92" t="inlineStr">
        <is>
          <t>new item</t>
        </is>
      </c>
      <c r="C17" s="92" t="inlineStr">
        <is>
          <t>Config</t>
        </is>
      </c>
      <c r="D17" s="92" t="inlineStr">
        <is>
          <t>Backlog</t>
        </is>
      </c>
      <c r="E17" s="92" t="inlineStr">
        <is>
          <t>MA</t>
        </is>
      </c>
      <c r="F17" s="92" t="inlineStr">
        <is>
          <t>DONE</t>
        </is>
      </c>
      <c r="I17" s="92" t="inlineStr">
        <is>
          <t>Medium</t>
        </is>
      </c>
      <c r="J17" s="92" t="inlineStr">
        <is>
          <t>Sprint 10</t>
        </is>
      </c>
    </row>
    <row r="18" ht="15" customHeight="1" s="93">
      <c r="A18" s="92" t="inlineStr">
        <is>
          <t>NEW-0440</t>
        </is>
      </c>
      <c r="B18" s="92" t="inlineStr">
        <is>
          <t>neew item 2</t>
        </is>
      </c>
      <c r="C18" s="92" t="inlineStr">
        <is>
          <t>Config</t>
        </is>
      </c>
      <c r="D18" s="92" t="inlineStr">
        <is>
          <t>US</t>
        </is>
      </c>
      <c r="E18" s="92" t="inlineStr">
        <is>
          <t>MA</t>
        </is>
      </c>
      <c r="F18" s="92" t="inlineStr">
        <is>
          <t>DONE</t>
        </is>
      </c>
      <c r="I18" s="92" t="inlineStr">
        <is>
          <t>Medium</t>
        </is>
      </c>
      <c r="J18" s="92" t="inlineStr">
        <is>
          <t>Sprint 11</t>
        </is>
      </c>
    </row>
    <row r="19" ht="15" customHeight="1" s="93"/>
    <row r="20" ht="15" customHeight="1" s="93"/>
    <row r="21" ht="15" customHeight="1" s="93"/>
    <row r="22" ht="15" customHeight="1" s="93"/>
    <row r="23" ht="15" customHeight="1" s="93"/>
    <row r="24" ht="15" customHeight="1" s="93"/>
    <row r="25" ht="15" customHeight="1" s="93"/>
    <row r="26" ht="15" customHeight="1" s="93"/>
    <row r="27" ht="15" customHeight="1" s="93"/>
    <row r="28" ht="15" customHeight="1" s="93"/>
    <row r="29" ht="15" customHeight="1" s="93"/>
    <row r="30" ht="15" customHeight="1" s="93"/>
    <row r="31" ht="15" customHeight="1" s="93"/>
    <row r="32" ht="15" customHeight="1" s="93"/>
    <row r="33" ht="15" customHeight="1" s="93"/>
    <row r="34" ht="15" customHeight="1" s="93"/>
    <row r="35" ht="15" customHeight="1" s="93"/>
    <row r="36" ht="15" customHeight="1" s="93"/>
    <row r="37" ht="15" customHeight="1" s="93"/>
    <row r="38" ht="15" customHeight="1" s="93"/>
    <row r="39" ht="15" customHeight="1" s="93"/>
    <row r="40" ht="15" customHeight="1" s="93"/>
    <row r="41" ht="15" customHeight="1" s="93"/>
    <row r="42" ht="15" customHeight="1" s="93"/>
    <row r="43" ht="15" customHeight="1" s="93"/>
    <row r="44" ht="15" customHeight="1" s="93"/>
    <row r="45" ht="15" customHeight="1" s="93"/>
    <row r="46" ht="15" customHeight="1" s="93"/>
    <row r="47" ht="15" customHeight="1" s="93"/>
    <row r="48" ht="15" customHeight="1" s="93"/>
    <row r="49" ht="15" customHeight="1" s="93"/>
    <row r="50" ht="15" customHeight="1" s="93"/>
    <row r="51" ht="15" customHeight="1" s="93"/>
    <row r="52" ht="15" customHeight="1" s="93"/>
    <row r="53" ht="15" customHeight="1" s="93"/>
    <row r="54" ht="15" customHeight="1" s="93"/>
    <row r="55" ht="15" customHeight="1" s="93"/>
    <row r="56" ht="15" customHeight="1" s="93"/>
    <row r="57" ht="15" customHeight="1" s="93"/>
    <row r="58" ht="15" customHeight="1" s="93"/>
    <row r="59" ht="15" customHeight="1" s="93"/>
    <row r="60" ht="15" customHeight="1" s="93"/>
    <row r="61" ht="15" customHeight="1" s="93"/>
    <row r="62" ht="15" customHeight="1" s="93"/>
    <row r="63" ht="15" customHeight="1" s="93"/>
    <row r="64" ht="15" customHeight="1" s="93"/>
    <row r="65" ht="15" customHeight="1" s="93"/>
    <row r="66" ht="15" customHeight="1" s="93"/>
    <row r="67" ht="15" customHeight="1" s="93"/>
    <row r="68" ht="15" customHeight="1" s="93"/>
    <row r="69" ht="15" customHeight="1" s="93"/>
    <row r="70" ht="15" customHeight="1" s="93"/>
    <row r="71" ht="15" customHeight="1" s="93"/>
    <row r="72" ht="15" customHeight="1" s="93"/>
    <row r="73" ht="15" customHeight="1" s="93"/>
    <row r="74" ht="15" customHeight="1" s="93"/>
    <row r="75" ht="15" customHeight="1" s="93"/>
    <row r="76" ht="15" customHeight="1" s="93"/>
    <row r="77" ht="15" customHeight="1" s="93"/>
    <row r="78" ht="15" customHeight="1" s="93"/>
    <row r="79" ht="15" customHeight="1" s="93"/>
    <row r="80" ht="15" customHeight="1" s="93"/>
    <row r="81" ht="15" customHeight="1" s="93"/>
    <row r="82" ht="15" customHeight="1" s="93"/>
    <row r="83" ht="15" customHeight="1" s="93"/>
    <row r="84" ht="15" customHeight="1" s="93"/>
    <row r="85" ht="15" customHeight="1" s="93"/>
    <row r="86" ht="15" customHeight="1" s="93"/>
    <row r="87" ht="15" customHeight="1" s="93"/>
    <row r="88" ht="15" customHeight="1" s="93"/>
    <row r="89" ht="15" customHeight="1" s="93"/>
    <row r="90" ht="15" customHeight="1" s="93"/>
    <row r="91" ht="15" customHeight="1" s="93"/>
    <row r="92" ht="15" customHeight="1" s="93"/>
    <row r="93" ht="15" customHeight="1" s="93"/>
    <row r="94" ht="15" customHeight="1" s="93"/>
    <row r="95" ht="15" customHeight="1" s="93"/>
    <row r="96" ht="15" customHeight="1" s="93"/>
    <row r="97" ht="15" customHeight="1" s="93"/>
    <row r="98" ht="15" customHeight="1" s="93"/>
    <row r="99" ht="15" customHeight="1" s="93"/>
    <row r="100" ht="15" customHeight="1" s="93"/>
    <row r="101" ht="15" customHeight="1" s="93"/>
    <row r="102" ht="15" customHeight="1" s="93"/>
    <row r="103" ht="15" customHeight="1" s="93"/>
    <row r="104" ht="15" customHeight="1" s="93"/>
    <row r="105" ht="15" customHeight="1" s="93"/>
    <row r="106" ht="15" customHeight="1" s="93"/>
    <row r="107" ht="15" customHeight="1" s="93"/>
    <row r="108" ht="15" customHeight="1" s="93"/>
    <row r="109" ht="15" customHeight="1" s="93"/>
    <row r="110" ht="15" customHeight="1" s="93"/>
    <row r="111" ht="15" customHeight="1" s="93"/>
    <row r="112" ht="15" customHeight="1" s="93"/>
    <row r="113" ht="15" customHeight="1" s="93"/>
    <row r="114" ht="15" customHeight="1" s="93"/>
    <row r="115" ht="15" customHeight="1" s="93"/>
    <row r="116" ht="15" customHeight="1" s="93"/>
    <row r="117" ht="15" customHeight="1" s="93"/>
    <row r="118" ht="15" customHeight="1" s="93"/>
    <row r="119" ht="15" customHeight="1" s="93"/>
    <row r="120" ht="15" customHeight="1" s="93"/>
    <row r="121" ht="15" customHeight="1" s="93"/>
    <row r="122" ht="15" customHeight="1" s="93"/>
    <row r="123" ht="15" customHeight="1" s="93"/>
    <row r="124" ht="15" customHeight="1" s="93"/>
    <row r="125" ht="15" customHeight="1" s="93"/>
    <row r="126" ht="15" customHeight="1" s="93"/>
    <row r="127" ht="15" customHeight="1" s="93"/>
    <row r="128" ht="15" customHeight="1" s="93"/>
    <row r="129" ht="15" customHeight="1" s="93"/>
    <row r="130" ht="15" customHeight="1" s="93"/>
    <row r="131" ht="15" customHeight="1" s="93"/>
    <row r="132" ht="15" customHeight="1" s="93"/>
    <row r="133" ht="15" customHeight="1" s="93"/>
    <row r="134" ht="15" customHeight="1" s="93"/>
    <row r="135" ht="15" customHeight="1" s="93"/>
    <row r="136" ht="15" customHeight="1" s="93"/>
    <row r="137" ht="15" customHeight="1" s="93"/>
    <row r="138" ht="15" customHeight="1" s="93"/>
    <row r="139" ht="15" customHeight="1" s="93"/>
    <row r="140" ht="15" customHeight="1" s="93"/>
    <row r="141" ht="15" customHeight="1" s="93"/>
    <row r="142" ht="15" customHeight="1" s="93"/>
    <row r="143" ht="15" customHeight="1" s="93"/>
    <row r="144" ht="15" customHeight="1" s="93"/>
    <row r="145" ht="15" customHeight="1" s="93"/>
    <row r="146" ht="15" customHeight="1" s="93"/>
    <row r="147" ht="15" customHeight="1" s="93"/>
    <row r="148" ht="15" customHeight="1" s="93"/>
    <row r="149" ht="15" customHeight="1" s="93"/>
    <row r="150" ht="15" customHeight="1" s="93"/>
    <row r="151" ht="15" customHeight="1" s="93"/>
    <row r="152" ht="15" customHeight="1" s="93"/>
    <row r="153" ht="15" customHeight="1" s="93"/>
    <row r="154" ht="15" customHeight="1" s="93"/>
    <row r="155" ht="15" customHeight="1" s="93"/>
    <row r="156" ht="15" customHeight="1" s="93"/>
    <row r="157" ht="15" customHeight="1" s="93"/>
    <row r="158" ht="15" customHeight="1" s="93"/>
    <row r="159" ht="15" customHeight="1" s="93"/>
    <row r="160" ht="15" customHeight="1" s="93"/>
    <row r="161" ht="15" customHeight="1" s="93"/>
    <row r="162" ht="15" customHeight="1" s="93"/>
    <row r="163" ht="15" customHeight="1" s="93"/>
    <row r="164" ht="15" customHeight="1" s="93"/>
    <row r="165" ht="15" customHeight="1" s="93"/>
    <row r="166" ht="15" customHeight="1" s="93"/>
    <row r="167" ht="15" customHeight="1" s="93"/>
    <row r="168" ht="15" customHeight="1" s="93"/>
    <row r="169" ht="15" customHeight="1" s="93"/>
    <row r="170" ht="15" customHeight="1" s="93"/>
    <row r="171" ht="15" customHeight="1" s="93"/>
    <row r="172" ht="15" customHeight="1" s="93"/>
    <row r="173" ht="15" customHeight="1" s="93"/>
    <row r="174" ht="15" customHeight="1" s="93"/>
    <row r="175" ht="15" customHeight="1" s="93"/>
    <row r="176" ht="15" customHeight="1" s="93"/>
    <row r="177" ht="15" customHeight="1" s="93"/>
    <row r="178" ht="15" customHeight="1" s="93"/>
    <row r="179" ht="15" customHeight="1" s="93"/>
    <row r="180" ht="15" customHeight="1" s="93"/>
    <row r="181" ht="15" customHeight="1" s="93"/>
    <row r="182" ht="15" customHeight="1" s="93"/>
    <row r="183" ht="15" customHeight="1" s="93"/>
    <row r="184" ht="15" customHeight="1" s="93"/>
    <row r="185" ht="15" customHeight="1" s="93"/>
    <row r="186" ht="15" customHeight="1" s="93"/>
    <row r="187" ht="15" customHeight="1" s="93"/>
    <row r="188" ht="15" customHeight="1" s="93"/>
    <row r="189" ht="15" customHeight="1" s="93"/>
    <row r="190" ht="15" customHeight="1" s="93"/>
    <row r="191" ht="15" customHeight="1" s="93"/>
    <row r="192" ht="15" customHeight="1" s="93"/>
    <row r="193" ht="15" customHeight="1" s="93"/>
    <row r="194" ht="15" customHeight="1" s="93"/>
    <row r="195" ht="15" customHeight="1" s="93"/>
    <row r="196" ht="15" customHeight="1" s="93"/>
    <row r="197" ht="15" customHeight="1" s="93"/>
    <row r="198" ht="15" customHeight="1" s="93"/>
    <row r="199" ht="15" customHeight="1" s="93"/>
    <row r="200" ht="15" customHeight="1" s="93"/>
    <row r="201" ht="15" customHeight="1" s="93"/>
    <row r="202" ht="15" customHeight="1" s="93"/>
    <row r="203" ht="15" customHeight="1" s="93"/>
    <row r="204" ht="15" customHeight="1" s="93"/>
    <row r="205" ht="15" customHeight="1" s="93"/>
    <row r="206" ht="15" customHeight="1" s="93"/>
    <row r="207" ht="15" customHeight="1" s="93"/>
    <row r="208" ht="15" customHeight="1" s="93"/>
    <row r="209" ht="15" customHeight="1" s="93"/>
    <row r="210" ht="15" customHeight="1" s="93"/>
    <row r="211" ht="15" customHeight="1" s="93"/>
    <row r="212" ht="15" customHeight="1" s="93"/>
    <row r="213" ht="15" customHeight="1" s="93"/>
    <row r="214" ht="15" customHeight="1" s="93"/>
    <row r="215" ht="15" customHeight="1" s="93"/>
    <row r="216" ht="15" customHeight="1" s="93"/>
    <row r="217" ht="15" customHeight="1" s="93"/>
    <row r="218" ht="15" customHeight="1" s="93"/>
    <row r="219" ht="15" customHeight="1" s="93"/>
    <row r="220" ht="15" customHeight="1" s="93"/>
    <row r="221" ht="15" customHeight="1" s="93"/>
    <row r="222" ht="15" customHeight="1" s="93"/>
    <row r="223" ht="15" customHeight="1" s="93"/>
    <row r="224" ht="15" customHeight="1" s="93"/>
    <row r="225" ht="15" customHeight="1" s="93"/>
    <row r="226" ht="15" customHeight="1" s="93"/>
    <row r="227" ht="15" customHeight="1" s="93"/>
    <row r="228" ht="15" customHeight="1" s="93"/>
    <row r="229" ht="15" customHeight="1" s="93"/>
    <row r="230" ht="15" customHeight="1" s="93"/>
    <row r="231" ht="15" customHeight="1" s="93"/>
    <row r="232" ht="15" customHeight="1" s="93"/>
    <row r="233" ht="15" customHeight="1" s="93"/>
    <row r="234" ht="15" customHeight="1" s="93"/>
    <row r="235" ht="15" customHeight="1" s="93"/>
    <row r="236" ht="15" customHeight="1" s="93"/>
    <row r="237" ht="15" customHeight="1" s="93"/>
    <row r="238" ht="15" customHeight="1" s="93"/>
    <row r="239" ht="15" customHeight="1" s="93"/>
    <row r="240" ht="15" customHeight="1" s="93"/>
    <row r="241" ht="15" customHeight="1" s="93"/>
    <row r="242" ht="15" customHeight="1" s="93"/>
    <row r="243" ht="15" customHeight="1" s="93"/>
    <row r="244" ht="15" customHeight="1" s="93"/>
    <row r="245" ht="15" customHeight="1" s="93"/>
    <row r="246" ht="15" customHeight="1" s="93"/>
    <row r="247" ht="15" customHeight="1" s="93"/>
    <row r="248" ht="15" customHeight="1" s="93"/>
    <row r="249" ht="15" customHeight="1" s="93"/>
    <row r="250" ht="15" customHeight="1" s="93"/>
    <row r="251" ht="15" customHeight="1" s="93"/>
    <row r="252" ht="15" customHeight="1" s="93"/>
    <row r="253" ht="15" customHeight="1" s="93"/>
    <row r="254" ht="15" customHeight="1" s="93"/>
    <row r="255" ht="15" customHeight="1" s="93"/>
    <row r="256" ht="15" customHeight="1" s="93"/>
    <row r="257" ht="15" customHeight="1" s="93"/>
    <row r="258" ht="15" customHeight="1" s="93"/>
    <row r="259" ht="15" customHeight="1" s="93"/>
    <row r="260" ht="15" customHeight="1" s="93"/>
    <row r="261" ht="15" customHeight="1" s="93"/>
    <row r="262" ht="15" customHeight="1" s="93"/>
    <row r="263" ht="15" customHeight="1" s="93"/>
    <row r="264" ht="15" customHeight="1" s="93"/>
    <row r="265" ht="15" customHeight="1" s="93"/>
    <row r="266" ht="15" customHeight="1" s="93"/>
    <row r="267" ht="15" customHeight="1" s="93"/>
    <row r="268" ht="15" customHeight="1" s="93"/>
    <row r="269" ht="15" customHeight="1" s="93"/>
    <row r="270" ht="15" customHeight="1" s="93"/>
    <row r="271" ht="15" customHeight="1" s="93"/>
    <row r="272" ht="15" customHeight="1" s="93"/>
    <row r="273" ht="15" customHeight="1" s="93"/>
    <row r="274" ht="15" customHeight="1" s="93"/>
    <row r="275" ht="15" customHeight="1" s="93"/>
    <row r="276" ht="15" customHeight="1" s="93"/>
    <row r="277" ht="15" customHeight="1" s="93"/>
    <row r="278" ht="15" customHeight="1" s="93"/>
    <row r="279" ht="15" customHeight="1" s="93"/>
    <row r="280" ht="15" customHeight="1" s="93"/>
    <row r="281" ht="15" customHeight="1" s="93"/>
    <row r="282" ht="15" customHeight="1" s="93"/>
    <row r="283" ht="15" customHeight="1" s="93"/>
    <row r="284" ht="15" customHeight="1" s="93"/>
    <row r="285" ht="15" customHeight="1" s="93"/>
    <row r="286" ht="15" customHeight="1" s="93"/>
    <row r="287" ht="15" customHeight="1" s="93"/>
    <row r="288" ht="15" customHeight="1" s="93"/>
    <row r="289" ht="15" customHeight="1" s="93"/>
    <row r="290" ht="15" customHeight="1" s="93"/>
    <row r="291" ht="15" customHeight="1" s="93"/>
    <row r="292" ht="15" customHeight="1" s="93"/>
    <row r="293" ht="15" customHeight="1" s="93"/>
    <row r="294" ht="15" customHeight="1" s="93"/>
    <row r="295" ht="15" customHeight="1" s="93"/>
    <row r="296" ht="15" customHeight="1" s="93"/>
    <row r="297" ht="15" customHeight="1" s="93"/>
    <row r="298" ht="15" customHeight="1" s="93"/>
    <row r="299" ht="15" customHeight="1" s="93"/>
    <row r="300" ht="15" customHeight="1" s="93"/>
    <row r="301" ht="15" customHeight="1" s="93"/>
    <row r="302" ht="15" customHeight="1" s="93"/>
    <row r="303" ht="15" customHeight="1" s="93"/>
    <row r="304" ht="15" customHeight="1" s="93"/>
    <row r="305" ht="15" customHeight="1" s="93"/>
    <row r="306" ht="15" customHeight="1" s="93"/>
    <row r="307" ht="15" customHeight="1" s="93"/>
    <row r="308" ht="15" customHeight="1" s="93"/>
    <row r="309" ht="15" customHeight="1" s="93"/>
    <row r="310" ht="15" customHeight="1" s="93"/>
    <row r="311" ht="15" customHeight="1" s="93"/>
    <row r="312" ht="15" customHeight="1" s="93"/>
    <row r="313" ht="15" customHeight="1" s="93"/>
    <row r="314" ht="15" customHeight="1" s="93"/>
    <row r="315" ht="15" customHeight="1" s="93"/>
    <row r="316" ht="15" customHeight="1" s="93"/>
    <row r="317" ht="15" customHeight="1" s="93"/>
    <row r="318" ht="15" customHeight="1" s="93"/>
    <row r="319" ht="15" customHeight="1" s="93"/>
    <row r="320" ht="15" customHeight="1" s="93"/>
    <row r="321" ht="15" customHeight="1" s="93"/>
    <row r="322" ht="15" customHeight="1" s="93"/>
    <row r="323" ht="15" customHeight="1" s="93"/>
    <row r="324" ht="15" customHeight="1" s="93"/>
    <row r="325" ht="15" customHeight="1" s="93"/>
    <row r="326" ht="15" customHeight="1" s="93"/>
    <row r="327" ht="15" customHeight="1" s="93"/>
    <row r="328" ht="15" customHeight="1" s="93"/>
    <row r="329" ht="15" customHeight="1" s="93"/>
    <row r="330" ht="15" customHeight="1" s="93"/>
    <row r="331" ht="15" customHeight="1" s="93"/>
    <row r="332" ht="15" customHeight="1" s="93"/>
    <row r="333" ht="15" customHeight="1" s="93"/>
    <row r="334" ht="15" customHeight="1" s="93"/>
    <row r="335" ht="15" customHeight="1" s="93"/>
    <row r="336" ht="15" customHeight="1" s="93"/>
    <row r="337" ht="15" customHeight="1" s="93"/>
    <row r="338" ht="15" customHeight="1" s="93"/>
    <row r="339" ht="15" customHeight="1" s="93"/>
    <row r="340" ht="15" customHeight="1" s="93"/>
    <row r="341" ht="15" customHeight="1" s="93"/>
    <row r="342" ht="15" customHeight="1" s="93"/>
    <row r="343" ht="15" customHeight="1" s="93"/>
    <row r="344" ht="15" customHeight="1" s="93"/>
    <row r="345" ht="15" customHeight="1" s="93"/>
    <row r="346" ht="15" customHeight="1" s="93"/>
    <row r="347" ht="15" customHeight="1" s="93"/>
    <row r="348" ht="15" customHeight="1" s="93"/>
    <row r="349" ht="15" customHeight="1" s="93"/>
    <row r="350" ht="15" customHeight="1" s="93"/>
    <row r="351" ht="15" customHeight="1" s="93"/>
    <row r="352" ht="15" customHeight="1" s="93"/>
    <row r="353" ht="15" customHeight="1" s="93"/>
    <row r="354" ht="15" customHeight="1" s="93"/>
    <row r="355" ht="15" customHeight="1" s="93"/>
    <row r="356" ht="15" customHeight="1" s="93"/>
    <row r="357" ht="15" customHeight="1" s="93"/>
    <row r="358" ht="15" customHeight="1" s="93"/>
    <row r="359" ht="15" customHeight="1" s="93"/>
    <row r="360" ht="15" customHeight="1" s="93"/>
    <row r="361" ht="15" customHeight="1" s="93"/>
    <row r="362" ht="15" customHeight="1" s="93"/>
    <row r="363" ht="15" customHeight="1" s="93"/>
    <row r="364" ht="15" customHeight="1" s="93"/>
    <row r="365" ht="15" customHeight="1" s="93"/>
    <row r="366" ht="15" customHeight="1" s="93"/>
    <row r="367" ht="15" customHeight="1" s="93"/>
    <row r="368" ht="15" customHeight="1" s="93"/>
    <row r="369" ht="15" customHeight="1" s="93"/>
    <row r="370" ht="15" customHeight="1" s="93"/>
    <row r="371" ht="15" customHeight="1" s="93"/>
    <row r="372" ht="15" customHeight="1" s="93"/>
    <row r="373" ht="15" customHeight="1" s="93"/>
    <row r="374" ht="15" customHeight="1" s="93"/>
    <row r="375" ht="15" customHeight="1" s="93"/>
    <row r="376" ht="15" customHeight="1" s="93"/>
    <row r="377" ht="15" customHeight="1" s="93"/>
    <row r="378" ht="15" customHeight="1" s="93"/>
    <row r="379" ht="15" customHeight="1" s="93"/>
    <row r="380" ht="15" customHeight="1" s="93"/>
    <row r="381" ht="15" customHeight="1" s="93"/>
    <row r="382" ht="15" customHeight="1" s="93"/>
    <row r="383" ht="15" customHeight="1" s="93"/>
    <row r="384" ht="15" customHeight="1" s="93"/>
    <row r="385" ht="15" customHeight="1" s="93"/>
    <row r="386" ht="15" customHeight="1" s="93"/>
    <row r="387" ht="15" customHeight="1" s="93"/>
    <row r="388" ht="15" customHeight="1" s="93"/>
    <row r="389" ht="15" customHeight="1" s="93"/>
    <row r="390" ht="15" customHeight="1" s="93"/>
    <row r="391" ht="15" customHeight="1" s="93"/>
    <row r="392" ht="15" customHeight="1" s="93"/>
    <row r="393" ht="15" customHeight="1" s="93"/>
    <row r="394" ht="15" customHeight="1" s="93"/>
    <row r="395" ht="15" customHeight="1" s="93"/>
    <row r="396" ht="15" customHeight="1" s="93"/>
    <row r="397" ht="15" customHeight="1" s="93"/>
    <row r="398" ht="15" customHeight="1" s="93"/>
    <row r="399" ht="15" customHeight="1" s="93"/>
    <row r="400" ht="15" customHeight="1" s="93"/>
    <row r="401" ht="15" customHeight="1" s="93"/>
    <row r="402" ht="15" customHeight="1" s="93"/>
    <row r="403" ht="15" customHeight="1" s="93"/>
    <row r="404" ht="15" customHeight="1" s="93"/>
    <row r="405" ht="15" customHeight="1" s="93"/>
    <row r="406" ht="15" customHeight="1" s="93"/>
    <row r="407" ht="15" customHeight="1" s="93"/>
    <row r="408" ht="15" customHeight="1" s="93"/>
    <row r="409" ht="15" customHeight="1" s="93"/>
    <row r="410" ht="15" customHeight="1" s="93"/>
    <row r="411" ht="15" customHeight="1" s="93"/>
    <row r="412" ht="15" customHeight="1" s="93"/>
    <row r="413" ht="15" customHeight="1" s="93"/>
    <row r="414" ht="15" customHeight="1" s="93"/>
    <row r="415" ht="15" customHeight="1" s="93"/>
    <row r="416" ht="15" customHeight="1" s="93"/>
    <row r="417" ht="15" customHeight="1" s="93"/>
    <row r="418" ht="15" customHeight="1" s="93"/>
    <row r="419" ht="15" customHeight="1" s="93"/>
    <row r="420" ht="15" customHeight="1" s="93"/>
    <row r="421" ht="15" customHeight="1" s="93"/>
    <row r="422" ht="15" customHeight="1" s="93"/>
    <row r="423" ht="15" customHeight="1" s="93"/>
    <row r="424" ht="15" customHeight="1" s="93"/>
    <row r="425" ht="15" customHeight="1" s="93"/>
    <row r="426" ht="15" customHeight="1" s="93"/>
    <row r="427" ht="15" customHeight="1" s="93"/>
    <row r="428" ht="15" customHeight="1" s="93"/>
    <row r="429" ht="15" customHeight="1" s="93"/>
    <row r="430" ht="15" customHeight="1" s="93"/>
    <row r="431" ht="15" customHeight="1" s="93"/>
    <row r="432" ht="15" customHeight="1" s="93"/>
    <row r="433" ht="15" customHeight="1" s="93"/>
    <row r="434" ht="15" customHeight="1" s="93"/>
    <row r="435" ht="15" customHeight="1" s="93"/>
    <row r="436" ht="15" customHeight="1" s="93"/>
    <row r="437" ht="15" customHeight="1" s="93"/>
    <row r="438" ht="15" customHeight="1" s="93"/>
    <row r="439" ht="15" customHeight="1" s="93"/>
    <row r="440" ht="15" customHeight="1" s="93"/>
    <row r="441" ht="15" customHeight="1" s="93"/>
    <row r="442" ht="15" customHeight="1" s="93"/>
    <row r="443" ht="15" customHeight="1" s="93"/>
    <row r="444" ht="15" customHeight="1" s="93"/>
    <row r="445" ht="15" customHeight="1" s="93"/>
    <row r="446" ht="15" customHeight="1" s="93"/>
    <row r="447" ht="15" customHeight="1" s="93"/>
    <row r="448" ht="15" customHeight="1" s="93"/>
    <row r="449" ht="15" customHeight="1" s="93"/>
    <row r="450" ht="15" customHeight="1" s="93"/>
    <row r="451" ht="15" customHeight="1" s="93"/>
    <row r="452" ht="15" customHeight="1" s="93"/>
    <row r="453" ht="15" customHeight="1" s="93"/>
    <row r="454" ht="15" customHeight="1" s="93"/>
    <row r="455" ht="15" customHeight="1" s="93"/>
    <row r="456" ht="15" customHeight="1" s="93"/>
    <row r="457" ht="15" customHeight="1" s="93"/>
    <row r="458" ht="15" customHeight="1" s="93"/>
    <row r="459" ht="15" customHeight="1" s="93"/>
    <row r="460" ht="15" customHeight="1" s="93"/>
    <row r="461" ht="15" customHeight="1" s="93"/>
    <row r="462" ht="15" customHeight="1" s="93"/>
    <row r="463" ht="15" customHeight="1" s="93"/>
    <row r="464" ht="15" customHeight="1" s="93"/>
    <row r="465" ht="15" customHeight="1" s="93"/>
    <row r="466" ht="15" customHeight="1" s="93"/>
    <row r="467" ht="15" customHeight="1" s="93"/>
    <row r="468" ht="15" customHeight="1" s="93"/>
    <row r="469" ht="15" customHeight="1" s="93"/>
    <row r="470" ht="15" customHeight="1" s="93"/>
    <row r="471" ht="15" customHeight="1" s="93"/>
    <row r="472" ht="15" customHeight="1" s="93"/>
    <row r="473" ht="15" customHeight="1" s="93"/>
    <row r="474" ht="15" customHeight="1" s="93"/>
    <row r="475" ht="15" customHeight="1" s="93"/>
    <row r="476" ht="15" customHeight="1" s="93"/>
    <row r="477" ht="15" customHeight="1" s="93"/>
    <row r="478" ht="15" customHeight="1" s="93"/>
    <row r="479" ht="15" customHeight="1" s="93"/>
    <row r="480" ht="15" customHeight="1" s="93"/>
    <row r="481" ht="15" customHeight="1" s="93"/>
    <row r="482" ht="15" customHeight="1" s="93"/>
    <row r="483" ht="15" customHeight="1" s="93"/>
    <row r="484" ht="15" customHeight="1" s="93"/>
    <row r="485" ht="15" customHeight="1" s="93"/>
    <row r="486" ht="15" customHeight="1" s="93"/>
    <row r="487" ht="15" customHeight="1" s="93"/>
    <row r="488" ht="15" customHeight="1" s="93"/>
    <row r="489" ht="15" customHeight="1" s="93"/>
    <row r="490" ht="15" customHeight="1" s="93"/>
    <row r="491" ht="15" customHeight="1" s="93"/>
    <row r="492" ht="15" customHeight="1" s="93"/>
    <row r="493" ht="15" customHeight="1" s="93"/>
    <row r="494" ht="15" customHeight="1" s="93"/>
    <row r="495" ht="15" customHeight="1" s="93"/>
    <row r="496" ht="15" customHeight="1" s="93"/>
    <row r="497" ht="15" customHeight="1" s="93"/>
    <row r="498" ht="15" customHeight="1" s="93"/>
    <row r="499" ht="15" customHeight="1" s="93"/>
    <row r="500" ht="15" customHeight="1" s="93"/>
    <row r="501" ht="15" customHeight="1" s="93"/>
    <row r="502" ht="15" customHeight="1" s="93"/>
    <row r="503" ht="15" customHeight="1" s="93"/>
    <row r="504" ht="15" customHeight="1" s="93"/>
    <row r="505" ht="15" customHeight="1" s="93"/>
    <row r="506" ht="15" customHeight="1" s="93"/>
    <row r="507" ht="15" customHeight="1" s="93"/>
    <row r="508" ht="15" customHeight="1" s="93"/>
    <row r="509" ht="15" customHeight="1" s="93"/>
    <row r="510" ht="15" customHeight="1" s="93"/>
    <row r="511" ht="15" customHeight="1" s="93"/>
    <row r="512" ht="15" customHeight="1" s="93"/>
    <row r="513" ht="15" customHeight="1" s="93"/>
    <row r="514" ht="15" customHeight="1" s="93"/>
    <row r="515" ht="15" customHeight="1" s="93"/>
    <row r="516" ht="15" customHeight="1" s="93"/>
    <row r="517" ht="15" customHeight="1" s="93"/>
    <row r="518" ht="15" customHeight="1" s="93"/>
    <row r="519" ht="15" customHeight="1" s="93"/>
    <row r="520" ht="15" customHeight="1" s="93"/>
    <row r="521" ht="15" customHeight="1" s="93"/>
    <row r="522" ht="15" customHeight="1" s="93"/>
    <row r="523" ht="15" customHeight="1" s="93"/>
    <row r="524" ht="15" customHeight="1" s="93"/>
    <row r="525" ht="15" customHeight="1" s="93"/>
    <row r="526" ht="15" customHeight="1" s="93"/>
    <row r="527" ht="15" customHeight="1" s="93"/>
    <row r="528" ht="15" customHeight="1" s="93"/>
    <row r="529" ht="15" customHeight="1" s="93"/>
    <row r="530" ht="15" customHeight="1" s="93"/>
    <row r="531" ht="15" customHeight="1" s="93"/>
    <row r="532" ht="15" customHeight="1" s="93"/>
    <row r="533" ht="15" customHeight="1" s="93"/>
    <row r="534" ht="15" customHeight="1" s="93"/>
    <row r="535" ht="15" customHeight="1" s="93"/>
    <row r="536" ht="15" customHeight="1" s="93"/>
    <row r="537" ht="15" customHeight="1" s="93"/>
    <row r="538" ht="15" customHeight="1" s="93"/>
    <row r="539" ht="15" customHeight="1" s="93"/>
    <row r="540" ht="15" customHeight="1" s="93"/>
    <row r="541" ht="15" customHeight="1" s="93"/>
    <row r="542" ht="15" customHeight="1" s="93"/>
    <row r="543" ht="15" customHeight="1" s="93"/>
    <row r="544" ht="15" customHeight="1" s="93"/>
    <row r="545" ht="15" customHeight="1" s="93"/>
    <row r="546" ht="15" customHeight="1" s="93"/>
    <row r="547" ht="15" customHeight="1" s="93"/>
    <row r="548" ht="15" customHeight="1" s="93"/>
    <row r="549" ht="15" customHeight="1" s="93"/>
    <row r="550" ht="15" customHeight="1" s="93"/>
    <row r="551" ht="15" customHeight="1" s="93"/>
    <row r="552" ht="15" customHeight="1" s="93"/>
    <row r="553" ht="15" customHeight="1" s="93"/>
    <row r="554" ht="15" customHeight="1" s="93"/>
    <row r="555" ht="15" customHeight="1" s="93"/>
    <row r="556" ht="15" customHeight="1" s="93"/>
    <row r="557" ht="15" customHeight="1" s="93"/>
    <row r="558" ht="15" customHeight="1" s="93"/>
    <row r="559" ht="15" customHeight="1" s="93"/>
    <row r="560" ht="15" customHeight="1" s="93"/>
    <row r="561" ht="15" customHeight="1" s="93"/>
    <row r="562" ht="15" customHeight="1" s="93"/>
    <row r="563" ht="15" customHeight="1" s="93"/>
    <row r="564" ht="15" customHeight="1" s="93"/>
    <row r="565" ht="15" customHeight="1" s="93"/>
    <row r="566" ht="15" customHeight="1" s="93"/>
    <row r="567" ht="15" customHeight="1" s="93"/>
    <row r="568" ht="15" customHeight="1" s="93"/>
    <row r="569" ht="15" customHeight="1" s="93"/>
    <row r="570" ht="15" customHeight="1" s="93"/>
    <row r="571" ht="15" customHeight="1" s="93"/>
    <row r="572" ht="15" customHeight="1" s="93"/>
    <row r="573" ht="15" customHeight="1" s="93"/>
    <row r="574" ht="15" customHeight="1" s="93"/>
    <row r="575" ht="15" customHeight="1" s="93"/>
    <row r="576" ht="15" customHeight="1" s="93"/>
    <row r="577" ht="15" customHeight="1" s="93"/>
    <row r="578" ht="15" customHeight="1" s="93"/>
    <row r="579" ht="15" customHeight="1" s="93"/>
    <row r="580" ht="15" customHeight="1" s="93"/>
    <row r="581" ht="15" customHeight="1" s="93"/>
    <row r="582" ht="15" customHeight="1" s="93"/>
    <row r="583" ht="15" customHeight="1" s="93"/>
    <row r="584" ht="15" customHeight="1" s="93"/>
    <row r="585" ht="15" customHeight="1" s="93"/>
    <row r="586" ht="15" customHeight="1" s="93"/>
    <row r="587" ht="15" customHeight="1" s="93"/>
    <row r="588" ht="15" customHeight="1" s="93"/>
    <row r="589" ht="15" customHeight="1" s="93"/>
    <row r="590" ht="15" customHeight="1" s="93"/>
    <row r="591" ht="15" customHeight="1" s="93"/>
    <row r="592" ht="15" customHeight="1" s="93"/>
    <row r="593" ht="15" customHeight="1" s="93"/>
    <row r="594" ht="15" customHeight="1" s="93"/>
    <row r="595" ht="15" customHeight="1" s="93"/>
    <row r="596" ht="15" customHeight="1" s="93"/>
    <row r="597" ht="15" customHeight="1" s="93"/>
    <row r="598" ht="15" customHeight="1" s="93"/>
    <row r="599" ht="15" customHeight="1" s="93"/>
    <row r="600" ht="15" customHeight="1" s="93"/>
    <row r="601" ht="15" customHeight="1" s="93"/>
    <row r="602" ht="15" customHeight="1" s="93"/>
    <row r="603" ht="15" customHeight="1" s="93"/>
    <row r="604" ht="15" customHeight="1" s="93"/>
    <row r="605" ht="15" customHeight="1" s="93"/>
    <row r="606" ht="15" customHeight="1" s="93"/>
    <row r="607" ht="15" customHeight="1" s="93"/>
    <row r="608" ht="15" customHeight="1" s="93"/>
    <row r="609" ht="15" customHeight="1" s="93"/>
    <row r="610" ht="15" customHeight="1" s="93"/>
    <row r="611" ht="15" customHeight="1" s="93"/>
    <row r="612" ht="15" customHeight="1" s="93"/>
    <row r="613" ht="15" customHeight="1" s="93"/>
    <row r="614" ht="15" customHeight="1" s="93"/>
    <row r="615" ht="15" customHeight="1" s="93"/>
    <row r="616" ht="15" customHeight="1" s="93"/>
    <row r="617" ht="15" customHeight="1" s="93"/>
    <row r="618" ht="15" customHeight="1" s="93"/>
    <row r="619" ht="15" customHeight="1" s="93"/>
    <row r="620" ht="15" customHeight="1" s="93"/>
    <row r="621" ht="15" customHeight="1" s="93"/>
    <row r="622" ht="15" customHeight="1" s="93"/>
    <row r="623" ht="15" customHeight="1" s="93"/>
    <row r="624" ht="15" customHeight="1" s="93"/>
    <row r="625" ht="15" customHeight="1" s="93"/>
    <row r="626" ht="15" customHeight="1" s="93"/>
    <row r="627" ht="15" customHeight="1" s="93"/>
    <row r="628" ht="15" customHeight="1" s="93"/>
    <row r="629" ht="15" customHeight="1" s="93"/>
    <row r="630" ht="15" customHeight="1" s="93"/>
    <row r="631" ht="15" customHeight="1" s="93"/>
    <row r="632" ht="15" customHeight="1" s="93"/>
    <row r="633" ht="15" customHeight="1" s="93"/>
    <row r="634" ht="15" customHeight="1" s="93"/>
    <row r="635" ht="15" customHeight="1" s="93"/>
    <row r="636" ht="15" customHeight="1" s="93"/>
    <row r="637" ht="15" customHeight="1" s="93"/>
    <row r="638" ht="15" customHeight="1" s="93"/>
    <row r="639" ht="15" customHeight="1" s="93"/>
    <row r="640" ht="15" customHeight="1" s="93"/>
    <row r="641" ht="15" customHeight="1" s="93"/>
    <row r="642" ht="15" customHeight="1" s="93"/>
    <row r="643" ht="15" customHeight="1" s="93"/>
    <row r="644" ht="15" customHeight="1" s="93"/>
    <row r="645" ht="15" customHeight="1" s="93"/>
    <row r="646" ht="15" customHeight="1" s="93"/>
    <row r="647" ht="15" customHeight="1" s="93"/>
    <row r="648" ht="15" customHeight="1" s="93"/>
    <row r="649" ht="15" customHeight="1" s="93"/>
    <row r="650" ht="15" customHeight="1" s="93"/>
    <row r="651" ht="15" customHeight="1" s="93"/>
    <row r="652" ht="15" customHeight="1" s="93"/>
    <row r="653" ht="15" customHeight="1" s="93"/>
    <row r="654" ht="15" customHeight="1" s="93"/>
    <row r="655" ht="15" customHeight="1" s="93"/>
    <row r="656" ht="15" customHeight="1" s="93"/>
    <row r="657" ht="15" customHeight="1" s="93"/>
    <row r="658" ht="15" customHeight="1" s="93"/>
    <row r="659" ht="15" customHeight="1" s="93"/>
    <row r="660" ht="15" customHeight="1" s="93"/>
    <row r="661" ht="15" customHeight="1" s="93"/>
    <row r="662" ht="15" customHeight="1" s="93"/>
    <row r="663" ht="15" customHeight="1" s="93"/>
    <row r="664" ht="15" customHeight="1" s="93"/>
    <row r="665" ht="15" customHeight="1" s="93"/>
    <row r="666" ht="15" customHeight="1" s="93"/>
    <row r="667" ht="15" customHeight="1" s="93"/>
    <row r="668" ht="15" customHeight="1" s="93"/>
    <row r="669" ht="15" customHeight="1" s="93"/>
    <row r="670" ht="15" customHeight="1" s="93"/>
    <row r="671" ht="15" customHeight="1" s="93"/>
    <row r="672" ht="15" customHeight="1" s="93"/>
    <row r="673" ht="15" customHeight="1" s="93"/>
    <row r="674" ht="15" customHeight="1" s="93"/>
    <row r="675" ht="15" customHeight="1" s="93"/>
    <row r="676" ht="15" customHeight="1" s="93"/>
    <row r="677" ht="15" customHeight="1" s="93"/>
    <row r="678" ht="15" customHeight="1" s="93"/>
    <row r="679" ht="15" customHeight="1" s="93"/>
    <row r="680" ht="15" customHeight="1" s="93"/>
    <row r="681" ht="15" customHeight="1" s="93"/>
    <row r="682" ht="15" customHeight="1" s="93"/>
    <row r="683" ht="15" customHeight="1" s="93"/>
    <row r="684" ht="15" customHeight="1" s="93"/>
    <row r="685" ht="15" customHeight="1" s="93"/>
    <row r="686" ht="15" customHeight="1" s="93"/>
    <row r="687" ht="15" customHeight="1" s="93"/>
    <row r="688" ht="15" customHeight="1" s="93"/>
    <row r="689" ht="15" customHeight="1" s="93"/>
    <row r="690" ht="15" customHeight="1" s="93"/>
    <row r="691" ht="15" customHeight="1" s="93"/>
    <row r="692" ht="15" customHeight="1" s="93"/>
    <row r="693" ht="15" customHeight="1" s="93"/>
    <row r="694" ht="15" customHeight="1" s="93"/>
    <row r="695" ht="15" customHeight="1" s="93"/>
    <row r="696" ht="15" customHeight="1" s="93"/>
    <row r="697" ht="15" customHeight="1" s="93"/>
    <row r="698" ht="15" customHeight="1" s="93"/>
    <row r="699" ht="15" customHeight="1" s="93"/>
    <row r="700" ht="15" customHeight="1" s="93"/>
    <row r="701" ht="15" customHeight="1" s="93"/>
    <row r="702" ht="15" customHeight="1" s="93"/>
    <row r="703" ht="15" customHeight="1" s="93"/>
    <row r="704" ht="15" customHeight="1" s="93"/>
    <row r="705" ht="15" customHeight="1" s="93"/>
    <row r="706" ht="15" customHeight="1" s="93"/>
    <row r="707" ht="15" customHeight="1" s="93"/>
    <row r="708" ht="15" customHeight="1" s="93"/>
    <row r="709" ht="15" customHeight="1" s="93"/>
    <row r="710" ht="15" customHeight="1" s="93"/>
    <row r="711" ht="15" customHeight="1" s="93"/>
    <row r="712" ht="15" customHeight="1" s="93"/>
    <row r="713" ht="15" customHeight="1" s="93"/>
    <row r="714" ht="15" customHeight="1" s="93"/>
    <row r="715" ht="15" customHeight="1" s="93"/>
    <row r="716" ht="15" customHeight="1" s="93"/>
    <row r="717" ht="15" customHeight="1" s="93"/>
    <row r="718" ht="15" customHeight="1" s="93"/>
    <row r="719" ht="15" customHeight="1" s="93"/>
    <row r="720" ht="15" customHeight="1" s="93"/>
    <row r="721" ht="15" customHeight="1" s="93"/>
    <row r="722" ht="15" customHeight="1" s="93"/>
    <row r="723" ht="15" customHeight="1" s="93"/>
    <row r="724" ht="15" customHeight="1" s="93"/>
    <row r="725" ht="15" customHeight="1" s="93"/>
    <row r="726" ht="15" customHeight="1" s="93"/>
    <row r="727" ht="15" customHeight="1" s="93"/>
    <row r="728" ht="15" customHeight="1" s="93"/>
    <row r="729" ht="15" customHeight="1" s="93"/>
    <row r="730" ht="15" customHeight="1" s="93"/>
    <row r="731" ht="15" customHeight="1" s="93"/>
    <row r="732" ht="15" customHeight="1" s="93"/>
    <row r="733" ht="15" customHeight="1" s="93"/>
    <row r="734" ht="15" customHeight="1" s="93"/>
    <row r="735" ht="15" customHeight="1" s="93"/>
    <row r="736" ht="15" customHeight="1" s="93"/>
    <row r="737" ht="15" customHeight="1" s="93"/>
    <row r="738" ht="15" customHeight="1" s="93"/>
    <row r="739" ht="15" customHeight="1" s="93"/>
    <row r="740" ht="15" customHeight="1" s="93"/>
    <row r="741" ht="15" customHeight="1" s="93"/>
    <row r="742" ht="15" customHeight="1" s="93"/>
    <row r="743" ht="15" customHeight="1" s="93"/>
    <row r="744" ht="15" customHeight="1" s="93"/>
    <row r="745" ht="15" customHeight="1" s="93"/>
    <row r="746" ht="15" customHeight="1" s="93"/>
    <row r="747" ht="15" customHeight="1" s="93"/>
    <row r="748" ht="15" customHeight="1" s="93"/>
    <row r="749" ht="15" customHeight="1" s="93"/>
    <row r="750" ht="15" customHeight="1" s="93"/>
    <row r="751" ht="15" customHeight="1" s="93"/>
    <row r="752" ht="15" customHeight="1" s="93"/>
    <row r="753" ht="15" customHeight="1" s="93"/>
    <row r="754" ht="15" customHeight="1" s="93"/>
    <row r="755" ht="15" customHeight="1" s="93"/>
    <row r="756" ht="15" customHeight="1" s="93"/>
    <row r="757" ht="15" customHeight="1" s="93"/>
    <row r="758" ht="15" customHeight="1" s="93"/>
    <row r="759" ht="15" customHeight="1" s="93"/>
    <row r="760" ht="15" customHeight="1" s="93"/>
    <row r="761" ht="15" customHeight="1" s="93"/>
    <row r="762" ht="15" customHeight="1" s="93"/>
    <row r="763" ht="15" customHeight="1" s="93"/>
    <row r="764" ht="15" customHeight="1" s="93"/>
    <row r="765" ht="15" customHeight="1" s="93"/>
    <row r="766" ht="15" customHeight="1" s="93"/>
    <row r="767" ht="15" customHeight="1" s="93"/>
    <row r="768" ht="15" customHeight="1" s="93"/>
    <row r="769" ht="15" customHeight="1" s="93"/>
    <row r="770" ht="15" customHeight="1" s="93"/>
    <row r="771" ht="15" customHeight="1" s="93"/>
    <row r="772" ht="15" customHeight="1" s="93"/>
    <row r="773" ht="15" customHeight="1" s="93"/>
    <row r="774" ht="15" customHeight="1" s="93"/>
    <row r="775" ht="15" customHeight="1" s="93"/>
    <row r="776" ht="15" customHeight="1" s="93"/>
    <row r="777" ht="15" customHeight="1" s="93"/>
    <row r="778" ht="15" customHeight="1" s="93"/>
    <row r="779" ht="15" customHeight="1" s="93"/>
    <row r="780" ht="15" customHeight="1" s="93"/>
    <row r="781" ht="15" customHeight="1" s="93"/>
    <row r="782" ht="15" customHeight="1" s="93"/>
    <row r="783" ht="15" customHeight="1" s="93"/>
    <row r="784" ht="15" customHeight="1" s="93"/>
    <row r="785" ht="15" customHeight="1" s="93"/>
    <row r="786" ht="15" customHeight="1" s="93"/>
    <row r="787" ht="15" customHeight="1" s="93"/>
    <row r="788" ht="15" customHeight="1" s="93"/>
    <row r="789" ht="15" customHeight="1" s="93"/>
    <row r="790" ht="15" customHeight="1" s="93"/>
    <row r="791" ht="15" customHeight="1" s="93"/>
    <row r="792" ht="15" customHeight="1" s="93"/>
    <row r="793" ht="15" customHeight="1" s="93"/>
    <row r="794" ht="15" customHeight="1" s="93"/>
    <row r="795" ht="15" customHeight="1" s="93"/>
    <row r="796" ht="15" customHeight="1" s="93"/>
    <row r="797" ht="15" customHeight="1" s="93"/>
    <row r="798" ht="15" customHeight="1" s="93"/>
    <row r="799" ht="15" customHeight="1" s="93"/>
    <row r="800" ht="15" customHeight="1" s="93"/>
    <row r="801" ht="15" customHeight="1" s="93"/>
    <row r="802" ht="15" customHeight="1" s="93"/>
    <row r="803" ht="15" customHeight="1" s="93"/>
    <row r="804" ht="15" customHeight="1" s="93"/>
    <row r="805" ht="15" customHeight="1" s="93"/>
    <row r="806" ht="15" customHeight="1" s="93"/>
    <row r="807" ht="15" customHeight="1" s="93"/>
    <row r="808" ht="15" customHeight="1" s="93"/>
    <row r="809" ht="15" customHeight="1" s="93"/>
    <row r="810" ht="15" customHeight="1" s="93"/>
    <row r="811" ht="15" customHeight="1" s="93"/>
    <row r="812" ht="15" customHeight="1" s="93"/>
    <row r="813" ht="15" customHeight="1" s="93"/>
    <row r="814" ht="15" customHeight="1" s="93"/>
    <row r="815" ht="15" customHeight="1" s="93"/>
    <row r="816" ht="15" customHeight="1" s="93"/>
    <row r="817" ht="15" customHeight="1" s="93"/>
    <row r="818" ht="15" customHeight="1" s="93"/>
    <row r="819" ht="15" customHeight="1" s="93"/>
    <row r="820" ht="15" customHeight="1" s="93"/>
    <row r="821" ht="15" customHeight="1" s="93"/>
    <row r="822" ht="15" customHeight="1" s="93"/>
    <row r="823" ht="15" customHeight="1" s="93"/>
    <row r="824" ht="15" customHeight="1" s="93"/>
    <row r="825" ht="15" customHeight="1" s="93"/>
    <row r="826" ht="15" customHeight="1" s="93"/>
    <row r="827" ht="15" customHeight="1" s="93"/>
    <row r="828" ht="15" customHeight="1" s="93"/>
    <row r="829" ht="15" customHeight="1" s="93"/>
    <row r="830" ht="15" customHeight="1" s="93"/>
    <row r="831" ht="15" customHeight="1" s="93"/>
    <row r="832" ht="15" customHeight="1" s="93"/>
    <row r="833" ht="15" customHeight="1" s="93"/>
    <row r="834" ht="15" customHeight="1" s="93"/>
    <row r="835" ht="15" customHeight="1" s="93"/>
    <row r="836" ht="15" customHeight="1" s="93"/>
    <row r="837" ht="15" customHeight="1" s="93"/>
    <row r="838" ht="15" customHeight="1" s="93"/>
    <row r="839" ht="15" customHeight="1" s="93"/>
    <row r="840" ht="15" customHeight="1" s="93"/>
    <row r="841" ht="15" customHeight="1" s="93"/>
    <row r="842" ht="15" customHeight="1" s="93"/>
    <row r="843" ht="15" customHeight="1" s="93"/>
    <row r="844" ht="15" customHeight="1" s="93"/>
    <row r="845" ht="15" customHeight="1" s="93"/>
    <row r="846" ht="15" customHeight="1" s="93"/>
    <row r="847" ht="15" customHeight="1" s="93"/>
    <row r="848" ht="15" customHeight="1" s="93"/>
    <row r="849" ht="15" customHeight="1" s="93"/>
    <row r="850" ht="15" customHeight="1" s="93"/>
    <row r="851" ht="15" customHeight="1" s="93"/>
    <row r="852" ht="15" customHeight="1" s="93"/>
    <row r="853" ht="15" customHeight="1" s="93"/>
    <row r="854" ht="15" customHeight="1" s="93"/>
    <row r="855" ht="15" customHeight="1" s="93"/>
    <row r="856" ht="15" customHeight="1" s="93"/>
    <row r="857" ht="15" customHeight="1" s="93"/>
    <row r="858" ht="15" customHeight="1" s="93"/>
    <row r="859" ht="15" customHeight="1" s="93"/>
    <row r="860" ht="15" customHeight="1" s="93"/>
    <row r="861" ht="15" customHeight="1" s="93"/>
    <row r="862" ht="15" customHeight="1" s="93"/>
    <row r="863" ht="15" customHeight="1" s="93"/>
    <row r="864" ht="15" customHeight="1" s="93"/>
    <row r="865" ht="15" customHeight="1" s="93"/>
    <row r="866" ht="15" customHeight="1" s="93"/>
    <row r="867" ht="15" customHeight="1" s="93"/>
    <row r="868" ht="15" customHeight="1" s="93"/>
    <row r="869" ht="15" customHeight="1" s="93"/>
    <row r="870" ht="15" customHeight="1" s="93"/>
    <row r="871" ht="15" customHeight="1" s="93"/>
    <row r="872" ht="15" customHeight="1" s="93"/>
    <row r="873" ht="15" customHeight="1" s="93"/>
    <row r="874" ht="15" customHeight="1" s="93"/>
    <row r="875" ht="15" customHeight="1" s="93"/>
    <row r="876" ht="15" customHeight="1" s="93"/>
    <row r="877" ht="15" customHeight="1" s="93"/>
    <row r="878" ht="15" customHeight="1" s="93"/>
    <row r="879" ht="15" customHeight="1" s="93"/>
    <row r="880" ht="15" customHeight="1" s="93"/>
    <row r="881" ht="15" customHeight="1" s="93"/>
    <row r="882" ht="15" customHeight="1" s="93"/>
    <row r="883" ht="15" customHeight="1" s="93"/>
    <row r="884" ht="15" customHeight="1" s="93"/>
    <row r="885" ht="15" customHeight="1" s="93"/>
    <row r="886" ht="15" customHeight="1" s="93"/>
    <row r="887" ht="15" customHeight="1" s="93"/>
    <row r="888" ht="15" customHeight="1" s="93"/>
    <row r="889" ht="15" customHeight="1" s="93"/>
    <row r="890" ht="15" customHeight="1" s="93"/>
    <row r="891" ht="15" customHeight="1" s="93"/>
    <row r="892" ht="15" customHeight="1" s="93"/>
    <row r="893" ht="15" customHeight="1" s="93"/>
    <row r="894" ht="15" customHeight="1" s="93"/>
    <row r="895" ht="15" customHeight="1" s="93"/>
    <row r="896" ht="15" customHeight="1" s="93"/>
    <row r="897" ht="15" customHeight="1" s="93"/>
    <row r="898" ht="15" customHeight="1" s="93"/>
    <row r="899" ht="15" customHeight="1" s="93"/>
    <row r="900" ht="15" customHeight="1" s="93"/>
    <row r="901" ht="15" customHeight="1" s="93"/>
    <row r="902" ht="15" customHeight="1" s="93"/>
    <row r="903" ht="15" customHeight="1" s="93"/>
    <row r="904" ht="15" customHeight="1" s="93"/>
    <row r="905" ht="15" customHeight="1" s="93"/>
    <row r="906" ht="15" customHeight="1" s="93"/>
    <row r="907" ht="15" customHeight="1" s="93"/>
    <row r="908" ht="15" customHeight="1" s="93"/>
    <row r="909" ht="15" customHeight="1" s="93"/>
    <row r="910" ht="15" customHeight="1" s="93"/>
    <row r="911" ht="15" customHeight="1" s="93"/>
    <row r="912" ht="15" customHeight="1" s="93"/>
    <row r="913" ht="15" customHeight="1" s="93"/>
    <row r="914" ht="15" customHeight="1" s="93"/>
    <row r="915" ht="15" customHeight="1" s="93"/>
    <row r="916" ht="15" customHeight="1" s="93"/>
    <row r="917" ht="15" customHeight="1" s="93"/>
    <row r="918" ht="15" customHeight="1" s="93"/>
    <row r="919" ht="15" customHeight="1" s="93"/>
    <row r="920" ht="15" customHeight="1" s="93"/>
    <row r="921" ht="15" customHeight="1" s="93"/>
    <row r="922" ht="15" customHeight="1" s="93"/>
    <row r="923" ht="15" customHeight="1" s="93"/>
    <row r="924" ht="15" customHeight="1" s="93"/>
    <row r="925" ht="15" customHeight="1" s="93"/>
    <row r="926" ht="15" customHeight="1" s="93"/>
    <row r="927" ht="15" customHeight="1" s="93"/>
    <row r="928" ht="15" customHeight="1" s="93"/>
    <row r="929" ht="15" customHeight="1" s="93"/>
    <row r="930" ht="15" customHeight="1" s="93"/>
    <row r="931" ht="15" customHeight="1" s="93"/>
    <row r="932" ht="15" customHeight="1" s="93"/>
    <row r="933" ht="15" customHeight="1" s="93"/>
    <row r="934" ht="15" customHeight="1" s="93"/>
    <row r="935" ht="15" customHeight="1" s="93"/>
    <row r="936" ht="15" customHeight="1" s="93"/>
    <row r="937" ht="15" customHeight="1" s="93"/>
    <row r="938" ht="15" customHeight="1" s="93"/>
    <row r="939" ht="15" customHeight="1" s="93"/>
    <row r="940" ht="15" customHeight="1" s="93"/>
    <row r="941" ht="15" customHeight="1" s="93"/>
    <row r="942" ht="15" customHeight="1" s="93"/>
    <row r="943" ht="15" customHeight="1" s="93"/>
    <row r="944" ht="15" customHeight="1" s="93"/>
    <row r="945" ht="15" customHeight="1" s="93"/>
    <row r="946" ht="15" customHeight="1" s="93"/>
    <row r="947" ht="15" customHeight="1" s="93"/>
    <row r="948" ht="15" customHeight="1" s="93"/>
    <row r="949" ht="15" customHeight="1" s="93"/>
    <row r="950" ht="15" customHeight="1" s="93"/>
    <row r="951" ht="15" customHeight="1" s="93"/>
    <row r="952" ht="15" customHeight="1" s="93"/>
    <row r="953" ht="15" customHeight="1" s="93"/>
    <row r="954" ht="15" customHeight="1" s="93"/>
    <row r="955" ht="15" customHeight="1" s="93"/>
    <row r="956" ht="15" customHeight="1" s="93"/>
    <row r="957" ht="15" customHeight="1" s="93"/>
    <row r="958" ht="15" customHeight="1" s="93"/>
    <row r="959" ht="15" customHeight="1" s="93"/>
    <row r="960" ht="15" customHeight="1" s="93"/>
    <row r="961" ht="15" customHeight="1" s="93"/>
    <row r="962" ht="15" customHeight="1" s="93"/>
    <row r="963" ht="15" customHeight="1" s="93"/>
    <row r="964" ht="15" customHeight="1" s="93"/>
    <row r="965" ht="15" customHeight="1" s="93"/>
    <row r="966" ht="15" customHeight="1" s="93"/>
    <row r="967" ht="15" customHeight="1" s="93"/>
    <row r="968" ht="15" customHeight="1" s="93"/>
    <row r="969" ht="15" customHeight="1" s="93"/>
    <row r="970" ht="15" customHeight="1" s="93"/>
    <row r="971" ht="15" customHeight="1" s="93"/>
    <row r="972" ht="15" customHeight="1" s="93"/>
    <row r="973" ht="15" customHeight="1" s="93"/>
    <row r="974" ht="15" customHeight="1" s="93"/>
    <row r="975" ht="15" customHeight="1" s="93"/>
    <row r="976" ht="15" customHeight="1" s="93"/>
    <row r="977" ht="15" customHeight="1" s="93"/>
    <row r="978" ht="15" customHeight="1" s="93"/>
    <row r="979" ht="15" customHeight="1" s="93"/>
    <row r="980" ht="15" customHeight="1" s="93"/>
    <row r="981" ht="15" customHeight="1" s="93"/>
    <row r="982" ht="15" customHeight="1" s="93"/>
    <row r="983" ht="15" customHeight="1" s="93"/>
    <row r="984" ht="15" customHeight="1" s="93"/>
    <row r="985" ht="15" customHeight="1" s="93"/>
    <row r="986" ht="15" customHeight="1" s="93"/>
    <row r="987" ht="15" customHeight="1" s="93"/>
    <row r="988" ht="15" customHeight="1" s="93"/>
    <row r="989" ht="15" customHeight="1" s="93"/>
    <row r="990" ht="15" customHeight="1" s="93"/>
    <row r="991" ht="15" customHeight="1" s="93"/>
    <row r="992" ht="15" customHeight="1" s="93"/>
    <row r="993" ht="15" customHeight="1" s="93"/>
    <row r="994" ht="15" customHeight="1" s="93"/>
    <row r="995" ht="15" customHeight="1" s="93"/>
    <row r="996" ht="15" customHeight="1" s="93"/>
    <row r="997" ht="15" customHeight="1" s="93"/>
    <row r="998" ht="15" customHeight="1" s="93"/>
    <row r="999" ht="15" customHeight="1" s="93"/>
    <row r="1000" ht="15" customHeight="1" s="93"/>
  </sheetData>
  <conditionalFormatting sqref="A2:R1000">
    <cfRule type="expression" rank="0" priority="2" equalAverage="0" aboveAverage="0" dxfId="11" text="" percent="0" bottom="0">
      <formula>$D2="US"</formula>
    </cfRule>
    <cfRule type="expression" rank="0" priority="3" equalAverage="0" aboveAverage="0" dxfId="12" text="" percent="0" bottom="0">
      <formula>$D2="MyMSC"</formula>
    </cfRule>
    <cfRule type="expression" rank="0" priority="4" equalAverage="0" aboveAverage="0" dxfId="13" text="" percent="0" bottom="0">
      <formula>$D2="Rollout"</formula>
    </cfRule>
    <cfRule type="expression" rank="0" priority="5" equalAverage="0" aboveAverage="0" dxfId="13" text="" percent="0" bottom="0">
      <formula>$D2="MVP Rollout"</formula>
    </cfRule>
    <cfRule type="expression" rank="0" priority="6" equalAverage="0" aboveAverage="0" dxfId="14" text="" percent="0" bottom="0">
      <formula>$D2="Backlog"</formula>
    </cfRule>
    <cfRule type="expression" rank="0" priority="7" equalAverage="0" aboveAverage="0" dxfId="14" text="" percent="0" bottom="0">
      <formula>$D2="Growth"</formula>
    </cfRule>
    <cfRule type="expression" rank="0" priority="8" equalAverage="0" aboveAverage="0" dxfId="15" text="" percent="0" bottom="0">
      <formula>$D2="Tech Enhancements"</formula>
    </cfRule>
    <cfRule type="expression" rank="0" priority="9" equalAverage="0" aboveAverage="0" dxfId="16"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R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0" zeroHeight="0" outlineLevelRow="0"/>
  <cols>
    <col width="16" customWidth="1" style="92" min="1" max="1"/>
    <col width="38" customWidth="1" style="92" min="2" max="2"/>
    <col width="12" customWidth="1" style="92" min="3" max="4"/>
    <col width="14" customWidth="1" style="92" min="5" max="5"/>
    <col width="10" customWidth="1" style="92" min="6" max="6"/>
    <col width="14" customWidth="1" style="92" min="7" max="7"/>
    <col width="30" customWidth="1" style="92" min="8" max="8"/>
    <col width="12" customWidth="1" style="92" min="9" max="9"/>
    <col width="14" customWidth="1" style="92" min="10" max="10"/>
    <col width="12" customWidth="1" style="92" min="11" max="11"/>
    <col width="8" customWidth="1" style="92" min="12" max="12"/>
  </cols>
  <sheetData>
    <row r="1" ht="30" customHeight="1" s="93">
      <c r="A1" s="113" t="inlineStr">
        <is>
          <t>Requirement ID</t>
        </is>
      </c>
      <c r="B1" s="113" t="inlineStr">
        <is>
          <t>Requirement Name</t>
        </is>
      </c>
      <c r="C1" s="113" t="inlineStr">
        <is>
          <t>Type</t>
        </is>
      </c>
      <c r="D1" s="113" t="inlineStr">
        <is>
          <t>Stream</t>
        </is>
      </c>
      <c r="E1" s="113" t="inlineStr">
        <is>
          <t>Stream Owner</t>
        </is>
      </c>
      <c r="F1" s="113" t="inlineStr">
        <is>
          <t>Status</t>
        </is>
      </c>
      <c r="G1" s="113" t="inlineStr">
        <is>
          <t>Jira Key</t>
        </is>
      </c>
      <c r="H1" s="113" t="inlineStr">
        <is>
          <t>Jira Link</t>
        </is>
      </c>
      <c r="I1" s="113" t="inlineStr">
        <is>
          <t>Priority</t>
        </is>
      </c>
      <c r="J1" s="113" t="inlineStr">
        <is>
          <t>Sprint</t>
        </is>
      </c>
      <c r="K1" s="113" t="inlineStr">
        <is>
          <t>Release</t>
        </is>
      </c>
      <c r="L1" s="113" t="inlineStr">
        <is>
          <t>HLE</t>
        </is>
      </c>
      <c r="M1" s="170" t="n"/>
      <c r="N1" s="170" t="n"/>
      <c r="O1" s="170" t="n"/>
      <c r="P1" s="170" t="n"/>
      <c r="Q1" s="170" t="n"/>
      <c r="R1" s="170" t="n"/>
    </row>
    <row r="2" ht="15" customHeight="1" s="93">
      <c r="A2" s="117" t="n"/>
      <c r="B2" s="117" t="n"/>
      <c r="C2" s="117" t="n"/>
      <c r="D2" s="117" t="n"/>
      <c r="E2" s="117" t="n"/>
      <c r="F2" s="117" t="n"/>
      <c r="G2" s="117" t="n"/>
      <c r="H2" s="117" t="n"/>
      <c r="I2" s="117" t="n"/>
      <c r="J2" s="117" t="n"/>
      <c r="K2" s="117" t="n"/>
      <c r="L2" s="117" t="n"/>
      <c r="M2" s="117" t="n"/>
      <c r="N2" s="117" t="n"/>
      <c r="O2" s="117" t="n"/>
      <c r="P2" s="117" t="n"/>
      <c r="Q2" s="117" t="n"/>
      <c r="R2" s="117" t="n"/>
    </row>
    <row r="3" ht="15" customHeight="1" s="93"/>
    <row r="4" ht="15" customHeight="1" s="93"/>
    <row r="5" ht="15" customHeight="1" s="93"/>
    <row r="6" ht="15" customHeight="1" s="93"/>
    <row r="7" ht="15" customHeight="1" s="93"/>
    <row r="8" ht="15" customHeight="1" s="93"/>
    <row r="9" ht="15" customHeight="1" s="93"/>
    <row r="10" ht="15" customHeight="1" s="93"/>
    <row r="11" ht="15" customHeight="1" s="93"/>
    <row r="12" ht="15" customHeight="1" s="93"/>
    <row r="13" ht="15" customHeight="1" s="93"/>
    <row r="14" ht="15" customHeight="1" s="93"/>
    <row r="15" ht="15" customHeight="1" s="93"/>
    <row r="16" ht="15" customHeight="1" s="93"/>
    <row r="17" ht="15" customHeight="1" s="93"/>
    <row r="18" ht="15" customHeight="1" s="93"/>
    <row r="19" ht="15" customHeight="1" s="93"/>
    <row r="20" ht="15" customHeight="1" s="93"/>
    <row r="21" ht="15" customHeight="1" s="93"/>
    <row r="22" ht="15" customHeight="1" s="93"/>
    <row r="23" ht="15" customHeight="1" s="93"/>
    <row r="24" ht="15" customHeight="1" s="93"/>
    <row r="25" ht="15" customHeight="1" s="93"/>
    <row r="26" ht="15" customHeight="1" s="93"/>
    <row r="27" ht="15" customHeight="1" s="93"/>
    <row r="28" ht="15" customHeight="1" s="93"/>
    <row r="29" ht="15" customHeight="1" s="93"/>
    <row r="30" ht="15" customHeight="1" s="93"/>
    <row r="31" ht="15" customHeight="1" s="93"/>
    <row r="32" ht="15" customHeight="1" s="93"/>
    <row r="33" ht="15" customHeight="1" s="93"/>
    <row r="34" ht="15" customHeight="1" s="93"/>
    <row r="35" ht="15" customHeight="1" s="93"/>
    <row r="36" ht="15" customHeight="1" s="93"/>
    <row r="37" ht="15" customHeight="1" s="93"/>
    <row r="38" ht="15" customHeight="1" s="93"/>
    <row r="39" ht="15" customHeight="1" s="93"/>
    <row r="40" ht="15" customHeight="1" s="93"/>
    <row r="41" ht="15" customHeight="1" s="93"/>
    <row r="42" ht="15" customHeight="1" s="93"/>
    <row r="43" ht="15" customHeight="1" s="93"/>
    <row r="44" ht="15" customHeight="1" s="93"/>
    <row r="45" ht="15" customHeight="1" s="93"/>
    <row r="46" ht="15" customHeight="1" s="93"/>
    <row r="47" ht="15" customHeight="1" s="93"/>
    <row r="48" ht="15" customHeight="1" s="93"/>
    <row r="49" ht="15" customHeight="1" s="93"/>
    <row r="50" ht="15" customHeight="1" s="93"/>
    <row r="51" ht="15" customHeight="1" s="93"/>
    <row r="52" ht="15" customHeight="1" s="93"/>
    <row r="53" ht="15" customHeight="1" s="93"/>
    <row r="54" ht="15" customHeight="1" s="93"/>
    <row r="55" ht="15" customHeight="1" s="93"/>
    <row r="56" ht="15" customHeight="1" s="93"/>
    <row r="57" ht="15" customHeight="1" s="93"/>
    <row r="58" ht="15" customHeight="1" s="93"/>
    <row r="59" ht="15" customHeight="1" s="93"/>
    <row r="60" ht="15" customHeight="1" s="93"/>
    <row r="61" ht="15" customHeight="1" s="93"/>
    <row r="62" ht="15" customHeight="1" s="93"/>
    <row r="63" ht="15" customHeight="1" s="93"/>
    <row r="64" ht="15" customHeight="1" s="93"/>
    <row r="65" ht="15" customHeight="1" s="93"/>
    <row r="66" ht="15" customHeight="1" s="93"/>
    <row r="67" ht="15" customHeight="1" s="93"/>
    <row r="68" ht="15" customHeight="1" s="93"/>
    <row r="69" ht="15" customHeight="1" s="93"/>
    <row r="70" ht="15" customHeight="1" s="93"/>
    <row r="71" ht="15" customHeight="1" s="93"/>
    <row r="72" ht="15" customHeight="1" s="93"/>
    <row r="73" ht="15" customHeight="1" s="93"/>
    <row r="74" ht="15" customHeight="1" s="93"/>
    <row r="75" ht="15" customHeight="1" s="93"/>
    <row r="76" ht="15" customHeight="1" s="93"/>
    <row r="77" ht="15" customHeight="1" s="93"/>
    <row r="78" ht="15" customHeight="1" s="93"/>
    <row r="79" ht="15" customHeight="1" s="93"/>
    <row r="80" ht="15" customHeight="1" s="93"/>
    <row r="81" ht="15" customHeight="1" s="93"/>
    <row r="82" ht="15" customHeight="1" s="93"/>
    <row r="83" ht="15" customHeight="1" s="93"/>
    <row r="84" ht="15" customHeight="1" s="93"/>
    <row r="85" ht="15" customHeight="1" s="93"/>
    <row r="86" ht="15" customHeight="1" s="93"/>
    <row r="87" ht="15" customHeight="1" s="93"/>
    <row r="88" ht="15" customHeight="1" s="93"/>
    <row r="89" ht="15" customHeight="1" s="93"/>
    <row r="90" ht="15" customHeight="1" s="93"/>
    <row r="91" ht="15" customHeight="1" s="93"/>
    <row r="92" ht="15" customHeight="1" s="93"/>
    <row r="93" ht="15" customHeight="1" s="93"/>
    <row r="94" ht="15" customHeight="1" s="93"/>
    <row r="95" ht="15" customHeight="1" s="93"/>
    <row r="96" ht="15" customHeight="1" s="93"/>
    <row r="97" ht="15" customHeight="1" s="93"/>
    <row r="98" ht="15" customHeight="1" s="93"/>
    <row r="99" ht="15" customHeight="1" s="93"/>
    <row r="100" ht="15" customHeight="1" s="93"/>
    <row r="101" ht="15" customHeight="1" s="93"/>
    <row r="102" ht="15" customHeight="1" s="93"/>
    <row r="103" ht="15" customHeight="1" s="93"/>
    <row r="104" ht="15" customHeight="1" s="93"/>
    <row r="105" ht="15" customHeight="1" s="93"/>
    <row r="106" ht="15" customHeight="1" s="93"/>
    <row r="107" ht="15" customHeight="1" s="93"/>
    <row r="108" ht="15" customHeight="1" s="93"/>
    <row r="109" ht="15" customHeight="1" s="93"/>
    <row r="110" ht="15" customHeight="1" s="93"/>
    <row r="111" ht="15" customHeight="1" s="93"/>
    <row r="112" ht="15" customHeight="1" s="93"/>
    <row r="113" ht="15" customHeight="1" s="93"/>
    <row r="114" ht="15" customHeight="1" s="93"/>
    <row r="115" ht="15" customHeight="1" s="93"/>
    <row r="116" ht="15" customHeight="1" s="93"/>
    <row r="117" ht="15" customHeight="1" s="93"/>
    <row r="118" ht="15" customHeight="1" s="93"/>
    <row r="119" ht="15" customHeight="1" s="93"/>
    <row r="120" ht="15" customHeight="1" s="93"/>
    <row r="121" ht="15" customHeight="1" s="93"/>
    <row r="122" ht="15" customHeight="1" s="93"/>
    <row r="123" ht="15" customHeight="1" s="93"/>
    <row r="124" ht="15" customHeight="1" s="93"/>
    <row r="125" ht="15" customHeight="1" s="93"/>
    <row r="126" ht="15" customHeight="1" s="93"/>
    <row r="127" ht="15" customHeight="1" s="93"/>
    <row r="128" ht="15" customHeight="1" s="93"/>
    <row r="129" ht="15" customHeight="1" s="93"/>
    <row r="130" ht="15" customHeight="1" s="93"/>
    <row r="131" ht="15" customHeight="1" s="93"/>
    <row r="132" ht="15" customHeight="1" s="93"/>
    <row r="133" ht="15" customHeight="1" s="93"/>
    <row r="134" ht="15" customHeight="1" s="93"/>
    <row r="135" ht="15" customHeight="1" s="93"/>
    <row r="136" ht="15" customHeight="1" s="93"/>
    <row r="137" ht="15" customHeight="1" s="93"/>
    <row r="138" ht="15" customHeight="1" s="93"/>
    <row r="139" ht="15" customHeight="1" s="93"/>
    <row r="140" ht="15" customHeight="1" s="93"/>
    <row r="141" ht="15" customHeight="1" s="93"/>
    <row r="142" ht="15" customHeight="1" s="93"/>
    <row r="143" ht="15" customHeight="1" s="93"/>
    <row r="144" ht="15" customHeight="1" s="93"/>
    <row r="145" ht="15" customHeight="1" s="93"/>
    <row r="146" ht="15" customHeight="1" s="93"/>
    <row r="147" ht="15" customHeight="1" s="93"/>
    <row r="148" ht="15" customHeight="1" s="93"/>
    <row r="149" ht="15" customHeight="1" s="93"/>
    <row r="150" ht="15" customHeight="1" s="93"/>
    <row r="151" ht="15" customHeight="1" s="93"/>
    <row r="152" ht="15" customHeight="1" s="93"/>
    <row r="153" ht="15" customHeight="1" s="93"/>
    <row r="154" ht="15" customHeight="1" s="93"/>
    <row r="155" ht="15" customHeight="1" s="93"/>
    <row r="156" ht="15" customHeight="1" s="93"/>
    <row r="157" ht="15" customHeight="1" s="93"/>
    <row r="158" ht="15" customHeight="1" s="93"/>
    <row r="159" ht="15" customHeight="1" s="93"/>
    <row r="160" ht="15" customHeight="1" s="93"/>
    <row r="161" ht="15" customHeight="1" s="93"/>
    <row r="162" ht="15" customHeight="1" s="93"/>
    <row r="163" ht="15" customHeight="1" s="93"/>
    <row r="164" ht="15" customHeight="1" s="93"/>
    <row r="165" ht="15" customHeight="1" s="93"/>
    <row r="166" ht="15" customHeight="1" s="93"/>
    <row r="167" ht="15" customHeight="1" s="93"/>
    <row r="168" ht="15" customHeight="1" s="93"/>
    <row r="169" ht="15" customHeight="1" s="93"/>
    <row r="170" ht="15" customHeight="1" s="93"/>
    <row r="171" ht="15" customHeight="1" s="93"/>
    <row r="172" ht="15" customHeight="1" s="93"/>
    <row r="173" ht="15" customHeight="1" s="93"/>
    <row r="174" ht="15" customHeight="1" s="93"/>
    <row r="175" ht="15" customHeight="1" s="93"/>
    <row r="176" ht="15" customHeight="1" s="93"/>
    <row r="177" ht="15" customHeight="1" s="93"/>
    <row r="178" ht="15" customHeight="1" s="93"/>
    <row r="179" ht="15" customHeight="1" s="93"/>
    <row r="180" ht="15" customHeight="1" s="93"/>
    <row r="181" ht="15" customHeight="1" s="93"/>
    <row r="182" ht="15" customHeight="1" s="93"/>
    <row r="183" ht="15" customHeight="1" s="93"/>
    <row r="184" ht="15" customHeight="1" s="93"/>
    <row r="185" ht="15" customHeight="1" s="93"/>
    <row r="186" ht="15" customHeight="1" s="93"/>
    <row r="187" ht="15" customHeight="1" s="93"/>
    <row r="188" ht="15" customHeight="1" s="93"/>
    <row r="189" ht="15" customHeight="1" s="93"/>
    <row r="190" ht="15" customHeight="1" s="93"/>
    <row r="191" ht="15" customHeight="1" s="93"/>
    <row r="192" ht="15" customHeight="1" s="93"/>
    <row r="193" ht="15" customHeight="1" s="93"/>
    <row r="194" ht="15" customHeight="1" s="93"/>
    <row r="195" ht="15" customHeight="1" s="93"/>
    <row r="196" ht="15" customHeight="1" s="93"/>
    <row r="197" ht="15" customHeight="1" s="93"/>
    <row r="198" ht="15" customHeight="1" s="93"/>
    <row r="199" ht="15" customHeight="1" s="93"/>
    <row r="200" ht="15" customHeight="1" s="93"/>
    <row r="201" ht="15" customHeight="1" s="93"/>
    <row r="202" ht="15" customHeight="1" s="93"/>
    <row r="203" ht="15" customHeight="1" s="93"/>
    <row r="204" ht="15" customHeight="1" s="93"/>
    <row r="205" ht="15" customHeight="1" s="93"/>
    <row r="206" ht="15" customHeight="1" s="93"/>
    <row r="207" ht="15" customHeight="1" s="93"/>
    <row r="208" ht="15" customHeight="1" s="93"/>
    <row r="209" ht="15" customHeight="1" s="93"/>
    <row r="210" ht="15" customHeight="1" s="93"/>
    <row r="211" ht="15" customHeight="1" s="93"/>
    <row r="212" ht="15" customHeight="1" s="93"/>
    <row r="213" ht="15" customHeight="1" s="93"/>
    <row r="214" ht="15" customHeight="1" s="93"/>
    <row r="215" ht="15" customHeight="1" s="93"/>
    <row r="216" ht="15" customHeight="1" s="93"/>
    <row r="217" ht="15" customHeight="1" s="93"/>
    <row r="218" ht="15" customHeight="1" s="93"/>
    <row r="219" ht="15" customHeight="1" s="93"/>
    <row r="220" ht="15" customHeight="1" s="93"/>
    <row r="221" ht="15" customHeight="1" s="93"/>
    <row r="222" ht="15" customHeight="1" s="93"/>
    <row r="223" ht="15" customHeight="1" s="93"/>
    <row r="224" ht="15" customHeight="1" s="93"/>
    <row r="225" ht="15" customHeight="1" s="93"/>
    <row r="226" ht="15" customHeight="1" s="93"/>
    <row r="227" ht="15" customHeight="1" s="93"/>
    <row r="228" ht="15" customHeight="1" s="93"/>
    <row r="229" ht="15" customHeight="1" s="93"/>
    <row r="230" ht="15" customHeight="1" s="93"/>
    <row r="231" ht="15" customHeight="1" s="93"/>
    <row r="232" ht="15" customHeight="1" s="93"/>
    <row r="233" ht="15" customHeight="1" s="93"/>
    <row r="234" ht="15" customHeight="1" s="93"/>
    <row r="235" ht="15" customHeight="1" s="93"/>
    <row r="236" ht="15" customHeight="1" s="93"/>
    <row r="237" ht="15" customHeight="1" s="93"/>
    <row r="238" ht="15" customHeight="1" s="93"/>
    <row r="239" ht="15" customHeight="1" s="93"/>
    <row r="240" ht="15" customHeight="1" s="93"/>
    <row r="241" ht="15" customHeight="1" s="93"/>
    <row r="242" ht="15" customHeight="1" s="93"/>
    <row r="243" ht="15" customHeight="1" s="93"/>
    <row r="244" ht="15" customHeight="1" s="93"/>
    <row r="245" ht="15" customHeight="1" s="93"/>
    <row r="246" ht="15" customHeight="1" s="93"/>
    <row r="247" ht="15" customHeight="1" s="93"/>
    <row r="248" ht="15" customHeight="1" s="93"/>
    <row r="249" ht="15" customHeight="1" s="93"/>
    <row r="250" ht="15" customHeight="1" s="93"/>
    <row r="251" ht="15" customHeight="1" s="93"/>
    <row r="252" ht="15" customHeight="1" s="93"/>
    <row r="253" ht="15" customHeight="1" s="93"/>
    <row r="254" ht="15" customHeight="1" s="93"/>
    <row r="255" ht="15" customHeight="1" s="93"/>
    <row r="256" ht="15" customHeight="1" s="93"/>
    <row r="257" ht="15" customHeight="1" s="93"/>
    <row r="258" ht="15" customHeight="1" s="93"/>
    <row r="259" ht="15" customHeight="1" s="93"/>
    <row r="260" ht="15" customHeight="1" s="93"/>
    <row r="261" ht="15" customHeight="1" s="93"/>
    <row r="262" ht="15" customHeight="1" s="93"/>
    <row r="263" ht="15" customHeight="1" s="93"/>
    <row r="264" ht="15" customHeight="1" s="93"/>
    <row r="265" ht="15" customHeight="1" s="93"/>
    <row r="266" ht="15" customHeight="1" s="93"/>
    <row r="267" ht="15" customHeight="1" s="93"/>
    <row r="268" ht="15" customHeight="1" s="93"/>
    <row r="269" ht="15" customHeight="1" s="93"/>
    <row r="270" ht="15" customHeight="1" s="93"/>
    <row r="271" ht="15" customHeight="1" s="93"/>
    <row r="272" ht="15" customHeight="1" s="93"/>
    <row r="273" ht="15" customHeight="1" s="93"/>
    <row r="274" ht="15" customHeight="1" s="93"/>
    <row r="275" ht="15" customHeight="1" s="93"/>
    <row r="276" ht="15" customHeight="1" s="93"/>
    <row r="277" ht="15" customHeight="1" s="93"/>
    <row r="278" ht="15" customHeight="1" s="93"/>
    <row r="279" ht="15" customHeight="1" s="93"/>
    <row r="280" ht="15" customHeight="1" s="93"/>
    <row r="281" ht="15" customHeight="1" s="93"/>
    <row r="282" ht="15" customHeight="1" s="93"/>
    <row r="283" ht="15" customHeight="1" s="93"/>
    <row r="284" ht="15" customHeight="1" s="93"/>
    <row r="285" ht="15" customHeight="1" s="93"/>
    <row r="286" ht="15" customHeight="1" s="93"/>
    <row r="287" ht="15" customHeight="1" s="93"/>
    <row r="288" ht="15" customHeight="1" s="93"/>
    <row r="289" ht="15" customHeight="1" s="93"/>
    <row r="290" ht="15" customHeight="1" s="93"/>
    <row r="291" ht="15" customHeight="1" s="93"/>
    <row r="292" ht="15" customHeight="1" s="93"/>
    <row r="293" ht="15" customHeight="1" s="93"/>
    <row r="294" ht="15" customHeight="1" s="93"/>
    <row r="295" ht="15" customHeight="1" s="93"/>
    <row r="296" ht="15" customHeight="1" s="93"/>
    <row r="297" ht="15" customHeight="1" s="93"/>
    <row r="298" ht="15" customHeight="1" s="93"/>
    <row r="299" ht="15" customHeight="1" s="93"/>
    <row r="300" ht="15" customHeight="1" s="93"/>
    <row r="301" ht="15" customHeight="1" s="93"/>
    <row r="302" ht="15" customHeight="1" s="93"/>
    <row r="303" ht="15" customHeight="1" s="93"/>
    <row r="304" ht="15" customHeight="1" s="93"/>
    <row r="305" ht="15" customHeight="1" s="93"/>
    <row r="306" ht="15" customHeight="1" s="93"/>
    <row r="307" ht="15" customHeight="1" s="93"/>
    <row r="308" ht="15" customHeight="1" s="93"/>
    <row r="309" ht="15" customHeight="1" s="93"/>
    <row r="310" ht="15" customHeight="1" s="93"/>
    <row r="311" ht="15" customHeight="1" s="93"/>
    <row r="312" ht="15" customHeight="1" s="93"/>
    <row r="313" ht="15" customHeight="1" s="93"/>
    <row r="314" ht="15" customHeight="1" s="93"/>
    <row r="315" ht="15" customHeight="1" s="93"/>
    <row r="316" ht="15" customHeight="1" s="93"/>
    <row r="317" ht="15" customHeight="1" s="93"/>
    <row r="318" ht="15" customHeight="1" s="93"/>
    <row r="319" ht="15" customHeight="1" s="93"/>
    <row r="320" ht="15" customHeight="1" s="93"/>
    <row r="321" ht="15" customHeight="1" s="93"/>
    <row r="322" ht="15" customHeight="1" s="93"/>
    <row r="323" ht="15" customHeight="1" s="93"/>
    <row r="324" ht="15" customHeight="1" s="93"/>
    <row r="325" ht="15" customHeight="1" s="93"/>
    <row r="326" ht="15" customHeight="1" s="93"/>
    <row r="327" ht="15" customHeight="1" s="93"/>
    <row r="328" ht="15" customHeight="1" s="93"/>
    <row r="329" ht="15" customHeight="1" s="93"/>
    <row r="330" ht="15" customHeight="1" s="93"/>
    <row r="331" ht="15" customHeight="1" s="93"/>
    <row r="332" ht="15" customHeight="1" s="93"/>
    <row r="333" ht="15" customHeight="1" s="93"/>
    <row r="334" ht="15" customHeight="1" s="93"/>
    <row r="335" ht="15" customHeight="1" s="93"/>
    <row r="336" ht="15" customHeight="1" s="93"/>
    <row r="337" ht="15" customHeight="1" s="93"/>
    <row r="338" ht="15" customHeight="1" s="93"/>
    <row r="339" ht="15" customHeight="1" s="93"/>
    <row r="340" ht="15" customHeight="1" s="93"/>
    <row r="341" ht="15" customHeight="1" s="93"/>
    <row r="342" ht="15" customHeight="1" s="93"/>
    <row r="343" ht="15" customHeight="1" s="93"/>
    <row r="344" ht="15" customHeight="1" s="93"/>
    <row r="345" ht="15" customHeight="1" s="93"/>
    <row r="346" ht="15" customHeight="1" s="93"/>
    <row r="347" ht="15" customHeight="1" s="93"/>
    <row r="348" ht="15" customHeight="1" s="93"/>
    <row r="349" ht="15" customHeight="1" s="93"/>
    <row r="350" ht="15" customHeight="1" s="93"/>
    <row r="351" ht="15" customHeight="1" s="93"/>
    <row r="352" ht="15" customHeight="1" s="93"/>
    <row r="353" ht="15" customHeight="1" s="93"/>
    <row r="354" ht="15" customHeight="1" s="93"/>
    <row r="355" ht="15" customHeight="1" s="93"/>
    <row r="356" ht="15" customHeight="1" s="93"/>
    <row r="357" ht="15" customHeight="1" s="93"/>
    <row r="358" ht="15" customHeight="1" s="93"/>
    <row r="359" ht="15" customHeight="1" s="93"/>
    <row r="360" ht="15" customHeight="1" s="93"/>
    <row r="361" ht="15" customHeight="1" s="93"/>
    <row r="362" ht="15" customHeight="1" s="93"/>
    <row r="363" ht="15" customHeight="1" s="93"/>
    <row r="364" ht="15" customHeight="1" s="93"/>
    <row r="365" ht="15" customHeight="1" s="93"/>
    <row r="366" ht="15" customHeight="1" s="93"/>
    <row r="367" ht="15" customHeight="1" s="93"/>
    <row r="368" ht="15" customHeight="1" s="93"/>
    <row r="369" ht="15" customHeight="1" s="93"/>
    <row r="370" ht="15" customHeight="1" s="93"/>
    <row r="371" ht="15" customHeight="1" s="93"/>
    <row r="372" ht="15" customHeight="1" s="93"/>
    <row r="373" ht="15" customHeight="1" s="93"/>
    <row r="374" ht="15" customHeight="1" s="93"/>
    <row r="375" ht="15" customHeight="1" s="93"/>
    <row r="376" ht="15" customHeight="1" s="93"/>
    <row r="377" ht="15" customHeight="1" s="93"/>
    <row r="378" ht="15" customHeight="1" s="93"/>
    <row r="379" ht="15" customHeight="1" s="93"/>
    <row r="380" ht="15" customHeight="1" s="93"/>
    <row r="381" ht="15" customHeight="1" s="93"/>
    <row r="382" ht="15" customHeight="1" s="93"/>
    <row r="383" ht="15" customHeight="1" s="93"/>
    <row r="384" ht="15" customHeight="1" s="93"/>
    <row r="385" ht="15" customHeight="1" s="93"/>
    <row r="386" ht="15" customHeight="1" s="93"/>
    <row r="387" ht="15" customHeight="1" s="93"/>
    <row r="388" ht="15" customHeight="1" s="93"/>
    <row r="389" ht="15" customHeight="1" s="93"/>
    <row r="390" ht="15" customHeight="1" s="93"/>
    <row r="391" ht="15" customHeight="1" s="93"/>
    <row r="392" ht="15" customHeight="1" s="93"/>
    <row r="393" ht="15" customHeight="1" s="93"/>
    <row r="394" ht="15" customHeight="1" s="93"/>
    <row r="395" ht="15" customHeight="1" s="93"/>
    <row r="396" ht="15" customHeight="1" s="93"/>
    <row r="397" ht="15" customHeight="1" s="93"/>
    <row r="398" ht="15" customHeight="1" s="93"/>
    <row r="399" ht="15" customHeight="1" s="93"/>
    <row r="400" ht="15" customHeight="1" s="93"/>
    <row r="401" ht="15" customHeight="1" s="93"/>
    <row r="402" ht="15" customHeight="1" s="93"/>
    <row r="403" ht="15" customHeight="1" s="93"/>
    <row r="404" ht="15" customHeight="1" s="93"/>
    <row r="405" ht="15" customHeight="1" s="93"/>
    <row r="406" ht="15" customHeight="1" s="93"/>
    <row r="407" ht="15" customHeight="1" s="93"/>
    <row r="408" ht="15" customHeight="1" s="93"/>
    <row r="409" ht="15" customHeight="1" s="93"/>
    <row r="410" ht="15" customHeight="1" s="93"/>
    <row r="411" ht="15" customHeight="1" s="93"/>
    <row r="412" ht="15" customHeight="1" s="93"/>
    <row r="413" ht="15" customHeight="1" s="93"/>
    <row r="414" ht="15" customHeight="1" s="93"/>
    <row r="415" ht="15" customHeight="1" s="93"/>
    <row r="416" ht="15" customHeight="1" s="93"/>
    <row r="417" ht="15" customHeight="1" s="93"/>
    <row r="418" ht="15" customHeight="1" s="93"/>
    <row r="419" ht="15" customHeight="1" s="93"/>
    <row r="420" ht="15" customHeight="1" s="93"/>
    <row r="421" ht="15" customHeight="1" s="93"/>
    <row r="422" ht="15" customHeight="1" s="93"/>
    <row r="423" ht="15" customHeight="1" s="93"/>
    <row r="424" ht="15" customHeight="1" s="93"/>
    <row r="425" ht="15" customHeight="1" s="93"/>
    <row r="426" ht="15" customHeight="1" s="93"/>
    <row r="427" ht="15" customHeight="1" s="93"/>
    <row r="428" ht="15" customHeight="1" s="93"/>
    <row r="429" ht="15" customHeight="1" s="93"/>
    <row r="430" ht="15" customHeight="1" s="93"/>
    <row r="431" ht="15" customHeight="1" s="93"/>
    <row r="432" ht="15" customHeight="1" s="93"/>
    <row r="433" ht="15" customHeight="1" s="93"/>
    <row r="434" ht="15" customHeight="1" s="93"/>
    <row r="435" ht="15" customHeight="1" s="93"/>
    <row r="436" ht="15" customHeight="1" s="93"/>
    <row r="437" ht="15" customHeight="1" s="93"/>
    <row r="438" ht="15" customHeight="1" s="93"/>
    <row r="439" ht="15" customHeight="1" s="93"/>
    <row r="440" ht="15" customHeight="1" s="93"/>
    <row r="441" ht="15" customHeight="1" s="93"/>
    <row r="442" ht="15" customHeight="1" s="93"/>
    <row r="443" ht="15" customHeight="1" s="93"/>
    <row r="444" ht="15" customHeight="1" s="93"/>
    <row r="445" ht="15" customHeight="1" s="93"/>
    <row r="446" ht="15" customHeight="1" s="93"/>
    <row r="447" ht="15" customHeight="1" s="93"/>
    <row r="448" ht="15" customHeight="1" s="93"/>
    <row r="449" ht="15" customHeight="1" s="93"/>
    <row r="450" ht="15" customHeight="1" s="93"/>
    <row r="451" ht="15" customHeight="1" s="93"/>
    <row r="452" ht="15" customHeight="1" s="93"/>
    <row r="453" ht="15" customHeight="1" s="93"/>
    <row r="454" ht="15" customHeight="1" s="93"/>
    <row r="455" ht="15" customHeight="1" s="93"/>
    <row r="456" ht="15" customHeight="1" s="93"/>
    <row r="457" ht="15" customHeight="1" s="93"/>
    <row r="458" ht="15" customHeight="1" s="93"/>
    <row r="459" ht="15" customHeight="1" s="93"/>
    <row r="460" ht="15" customHeight="1" s="93"/>
    <row r="461" ht="15" customHeight="1" s="93"/>
    <row r="462" ht="15" customHeight="1" s="93"/>
    <row r="463" ht="15" customHeight="1" s="93"/>
    <row r="464" ht="15" customHeight="1" s="93"/>
    <row r="465" ht="15" customHeight="1" s="93"/>
    <row r="466" ht="15" customHeight="1" s="93"/>
    <row r="467" ht="15" customHeight="1" s="93"/>
    <row r="468" ht="15" customHeight="1" s="93"/>
    <row r="469" ht="15" customHeight="1" s="93"/>
    <row r="470" ht="15" customHeight="1" s="93"/>
    <row r="471" ht="15" customHeight="1" s="93"/>
    <row r="472" ht="15" customHeight="1" s="93"/>
    <row r="473" ht="15" customHeight="1" s="93"/>
    <row r="474" ht="15" customHeight="1" s="93"/>
    <row r="475" ht="15" customHeight="1" s="93"/>
    <row r="476" ht="15" customHeight="1" s="93"/>
    <row r="477" ht="15" customHeight="1" s="93"/>
    <row r="478" ht="15" customHeight="1" s="93"/>
    <row r="479" ht="15" customHeight="1" s="93"/>
    <row r="480" ht="15" customHeight="1" s="93"/>
    <row r="481" ht="15" customHeight="1" s="93"/>
    <row r="482" ht="15" customHeight="1" s="93"/>
    <row r="483" ht="15" customHeight="1" s="93"/>
    <row r="484" ht="15" customHeight="1" s="93"/>
    <row r="485" ht="15" customHeight="1" s="93"/>
    <row r="486" ht="15" customHeight="1" s="93"/>
    <row r="487" ht="15" customHeight="1" s="93"/>
    <row r="488" ht="15" customHeight="1" s="93"/>
    <row r="489" ht="15" customHeight="1" s="93"/>
    <row r="490" ht="15" customHeight="1" s="93"/>
    <row r="491" ht="15" customHeight="1" s="93"/>
    <row r="492" ht="15" customHeight="1" s="93"/>
    <row r="493" ht="15" customHeight="1" s="93"/>
    <row r="494" ht="15" customHeight="1" s="93"/>
    <row r="495" ht="15" customHeight="1" s="93"/>
    <row r="496" ht="15" customHeight="1" s="93"/>
    <row r="497" ht="15" customHeight="1" s="93"/>
    <row r="498" ht="15" customHeight="1" s="93"/>
    <row r="499" ht="15" customHeight="1" s="93"/>
    <row r="500" ht="15" customHeight="1" s="93"/>
    <row r="501" ht="15" customHeight="1" s="93"/>
    <row r="502" ht="15" customHeight="1" s="93"/>
    <row r="503" ht="15" customHeight="1" s="93"/>
    <row r="504" ht="15" customHeight="1" s="93"/>
    <row r="505" ht="15" customHeight="1" s="93"/>
    <row r="506" ht="15" customHeight="1" s="93"/>
    <row r="507" ht="15" customHeight="1" s="93"/>
    <row r="508" ht="15" customHeight="1" s="93"/>
    <row r="509" ht="15" customHeight="1" s="93"/>
    <row r="510" ht="15" customHeight="1" s="93"/>
    <row r="511" ht="15" customHeight="1" s="93"/>
    <row r="512" ht="15" customHeight="1" s="93"/>
    <row r="513" ht="15" customHeight="1" s="93"/>
    <row r="514" ht="15" customHeight="1" s="93"/>
    <row r="515" ht="15" customHeight="1" s="93"/>
    <row r="516" ht="15" customHeight="1" s="93"/>
    <row r="517" ht="15" customHeight="1" s="93"/>
    <row r="518" ht="15" customHeight="1" s="93"/>
    <row r="519" ht="15" customHeight="1" s="93"/>
    <row r="520" ht="15" customHeight="1" s="93"/>
    <row r="521" ht="15" customHeight="1" s="93"/>
    <row r="522" ht="15" customHeight="1" s="93"/>
    <row r="523" ht="15" customHeight="1" s="93"/>
    <row r="524" ht="15" customHeight="1" s="93"/>
    <row r="525" ht="15" customHeight="1" s="93"/>
    <row r="526" ht="15" customHeight="1" s="93"/>
    <row r="527" ht="15" customHeight="1" s="93"/>
    <row r="528" ht="15" customHeight="1" s="93"/>
    <row r="529" ht="15" customHeight="1" s="93"/>
    <row r="530" ht="15" customHeight="1" s="93"/>
    <row r="531" ht="15" customHeight="1" s="93"/>
    <row r="532" ht="15" customHeight="1" s="93"/>
    <row r="533" ht="15" customHeight="1" s="93"/>
    <row r="534" ht="15" customHeight="1" s="93"/>
    <row r="535" ht="15" customHeight="1" s="93"/>
    <row r="536" ht="15" customHeight="1" s="93"/>
    <row r="537" ht="15" customHeight="1" s="93"/>
    <row r="538" ht="15" customHeight="1" s="93"/>
    <row r="539" ht="15" customHeight="1" s="93"/>
    <row r="540" ht="15" customHeight="1" s="93"/>
    <row r="541" ht="15" customHeight="1" s="93"/>
    <row r="542" ht="15" customHeight="1" s="93"/>
    <row r="543" ht="15" customHeight="1" s="93"/>
    <row r="544" ht="15" customHeight="1" s="93"/>
    <row r="545" ht="15" customHeight="1" s="93"/>
    <row r="546" ht="15" customHeight="1" s="93"/>
    <row r="547" ht="15" customHeight="1" s="93"/>
    <row r="548" ht="15" customHeight="1" s="93"/>
    <row r="549" ht="15" customHeight="1" s="93"/>
    <row r="550" ht="15" customHeight="1" s="93"/>
    <row r="551" ht="15" customHeight="1" s="93"/>
    <row r="552" ht="15" customHeight="1" s="93"/>
    <row r="553" ht="15" customHeight="1" s="93"/>
    <row r="554" ht="15" customHeight="1" s="93"/>
    <row r="555" ht="15" customHeight="1" s="93"/>
    <row r="556" ht="15" customHeight="1" s="93"/>
    <row r="557" ht="15" customHeight="1" s="93"/>
    <row r="558" ht="15" customHeight="1" s="93"/>
    <row r="559" ht="15" customHeight="1" s="93"/>
    <row r="560" ht="15" customHeight="1" s="93"/>
    <row r="561" ht="15" customHeight="1" s="93"/>
    <row r="562" ht="15" customHeight="1" s="93"/>
    <row r="563" ht="15" customHeight="1" s="93"/>
    <row r="564" ht="15" customHeight="1" s="93"/>
    <row r="565" ht="15" customHeight="1" s="93"/>
    <row r="566" ht="15" customHeight="1" s="93"/>
    <row r="567" ht="15" customHeight="1" s="93"/>
    <row r="568" ht="15" customHeight="1" s="93"/>
    <row r="569" ht="15" customHeight="1" s="93"/>
    <row r="570" ht="15" customHeight="1" s="93"/>
    <row r="571" ht="15" customHeight="1" s="93"/>
    <row r="572" ht="15" customHeight="1" s="93"/>
    <row r="573" ht="15" customHeight="1" s="93"/>
    <row r="574" ht="15" customHeight="1" s="93"/>
    <row r="575" ht="15" customHeight="1" s="93"/>
    <row r="576" ht="15" customHeight="1" s="93"/>
    <row r="577" ht="15" customHeight="1" s="93"/>
    <row r="578" ht="15" customHeight="1" s="93"/>
    <row r="579" ht="15" customHeight="1" s="93"/>
    <row r="580" ht="15" customHeight="1" s="93"/>
    <row r="581" ht="15" customHeight="1" s="93"/>
    <row r="582" ht="15" customHeight="1" s="93"/>
    <row r="583" ht="15" customHeight="1" s="93"/>
    <row r="584" ht="15" customHeight="1" s="93"/>
    <row r="585" ht="15" customHeight="1" s="93"/>
    <row r="586" ht="15" customHeight="1" s="93"/>
    <row r="587" ht="15" customHeight="1" s="93"/>
    <row r="588" ht="15" customHeight="1" s="93"/>
    <row r="589" ht="15" customHeight="1" s="93"/>
    <row r="590" ht="15" customHeight="1" s="93"/>
    <row r="591" ht="15" customHeight="1" s="93"/>
    <row r="592" ht="15" customHeight="1" s="93"/>
    <row r="593" ht="15" customHeight="1" s="93"/>
    <row r="594" ht="15" customHeight="1" s="93"/>
    <row r="595" ht="15" customHeight="1" s="93"/>
    <row r="596" ht="15" customHeight="1" s="93"/>
    <row r="597" ht="15" customHeight="1" s="93"/>
    <row r="598" ht="15" customHeight="1" s="93"/>
    <row r="599" ht="15" customHeight="1" s="93"/>
    <row r="600" ht="15" customHeight="1" s="93"/>
    <row r="601" ht="15" customHeight="1" s="93"/>
    <row r="602" ht="15" customHeight="1" s="93"/>
    <row r="603" ht="15" customHeight="1" s="93"/>
    <row r="604" ht="15" customHeight="1" s="93"/>
    <row r="605" ht="15" customHeight="1" s="93"/>
    <row r="606" ht="15" customHeight="1" s="93"/>
    <row r="607" ht="15" customHeight="1" s="93"/>
    <row r="608" ht="15" customHeight="1" s="93"/>
    <row r="609" ht="15" customHeight="1" s="93"/>
    <row r="610" ht="15" customHeight="1" s="93"/>
    <row r="611" ht="15" customHeight="1" s="93"/>
    <row r="612" ht="15" customHeight="1" s="93"/>
    <row r="613" ht="15" customHeight="1" s="93"/>
    <row r="614" ht="15" customHeight="1" s="93"/>
    <row r="615" ht="15" customHeight="1" s="93"/>
    <row r="616" ht="15" customHeight="1" s="93"/>
    <row r="617" ht="15" customHeight="1" s="93"/>
    <row r="618" ht="15" customHeight="1" s="93"/>
    <row r="619" ht="15" customHeight="1" s="93"/>
    <row r="620" ht="15" customHeight="1" s="93"/>
    <row r="621" ht="15" customHeight="1" s="93"/>
    <row r="622" ht="15" customHeight="1" s="93"/>
    <row r="623" ht="15" customHeight="1" s="93"/>
    <row r="624" ht="15" customHeight="1" s="93"/>
    <row r="625" ht="15" customHeight="1" s="93"/>
    <row r="626" ht="15" customHeight="1" s="93"/>
    <row r="627" ht="15" customHeight="1" s="93"/>
    <row r="628" ht="15" customHeight="1" s="93"/>
    <row r="629" ht="15" customHeight="1" s="93"/>
    <row r="630" ht="15" customHeight="1" s="93"/>
    <row r="631" ht="15" customHeight="1" s="93"/>
    <row r="632" ht="15" customHeight="1" s="93"/>
    <row r="633" ht="15" customHeight="1" s="93"/>
    <row r="634" ht="15" customHeight="1" s="93"/>
    <row r="635" ht="15" customHeight="1" s="93"/>
    <row r="636" ht="15" customHeight="1" s="93"/>
    <row r="637" ht="15" customHeight="1" s="93"/>
    <row r="638" ht="15" customHeight="1" s="93"/>
    <row r="639" ht="15" customHeight="1" s="93"/>
    <row r="640" ht="15" customHeight="1" s="93"/>
    <row r="641" ht="15" customHeight="1" s="93"/>
    <row r="642" ht="15" customHeight="1" s="93"/>
    <row r="643" ht="15" customHeight="1" s="93"/>
    <row r="644" ht="15" customHeight="1" s="93"/>
    <row r="645" ht="15" customHeight="1" s="93"/>
    <row r="646" ht="15" customHeight="1" s="93"/>
    <row r="647" ht="15" customHeight="1" s="93"/>
    <row r="648" ht="15" customHeight="1" s="93"/>
    <row r="649" ht="15" customHeight="1" s="93"/>
    <row r="650" ht="15" customHeight="1" s="93"/>
    <row r="651" ht="15" customHeight="1" s="93"/>
    <row r="652" ht="15" customHeight="1" s="93"/>
    <row r="653" ht="15" customHeight="1" s="93"/>
    <row r="654" ht="15" customHeight="1" s="93"/>
    <row r="655" ht="15" customHeight="1" s="93"/>
    <row r="656" ht="15" customHeight="1" s="93"/>
    <row r="657" ht="15" customHeight="1" s="93"/>
    <row r="658" ht="15" customHeight="1" s="93"/>
    <row r="659" ht="15" customHeight="1" s="93"/>
    <row r="660" ht="15" customHeight="1" s="93"/>
    <row r="661" ht="15" customHeight="1" s="93"/>
    <row r="662" ht="15" customHeight="1" s="93"/>
    <row r="663" ht="15" customHeight="1" s="93"/>
    <row r="664" ht="15" customHeight="1" s="93"/>
    <row r="665" ht="15" customHeight="1" s="93"/>
    <row r="666" ht="15" customHeight="1" s="93"/>
    <row r="667" ht="15" customHeight="1" s="93"/>
    <row r="668" ht="15" customHeight="1" s="93"/>
    <row r="669" ht="15" customHeight="1" s="93"/>
    <row r="670" ht="15" customHeight="1" s="93"/>
    <row r="671" ht="15" customHeight="1" s="93"/>
    <row r="672" ht="15" customHeight="1" s="93"/>
    <row r="673" ht="15" customHeight="1" s="93"/>
    <row r="674" ht="15" customHeight="1" s="93"/>
    <row r="675" ht="15" customHeight="1" s="93"/>
    <row r="676" ht="15" customHeight="1" s="93"/>
    <row r="677" ht="15" customHeight="1" s="93"/>
    <row r="678" ht="15" customHeight="1" s="93"/>
    <row r="679" ht="15" customHeight="1" s="93"/>
    <row r="680" ht="15" customHeight="1" s="93"/>
    <row r="681" ht="15" customHeight="1" s="93"/>
    <row r="682" ht="15" customHeight="1" s="93"/>
    <row r="683" ht="15" customHeight="1" s="93"/>
    <row r="684" ht="15" customHeight="1" s="93"/>
    <row r="685" ht="15" customHeight="1" s="93"/>
    <row r="686" ht="15" customHeight="1" s="93"/>
    <row r="687" ht="15" customHeight="1" s="93"/>
    <row r="688" ht="15" customHeight="1" s="93"/>
    <row r="689" ht="15" customHeight="1" s="93"/>
    <row r="690" ht="15" customHeight="1" s="93"/>
    <row r="691" ht="15" customHeight="1" s="93"/>
    <row r="692" ht="15" customHeight="1" s="93"/>
    <row r="693" ht="15" customHeight="1" s="93"/>
    <row r="694" ht="15" customHeight="1" s="93"/>
    <row r="695" ht="15" customHeight="1" s="93"/>
    <row r="696" ht="15" customHeight="1" s="93"/>
    <row r="697" ht="15" customHeight="1" s="93"/>
    <row r="698" ht="15" customHeight="1" s="93"/>
    <row r="699" ht="15" customHeight="1" s="93"/>
    <row r="700" ht="15" customHeight="1" s="93"/>
    <row r="701" ht="15" customHeight="1" s="93"/>
    <row r="702" ht="15" customHeight="1" s="93"/>
    <row r="703" ht="15" customHeight="1" s="93"/>
    <row r="704" ht="15" customHeight="1" s="93"/>
    <row r="705" ht="15" customHeight="1" s="93"/>
    <row r="706" ht="15" customHeight="1" s="93"/>
    <row r="707" ht="15" customHeight="1" s="93"/>
    <row r="708" ht="15" customHeight="1" s="93"/>
    <row r="709" ht="15" customHeight="1" s="93"/>
    <row r="710" ht="15" customHeight="1" s="93"/>
    <row r="711" ht="15" customHeight="1" s="93"/>
    <row r="712" ht="15" customHeight="1" s="93"/>
    <row r="713" ht="15" customHeight="1" s="93"/>
    <row r="714" ht="15" customHeight="1" s="93"/>
    <row r="715" ht="15" customHeight="1" s="93"/>
    <row r="716" ht="15" customHeight="1" s="93"/>
    <row r="717" ht="15" customHeight="1" s="93"/>
    <row r="718" ht="15" customHeight="1" s="93"/>
    <row r="719" ht="15" customHeight="1" s="93"/>
    <row r="720" ht="15" customHeight="1" s="93"/>
    <row r="721" ht="15" customHeight="1" s="93"/>
    <row r="722" ht="15" customHeight="1" s="93"/>
    <row r="723" ht="15" customHeight="1" s="93"/>
    <row r="724" ht="15" customHeight="1" s="93"/>
    <row r="725" ht="15" customHeight="1" s="93"/>
    <row r="726" ht="15" customHeight="1" s="93"/>
    <row r="727" ht="15" customHeight="1" s="93"/>
    <row r="728" ht="15" customHeight="1" s="93"/>
    <row r="729" ht="15" customHeight="1" s="93"/>
    <row r="730" ht="15" customHeight="1" s="93"/>
    <row r="731" ht="15" customHeight="1" s="93"/>
    <row r="732" ht="15" customHeight="1" s="93"/>
    <row r="733" ht="15" customHeight="1" s="93"/>
    <row r="734" ht="15" customHeight="1" s="93"/>
    <row r="735" ht="15" customHeight="1" s="93"/>
    <row r="736" ht="15" customHeight="1" s="93"/>
    <row r="737" ht="15" customHeight="1" s="93"/>
    <row r="738" ht="15" customHeight="1" s="93"/>
    <row r="739" ht="15" customHeight="1" s="93"/>
    <row r="740" ht="15" customHeight="1" s="93"/>
    <row r="741" ht="15" customHeight="1" s="93"/>
    <row r="742" ht="15" customHeight="1" s="93"/>
    <row r="743" ht="15" customHeight="1" s="93"/>
    <row r="744" ht="15" customHeight="1" s="93"/>
    <row r="745" ht="15" customHeight="1" s="93"/>
    <row r="746" ht="15" customHeight="1" s="93"/>
    <row r="747" ht="15" customHeight="1" s="93"/>
    <row r="748" ht="15" customHeight="1" s="93"/>
    <row r="749" ht="15" customHeight="1" s="93"/>
    <row r="750" ht="15" customHeight="1" s="93"/>
    <row r="751" ht="15" customHeight="1" s="93"/>
    <row r="752" ht="15" customHeight="1" s="93"/>
    <row r="753" ht="15" customHeight="1" s="93"/>
    <row r="754" ht="15" customHeight="1" s="93"/>
    <row r="755" ht="15" customHeight="1" s="93"/>
    <row r="756" ht="15" customHeight="1" s="93"/>
    <row r="757" ht="15" customHeight="1" s="93"/>
    <row r="758" ht="15" customHeight="1" s="93"/>
    <row r="759" ht="15" customHeight="1" s="93"/>
    <row r="760" ht="15" customHeight="1" s="93"/>
    <row r="761" ht="15" customHeight="1" s="93"/>
    <row r="762" ht="15" customHeight="1" s="93"/>
    <row r="763" ht="15" customHeight="1" s="93"/>
    <row r="764" ht="15" customHeight="1" s="93"/>
    <row r="765" ht="15" customHeight="1" s="93"/>
    <row r="766" ht="15" customHeight="1" s="93"/>
    <row r="767" ht="15" customHeight="1" s="93"/>
    <row r="768" ht="15" customHeight="1" s="93"/>
    <row r="769" ht="15" customHeight="1" s="93"/>
    <row r="770" ht="15" customHeight="1" s="93"/>
    <row r="771" ht="15" customHeight="1" s="93"/>
    <row r="772" ht="15" customHeight="1" s="93"/>
    <row r="773" ht="15" customHeight="1" s="93"/>
    <row r="774" ht="15" customHeight="1" s="93"/>
    <row r="775" ht="15" customHeight="1" s="93"/>
    <row r="776" ht="15" customHeight="1" s="93"/>
    <row r="777" ht="15" customHeight="1" s="93"/>
    <row r="778" ht="15" customHeight="1" s="93"/>
    <row r="779" ht="15" customHeight="1" s="93"/>
    <row r="780" ht="15" customHeight="1" s="93"/>
    <row r="781" ht="15" customHeight="1" s="93"/>
    <row r="782" ht="15" customHeight="1" s="93"/>
    <row r="783" ht="15" customHeight="1" s="93"/>
    <row r="784" ht="15" customHeight="1" s="93"/>
    <row r="785" ht="15" customHeight="1" s="93"/>
    <row r="786" ht="15" customHeight="1" s="93"/>
    <row r="787" ht="15" customHeight="1" s="93"/>
    <row r="788" ht="15" customHeight="1" s="93"/>
    <row r="789" ht="15" customHeight="1" s="93"/>
    <row r="790" ht="15" customHeight="1" s="93"/>
    <row r="791" ht="15" customHeight="1" s="93"/>
    <row r="792" ht="15" customHeight="1" s="93"/>
    <row r="793" ht="15" customHeight="1" s="93"/>
    <row r="794" ht="15" customHeight="1" s="93"/>
    <row r="795" ht="15" customHeight="1" s="93"/>
    <row r="796" ht="15" customHeight="1" s="93"/>
    <row r="797" ht="15" customHeight="1" s="93"/>
    <row r="798" ht="15" customHeight="1" s="93"/>
    <row r="799" ht="15" customHeight="1" s="93"/>
    <row r="800" ht="15" customHeight="1" s="93"/>
    <row r="801" ht="15" customHeight="1" s="93"/>
    <row r="802" ht="15" customHeight="1" s="93"/>
    <row r="803" ht="15" customHeight="1" s="93"/>
    <row r="804" ht="15" customHeight="1" s="93"/>
    <row r="805" ht="15" customHeight="1" s="93"/>
    <row r="806" ht="15" customHeight="1" s="93"/>
    <row r="807" ht="15" customHeight="1" s="93"/>
    <row r="808" ht="15" customHeight="1" s="93"/>
    <row r="809" ht="15" customHeight="1" s="93"/>
    <row r="810" ht="15" customHeight="1" s="93"/>
    <row r="811" ht="15" customHeight="1" s="93"/>
    <row r="812" ht="15" customHeight="1" s="93"/>
    <row r="813" ht="15" customHeight="1" s="93"/>
    <row r="814" ht="15" customHeight="1" s="93"/>
    <row r="815" ht="15" customHeight="1" s="93"/>
    <row r="816" ht="15" customHeight="1" s="93"/>
    <row r="817" ht="15" customHeight="1" s="93"/>
    <row r="818" ht="15" customHeight="1" s="93"/>
    <row r="819" ht="15" customHeight="1" s="93"/>
    <row r="820" ht="15" customHeight="1" s="93"/>
    <row r="821" ht="15" customHeight="1" s="93"/>
    <row r="822" ht="15" customHeight="1" s="93"/>
    <row r="823" ht="15" customHeight="1" s="93"/>
    <row r="824" ht="15" customHeight="1" s="93"/>
    <row r="825" ht="15" customHeight="1" s="93"/>
    <row r="826" ht="15" customHeight="1" s="93"/>
    <row r="827" ht="15" customHeight="1" s="93"/>
    <row r="828" ht="15" customHeight="1" s="93"/>
    <row r="829" ht="15" customHeight="1" s="93"/>
    <row r="830" ht="15" customHeight="1" s="93"/>
    <row r="831" ht="15" customHeight="1" s="93"/>
    <row r="832" ht="15" customHeight="1" s="93"/>
    <row r="833" ht="15" customHeight="1" s="93"/>
    <row r="834" ht="15" customHeight="1" s="93"/>
    <row r="835" ht="15" customHeight="1" s="93"/>
    <row r="836" ht="15" customHeight="1" s="93"/>
    <row r="837" ht="15" customHeight="1" s="93"/>
    <row r="838" ht="15" customHeight="1" s="93"/>
    <row r="839" ht="15" customHeight="1" s="93"/>
    <row r="840" ht="15" customHeight="1" s="93"/>
    <row r="841" ht="15" customHeight="1" s="93"/>
    <row r="842" ht="15" customHeight="1" s="93"/>
    <row r="843" ht="15" customHeight="1" s="93"/>
    <row r="844" ht="15" customHeight="1" s="93"/>
    <row r="845" ht="15" customHeight="1" s="93"/>
    <row r="846" ht="15" customHeight="1" s="93"/>
    <row r="847" ht="15" customHeight="1" s="93"/>
    <row r="848" ht="15" customHeight="1" s="93"/>
    <row r="849" ht="15" customHeight="1" s="93"/>
    <row r="850" ht="15" customHeight="1" s="93"/>
    <row r="851" ht="15" customHeight="1" s="93"/>
    <row r="852" ht="15" customHeight="1" s="93"/>
    <row r="853" ht="15" customHeight="1" s="93"/>
    <row r="854" ht="15" customHeight="1" s="93"/>
    <row r="855" ht="15" customHeight="1" s="93"/>
    <row r="856" ht="15" customHeight="1" s="93"/>
    <row r="857" ht="15" customHeight="1" s="93"/>
    <row r="858" ht="15" customHeight="1" s="93"/>
    <row r="859" ht="15" customHeight="1" s="93"/>
    <row r="860" ht="15" customHeight="1" s="93"/>
    <row r="861" ht="15" customHeight="1" s="93"/>
    <row r="862" ht="15" customHeight="1" s="93"/>
    <row r="863" ht="15" customHeight="1" s="93"/>
    <row r="864" ht="15" customHeight="1" s="93"/>
    <row r="865" ht="15" customHeight="1" s="93"/>
    <row r="866" ht="15" customHeight="1" s="93"/>
    <row r="867" ht="15" customHeight="1" s="93"/>
    <row r="868" ht="15" customHeight="1" s="93"/>
    <row r="869" ht="15" customHeight="1" s="93"/>
    <row r="870" ht="15" customHeight="1" s="93"/>
    <row r="871" ht="15" customHeight="1" s="93"/>
    <row r="872" ht="15" customHeight="1" s="93"/>
    <row r="873" ht="15" customHeight="1" s="93"/>
    <row r="874" ht="15" customHeight="1" s="93"/>
    <row r="875" ht="15" customHeight="1" s="93"/>
    <row r="876" ht="15" customHeight="1" s="93"/>
    <row r="877" ht="15" customHeight="1" s="93"/>
    <row r="878" ht="15" customHeight="1" s="93"/>
    <row r="879" ht="15" customHeight="1" s="93"/>
    <row r="880" ht="15" customHeight="1" s="93"/>
    <row r="881" ht="15" customHeight="1" s="93"/>
    <row r="882" ht="15" customHeight="1" s="93"/>
    <row r="883" ht="15" customHeight="1" s="93"/>
    <row r="884" ht="15" customHeight="1" s="93"/>
    <row r="885" ht="15" customHeight="1" s="93"/>
    <row r="886" ht="15" customHeight="1" s="93"/>
    <row r="887" ht="15" customHeight="1" s="93"/>
    <row r="888" ht="15" customHeight="1" s="93"/>
    <row r="889" ht="15" customHeight="1" s="93"/>
    <row r="890" ht="15" customHeight="1" s="93"/>
    <row r="891" ht="15" customHeight="1" s="93"/>
    <row r="892" ht="15" customHeight="1" s="93"/>
    <row r="893" ht="15" customHeight="1" s="93"/>
    <row r="894" ht="15" customHeight="1" s="93"/>
    <row r="895" ht="15" customHeight="1" s="93"/>
    <row r="896" ht="15" customHeight="1" s="93"/>
    <row r="897" ht="15" customHeight="1" s="93"/>
    <row r="898" ht="15" customHeight="1" s="93"/>
    <row r="899" ht="15" customHeight="1" s="93"/>
    <row r="900" ht="15" customHeight="1" s="93"/>
    <row r="901" ht="15" customHeight="1" s="93"/>
    <row r="902" ht="15" customHeight="1" s="93"/>
    <row r="903" ht="15" customHeight="1" s="93"/>
    <row r="904" ht="15" customHeight="1" s="93"/>
    <row r="905" ht="15" customHeight="1" s="93"/>
    <row r="906" ht="15" customHeight="1" s="93"/>
    <row r="907" ht="15" customHeight="1" s="93"/>
    <row r="908" ht="15" customHeight="1" s="93"/>
    <row r="909" ht="15" customHeight="1" s="93"/>
    <row r="910" ht="15" customHeight="1" s="93"/>
    <row r="911" ht="15" customHeight="1" s="93"/>
    <row r="912" ht="15" customHeight="1" s="93"/>
    <row r="913" ht="15" customHeight="1" s="93"/>
    <row r="914" ht="15" customHeight="1" s="93"/>
    <row r="915" ht="15" customHeight="1" s="93"/>
    <row r="916" ht="15" customHeight="1" s="93"/>
    <row r="917" ht="15" customHeight="1" s="93"/>
    <row r="918" ht="15" customHeight="1" s="93"/>
    <row r="919" ht="15" customHeight="1" s="93"/>
    <row r="920" ht="15" customHeight="1" s="93"/>
    <row r="921" ht="15" customHeight="1" s="93"/>
    <row r="922" ht="15" customHeight="1" s="93"/>
    <row r="923" ht="15" customHeight="1" s="93"/>
    <row r="924" ht="15" customHeight="1" s="93"/>
    <row r="925" ht="15" customHeight="1" s="93"/>
    <row r="926" ht="15" customHeight="1" s="93"/>
    <row r="927" ht="15" customHeight="1" s="93"/>
    <row r="928" ht="15" customHeight="1" s="93"/>
    <row r="929" ht="15" customHeight="1" s="93"/>
    <row r="930" ht="15" customHeight="1" s="93"/>
    <row r="931" ht="15" customHeight="1" s="93"/>
    <row r="932" ht="15" customHeight="1" s="93"/>
    <row r="933" ht="15" customHeight="1" s="93"/>
    <row r="934" ht="15" customHeight="1" s="93"/>
    <row r="935" ht="15" customHeight="1" s="93"/>
    <row r="936" ht="15" customHeight="1" s="93"/>
    <row r="937" ht="15" customHeight="1" s="93"/>
    <row r="938" ht="15" customHeight="1" s="93"/>
    <row r="939" ht="15" customHeight="1" s="93"/>
    <row r="940" ht="15" customHeight="1" s="93"/>
    <row r="941" ht="15" customHeight="1" s="93"/>
    <row r="942" ht="15" customHeight="1" s="93"/>
    <row r="943" ht="15" customHeight="1" s="93"/>
    <row r="944" ht="15" customHeight="1" s="93"/>
    <row r="945" ht="15" customHeight="1" s="93"/>
    <row r="946" ht="15" customHeight="1" s="93"/>
    <row r="947" ht="15" customHeight="1" s="93"/>
    <row r="948" ht="15" customHeight="1" s="93"/>
    <row r="949" ht="15" customHeight="1" s="93"/>
    <row r="950" ht="15" customHeight="1" s="93"/>
    <row r="951" ht="15" customHeight="1" s="93"/>
    <row r="952" ht="15" customHeight="1" s="93"/>
    <row r="953" ht="15" customHeight="1" s="93"/>
    <row r="954" ht="15" customHeight="1" s="93"/>
    <row r="955" ht="15" customHeight="1" s="93"/>
    <row r="956" ht="15" customHeight="1" s="93"/>
    <row r="957" ht="15" customHeight="1" s="93"/>
    <row r="958" ht="15" customHeight="1" s="93"/>
    <row r="959" ht="15" customHeight="1" s="93"/>
    <row r="960" ht="15" customHeight="1" s="93"/>
    <row r="961" ht="15" customHeight="1" s="93"/>
    <row r="962" ht="15" customHeight="1" s="93"/>
    <row r="963" ht="15" customHeight="1" s="93"/>
    <row r="964" ht="15" customHeight="1" s="93"/>
    <row r="965" ht="15" customHeight="1" s="93"/>
    <row r="966" ht="15" customHeight="1" s="93"/>
    <row r="967" ht="15" customHeight="1" s="93"/>
    <row r="968" ht="15" customHeight="1" s="93"/>
    <row r="969" ht="15" customHeight="1" s="93"/>
    <row r="970" ht="15" customHeight="1" s="93"/>
    <row r="971" ht="15" customHeight="1" s="93"/>
    <row r="972" ht="15" customHeight="1" s="93"/>
    <row r="973" ht="15" customHeight="1" s="93"/>
    <row r="974" ht="15" customHeight="1" s="93"/>
    <row r="975" ht="15" customHeight="1" s="93"/>
    <row r="976" ht="15" customHeight="1" s="93"/>
    <row r="977" ht="15" customHeight="1" s="93"/>
    <row r="978" ht="15" customHeight="1" s="93"/>
    <row r="979" ht="15" customHeight="1" s="93"/>
    <row r="980" ht="15" customHeight="1" s="93"/>
    <row r="981" ht="15" customHeight="1" s="93"/>
    <row r="982" ht="15" customHeight="1" s="93"/>
    <row r="983" ht="15" customHeight="1" s="93"/>
    <row r="984" ht="15" customHeight="1" s="93"/>
    <row r="985" ht="15" customHeight="1" s="93"/>
    <row r="986" ht="15" customHeight="1" s="93"/>
    <row r="987" ht="15" customHeight="1" s="93"/>
    <row r="988" ht="15" customHeight="1" s="93"/>
    <row r="989" ht="15" customHeight="1" s="93"/>
    <row r="990" ht="15" customHeight="1" s="93"/>
    <row r="991" ht="15" customHeight="1" s="93"/>
    <row r="992" ht="15" customHeight="1" s="93"/>
    <row r="993" ht="15" customHeight="1" s="93"/>
    <row r="994" ht="15" customHeight="1" s="93"/>
    <row r="995" ht="15" customHeight="1" s="93"/>
    <row r="996" ht="15" customHeight="1" s="93"/>
    <row r="997" ht="15" customHeight="1" s="93"/>
    <row r="998" ht="15" customHeight="1" s="93"/>
    <row r="999" ht="15" customHeight="1" s="93"/>
    <row r="1000" ht="15" customHeight="1" s="93"/>
  </sheetData>
  <conditionalFormatting sqref="A2:R1000">
    <cfRule type="expression" rank="0" priority="2" equalAverage="0" aboveAverage="0" dxfId="11" text="" percent="0" bottom="0">
      <formula>$D2="US"</formula>
    </cfRule>
    <cfRule type="expression" rank="0" priority="3" equalAverage="0" aboveAverage="0" dxfId="12" text="" percent="0" bottom="0">
      <formula>$D2="MyMSC"</formula>
    </cfRule>
    <cfRule type="expression" rank="0" priority="4" equalAverage="0" aboveAverage="0" dxfId="13" text="" percent="0" bottom="0">
      <formula>$D2="Rollout"</formula>
    </cfRule>
    <cfRule type="expression" rank="0" priority="5" equalAverage="0" aboveAverage="0" dxfId="13" text="" percent="0" bottom="0">
      <formula>$D2="MVP Rollout"</formula>
    </cfRule>
    <cfRule type="expression" rank="0" priority="6" equalAverage="0" aboveAverage="0" dxfId="14" text="" percent="0" bottom="0">
      <formula>$D2="Backlog"</formula>
    </cfRule>
    <cfRule type="expression" rank="0" priority="7" equalAverage="0" aboveAverage="0" dxfId="14" text="" percent="0" bottom="0">
      <formula>$D2="Growth"</formula>
    </cfRule>
    <cfRule type="expression" rank="0" priority="8" equalAverage="0" aboveAverage="0" dxfId="15" text="" percent="0" bottom="0">
      <formula>$D2="Tech Enhancements"</formula>
    </cfRule>
    <cfRule type="expression" rank="0" priority="9" equalAverage="0" aboveAverage="0" dxfId="16" text="" percent="0" bottom="0">
      <formula>LEFT($D2,2)="PI"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A44"/>
  <sheetViews>
    <sheetView showFormulas="0" showGridLines="1" showRowColHeaders="1" showZeros="1" rightToLeft="0" tabSelected="0" showOutlineSymbols="1" defaultGridColor="1" view="normal" topLeftCell="A38"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120" customWidth="1" style="92" min="1" max="1"/>
    <col width="15" customWidth="1" style="92" min="2" max="2"/>
  </cols>
  <sheetData>
    <row r="1" ht="24.75" customHeight="1" s="93">
      <c r="A1" s="171" t="inlineStr">
        <is>
          <t>AUTOMATION WORKFLOWS - Option B: Full Automatic Sync</t>
        </is>
      </c>
    </row>
    <row r="3" ht="15" customHeight="1" s="93">
      <c r="A3" s="172" t="inlineStr">
        <is>
          <t>HOW IT WORKS (Option B)</t>
        </is>
      </c>
    </row>
    <row r="4" ht="60" customHeight="1" s="93">
      <c r="A4" s="97" t="inlineStr">
        <is>
          <t>You only manage the Backlog sheet. Everything else syncs automatically by row:</t>
        </is>
      </c>
    </row>
    <row r="5" ht="15" customHeight="1" s="93">
      <c r="A5" s="97" t="inlineStr">
        <is>
          <t>1. Add an item to Backlog row N (e.g., row 94) with Name, Type, Stream, Status, etc.</t>
        </is>
      </c>
    </row>
    <row r="6" ht="15" customHeight="1" s="93">
      <c r="A6" s="173" t="inlineStr">
        <is>
          <t>2. Column A auto-generates a Requirement ID (e.g., NEW-0430)</t>
        </is>
      </c>
    </row>
    <row r="7" ht="30" customHeight="1" s="93">
      <c r="A7" s="97" t="inlineStr">
        <is>
          <t>3. Sprint Planning row N, RTM row N, API Design Planning row N AUTOMATICALLY pull that item's data via formulas</t>
        </is>
      </c>
    </row>
    <row r="8" ht="30" customHeight="1" s="93">
      <c r="A8" s="97" t="inlineStr">
        <is>
          <t>4. Once a Sprint is assigned in Sprint Planning, the item appears in Release and Roadmap</t>
        </is>
      </c>
    </row>
    <row r="9" ht="30" customHeight="1" s="93">
      <c r="A9" s="97" t="n"/>
    </row>
    <row r="10" ht="15" customHeight="1" s="93">
      <c r="A10" s="174" t="inlineStr">
        <is>
          <t>Example Workflow:</t>
        </is>
      </c>
    </row>
    <row r="11" ht="15" customHeight="1" s="93">
      <c r="A11" s="175" t="inlineStr">
        <is>
          <t>User adds item "Build API endpoint" to Backlog row 94:</t>
        </is>
      </c>
    </row>
    <row r="12" ht="15" customHeight="1" s="93">
      <c r="A12" s="97" t="inlineStr">
        <is>
          <t xml:space="preserve">  Name: Build API endpoint | Stream: US | Type: New | Status: NEW</t>
        </is>
      </c>
    </row>
    <row r="13" ht="15" customHeight="1" s="93">
      <c r="A13" s="97" t="n"/>
    </row>
    <row r="14" ht="15" customHeight="1" s="93">
      <c r="A14" s="97" t="inlineStr">
        <is>
          <t>Result (automatic):</t>
        </is>
      </c>
    </row>
    <row r="15" ht="15" customHeight="1" s="93">
      <c r="A15" s="97" t="inlineStr">
        <is>
          <t xml:space="preserve">  Backlog row 94: ID auto-fills as NEW-0430</t>
        </is>
      </c>
    </row>
    <row r="16" ht="15" customHeight="1" s="93">
      <c r="A16" s="97" t="inlineStr">
        <is>
          <t xml:space="preserve">  Sprint Planning row 94: Shows NEW-0430, Build API endpoint, US, Status=NEW (all auto-pulled)</t>
        </is>
      </c>
    </row>
    <row r="17" ht="15" customHeight="1" s="93">
      <c r="A17" s="175" t="inlineStr">
        <is>
          <t xml:space="preserve">  RTM row 94: Shows NEW-0430, Build API endpoint, US (auto-pulled)</t>
        </is>
      </c>
    </row>
    <row r="18" ht="15" customHeight="1" s="93">
      <c r="A18" s="97" t="inlineStr">
        <is>
          <t xml:space="preserve">  API Design Planning row 94: Shows NEW-0430, Build API endpoint, US (auto-pulled)</t>
        </is>
      </c>
    </row>
    <row r="19" ht="15" customHeight="1" s="93">
      <c r="A19" s="97" t="n"/>
    </row>
    <row r="20" ht="15" customHeight="1" s="93">
      <c r="A20" s="97" t="inlineStr">
        <is>
          <t>User then assigns Sprint 5 in Sprint Planning row 94:</t>
        </is>
      </c>
    </row>
    <row r="21" ht="15" customHeight="1" s="93">
      <c r="A21" s="97" t="n"/>
    </row>
    <row r="22" ht="15" customHeight="1" s="93">
      <c r="A22" s="97" t="inlineStr">
        <is>
          <t>Result (automatic):</t>
        </is>
      </c>
    </row>
    <row r="23" ht="15" customHeight="1" s="93">
      <c r="A23" s="97" t="inlineStr">
        <is>
          <t xml:space="preserve">  Release tab: NEW-0430 appears (because Sprint is now assigned)</t>
        </is>
      </c>
    </row>
    <row r="24" ht="15" customHeight="1" s="93">
      <c r="A24" s="97" t="inlineStr">
        <is>
          <t xml:space="preserve">  Roadmap: NEW-0430 shows HLE under Stream=US, Sprint=5</t>
        </is>
      </c>
    </row>
    <row r="25" ht="15" customHeight="1" s="93">
      <c r="A25" s="174" t="n"/>
    </row>
    <row r="26" ht="15" customHeight="1" s="93">
      <c r="A26" s="173" t="inlineStr">
        <is>
          <t>IMPORTANT NOTES</t>
        </is>
      </c>
    </row>
    <row r="27" ht="15" customHeight="1" s="93">
      <c r="A27" s="97" t="inlineStr">
        <is>
          <t>Manual data entry goes ONLY in the Backlog sheet</t>
        </is>
      </c>
    </row>
    <row r="28" ht="15" customHeight="1" s="93">
      <c r="A28" s="176" t="inlineStr">
        <is>
          <t>DO NOT manually enter data in Sprint Planning, RTM, or API Design Planning (it will be overwritten by formulas)</t>
        </is>
      </c>
    </row>
    <row r="29" ht="15" customHeight="1" s="93">
      <c r="A29" s="97" t="inlineStr">
        <is>
          <t>Exception: Columns that are manual-edit in those sheets (e.g., RAML Required in API Design Planning, Predecessor in RTM) can still be edited</t>
        </is>
      </c>
    </row>
    <row r="30" ht="15" customHeight="1" s="93">
      <c r="A30" s="97" t="inlineStr">
        <is>
          <t>Archiving: When Status=DONE with a real Sprint, run the autoArchive automation to move it to the Quarter tab</t>
        </is>
      </c>
    </row>
    <row r="31" ht="15" customHeight="1" s="93">
      <c r="A31" s="97" t="n"/>
    </row>
    <row r="32" ht="19.5" customHeight="1" s="93">
      <c r="A32" s="177" t="inlineStr">
        <is>
          <t>OFFICE SCRIPT: autoArchive.ts (latest — real table row deletion for Backlog)</t>
        </is>
      </c>
    </row>
    <row r="33" ht="199.5" customHeight="1" s="93">
      <c r="A33" s="178" t="inlineStr">
        <is>
          <t>/**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G=JiraKey  H=JiraLink  I=Priority  J=Sprint  K=Release  L=HLE
const Q_COLS = [
  "reqId", "name", "type", "stream", "owner", "status",
  "jiraKey",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jiraKey:      string;
  jiraLink:     string;
  release:      string | number | boolean;
}
// ─── Main ────────────────────────────────────────────────────────────────────
function main(workbook: ExcelScript.Workbook): string {
  // Sprint number</t>
        </is>
      </c>
    </row>
    <row r="34" ht="199.5" customHeight="1" s="93">
      <c r="A34" s="178" t="inlineStr">
        <is>
          <t xml:space="preserve">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t>
        </is>
      </c>
    </row>
    <row r="35" ht="199.5" customHeight="1" s="93">
      <c r="A35" s="178" t="inlineStr">
        <is>
          <t>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t>
        </is>
      </c>
    </row>
    <row r="36" ht="199.5" customHeight="1" s="93">
      <c r="A36" s="179" t="inlineStr">
        <is>
          <t>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13=JiraKey
  const items: ArchiveItem[] = [];
  const skipped: string[] = [];
  for (let r = 1; r &lt; blVals.length; r++) {
    const reqId  = asStr(blVals[r][0]);
    const status = asStr(blVals[r][5]).toUpperCase();
    if (!reqId || status !== "DONE" || archived.has(reqId)) continue;
    const sprint   = sprintMap.get(reqId) ?? asStr(blVals[r][8]);
    const sprintNo = firstInt(sprint);
    const qName    = sprintNo !== null ? Q</t>
        </is>
      </c>
    </row>
    <row r="37" ht="199.5" customHeight="1" s="93">
      <c r="A37" s="178" t="inlineStr">
        <is>
          <t xml:space="preserve">UARTER[sprintNo] : undefined;
    if (!qName) {
      skipped.push(`${reqId} (sprint="${sprint}")`);
      continue;
    }
    const jiraKey = asStr(blVals[r][13]);
    items.push({
      reqId,
      blRow:        r,
      quarterSheet: qName,
      name:         asStr(blVals[r][1]),
      type:         asStr(blVals[r][2]),
      stream:       asStr(blVals[r][3]),
      owner:        asStr(blVals[r][4]),
      status:       asStr(blVals[r][5]),
      priority:     blVals[r][6] as string | number | boolean,
      sprint,
      hle:          blVals[r][9] as string | number | boolean,
      jiraKey,
      jiraLink:     jiraKey ? `https://smartship.atlassian.net/browse/${jiraKey}` : "",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t>
        </is>
      </c>
    </row>
    <row r="38" ht="199.5" customHeight="1" s="93">
      <c r="A38" s="178" t="inlineStr">
        <is>
          <t>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
        </is>
      </c>
    </row>
    <row r="39" ht="199.5" customHeight="1" s="93">
      <c r="A39" s="178" t="inlineStr">
        <is>
          <t>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t>
        </is>
      </c>
    </row>
    <row r="40" ht="199.5" customHeight="1" s="93">
      <c r="A40" s="178" t="inlineStr">
        <is>
          <t>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t>
        </is>
      </c>
    </row>
    <row r="41" ht="199.5" customHeight="1" s="93">
      <c r="A41" s="178" t="inlineStr">
        <is>
          <t xml:space="preserve">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reusing an </t>
        </is>
      </c>
    </row>
    <row r="42" ht="199.5" customHeight="1" s="93">
      <c r="A42" s="178" t="inlineStr">
        <is>
          <t>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t>
        </is>
      </c>
    </row>
    <row r="43" ht="183" customHeight="1" s="93">
      <c r="A43" s="178" t="inlineStr">
        <is>
          <t xml:space="preserve">umber | boolean)[][],
  wsStartRow: number,
  idCol: number,
  archivingIds: Set&lt;string&gt;
): number[] {
  const wsRows: number[] = [];
  for (let r = 1; r &lt; vals.length; r++) {
    if (archivingIds.has(asStr(vals[r][idCol]))) {
      wsRows.push(wsStartRow + r);
    }
  }
  return wsRows.sort((a, b) =&gt; b - a);
}
</t>
        </is>
      </c>
    </row>
    <row r="44" ht="199.5" customHeight="1" s="93">
      <c r="A44" s="178"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N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36" activeCellId="0" sqref="G36"/>
    </sheetView>
  </sheetViews>
  <sheetFormatPr baseColWidth="8" defaultColWidth="8.66796875" defaultRowHeight="15" customHeight="0" zeroHeight="0" outlineLevelRow="0"/>
  <sheetData>
    <row r="1" ht="15" customHeight="1" s="93">
      <c r="A1" s="92" t="inlineStr">
        <is>
          <t>Type</t>
        </is>
      </c>
      <c r="B1" s="92" t="inlineStr">
        <is>
          <t>Stream</t>
        </is>
      </c>
      <c r="C1" s="92" t="inlineStr">
        <is>
          <t>Status</t>
        </is>
      </c>
      <c r="D1" s="92" t="inlineStr">
        <is>
          <t>Priority</t>
        </is>
      </c>
      <c r="E1" s="92" t="inlineStr">
        <is>
          <t>Sprint</t>
        </is>
      </c>
      <c r="F1" s="92" t="inlineStr">
        <is>
          <t>RAML Required</t>
        </is>
      </c>
      <c r="G1" s="92" t="inlineStr">
        <is>
          <t>Release</t>
        </is>
      </c>
      <c r="H1" s="92" t="inlineStr">
        <is>
          <t>Assignee</t>
        </is>
      </c>
      <c r="I1" s="92" t="inlineStr">
        <is>
          <t>Stream Owner</t>
        </is>
      </c>
      <c r="K1" s="92" t="inlineStr">
        <is>
          <t>Sprint-&gt;Quarter (2026)</t>
        </is>
      </c>
      <c r="L1" s="92" t="inlineStr">
        <is>
          <t>Quarter Tab</t>
        </is>
      </c>
      <c r="M1" s="92" t="inlineStr">
        <is>
          <t>Date Range</t>
        </is>
      </c>
      <c r="N1" s="92" t="inlineStr">
        <is>
          <t>ID High-Water Mark</t>
        </is>
      </c>
    </row>
    <row r="2" ht="15" customHeight="1" s="93">
      <c r="A2" s="92" t="inlineStr">
        <is>
          <t>Config</t>
        </is>
      </c>
      <c r="B2" s="92" t="inlineStr">
        <is>
          <t>US</t>
        </is>
      </c>
      <c r="C2" s="92" t="inlineStr">
        <is>
          <t>NEW</t>
        </is>
      </c>
      <c r="D2" s="92" t="inlineStr">
        <is>
          <t>Critical</t>
        </is>
      </c>
      <c r="E2" s="92" t="inlineStr">
        <is>
          <t>To Plan</t>
        </is>
      </c>
      <c r="F2" s="92" t="inlineStr">
        <is>
          <t>Yes</t>
        </is>
      </c>
      <c r="G2" s="92" t="inlineStr">
        <is>
          <t>Release 5</t>
        </is>
      </c>
      <c r="H2" s="92" t="inlineStr">
        <is>
          <t>Clare</t>
        </is>
      </c>
      <c r="I2" s="92" t="inlineStr">
        <is>
          <t>ALL</t>
        </is>
      </c>
      <c r="K2" s="92" t="inlineStr">
        <is>
          <t>Sprint 1</t>
        </is>
      </c>
      <c r="L2" s="92" t="inlineStr">
        <is>
          <t>Q1 Backlog Report 2026</t>
        </is>
      </c>
      <c r="M2" s="92" t="inlineStr">
        <is>
          <t>Jan 19 - Feb 6</t>
        </is>
      </c>
      <c r="N2" s="92" t="n">
        <v>435</v>
      </c>
    </row>
    <row r="3" ht="15" customHeight="1" s="93">
      <c r="A3" s="92" t="inlineStr">
        <is>
          <t>CR</t>
        </is>
      </c>
      <c r="B3" s="92" t="inlineStr">
        <is>
          <t>MyMSC</t>
        </is>
      </c>
      <c r="C3" s="92" t="inlineStr">
        <is>
          <t>IN PROGRESS</t>
        </is>
      </c>
      <c r="D3" s="92" t="inlineStr">
        <is>
          <t>High</t>
        </is>
      </c>
      <c r="E3" s="92" t="inlineStr">
        <is>
          <t>Sprint 1</t>
        </is>
      </c>
      <c r="F3" s="92" t="inlineStr">
        <is>
          <t>No</t>
        </is>
      </c>
      <c r="G3" s="92" t="inlineStr">
        <is>
          <t>Release 5A</t>
        </is>
      </c>
      <c r="H3" s="92" t="inlineStr">
        <is>
          <t>Luke</t>
        </is>
      </c>
      <c r="I3" s="92" t="inlineStr">
        <is>
          <t>DTS</t>
        </is>
      </c>
      <c r="K3" s="92" t="inlineStr">
        <is>
          <t>Sprint 2</t>
        </is>
      </c>
      <c r="L3" s="92" t="inlineStr">
        <is>
          <t>Q1 Backlog Report 2026</t>
        </is>
      </c>
      <c r="M3" s="92" t="inlineStr">
        <is>
          <t>Feb 9 - Feb 27</t>
        </is>
      </c>
    </row>
    <row r="4" ht="15" customHeight="1" s="93">
      <c r="A4" s="92" t="inlineStr">
        <is>
          <t>New</t>
        </is>
      </c>
      <c r="B4" s="92" t="inlineStr">
        <is>
          <t>Growth</t>
        </is>
      </c>
      <c r="C4" s="92" t="inlineStr">
        <is>
          <t>DONE</t>
        </is>
      </c>
      <c r="D4" s="92" t="inlineStr">
        <is>
          <t>Medium</t>
        </is>
      </c>
      <c r="E4" s="92" t="inlineStr">
        <is>
          <t>Sprint 2</t>
        </is>
      </c>
      <c r="F4" s="92" t="inlineStr">
        <is>
          <t>TBC</t>
        </is>
      </c>
      <c r="G4" s="92" t="inlineStr">
        <is>
          <t>Release 5B</t>
        </is>
      </c>
      <c r="H4" s="92" t="inlineStr">
        <is>
          <t>Bipin</t>
        </is>
      </c>
      <c r="I4" s="92" t="inlineStr">
        <is>
          <t>MA</t>
        </is>
      </c>
      <c r="K4" s="92" t="inlineStr">
        <is>
          <t>Sprint 3</t>
        </is>
      </c>
      <c r="L4" s="92" t="inlineStr">
        <is>
          <t>Q1 Backlog Report 2026</t>
        </is>
      </c>
      <c r="M4" s="92" t="inlineStr">
        <is>
          <t>Mar 2 - Mar 20</t>
        </is>
      </c>
    </row>
    <row r="5" ht="15" customHeight="1" s="93">
      <c r="A5" s="92" t="inlineStr">
        <is>
          <t>TBC</t>
        </is>
      </c>
      <c r="B5" s="92" t="inlineStr">
        <is>
          <t>MVP Rollout</t>
        </is>
      </c>
      <c r="C5" s="92" t="inlineStr">
        <is>
          <t>ON HOLD</t>
        </is>
      </c>
      <c r="D5" s="92" t="inlineStr">
        <is>
          <t>Low</t>
        </is>
      </c>
      <c r="E5" s="92" t="inlineStr">
        <is>
          <t>Sprint 3</t>
        </is>
      </c>
      <c r="G5" s="92" t="inlineStr">
        <is>
          <t>Release 5B (Hotfix)</t>
        </is>
      </c>
      <c r="H5" s="92" t="inlineStr">
        <is>
          <t>Remo</t>
        </is>
      </c>
      <c r="I5" s="92" t="inlineStr">
        <is>
          <t>B2CW</t>
        </is>
      </c>
      <c r="K5" s="92" t="inlineStr">
        <is>
          <t>Sprint 4</t>
        </is>
      </c>
      <c r="L5" s="92" t="inlineStr">
        <is>
          <t>Q1 Backlog Report 2026</t>
        </is>
      </c>
      <c r="M5" s="92" t="inlineStr">
        <is>
          <t>Mar 23 - Apr 10</t>
        </is>
      </c>
    </row>
    <row r="6" ht="15" customHeight="1" s="93">
      <c r="A6" s="92" t="inlineStr">
        <is>
          <t>Bug</t>
        </is>
      </c>
      <c r="B6" s="92" t="inlineStr">
        <is>
          <t>Cross</t>
        </is>
      </c>
      <c r="C6" s="92" t="inlineStr">
        <is>
          <t>NA</t>
        </is>
      </c>
      <c r="E6" s="92" t="inlineStr">
        <is>
          <t>Sprint 4</t>
        </is>
      </c>
      <c r="G6" s="92" t="inlineStr">
        <is>
          <t>Release 5C</t>
        </is>
      </c>
      <c r="I6" s="92" t="inlineStr">
        <is>
          <t>S&amp;S</t>
        </is>
      </c>
      <c r="K6" s="92" t="inlineStr">
        <is>
          <t>Sprint 5</t>
        </is>
      </c>
      <c r="L6" s="92" t="inlineStr">
        <is>
          <t>Q2 Backlog Report 2026</t>
        </is>
      </c>
      <c r="M6" s="92" t="inlineStr">
        <is>
          <t>Apr 13 - May 8</t>
        </is>
      </c>
    </row>
    <row r="7" ht="15" customHeight="1" s="93">
      <c r="A7" s="92" t="inlineStr">
        <is>
          <t>Tech Task</t>
        </is>
      </c>
      <c r="B7" s="92" t="inlineStr">
        <is>
          <t>PI11</t>
        </is>
      </c>
      <c r="E7" s="92" t="inlineStr">
        <is>
          <t>Sprint 5</t>
        </is>
      </c>
      <c r="G7" s="92" t="inlineStr">
        <is>
          <t>Release 6</t>
        </is>
      </c>
      <c r="I7" s="92" t="inlineStr">
        <is>
          <t>EPAM B2C</t>
        </is>
      </c>
      <c r="K7" s="92" t="inlineStr">
        <is>
          <t>Sprint 6</t>
        </is>
      </c>
      <c r="L7" s="92" t="inlineStr">
        <is>
          <t>Q2 Backlog Report 2026</t>
        </is>
      </c>
      <c r="M7" s="92" t="inlineStr">
        <is>
          <t>May 11 - May 29</t>
        </is>
      </c>
    </row>
    <row r="8" ht="15" customHeight="1" s="93">
      <c r="A8" s="92" t="inlineStr">
        <is>
          <t>Tech Story</t>
        </is>
      </c>
      <c r="B8" s="92" t="inlineStr">
        <is>
          <t>Backlog</t>
        </is>
      </c>
      <c r="E8" s="92" t="inlineStr">
        <is>
          <t>Sprint 6</t>
        </is>
      </c>
      <c r="G8" s="92" t="inlineStr">
        <is>
          <t>Release 7</t>
        </is>
      </c>
      <c r="I8" s="92" t="inlineStr">
        <is>
          <t>CHUB</t>
        </is>
      </c>
      <c r="K8" s="92" t="inlineStr">
        <is>
          <t>Sprint 7</t>
        </is>
      </c>
      <c r="L8" s="92" t="inlineStr">
        <is>
          <t>Q2 Backlog Report 2026</t>
        </is>
      </c>
      <c r="M8" s="92" t="inlineStr">
        <is>
          <t>Jun 1 - Jun 19</t>
        </is>
      </c>
    </row>
    <row r="9" ht="15" customHeight="1" s="93">
      <c r="B9" s="92" t="inlineStr">
        <is>
          <t>Tech Enhancements</t>
        </is>
      </c>
      <c r="E9" s="92" t="inlineStr">
        <is>
          <t>Sprint 7</t>
        </is>
      </c>
      <c r="G9" s="92" t="inlineStr">
        <is>
          <t>Release 7A (Hotfix)</t>
        </is>
      </c>
      <c r="I9" s="92" t="inlineStr">
        <is>
          <t>CRMASIS</t>
        </is>
      </c>
      <c r="K9" s="92" t="inlineStr">
        <is>
          <t>Sprint 8</t>
        </is>
      </c>
      <c r="L9" s="92" t="inlineStr">
        <is>
          <t>Q2 Backlog Report 2026</t>
        </is>
      </c>
      <c r="M9" s="92" t="inlineStr">
        <is>
          <t>Jun 22 - Jul 10</t>
        </is>
      </c>
    </row>
    <row r="10" ht="15" customHeight="1" s="93">
      <c r="B10" s="92" t="inlineStr">
        <is>
          <t>PP</t>
        </is>
      </c>
      <c r="E10" s="92" t="inlineStr">
        <is>
          <t>Sprint 8</t>
        </is>
      </c>
      <c r="G10" s="92" t="inlineStr">
        <is>
          <t>Release 7B (Hotfix)</t>
        </is>
      </c>
      <c r="I10" s="92" t="inlineStr">
        <is>
          <t>M4M</t>
        </is>
      </c>
      <c r="K10" s="92" t="inlineStr">
        <is>
          <t>Sprint 9</t>
        </is>
      </c>
      <c r="L10" s="92" t="inlineStr">
        <is>
          <t>Q3 Backlog Report 2026</t>
        </is>
      </c>
      <c r="M10" s="92" t="inlineStr">
        <is>
          <t>Jul 13 - Jul 31</t>
        </is>
      </c>
    </row>
    <row r="11" ht="15" customHeight="1" s="93">
      <c r="B11" s="92" t="inlineStr">
        <is>
          <t>HR</t>
        </is>
      </c>
      <c r="E11" s="92" t="inlineStr">
        <is>
          <t>Sprint 9</t>
        </is>
      </c>
      <c r="G11" s="92" t="inlineStr">
        <is>
          <t>Release 8</t>
        </is>
      </c>
      <c r="K11" s="92" t="inlineStr">
        <is>
          <t>Sprint 10</t>
        </is>
      </c>
      <c r="L11" s="92" t="inlineStr">
        <is>
          <t>Q3 Backlog Report 2026</t>
        </is>
      </c>
      <c r="M11" s="92" t="inlineStr">
        <is>
          <t>Aug 3 - Aug 21</t>
        </is>
      </c>
    </row>
    <row r="12" ht="15" customHeight="1" s="93">
      <c r="B12" s="92" t="inlineStr">
        <is>
          <t>PI9</t>
        </is>
      </c>
      <c r="E12" s="92" t="inlineStr">
        <is>
          <t>Sprint 10</t>
        </is>
      </c>
      <c r="G12" s="92" t="inlineStr">
        <is>
          <t>Release 9</t>
        </is>
      </c>
      <c r="K12" s="92" t="inlineStr">
        <is>
          <t>Sprint 11</t>
        </is>
      </c>
      <c r="L12" s="92" t="inlineStr">
        <is>
          <t>Q3 Backlog Report 2026</t>
        </is>
      </c>
      <c r="M12" s="92" t="inlineStr">
        <is>
          <t>Aug 24 - Sep 11</t>
        </is>
      </c>
    </row>
    <row r="13" ht="15" customHeight="1" s="93">
      <c r="B13" s="92" t="inlineStr">
        <is>
          <t>PI10</t>
        </is>
      </c>
      <c r="E13" s="92" t="inlineStr">
        <is>
          <t>Sprint 11</t>
        </is>
      </c>
      <c r="G13" s="92" t="inlineStr">
        <is>
          <t>Release 10</t>
        </is>
      </c>
      <c r="K13" s="92" t="inlineStr">
        <is>
          <t>Sprint 12</t>
        </is>
      </c>
      <c r="L13" s="92" t="inlineStr">
        <is>
          <t>Q3 Backlog Report 2026</t>
        </is>
      </c>
      <c r="M13" s="92" t="inlineStr">
        <is>
          <t>Sep 14 - Oct 2</t>
        </is>
      </c>
    </row>
    <row r="14" ht="15" customHeight="1" s="93">
      <c r="B14" s="92" t="inlineStr">
        <is>
          <t>M4M</t>
        </is>
      </c>
      <c r="E14" s="92" t="inlineStr">
        <is>
          <t>Sprint 12</t>
        </is>
      </c>
      <c r="G14" s="92" t="inlineStr">
        <is>
          <t>Release 10A</t>
        </is>
      </c>
      <c r="K14" s="92" t="inlineStr">
        <is>
          <t>Sprint 13</t>
        </is>
      </c>
      <c r="L14" s="92" t="inlineStr">
        <is>
          <t>Q4 Backlog Report 2026</t>
        </is>
      </c>
      <c r="M14" s="92" t="inlineStr">
        <is>
          <t>Oct 5 - Oct 23</t>
        </is>
      </c>
    </row>
    <row r="15" ht="15" customHeight="1" s="93">
      <c r="E15" s="92" t="inlineStr">
        <is>
          <t>Sprint 13</t>
        </is>
      </c>
      <c r="G15" s="92" t="inlineStr">
        <is>
          <t>Release 10B (Hotfix)</t>
        </is>
      </c>
      <c r="K15" s="92" t="inlineStr">
        <is>
          <t>Sprint 14</t>
        </is>
      </c>
      <c r="L15" s="92" t="inlineStr">
        <is>
          <t>Q4 Backlog Report 2026</t>
        </is>
      </c>
      <c r="M15" s="92" t="inlineStr">
        <is>
          <t>Oct 26 - Nov 13</t>
        </is>
      </c>
    </row>
    <row r="16" ht="15" customHeight="1" s="93">
      <c r="E16" s="92" t="inlineStr">
        <is>
          <t>Sprint 14</t>
        </is>
      </c>
      <c r="G16" s="92" t="inlineStr">
        <is>
          <t>Release 10C (Hotfix)</t>
        </is>
      </c>
      <c r="K16" s="92" t="inlineStr">
        <is>
          <t>Sprint 15</t>
        </is>
      </c>
      <c r="L16" s="92" t="inlineStr">
        <is>
          <t>Q4 Backlog Report 2026</t>
        </is>
      </c>
      <c r="M16" s="92" t="inlineStr">
        <is>
          <t>Nov 16 - Dec 4</t>
        </is>
      </c>
    </row>
    <row r="17" ht="15" customHeight="1" s="93">
      <c r="E17" s="92" t="inlineStr">
        <is>
          <t>Sprint 15</t>
        </is>
      </c>
      <c r="G17" s="92" t="inlineStr">
        <is>
          <t>Release 11</t>
        </is>
      </c>
      <c r="K17" s="92" t="inlineStr">
        <is>
          <t>Sprint 16</t>
        </is>
      </c>
      <c r="L17" s="92" t="inlineStr">
        <is>
          <t>Q4 Backlog Report 2026</t>
        </is>
      </c>
      <c r="M17" s="92" t="inlineStr">
        <is>
          <t>Dec 7 - Dec 24</t>
        </is>
      </c>
    </row>
    <row r="18" ht="15" customHeight="1" s="93">
      <c r="E18" s="92" t="inlineStr">
        <is>
          <t>Sprint 16</t>
        </is>
      </c>
      <c r="G18" s="92" t="inlineStr">
        <is>
          <t>Release 11A</t>
        </is>
      </c>
    </row>
    <row r="19" ht="15" customHeight="1" s="93">
      <c r="G19" s="92" t="inlineStr">
        <is>
          <t>Release 12</t>
        </is>
      </c>
    </row>
    <row r="20" ht="15" customHeight="1" s="93">
      <c r="G20" s="92" t="inlineStr">
        <is>
          <t>Release 13</t>
        </is>
      </c>
    </row>
    <row r="21" ht="15" customHeight="1" s="93">
      <c r="G21" s="92" t="inlineStr">
        <is>
          <t>Release 13A (Hotfix)</t>
        </is>
      </c>
    </row>
    <row r="22" ht="15" customHeight="1" s="93">
      <c r="G22" s="92" t="inlineStr">
        <is>
          <t>Release 13B (Hotfix)</t>
        </is>
      </c>
    </row>
    <row r="23" ht="15" customHeight="1" s="93">
      <c r="G23" s="92" t="inlineStr">
        <is>
          <t>Release 13C (Hotfix)</t>
        </is>
      </c>
    </row>
    <row r="24" ht="15" customHeight="1" s="93">
      <c r="G24" s="92" t="inlineStr">
        <is>
          <t>Release 14</t>
        </is>
      </c>
    </row>
    <row r="25" ht="15" customHeight="1" s="93">
      <c r="G25" s="92" t="inlineStr">
        <is>
          <t>Release 14A</t>
        </is>
      </c>
    </row>
    <row r="26" ht="15" customHeight="1" s="93">
      <c r="G26" s="92" t="inlineStr">
        <is>
          <t>Release 15</t>
        </is>
      </c>
    </row>
    <row r="27" ht="15" customHeight="1" s="93">
      <c r="G27" s="92" t="inlineStr">
        <is>
          <t>Release 15A</t>
        </is>
      </c>
    </row>
    <row r="28" ht="15" customHeight="1" s="93">
      <c r="G28" s="92" t="inlineStr">
        <is>
          <t>Release 15B</t>
        </is>
      </c>
    </row>
    <row r="29" ht="15" customHeight="1" s="93">
      <c r="G29" s="92" t="inlineStr">
        <is>
          <t>Release 15C</t>
        </is>
      </c>
    </row>
    <row r="30" ht="15" customHeight="1" s="93">
      <c r="G30" s="92" t="inlineStr">
        <is>
          <t>Release 16</t>
        </is>
      </c>
    </row>
    <row r="31" ht="15" customHeight="1" s="93">
      <c r="G31" s="92" t="inlineStr">
        <is>
          <t>Release 17</t>
        </is>
      </c>
    </row>
    <row r="32" ht="15" customHeight="1" s="93">
      <c r="G32" s="92" t="inlineStr">
        <is>
          <t>Release 18</t>
        </is>
      </c>
    </row>
    <row r="33" ht="15" customHeight="1" s="93">
      <c r="G33" s="92" t="inlineStr">
        <is>
          <t>Release 19</t>
        </is>
      </c>
    </row>
    <row r="34" ht="15" customHeight="1" s="93">
      <c r="G34" s="92" t="inlineStr">
        <is>
          <t>Release 20</t>
        </is>
      </c>
    </row>
    <row r="35" ht="15" customHeight="1" s="93">
      <c r="G35" s="92" t="inlineStr">
        <is>
          <t>Release 21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2026-07-24T14:08:15Z</dcterms:created>
  <dcterms:modified xsi:type="dcterms:W3CDTF">2026-08-25T10:50:44Z</dcterms:modified>
  <cp:lastModifiedBy>Sarah Ann Suda (sarahann.suda@bbscommunity.it)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0x01010005DEC81BA0C66F41833F80158C7ECEE5</vt:lpwstr>
  </property>
  <property name="MediaServiceImageTags" fmtid="{D5CDD505-2E9C-101B-9397-08002B2CF9AE}" pid="3">
    <vt:lpwstr/>
  </property>
</Properties>
</file>