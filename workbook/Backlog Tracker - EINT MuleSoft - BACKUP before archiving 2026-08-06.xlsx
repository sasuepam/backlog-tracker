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0240" yWindow="0" windowWidth="38400" windowHeight="21600" tabRatio="500" firstSheet="0" activeTab="9" autoFilterDateGrouping="1"/>
  </bookViews>
  <sheets>
    <sheet name="README" sheetId="1" state="visible" r:id="rId1"/>
    <sheet name="Backlog" sheetId="2" state="visible" r:id="rId2"/>
    <sheet name="API Design Planning" sheetId="3" state="visible" r:id="rId3"/>
    <sheet name="RTM" sheetId="4" state="visible" r:id="rId4"/>
    <sheet name="Sprint Planning" sheetId="5" state="visible" r:id="rId5"/>
    <sheet name="Roadmap" sheetId="6" state="visible" r:id="rId6"/>
    <sheet name="Release" sheetId="7" state="visible" r:id="rId7"/>
    <sheet name="Q1 Backlog Report 2026" sheetId="8" state="visible" r:id="rId8"/>
    <sheet name="Q2 Backlog Report 2026" sheetId="9" state="visible" r:id="rId9"/>
    <sheet name="Q3 Backlog Report 2026" sheetId="10" state="visible" r:id="rId10"/>
    <sheet name="Q4 Backlog Report 2026" sheetId="11" state="visible" r:id="rId11"/>
    <sheet name="Lists" sheetId="12" state="hidden" r:id="rId12"/>
  </sheets>
  <definedNames>
    <definedName name="ReleaseList">Lists!$G$2:$G$100</definedName>
  </definedNames>
  <calcPr calcId="191029" fullCalcOnLoad="1" iterateDelta="0.0001"/>
</workbook>
</file>

<file path=xl/styles.xml><?xml version="1.0" encoding="utf-8"?>
<styleSheet xmlns="http://schemas.openxmlformats.org/spreadsheetml/2006/main">
  <numFmts count="3">
    <numFmt numFmtId="164" formatCode="yyyy\-mm\-dd"/>
    <numFmt numFmtId="165" formatCode="mm/yy"/>
    <numFmt numFmtId="166" formatCode="mm/dd/yyyy"/>
  </numFmts>
  <fonts count="14">
    <font>
      <name val="Calibri"/>
      <charset val="1"/>
      <family val="2"/>
      <color theme="1"/>
      <sz val="11"/>
    </font>
    <font>
      <name val="Arial"/>
      <charset val="1"/>
      <family val="2"/>
      <b val="1"/>
      <color rgb="FF1F4E78"/>
      <sz val="16"/>
    </font>
    <font>
      <name val="Arial"/>
      <charset val="1"/>
      <family val="2"/>
      <b val="1"/>
      <color rgb="FF000000"/>
      <sz val="10"/>
    </font>
    <font>
      <name val="Arial"/>
      <charset val="1"/>
      <family val="2"/>
      <b val="1"/>
      <color rgb="FF1F4E78"/>
      <sz val="12"/>
    </font>
    <font>
      <name val="Arial"/>
      <charset val="1"/>
      <family val="2"/>
      <color rgb="FF000000"/>
      <sz val="10"/>
    </font>
    <font>
      <name val="Arial"/>
      <charset val="1"/>
      <family val="2"/>
      <sz val="10"/>
    </font>
    <font>
      <name val="Arial"/>
      <charset val="1"/>
      <family val="2"/>
      <i val="1"/>
      <sz val="10"/>
    </font>
    <font>
      <name val="Arial"/>
      <charset val="1"/>
      <family val="2"/>
      <b val="1"/>
      <color rgb="FFFFFFFF"/>
      <sz val="10"/>
    </font>
    <font>
      <name val="Arial"/>
      <charset val="1"/>
      <family val="2"/>
      <color rgb="FFFFFFFF"/>
      <sz val="10"/>
    </font>
    <font>
      <name val="Calibri"/>
      <charset val="1"/>
      <family val="2"/>
      <b val="1"/>
      <color theme="1"/>
      <sz val="11"/>
    </font>
    <font>
      <name val="Cambria"/>
      <charset val="1"/>
      <family val="1"/>
      <b val="1"/>
      <color rgb="FFFFFFFF"/>
      <sz val="11"/>
    </font>
    <font>
      <name val="Arial"/>
      <charset val="1"/>
      <family val="2"/>
      <b val="1"/>
      <sz val="10"/>
    </font>
    <font>
      <name val="Arial"/>
      <charset val="1"/>
      <family val="2"/>
      <b val="1"/>
      <color theme="0"/>
      <sz val="11"/>
    </font>
    <font/>
  </fonts>
  <fills count="10">
    <fill>
      <patternFill/>
    </fill>
    <fill>
      <patternFill patternType="gray125"/>
    </fill>
    <fill>
      <patternFill patternType="solid">
        <fgColor rgb="FFBDD7EE"/>
        <bgColor rgb="FFD9D9D9"/>
      </patternFill>
    </fill>
    <fill>
      <patternFill patternType="solid">
        <fgColor rgb="FFFCE4D6"/>
        <bgColor rgb="FFF8D7DA"/>
      </patternFill>
    </fill>
    <fill>
      <patternFill patternType="solid">
        <fgColor rgb="FFF8D7DA"/>
        <bgColor rgb="FFFCE4D6"/>
      </patternFill>
    </fill>
    <fill>
      <patternFill patternType="solid">
        <fgColor rgb="FFD9D9D9"/>
        <bgColor rgb="FFBDD7EE"/>
      </patternFill>
    </fill>
    <fill>
      <patternFill patternType="solid">
        <fgColor rgb="FFF2F2F2"/>
        <bgColor rgb="FFFFFFFF"/>
      </patternFill>
    </fill>
    <fill>
      <patternFill patternType="solid">
        <fgColor rgb="FFC6E0B4"/>
        <bgColor rgb="FFD9D9D9"/>
      </patternFill>
    </fill>
    <fill>
      <patternFill patternType="solid">
        <fgColor rgb="FF1F4E78"/>
        <bgColor rgb="FF1F497D"/>
      </patternFill>
    </fill>
    <fill>
      <patternFill patternType="solid">
        <fgColor theme="3"/>
        <bgColor rgb="FF1F4E78"/>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auto="1"/>
      </left>
      <right style="thin">
        <color auto="1"/>
      </right>
      <top style="thin">
        <color auto="1"/>
      </top>
      <bottom style="thin">
        <color auto="1"/>
      </bottom>
      <diagonal/>
    </border>
    <border>
      <left style="thin">
        <color rgb="FFD9D9D9"/>
      </left>
      <right/>
      <top style="thin">
        <color rgb="FFD9D9D9"/>
      </top>
      <bottom style="thin">
        <color rgb="FFD9D9D9"/>
      </bottom>
      <diagonal/>
    </border>
    <border>
      <left/>
      <right/>
      <top/>
      <bottom style="medium">
        <color rgb="FF1F4E78"/>
      </bottom>
      <diagonal/>
    </border>
    <border>
      <left/>
      <right style="medium">
        <color auto="1"/>
      </right>
      <top/>
      <bottom/>
      <diagonal/>
    </border>
    <border>
      <left style="medium">
        <color auto="1"/>
      </left>
      <right/>
      <top/>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s>
  <cellStyleXfs count="1">
    <xf numFmtId="0" fontId="0" fillId="0" borderId="0"/>
  </cellStyleXfs>
  <cellXfs count="60">
    <xf numFmtId="0" fontId="0" fillId="0" borderId="0" pivotButton="0" quotePrefix="0" xfId="0"/>
    <xf numFmtId="0" fontId="7" fillId="8" borderId="6" applyAlignment="1" pivotButton="0" quotePrefix="0" xfId="0">
      <alignment horizontal="center"/>
    </xf>
    <xf numFmtId="0" fontId="3" fillId="0" borderId="0" pivotButton="0" quotePrefix="0" xfId="0"/>
    <xf numFmtId="0" fontId="10" fillId="8" borderId="2"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5" fillId="2" borderId="0" pivotButton="0" quotePrefix="0" xfId="0"/>
    <xf numFmtId="0" fontId="5" fillId="3" borderId="0" pivotButton="0" quotePrefix="0" xfId="0"/>
    <xf numFmtId="0" fontId="5" fillId="4" borderId="0" pivotButton="0" quotePrefix="0" xfId="0"/>
    <xf numFmtId="0" fontId="5" fillId="5" borderId="0" pivotButton="0" quotePrefix="0" xfId="0"/>
    <xf numFmtId="0" fontId="5" fillId="6" borderId="0" pivotButton="0" quotePrefix="0" xfId="0"/>
    <xf numFmtId="0" fontId="5" fillId="7" borderId="0" pivotButton="0" quotePrefix="0" xfId="0"/>
    <xf numFmtId="0" fontId="5" fillId="0" borderId="0" pivotButton="0" quotePrefix="0" xfId="0"/>
    <xf numFmtId="0" fontId="6" fillId="0" borderId="0" pivotButton="0" quotePrefix="0" xfId="0"/>
    <xf numFmtId="0" fontId="7" fillId="8" borderId="0" pivotButton="0" quotePrefix="0" xfId="0"/>
    <xf numFmtId="0" fontId="5" fillId="0" borderId="1" applyAlignment="1" pivotButton="0" quotePrefix="0" xfId="0">
      <alignment vertical="top" wrapText="1"/>
    </xf>
    <xf numFmtId="0" fontId="7" fillId="8" borderId="0" applyAlignment="1" pivotButton="0" quotePrefix="0" xfId="0">
      <alignment vertical="center" wrapText="1"/>
    </xf>
    <xf numFmtId="0" fontId="8" fillId="8" borderId="0" applyAlignment="1" pivotButton="0" quotePrefix="0" xfId="0">
      <alignment vertical="center" wrapText="1"/>
    </xf>
    <xf numFmtId="0" fontId="2" fillId="0" borderId="1" pivotButton="0" quotePrefix="0" xfId="0"/>
    <xf numFmtId="0" fontId="2" fillId="0" borderId="1" applyProtection="1" pivotButton="0" quotePrefix="0" xfId="0">
      <protection locked="0" hidden="0"/>
    </xf>
    <xf numFmtId="0" fontId="4" fillId="0" borderId="1" pivotButton="0" quotePrefix="0" xfId="0"/>
    <xf numFmtId="164" fontId="2" fillId="0" borderId="1" applyProtection="1" pivotButton="0" quotePrefix="0" xfId="0">
      <protection locked="0" hidden="0"/>
    </xf>
    <xf numFmtId="165" fontId="2" fillId="0" borderId="1" applyProtection="1" pivotButton="0" quotePrefix="0" xfId="0">
      <protection locked="0" hidden="0"/>
    </xf>
    <xf numFmtId="0" fontId="2" fillId="0" borderId="1" applyAlignment="1" applyProtection="1" pivotButton="0" quotePrefix="0" xfId="0">
      <alignment wrapText="1"/>
      <protection locked="0" hidden="0"/>
    </xf>
    <xf numFmtId="0" fontId="9" fillId="0" borderId="1" pivotButton="0" quotePrefix="0" xfId="0"/>
    <xf numFmtId="0" fontId="9" fillId="0" borderId="1" applyProtection="1" pivotButton="0" quotePrefix="0" xfId="0">
      <protection locked="0" hidden="0"/>
    </xf>
    <xf numFmtId="0" fontId="0" fillId="0" borderId="1" pivotButton="0" quotePrefix="0" xfId="0"/>
    <xf numFmtId="164" fontId="9" fillId="0" borderId="1" applyProtection="1" pivotButton="0" quotePrefix="0" xfId="0">
      <protection locked="0" hidden="0"/>
    </xf>
    <xf numFmtId="0" fontId="2" fillId="0" borderId="0" applyProtection="1" pivotButton="0" quotePrefix="0" xfId="0">
      <protection locked="0" hidden="0"/>
    </xf>
    <xf numFmtId="0" fontId="4" fillId="0" borderId="0" pivotButton="0" quotePrefix="0" xfId="0"/>
    <xf numFmtId="0" fontId="2" fillId="0" borderId="0" pivotButton="0" quotePrefix="0" xfId="0"/>
    <xf numFmtId="164" fontId="2" fillId="0" borderId="0" applyProtection="1" pivotButton="0" quotePrefix="0" xfId="0">
      <protection locked="0" hidden="0"/>
    </xf>
    <xf numFmtId="0" fontId="9" fillId="0" borderId="0" pivotButton="0" quotePrefix="0" xfId="0"/>
    <xf numFmtId="0" fontId="9" fillId="0" borderId="0" applyProtection="1" pivotButton="0" quotePrefix="0" xfId="0">
      <protection locked="0" hidden="0"/>
    </xf>
    <xf numFmtId="164" fontId="9" fillId="0" borderId="0" applyProtection="1" pivotButton="0" quotePrefix="0" xfId="0">
      <protection locked="0" hidden="0"/>
    </xf>
    <xf numFmtId="166" fontId="2" fillId="0" borderId="1" pivotButton="0" quotePrefix="0" xfId="0"/>
    <xf numFmtId="0" fontId="4" fillId="0" borderId="1" applyAlignment="1" pivotButton="0" quotePrefix="0" xfId="0">
      <alignment wrapText="1"/>
    </xf>
    <xf numFmtId="166" fontId="0" fillId="0" borderId="0" pivotButton="0" quotePrefix="0" xfId="0"/>
    <xf numFmtId="0" fontId="0" fillId="0" borderId="0" applyAlignment="1" pivotButton="0" quotePrefix="0" xfId="0">
      <alignment wrapText="1"/>
    </xf>
    <xf numFmtId="0" fontId="7" fillId="8" borderId="0" applyAlignment="1" pivotButton="0" quotePrefix="0" xfId="0">
      <alignment wrapText="1"/>
    </xf>
    <xf numFmtId="0" fontId="2" fillId="0" borderId="1" applyAlignment="1" pivotButton="0" quotePrefix="0" xfId="0">
      <alignment wrapText="1"/>
    </xf>
    <xf numFmtId="0" fontId="2" fillId="0" borderId="0" applyAlignment="1" pivotButton="0" quotePrefix="0" xfId="0">
      <alignment wrapText="1"/>
    </xf>
    <xf numFmtId="0" fontId="4" fillId="0" borderId="3" pivotButton="0" quotePrefix="0" xfId="0"/>
    <xf numFmtId="0" fontId="5" fillId="0" borderId="2" pivotButton="0" quotePrefix="0" xfId="0"/>
    <xf numFmtId="0" fontId="4" fillId="0" borderId="2" pivotButton="0" quotePrefix="0" xfId="0"/>
    <xf numFmtId="0" fontId="3" fillId="0" borderId="0" pivotButton="0" quotePrefix="0" xfId="0"/>
    <xf numFmtId="0" fontId="11" fillId="0" borderId="0" pivotButton="0" quotePrefix="0" xfId="0"/>
    <xf numFmtId="0" fontId="12" fillId="9" borderId="4" pivotButton="0" quotePrefix="0" xfId="0"/>
    <xf numFmtId="0" fontId="12" fillId="9" borderId="4" applyAlignment="1" pivotButton="0" quotePrefix="0" xfId="0">
      <alignment wrapText="1"/>
    </xf>
    <xf numFmtId="0" fontId="7" fillId="0" borderId="0" pivotButton="0" quotePrefix="0" xfId="0"/>
    <xf numFmtId="0" fontId="0" fillId="0" borderId="5" pivotButton="0" quotePrefix="0" xfId="0"/>
    <xf numFmtId="0" fontId="11" fillId="0" borderId="6" pivotButton="0" quotePrefix="0" xfId="0"/>
    <xf numFmtId="0" fontId="4" fillId="0" borderId="6" pivotButton="0" quotePrefix="0" xfId="0"/>
    <xf numFmtId="164" fontId="0" fillId="0" borderId="0" pivotButton="0" quotePrefix="0" xfId="0"/>
    <xf numFmtId="0" fontId="0" fillId="0" borderId="6" pivotButton="0" quotePrefix="0" xfId="0"/>
    <xf numFmtId="0" fontId="0" fillId="0" borderId="9" pivotButton="0" quotePrefix="0" xfId="0"/>
    <xf numFmtId="0" fontId="13" fillId="0" borderId="0" applyAlignment="1" pivotButton="0" quotePrefix="0" xfId="0">
      <alignment vertical="center" wrapText="1"/>
    </xf>
  </cellXfs>
  <cellStyles count="1">
    <cellStyle name="Normal" xfId="0" builtinId="0"/>
  </cellStyles>
  <dxfs count="104">
    <dxf>
      <fill>
        <patternFill>
          <bgColor rgb="FFC6E0B4"/>
        </patternFill>
      </fill>
    </dxf>
    <dxf>
      <fill>
        <patternFill>
          <bgColor rgb="FFF2F2F2"/>
        </patternFill>
      </fill>
    </dxf>
    <dxf>
      <fill>
        <patternFill>
          <bgColor rgb="FFD9D9D9"/>
        </patternFill>
      </fill>
    </dxf>
    <dxf>
      <fill>
        <patternFill>
          <bgColor rgb="FFD9D9D9"/>
        </patternFill>
      </fill>
    </dxf>
    <dxf>
      <fill>
        <patternFill>
          <bgColor rgb="FFF8D7DA"/>
        </patternFill>
      </fill>
    </dxf>
    <dxf>
      <fill>
        <patternFill>
          <bgColor rgb="FFF8D7DA"/>
        </patternFill>
      </fill>
    </dxf>
    <dxf>
      <fill>
        <patternFill>
          <bgColor rgb="FFFCE4D6"/>
        </patternFill>
      </fill>
    </dxf>
    <dxf>
      <fill>
        <patternFill>
          <bgColor rgb="FFBDD7EE"/>
        </patternFill>
      </fill>
    </dxf>
    <dxf>
      <fill>
        <patternFill>
          <bgColor rgb="FFC6E0B4"/>
        </patternFill>
      </fill>
    </dxf>
    <dxf>
      <fill>
        <patternFill>
          <bgColor rgb="FFF2F2F2"/>
        </patternFill>
      </fill>
    </dxf>
    <dxf>
      <fill>
        <patternFill>
          <bgColor rgb="FFD9D9D9"/>
        </patternFill>
      </fill>
    </dxf>
    <dxf>
      <fill>
        <patternFill>
          <bgColor rgb="FFD9D9D9"/>
        </patternFill>
      </fill>
    </dxf>
    <dxf>
      <fill>
        <patternFill>
          <bgColor rgb="FFF8D7DA"/>
        </patternFill>
      </fill>
    </dxf>
    <dxf>
      <fill>
        <patternFill>
          <bgColor rgb="FFF8D7DA"/>
        </patternFill>
      </fill>
    </dxf>
    <dxf>
      <fill>
        <patternFill>
          <bgColor rgb="FFFCE4D6"/>
        </patternFill>
      </fill>
    </dxf>
    <dxf>
      <fill>
        <patternFill>
          <bgColor rgb="FFBDD7EE"/>
        </patternFill>
      </fill>
    </dxf>
    <dxf>
      <fill>
        <patternFill>
          <bgColor rgb="FFC6E0B4"/>
        </patternFill>
      </fill>
    </dxf>
    <dxf>
      <fill>
        <patternFill>
          <bgColor rgb="FFF2F2F2"/>
        </patternFill>
      </fill>
    </dxf>
    <dxf>
      <fill>
        <patternFill>
          <bgColor rgb="FFD9D9D9"/>
        </patternFill>
      </fill>
    </dxf>
    <dxf>
      <fill>
        <patternFill>
          <bgColor rgb="FFD9D9D9"/>
        </patternFill>
      </fill>
    </dxf>
    <dxf>
      <fill>
        <patternFill>
          <bgColor rgb="FFF8D7DA"/>
        </patternFill>
      </fill>
    </dxf>
    <dxf>
      <fill>
        <patternFill>
          <bgColor rgb="FFF8D7DA"/>
        </patternFill>
      </fill>
    </dxf>
    <dxf>
      <fill>
        <patternFill>
          <bgColor rgb="FFFCE4D6"/>
        </patternFill>
      </fill>
    </dxf>
    <dxf>
      <fill>
        <patternFill>
          <bgColor rgb="FFBDD7EE"/>
        </patternFill>
      </fill>
    </dxf>
    <dxf>
      <fill>
        <patternFill>
          <bgColor rgb="FFC6E0B4"/>
        </patternFill>
      </fill>
    </dxf>
    <dxf>
      <fill>
        <patternFill>
          <bgColor rgb="FFF2F2F2"/>
        </patternFill>
      </fill>
    </dxf>
    <dxf>
      <fill>
        <patternFill>
          <bgColor rgb="FFD9D9D9"/>
        </patternFill>
      </fill>
    </dxf>
    <dxf>
      <fill>
        <patternFill>
          <bgColor rgb="FFD9D9D9"/>
        </patternFill>
      </fill>
    </dxf>
    <dxf>
      <fill>
        <patternFill>
          <bgColor rgb="FFF8D7DA"/>
        </patternFill>
      </fill>
    </dxf>
    <dxf>
      <fill>
        <patternFill>
          <bgColor rgb="FFF8D7DA"/>
        </patternFill>
      </fill>
    </dxf>
    <dxf>
      <fill>
        <patternFill>
          <bgColor rgb="FFFCE4D6"/>
        </patternFill>
      </fill>
    </dxf>
    <dxf>
      <fill>
        <patternFill>
          <bgColor rgb="FFBDD7EE"/>
        </patternFill>
      </fill>
    </dxf>
    <dxf>
      <fill>
        <patternFill>
          <bgColor rgb="FFC6E0B4"/>
        </patternFill>
      </fill>
    </dxf>
    <dxf>
      <fill>
        <patternFill>
          <bgColor rgb="FFF2F2F2"/>
        </patternFill>
      </fill>
    </dxf>
    <dxf>
      <fill>
        <patternFill>
          <bgColor rgb="FFD9D9D9"/>
        </patternFill>
      </fill>
    </dxf>
    <dxf>
      <fill>
        <patternFill>
          <bgColor rgb="FFD9D9D9"/>
        </patternFill>
      </fill>
    </dxf>
    <dxf>
      <fill>
        <patternFill>
          <bgColor rgb="FFF8D7DA"/>
        </patternFill>
      </fill>
    </dxf>
    <dxf>
      <fill>
        <patternFill>
          <bgColor rgb="FFF8D7DA"/>
        </patternFill>
      </fill>
    </dxf>
    <dxf>
      <fill>
        <patternFill>
          <bgColor rgb="FFFCE4D6"/>
        </patternFill>
      </fill>
    </dxf>
    <dxf>
      <fill>
        <patternFill>
          <bgColor rgb="FFBDD7EE"/>
        </patternFill>
      </fill>
    </dxf>
    <dxf>
      <fill>
        <patternFill>
          <bgColor rgb="FFC6E0B4"/>
        </patternFill>
      </fill>
    </dxf>
    <dxf>
      <fill>
        <patternFill>
          <bgColor rgb="FFF2F2F2"/>
        </patternFill>
      </fill>
    </dxf>
    <dxf>
      <fill>
        <patternFill>
          <bgColor rgb="FFD9D9D9"/>
        </patternFill>
      </fill>
    </dxf>
    <dxf>
      <fill>
        <patternFill>
          <bgColor rgb="FFD9D9D9"/>
        </patternFill>
      </fill>
    </dxf>
    <dxf>
      <fill>
        <patternFill>
          <bgColor rgb="FFF8D7DA"/>
        </patternFill>
      </fill>
    </dxf>
    <dxf>
      <fill>
        <patternFill>
          <bgColor rgb="FFF8D7DA"/>
        </patternFill>
      </fill>
    </dxf>
    <dxf>
      <fill>
        <patternFill>
          <bgColor rgb="FFFCE4D6"/>
        </patternFill>
      </fill>
    </dxf>
    <dxf>
      <fill>
        <patternFill>
          <bgColor rgb="FFBDD7EE"/>
        </patternFill>
      </fill>
    </dxf>
    <dxf>
      <fill>
        <patternFill>
          <bgColor rgb="FFC6E0B4"/>
        </patternFill>
      </fill>
    </dxf>
    <dxf>
      <fill>
        <patternFill>
          <bgColor rgb="FFF2F2F2"/>
        </patternFill>
      </fill>
    </dxf>
    <dxf>
      <fill>
        <patternFill>
          <bgColor rgb="FFD9D9D9"/>
        </patternFill>
      </fill>
    </dxf>
    <dxf>
      <fill>
        <patternFill>
          <bgColor rgb="FFD9D9D9"/>
        </patternFill>
      </fill>
    </dxf>
    <dxf>
      <fill>
        <patternFill>
          <bgColor rgb="FFF8D7DA"/>
        </patternFill>
      </fill>
    </dxf>
    <dxf>
      <fill>
        <patternFill>
          <bgColor rgb="FFF8D7DA"/>
        </patternFill>
      </fill>
    </dxf>
    <dxf>
      <fill>
        <patternFill>
          <bgColor rgb="FFFCE4D6"/>
        </patternFill>
      </fill>
    </dxf>
    <dxf>
      <fill>
        <patternFill>
          <bgColor rgb="FFBDD7EE"/>
        </patternFill>
      </fill>
    </dxf>
    <dxf>
      <fill>
        <patternFill>
          <bgColor rgb="FFC6E0B4"/>
        </patternFill>
      </fill>
    </dxf>
    <dxf>
      <fill>
        <patternFill>
          <bgColor rgb="FFF2F2F2"/>
        </patternFill>
      </fill>
    </dxf>
    <dxf>
      <fill>
        <patternFill>
          <bgColor rgb="FFD9D9D9"/>
        </patternFill>
      </fill>
    </dxf>
    <dxf>
      <fill>
        <patternFill>
          <bgColor rgb="FFD9D9D9"/>
        </patternFill>
      </fill>
    </dxf>
    <dxf>
      <fill>
        <patternFill>
          <bgColor rgb="FFF8D7DA"/>
        </patternFill>
      </fill>
    </dxf>
    <dxf>
      <fill>
        <patternFill>
          <bgColor rgb="FFF8D7DA"/>
        </patternFill>
      </fill>
    </dxf>
    <dxf>
      <fill>
        <patternFill>
          <bgColor rgb="FFFCE4D6"/>
        </patternFill>
      </fill>
    </dxf>
    <dxf>
      <fill>
        <patternFill>
          <bgColor rgb="FFBDD7EE"/>
        </patternFill>
      </fill>
    </dxf>
    <dxf>
      <fill>
        <patternFill>
          <bgColor rgb="FFC6E0B4"/>
        </patternFill>
      </fill>
    </dxf>
    <dxf>
      <fill>
        <patternFill>
          <bgColor rgb="FFF2F2F2"/>
        </patternFill>
      </fill>
    </dxf>
    <dxf>
      <fill>
        <patternFill>
          <bgColor rgb="FFD9D9D9"/>
        </patternFill>
      </fill>
    </dxf>
    <dxf>
      <fill>
        <patternFill>
          <bgColor rgb="FFD9D9D9"/>
        </patternFill>
      </fill>
    </dxf>
    <dxf>
      <fill>
        <patternFill>
          <bgColor rgb="FFF8D7DA"/>
        </patternFill>
      </fill>
    </dxf>
    <dxf>
      <fill>
        <patternFill>
          <bgColor rgb="FFF8D7DA"/>
        </patternFill>
      </fill>
    </dxf>
    <dxf>
      <fill>
        <patternFill>
          <bgColor rgb="FFFCE4D6"/>
        </patternFill>
      </fill>
    </dxf>
    <dxf>
      <fill>
        <patternFill>
          <bgColor rgb="FFBDD7EE"/>
        </patternFill>
      </fill>
    </dxf>
    <dxf>
      <fill>
        <patternFill>
          <bgColor rgb="FFC6E0B4"/>
        </patternFill>
      </fill>
    </dxf>
    <dxf>
      <fill>
        <patternFill>
          <bgColor rgb="FFF2F2F2"/>
        </patternFill>
      </fill>
    </dxf>
    <dxf>
      <fill>
        <patternFill>
          <bgColor rgb="FFD9D9D9"/>
        </patternFill>
      </fill>
    </dxf>
    <dxf>
      <fill>
        <patternFill>
          <bgColor rgb="FFD9D9D9"/>
        </patternFill>
      </fill>
    </dxf>
    <dxf>
      <fill>
        <patternFill>
          <bgColor rgb="FFF8D7DA"/>
        </patternFill>
      </fill>
    </dxf>
    <dxf>
      <fill>
        <patternFill>
          <bgColor rgb="FFF8D7DA"/>
        </patternFill>
      </fill>
    </dxf>
    <dxf>
      <fill>
        <patternFill>
          <bgColor rgb="FFFCE4D6"/>
        </patternFill>
      </fill>
    </dxf>
    <dxf>
      <fill>
        <patternFill>
          <bgColor rgb="FFBDD7EE"/>
        </patternFill>
      </fill>
    </dxf>
    <dxf>
      <fill>
        <patternFill>
          <bgColor rgb="FFC6E0B4"/>
        </patternFill>
      </fill>
    </dxf>
    <dxf>
      <fill>
        <patternFill>
          <bgColor rgb="FFF2F2F2"/>
        </patternFill>
      </fill>
    </dxf>
    <dxf>
      <fill>
        <patternFill>
          <bgColor rgb="FFD9D9D9"/>
        </patternFill>
      </fill>
    </dxf>
    <dxf>
      <fill>
        <patternFill>
          <bgColor rgb="FFD9D9D9"/>
        </patternFill>
      </fill>
    </dxf>
    <dxf>
      <fill>
        <patternFill>
          <bgColor rgb="FFF8D7DA"/>
        </patternFill>
      </fill>
    </dxf>
    <dxf>
      <fill>
        <patternFill>
          <bgColor rgb="FFF8D7DA"/>
        </patternFill>
      </fill>
    </dxf>
    <dxf>
      <fill>
        <patternFill>
          <bgColor rgb="FFFCE4D6"/>
        </patternFill>
      </fill>
    </dxf>
    <dxf>
      <fill>
        <patternFill>
          <bgColor rgb="FFBDD7EE"/>
        </patternFill>
      </fill>
    </dxf>
    <dxf>
      <fill>
        <patternFill>
          <bgColor rgb="FFC6E0B4"/>
        </patternFill>
      </fill>
    </dxf>
    <dxf>
      <fill>
        <patternFill>
          <bgColor rgb="FFF2F2F2"/>
        </patternFill>
      </fill>
    </dxf>
    <dxf>
      <fill>
        <patternFill>
          <bgColor rgb="FFD9D9D9"/>
        </patternFill>
      </fill>
    </dxf>
    <dxf>
      <fill>
        <patternFill>
          <bgColor rgb="FFBDD7EE"/>
        </patternFill>
      </fill>
    </dxf>
    <dxf>
      <fill>
        <patternFill>
          <bgColor rgb="FFF8D7DA"/>
        </patternFill>
      </fill>
    </dxf>
    <dxf>
      <fill>
        <patternFill>
          <bgColor rgb="FFF8D7DA"/>
        </patternFill>
      </fill>
    </dxf>
    <dxf>
      <fill>
        <patternFill>
          <bgColor rgb="FFFCE4D6"/>
        </patternFill>
      </fill>
    </dxf>
    <dxf>
      <fill>
        <patternFill>
          <bgColor rgb="FFD9D9D9"/>
        </patternFill>
      </fill>
    </dxf>
    <dxf>
      <fill>
        <patternFill>
          <bgColor rgb="FFC6E0B4"/>
        </patternFill>
      </fill>
    </dxf>
    <dxf>
      <fill>
        <patternFill>
          <bgColor rgb="FFF2F2F2"/>
        </patternFill>
      </fill>
    </dxf>
    <dxf>
      <fill>
        <patternFill>
          <bgColor rgb="FFD9D9D9"/>
        </patternFill>
      </fill>
    </dxf>
    <dxf>
      <fill>
        <patternFill>
          <bgColor rgb="FFD9D9D9"/>
        </patternFill>
      </fill>
    </dxf>
    <dxf>
      <fill>
        <patternFill>
          <bgColor rgb="FFF8D7DA"/>
        </patternFill>
      </fill>
    </dxf>
    <dxf>
      <fill>
        <patternFill>
          <bgColor rgb="FFF8D7DA"/>
        </patternFill>
      </fill>
    </dxf>
    <dxf>
      <fill>
        <patternFill>
          <bgColor rgb="FFFCE4D6"/>
        </patternFill>
      </fill>
    </dxf>
    <dxf>
      <fill>
        <patternFill>
          <bgColor rgb="FFBDD7E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08080"/>
      <rgbColor rgb="FF9999FF"/>
      <rgbColor rgb="FF993366"/>
      <rgbColor rgb="FFF2F2F2"/>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6E0B4"/>
      <rgbColor rgb="FFFCE4D6"/>
      <rgbColor rgb="FF99CCFF"/>
      <rgbColor rgb="FFFF99CC"/>
      <rgbColor rgb="FFCC99FF"/>
      <rgbColor rgb="FFF8D7DA"/>
      <rgbColor rgb="FF3366FF"/>
      <rgbColor rgb="FF33CCCC"/>
      <rgbColor rgb="FF99CC00"/>
      <rgbColor rgb="FFFFCC00"/>
      <rgbColor rgb="FFFF9900"/>
      <rgbColor rgb="FFFF6600"/>
      <rgbColor rgb="FF666699"/>
      <rgbColor rgb="FF969696"/>
      <rgbColor rgb="FF1F4E78"/>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ables/table1.xml><?xml version="1.0" encoding="utf-8"?>
<table xmlns="http://schemas.openxmlformats.org/spreadsheetml/2006/main" id="1" name="Backlog" displayName="Backlog" ref="A1:P476" headerRowCount="1" totalsRowShown="0">
  <autoFilter ref="A1:P476">
    <filterColumn colId="8" hiddenButton="0" showButton="1">
      <filters>
        <filter val="Sprint 6"/>
      </filters>
    </filterColumn>
  </autoFilter>
  <tableColumns count="16">
    <tableColumn id="1" name="Requirement ID"/>
    <tableColumn id="2" name="Requirement Name"/>
    <tableColumn id="3" name="Type"/>
    <tableColumn id="4" name="Stream"/>
    <tableColumn id="5" name="Stream Owner"/>
    <tableColumn id="6" name="Status"/>
    <tableColumn id="7" name="Priority"/>
    <tableColumn id="8" name="Planned Delivery"/>
    <tableColumn id="9" name="Sprint"/>
    <tableColumn id="10" name="HLE"/>
    <tableColumn id="11" name="Release"/>
    <tableColumn id="12" name="Date Added"/>
    <tableColumn id="13" name="Create Jira Ticket?"/>
    <tableColumn id="14" name="Jira Key"/>
    <tableColumn id="15" name="Jira Link"/>
    <tableColumn id="16" name="ID Number"/>
  </tableColumns>
  <tableStyleInfo showFirstColumn="0" showLastColumn="0" showRowStripes="1" showColumnStripes="0"/>
</table>
</file>

<file path=xl/tables/table2.xml><?xml version="1.0" encoding="utf-8"?>
<table xmlns="http://schemas.openxmlformats.org/spreadsheetml/2006/main" id="2" name="APIDesignPlanning" displayName="APIDesignPlanning" ref="A1:L242" headerRowCount="1" totalsRowShown="0">
  <autoFilter ref="A1:L242"/>
  <tableColumns count="12">
    <tableColumn id="1" name="Requirement ID"/>
    <tableColumn id="2" name="Requirement Name"/>
    <tableColumn id="3" name="Stream"/>
    <tableColumn id="4" name="Jira Link"/>
    <tableColumn id="5" name="Status"/>
    <tableColumn id="6" name="Sprint"/>
    <tableColumn id="7" name="RAML Required"/>
    <tableColumn id="8" name="RAML Delivery Date"/>
    <tableColumn id="9" name="Assignee"/>
    <tableColumn id="10" name="Priority"/>
    <tableColumn id="11" name="Design Status"/>
    <tableColumn id="12" name="Handover"/>
  </tableColumns>
  <tableStyleInfo showFirstColumn="0" showLastColumn="0" showRowStripes="1" showColumnStripes="0"/>
</table>
</file>

<file path=xl/tables/table3.xml><?xml version="1.0" encoding="utf-8"?>
<table xmlns="http://schemas.openxmlformats.org/spreadsheetml/2006/main" id="3" name="RTM" displayName="RTM" ref="A1:Q242" headerRowCount="1" totalsRowShown="0">
  <autoFilter ref="A1:Q242"/>
  <tableColumns count="17">
    <tableColumn id="1" name="Requirement ID"/>
    <tableColumn id="2" name="Requirement Name"/>
    <tableColumn id="3" name="Stream"/>
    <tableColumn id="4" name="Stream Owner"/>
    <tableColumn id="5" name="Jira Link"/>
    <tableColumn id="6" name="HLD Completed"/>
    <tableColumn id="7" name="LLD Completed"/>
    <tableColumn id="8" name="Sprint"/>
    <tableColumn id="9" name="Status"/>
    <tableColumn id="10" name="Priority"/>
    <tableColumn id="11" name="Predecessor Stream"/>
    <tableColumn id="12" name="Predecessor Task"/>
    <tableColumn id="13" name="Predecessor Jira Link"/>
    <tableColumn id="14" name="Successor Stream"/>
    <tableColumn id="15" name="Successor Jira Link"/>
    <tableColumn id="16" name="Dependency Status"/>
    <tableColumn id="17" name="Notes"/>
  </tableColumns>
  <tableStyleInfo showFirstColumn="0" showLastColumn="0" showRowStripes="1" showColumnStripes="0"/>
</table>
</file>

<file path=xl/tables/table4.xml><?xml version="1.0" encoding="utf-8"?>
<table xmlns="http://schemas.openxmlformats.org/spreadsheetml/2006/main" id="4" name="SprintPlanning" displayName="SprintPlanning" ref="A1:H242" headerRowCount="1" totalsRowShown="0">
  <autoFilter ref="A1:H242"/>
  <tableColumns count="8">
    <tableColumn id="1" name="Requirement ID"/>
    <tableColumn id="2" name="Requirement Name"/>
    <tableColumn id="3" name="Stream"/>
    <tableColumn id="4" name="Priority"/>
    <tableColumn id="5" name="Status"/>
    <tableColumn id="6" name="Sprint"/>
    <tableColumn id="7" name="HLE"/>
    <tableColumn id="8" name="Sort Key"/>
  </tableColumns>
  <tableStyleInfo showFirstColumn="0" showLastColumn="0" showRowStripes="1" showColumnStripes="0"/>
</table>
</file>

<file path=xl/tables/table5.xml><?xml version="1.0" encoding="utf-8"?>
<table xmlns="http://schemas.openxmlformats.org/spreadsheetml/2006/main" id="5" name="Release" displayName="Release" ref="A1:H186" headerRowCount="1" totalsRowShown="0">
  <autoFilter ref="A1:H186"/>
  <tableColumns count="8">
    <tableColumn id="1" name="Requirement ID"/>
    <tableColumn id="2" name="Requirement Name"/>
    <tableColumn id="3" name="Stream"/>
    <tableColumn id="4" name="Sprint"/>
    <tableColumn id="5" name="Status"/>
    <tableColumn id="6" name="Priority"/>
    <tableColumn id="7" name="Release"/>
    <tableColumn id="8" name="HL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hyperlink" Target="https://smartship.atlassian.net/browse/DTTP25-352" TargetMode="External" Id="rId1" /><Relationship Type="http://schemas.openxmlformats.org/officeDocument/2006/relationships/table" Target="/xl/tables/table3.xml" Id="rId2"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7.xml.rels><Relationships xmlns="http://schemas.openxmlformats.org/package/2006/relationships"><Relationship Type="http://schemas.openxmlformats.org/officeDocument/2006/relationships/table" Target="/xl/tables/table5.xml" Id="rId1" /></Relationships>
</file>

<file path=xl/worksheets/sheet1.xml><?xml version="1.0" encoding="utf-8"?>
<worksheet xmlns="http://schemas.openxmlformats.org/spreadsheetml/2006/main">
  <sheetPr>
    <outlinePr summaryBelow="1" summaryRight="1"/>
    <pageSetUpPr/>
  </sheetPr>
  <dimension ref="B1:E50"/>
  <sheetViews>
    <sheetView showGridLines="0" topLeftCell="A25" zoomScaleNormal="100" workbookViewId="0">
      <selection activeCell="A1" sqref="A1"/>
    </sheetView>
  </sheetViews>
  <sheetFormatPr baseColWidth="10" defaultColWidth="8.6640625" defaultRowHeight="15"/>
  <cols>
    <col width="4" customWidth="1" min="1" max="1"/>
    <col width="100" customWidth="1" min="2" max="2"/>
    <col width="20" customWidth="1" min="3" max="3"/>
    <col width="45" customWidth="1" min="4" max="5"/>
  </cols>
  <sheetData>
    <row r="1" ht="21" customHeight="1">
      <c r="B1" s="4" t="inlineStr">
        <is>
          <t>EINT MuleSoft Backlog Tracker — How This Works</t>
        </is>
      </c>
    </row>
    <row r="3" ht="15" customHeight="1">
      <c r="B3" s="5" t="inlineStr">
        <is>
          <t>Replaces: MuleSoft Team - Planning.xlsx and Requirements Traceability Matrix - EINT Mulesoft 2026.xlsx</t>
        </is>
      </c>
    </row>
    <row r="5" ht="16.5" customHeight="1">
      <c r="B5" s="6" t="inlineStr">
        <is>
          <t>The golden rule: every field has exactly one home.</t>
        </is>
      </c>
    </row>
    <row r="6" ht="55.5" customHeight="1">
      <c r="B6" s="7" t="inlineStr">
        <is>
          <t>Each requirement is one row, tracked by its Requirement ID across every tab below. Each field (Priority, Sprint, Dependencies, Release, etc.) is only ever typed into ONE tab — the tab owned by the role responsible for it. Every other tab shows that same field automatically, pulled live from wherever it was entered. If you change it in its home tab, it updates everywhere else immediately. Nobody should ever need to copy a value between tabs by hand.</t>
        </is>
      </c>
    </row>
    <row r="8" ht="16.5" customHeight="1">
      <c r="B8" s="6" t="inlineStr">
        <is>
          <t>Colour legend</t>
        </is>
      </c>
    </row>
    <row r="9" ht="15" customHeight="1">
      <c r="B9" s="8" t="inlineStr">
        <is>
          <t>Text is plain black everywhere. Row shading instead shows which Stream an item belongs to (applied automatically via conditional formatting, so it updates itself as Stream values change):</t>
        </is>
      </c>
    </row>
    <row r="10" ht="15" customHeight="1">
      <c r="B10" s="9" t="inlineStr">
        <is>
          <t xml:space="preserve">  US</t>
        </is>
      </c>
    </row>
    <row r="11" ht="15" customHeight="1">
      <c r="B11" s="10" t="inlineStr">
        <is>
          <t xml:space="preserve">  MyMSC</t>
        </is>
      </c>
    </row>
    <row r="12" ht="15" customHeight="1">
      <c r="B12" s="11" t="inlineStr">
        <is>
          <t xml:space="preserve">  Rollout / MVP Rollout</t>
        </is>
      </c>
    </row>
    <row r="13" ht="16.5" customHeight="1">
      <c r="B13" s="12" t="inlineStr">
        <is>
          <t xml:space="preserve">  Backlog / Growth</t>
        </is>
      </c>
    </row>
    <row r="14" ht="84" customHeight="1">
      <c r="B14" s="13" t="inlineStr">
        <is>
          <t xml:space="preserve">  Tech Enhancements</t>
        </is>
      </c>
    </row>
    <row r="15" ht="15" customHeight="1">
      <c r="B15" s="14" t="inlineStr">
        <is>
          <t xml:space="preserve">  PI11, PI12, or any other PI-specific stream</t>
        </is>
      </c>
    </row>
    <row r="16" ht="16.5" customHeight="1">
      <c r="B16" s="15" t="inlineStr">
        <is>
          <t xml:space="preserve">  Cross, or any other stream not listed above -- no shading (white/default)</t>
        </is>
      </c>
    </row>
    <row r="17" ht="15" customHeight="1">
      <c r="B17" s="16" t="inlineStr">
        <is>
          <t>Who's allowed to edit which field is documented in the ownership table below, not by colour anymore.</t>
        </is>
      </c>
    </row>
    <row r="18" ht="27.75" customHeight="1"/>
    <row r="19" ht="23.25" customHeight="1">
      <c r="B19" s="6" t="inlineStr">
        <is>
          <t>Requirement ID convention</t>
        </is>
      </c>
    </row>
    <row r="20" ht="27.75" customHeight="1">
      <c r="B20" s="7" t="inlineStr">
        <is>
          <t>Use the Jira key (e.g. INT-171) as the Requirement ID whenever a Jira ticket already exists. Anyone can also add a future item straight to the Backlog tab with no Jira ticket at all — give it a temporary ID in the form NEW-0001, NEW-0002, etc. IMPORTANT: this Requirement ID never changes afterwards, even once a real Jira ticket exists for it — every other tab is joined to this ID, so swapping it would break those links. When the item is ready to become a real Jira ticket, set 'Create Jira Ticket?' to Yes on the Backlog tab; the returned Jira key is written into the separate Jira Key / Jira Link columns alongside the ID, not in place of it.</t>
        </is>
      </c>
    </row>
    <row r="21" ht="15" customHeight="1"/>
    <row r="22" ht="15" customHeight="1">
      <c r="B22" s="6" t="inlineStr">
        <is>
          <t>Tab ownership — who edits what</t>
        </is>
      </c>
    </row>
    <row r="23" ht="27.75" customHeight="1">
      <c r="B23" s="17" t="inlineStr">
        <is>
          <t>Tab</t>
        </is>
      </c>
      <c r="C23" s="17" t="inlineStr">
        <is>
          <t>Owner</t>
        </is>
      </c>
      <c r="D23" s="17" t="inlineStr">
        <is>
          <t>Types here (input)</t>
        </is>
      </c>
      <c r="E23" s="17" t="inlineStr">
        <is>
          <t>Shown automatically (pulled)</t>
        </is>
      </c>
    </row>
    <row r="24" ht="23.25" customHeight="1">
      <c r="B24" s="18" t="inlineStr">
        <is>
          <t>Backlog</t>
        </is>
      </c>
      <c r="C24" s="18" t="inlineStr">
        <is>
          <t>Anyone (entry point)</t>
        </is>
      </c>
      <c r="D24" s="18" t="inlineStr">
        <is>
          <t>Requirement Name, Type, Stream, Status, Date Added, Create Jira Ticket?, Jira Key</t>
        </is>
      </c>
      <c r="E24" s="18" t="inlineStr">
        <is>
          <t>Jira Link, Priority, Sprint, Release</t>
        </is>
      </c>
    </row>
    <row r="25" ht="16.5" customHeight="1">
      <c r="B25" s="18" t="inlineStr">
        <is>
          <t>API Design Planning</t>
        </is>
      </c>
      <c r="C25" s="18" t="inlineStr">
        <is>
          <t>API Design Lead</t>
        </is>
      </c>
      <c r="D25" s="18" t="inlineStr">
        <is>
          <t>RAML Required, RAML Delivery Date, Assignee, Priority, Design Status, Handover</t>
        </is>
      </c>
      <c r="E25" s="18" t="inlineStr">
        <is>
          <t>Requirement Name, Stream, Jira Link, Status, Sprint</t>
        </is>
      </c>
    </row>
    <row r="26" ht="27.75" customHeight="1">
      <c r="B26" s="18" t="inlineStr">
        <is>
          <t>RTM</t>
        </is>
      </c>
      <c r="C26" s="18" t="inlineStr">
        <is>
          <t>BA</t>
        </is>
      </c>
      <c r="D26" s="18" t="inlineStr">
        <is>
          <t>Predecessor, Successor, Dependency Status, Notes</t>
        </is>
      </c>
      <c r="E26" s="18" t="inlineStr">
        <is>
          <t>Requirement Name, Stream, Jira Link, Status, Priority, Sprint</t>
        </is>
      </c>
    </row>
    <row r="27" ht="15" customHeight="1">
      <c r="B27" s="18" t="inlineStr">
        <is>
          <t>Sprint Planning</t>
        </is>
      </c>
      <c r="C27" s="18" t="inlineStr">
        <is>
          <t>BA / PO / SM</t>
        </is>
      </c>
      <c r="D27" s="18" t="inlineStr">
        <is>
          <t>Sprint, HLE</t>
        </is>
      </c>
      <c r="E27" s="18" t="inlineStr">
        <is>
          <t>Requirement Name, Stream, Priority, Status</t>
        </is>
      </c>
    </row>
    <row r="28" ht="15" customHeight="1">
      <c r="B28" s="18" t="inlineStr">
        <is>
          <t>Roadmap</t>
        </is>
      </c>
      <c r="C28" s="18" t="inlineStr">
        <is>
          <t>Nobody — all view</t>
        </is>
      </c>
      <c r="D28" s="18" t="inlineStr">
        <is>
          <t>(fully automatic)</t>
        </is>
      </c>
      <c r="E28" s="18" t="inlineStr">
        <is>
          <t>Stream x Sprint HLE grid</t>
        </is>
      </c>
    </row>
    <row r="29" ht="15" customHeight="1">
      <c r="B29" s="18" t="inlineStr">
        <is>
          <t>Release</t>
        </is>
      </c>
      <c r="C29" s="18" t="inlineStr">
        <is>
          <t>DM / SM</t>
        </is>
      </c>
      <c r="D29" s="18" t="inlineStr">
        <is>
          <t>Release</t>
        </is>
      </c>
      <c r="E29" s="18" t="inlineStr">
        <is>
          <t>Requirement Name, Stream, Sprint, Status, Priority, HLE</t>
        </is>
      </c>
    </row>
    <row r="30" ht="27.75" customHeight="1"/>
    <row r="31" ht="15" customHeight="1">
      <c r="B31" s="6" t="inlineStr">
        <is>
          <t>Status: template only</t>
        </is>
      </c>
    </row>
    <row r="32" ht="23.25" customHeight="1">
      <c r="B32" s="7" t="inlineStr">
        <is>
          <t>This workbook is currently a clean, empty structure — no data has been migrated yet. Automations planned for later phases are NOT yet wired up:</t>
        </is>
      </c>
    </row>
    <row r="33" ht="15" customHeight="1">
      <c r="B33" s="7" t="inlineStr">
        <is>
          <t xml:space="preserve">  1. Jira (labelled ticket) -&gt; auto-creates a Backlog row with Jira Key/Link filled in.</t>
        </is>
      </c>
    </row>
    <row r="34" ht="15" customHeight="1">
      <c r="B34" s="7" t="inlineStr">
        <is>
          <t xml:space="preserve">  2. Any new Backlog row (Jira-sourced or typed straight in with no Jira ticket) -&gt; auto-creates a Trello card.</t>
        </is>
      </c>
    </row>
    <row r="35" ht="16.5" customHeight="1">
      <c r="B35" s="7" t="inlineStr">
        <is>
          <t xml:space="preserve">  3. Sprint changed for an item -&gt; updates the sprint label on its Trello card.</t>
        </is>
      </c>
    </row>
    <row r="36" ht="42" customHeight="1">
      <c r="B36" s="7" t="inlineStr">
        <is>
          <t xml:space="preserve">  4. 'Create Jira Ticket?' set to Yes on a manually-added row -&gt; creates the Jira issue and writes the key back into Jira Key/Jira Link, then flips the flag to Created.</t>
        </is>
      </c>
    </row>
    <row r="37" ht="15" customHeight="1">
      <c r="B37" s="7" t="inlineStr">
        <is>
          <t xml:space="preserve">  5. Scheduled refresh of the RTM Dependency Status column from the live status of the Predecessor/Successor Jira key.</t>
        </is>
      </c>
    </row>
    <row r="38" ht="16.5" customHeight="1"/>
    <row r="39" ht="42" customHeight="1">
      <c r="B39" s="7" t="inlineStr">
        <is>
          <t>Until these are wired up, fill in Jira Key, Predecessor/Successor, and Dependency Status manually.</t>
        </is>
      </c>
    </row>
    <row r="41" ht="15" customHeight="1">
      <c r="B41" s="6" t="inlineStr">
        <is>
          <t>Sprint Planning sort order</t>
        </is>
      </c>
    </row>
    <row r="42" ht="68.25" customHeight="1">
      <c r="B42" s="7" t="inlineStr">
        <is>
          <t>Sprint Planning is kept sorted ascending by Sprint (lowest in-scope sprint first, unassigned/'To Plan' last), using a hidden 'Sort Key' column (H) that converts the Sprint text to a number. If you add new rows and want to re-sort, select the table and use Data &gt; Sort by column H — don't unhide/delete that column.</t>
        </is>
      </c>
    </row>
    <row r="44" ht="15" customHeight="1">
      <c r="B44" s="6" t="inlineStr">
        <is>
          <t>Release tab population</t>
        </is>
      </c>
    </row>
    <row r="45" ht="57" customHeight="1">
      <c r="B45" s="7" t="inlineStr">
        <is>
          <t>The Release tab lists every item that has a real Sprint assigned in Sprint Planning (not blank/'To Plan') — once an item gets a sprint for the first time, add its Requirement ID to the Release tab so DM/SM can assign it a Release. This mirrors how RTM/Sprint Planning/API Design Planning already work: copy the ID over when the item reaches that stage.</t>
        </is>
      </c>
    </row>
    <row r="47" ht="15" customHeight="1">
      <c r="B47" s="6" t="inlineStr">
        <is>
          <t>Quarterly archive tabs (planned automation)</t>
        </is>
      </c>
    </row>
    <row r="48" ht="68.25" customHeight="1">
      <c r="B48" s="7" t="inlineStr">
        <is>
          <t>When an item's Status is set to Done on the Backlog tab, it should be removed from the 5 working tabs (Backlog, API Design Planning, RTM, Sprint Planning, Release) and its data consolidated into the quarterly archive tab that matches the SPRINT IT WAS DONE IN -- not the date it was archived. E.g. an item done in Sprint 8 goes to 'Q2 Backlog Report 2026', since Sprint 8 falls in Q2. This is automation #6, planned for the same Power Automate rollout as the Jira/Trello automations above: trigger = Status changed to Done on Backlog; action = look up that item's Sprint in the Sprint-&gt;Quarter mapping table (Lists sheet, columns K-M) to find the right quarter tab, copy the row's data there (with a Date Archived stamp), then delete it from all 5 working tabs. Not yet wired up -- until then, Done items simply stay in place across the working tabs.</t>
        </is>
      </c>
    </row>
    <row r="50" ht="34.5" customHeight="1">
      <c r="B50" s="7" t="inlineStr">
        <is>
          <t>The Sprint-&gt;Quarter mapping only covers 2026 right now (Sprint 1-16, Q1-Q4). It will need updating on the Lists sheet every year, since sprint numbering and quarter week boundaries reset annually and a new set of 4 quarterly tabs will need creating for the new year.</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P476"/>
  <sheetViews>
    <sheetView zoomScaleNormal="100" workbookViewId="0">
      <pane ySplit="1" topLeftCell="A112" activePane="bottomLeft" state="frozen"/>
      <selection pane="bottomLeft" activeCell="J116" sqref="J116"/>
    </sheetView>
  </sheetViews>
  <sheetFormatPr baseColWidth="10" defaultColWidth="8.6640625" defaultRowHeight="15"/>
  <cols>
    <col width="16" customWidth="1" min="1" max="1"/>
    <col width="90.33203125" customWidth="1" min="2" max="2"/>
    <col width="12" customWidth="1" min="3" max="4"/>
    <col width="14" customWidth="1" min="5" max="6"/>
    <col width="12" customWidth="1" min="7" max="7"/>
    <col width="16" customWidth="1" min="8" max="8"/>
    <col width="14" customWidth="1" min="9" max="9"/>
    <col width="8" customWidth="1" min="10" max="10"/>
    <col width="14" customWidth="1" min="11" max="11"/>
    <col width="13" customWidth="1" min="12" max="12"/>
    <col width="15" customWidth="1" min="13" max="13"/>
    <col width="14" customWidth="1" min="14" max="14"/>
    <col width="43.5" customWidth="1" min="15" max="15"/>
    <col hidden="1" width="13" customWidth="1" min="16" max="16"/>
  </cols>
  <sheetData>
    <row r="1" ht="30" customHeight="1">
      <c r="A1" s="19" t="inlineStr">
        <is>
          <t>Requirement ID</t>
        </is>
      </c>
      <c r="B1" s="19" t="inlineStr">
        <is>
          <t>Requirement Name</t>
        </is>
      </c>
      <c r="C1" s="19" t="inlineStr">
        <is>
          <t>Type</t>
        </is>
      </c>
      <c r="D1" s="19" t="inlineStr">
        <is>
          <t>Stream</t>
        </is>
      </c>
      <c r="E1" s="19" t="inlineStr">
        <is>
          <t>Stream Owner</t>
        </is>
      </c>
      <c r="F1" s="19" t="inlineStr">
        <is>
          <t>Status</t>
        </is>
      </c>
      <c r="G1" s="19" t="inlineStr">
        <is>
          <t>Priority</t>
        </is>
      </c>
      <c r="H1" s="19" t="inlineStr">
        <is>
          <t>Planned Delivery</t>
        </is>
      </c>
      <c r="I1" s="20" t="inlineStr">
        <is>
          <t>Sprint</t>
        </is>
      </c>
      <c r="J1" s="19" t="inlineStr">
        <is>
          <t>HLE</t>
        </is>
      </c>
      <c r="K1" s="20" t="inlineStr">
        <is>
          <t>Release</t>
        </is>
      </c>
      <c r="L1" s="19" t="inlineStr">
        <is>
          <t>Date Added</t>
        </is>
      </c>
      <c r="M1" s="19" t="inlineStr">
        <is>
          <t>Create Jira Ticket?</t>
        </is>
      </c>
      <c r="N1" s="19" t="inlineStr">
        <is>
          <t>Jira Key</t>
        </is>
      </c>
      <c r="O1" s="20" t="inlineStr">
        <is>
          <t>Jira Link</t>
        </is>
      </c>
      <c r="P1" t="inlineStr">
        <is>
          <t>ID Number</t>
        </is>
      </c>
    </row>
    <row r="2" hidden="1" ht="15" customHeight="1">
      <c r="A2" s="21" t="inlineStr">
        <is>
          <t>NEW-0002</t>
        </is>
      </c>
      <c r="B2" s="22" t="inlineStr">
        <is>
          <t>Whatsapp Subscription (Phase 2)</t>
        </is>
      </c>
      <c r="C2" s="22" t="inlineStr">
        <is>
          <t>CR</t>
        </is>
      </c>
      <c r="D2" s="22" t="inlineStr">
        <is>
          <t>Backlog</t>
        </is>
      </c>
      <c r="E2" s="22" t="inlineStr">
        <is>
          <t>MA</t>
        </is>
      </c>
      <c r="F2" s="22" t="inlineStr">
        <is>
          <t>ON HOLD</t>
        </is>
      </c>
      <c r="G2" s="22" t="inlineStr">
        <is>
          <t>Medium</t>
        </is>
      </c>
      <c r="H2" s="22" t="inlineStr">
        <is>
          <t>Q4 2026</t>
        </is>
      </c>
      <c r="I2" s="23">
        <f>IF($A2="","",IFERROR(IF(ISBLANK(INDEX(SprintPlanning[Sprint],MATCH($A2,SprintPlanning[Requirement ID],0))),"To Plan",INDEX(SprintPlanning[Sprint],MATCH($A2,SprintPlanning[Requirement ID],0))),"To Plan"))</f>
        <v/>
      </c>
      <c r="J2" s="22" t="n"/>
      <c r="K2" s="23">
        <f>IFERROR(IF(ISBLANK(INDEX(Release[Release],MATCH($A2,Release[Requirement ID],0))),"",INDEX(Release[Release],MATCH($A2,Release[Requirement ID],0))),"")</f>
        <v/>
      </c>
      <c r="L2" s="24" t="n">
        <v>46226</v>
      </c>
      <c r="M2" s="22" t="n"/>
      <c r="N2" s="22" t="n"/>
      <c r="O2" s="23">
        <f>IF($N2="","","https://smartship.atlassian.net/browse/"&amp;$N2)</f>
        <v/>
      </c>
      <c r="P2">
        <f>IFERROR(VALUE(MID($A2,5,4)),0)</f>
        <v/>
      </c>
    </row>
    <row r="3" hidden="1" ht="15" customHeight="1">
      <c r="A3" s="21" t="inlineStr">
        <is>
          <t>NEW-0005</t>
        </is>
      </c>
      <c r="B3" s="22" t="inlineStr">
        <is>
          <t>Handling multicabin booking</t>
        </is>
      </c>
      <c r="C3" s="22" t="inlineStr">
        <is>
          <t>CR</t>
        </is>
      </c>
      <c r="D3" s="22" t="inlineStr">
        <is>
          <t>Growth</t>
        </is>
      </c>
      <c r="E3" s="22" t="inlineStr">
        <is>
          <t>B2CW</t>
        </is>
      </c>
      <c r="F3" s="22" t="inlineStr">
        <is>
          <t>NEW</t>
        </is>
      </c>
      <c r="G3" s="22" t="inlineStr">
        <is>
          <t>Medium</t>
        </is>
      </c>
      <c r="H3" s="25" t="inlineStr">
        <is>
          <t>Q4 2026</t>
        </is>
      </c>
      <c r="I3" s="23">
        <f>IF($A3="","",IFERROR(IF(ISBLANK(INDEX(SprintPlanning[Sprint],MATCH($A3,SprintPlanning[Requirement ID],0))),"To Plan",INDEX(SprintPlanning[Sprint],MATCH($A3,SprintPlanning[Requirement ID],0))),"To Plan"))</f>
        <v/>
      </c>
      <c r="J3" s="22" t="n">
        <v>21</v>
      </c>
      <c r="K3" s="23">
        <f>IFERROR(IF(ISBLANK(INDEX(Release[Release],MATCH($A3,Release[Requirement ID],0))),"",INDEX(Release[Release],MATCH($A3,Release[Requirement ID],0))),"")</f>
        <v/>
      </c>
      <c r="L3" s="24" t="n">
        <v>46226</v>
      </c>
      <c r="M3" s="22" t="n"/>
      <c r="N3" s="22" t="n"/>
      <c r="O3" s="23">
        <f>IF($N3="","","https://smartship.atlassian.net/browse/"&amp;$N3)</f>
        <v/>
      </c>
      <c r="P3">
        <f>IFERROR(VALUE(MID($A3,5,4)),0)</f>
        <v/>
      </c>
    </row>
    <row r="4" hidden="1" ht="15" customHeight="1">
      <c r="A4" s="21" t="inlineStr">
        <is>
          <t>NEW-0006</t>
        </is>
      </c>
      <c r="B4" s="22" t="inlineStr">
        <is>
          <t xml:space="preserve">New UWO Interface (decoupling) </t>
        </is>
      </c>
      <c r="C4" s="22" t="inlineStr">
        <is>
          <t>New</t>
        </is>
      </c>
      <c r="D4" s="22" t="inlineStr">
        <is>
          <t>Growth</t>
        </is>
      </c>
      <c r="E4" s="22" t="inlineStr">
        <is>
          <t>B2CW</t>
        </is>
      </c>
      <c r="F4" s="22" t="inlineStr">
        <is>
          <t>NEW</t>
        </is>
      </c>
      <c r="G4" s="22" t="inlineStr">
        <is>
          <t>Medium</t>
        </is>
      </c>
      <c r="H4" s="22" t="inlineStr">
        <is>
          <t>Q1 2027</t>
        </is>
      </c>
      <c r="I4" s="23">
        <f>IF($A4="","",IFERROR(IF(ISBLANK(INDEX(SprintPlanning[Sprint],MATCH($A4,SprintPlanning[Requirement ID],0))),"To Plan",INDEX(SprintPlanning[Sprint],MATCH($A4,SprintPlanning[Requirement ID],0))),"To Plan"))</f>
        <v/>
      </c>
      <c r="J4" s="22" t="n">
        <v>3</v>
      </c>
      <c r="K4" s="23">
        <f>IFERROR(IF(ISBLANK(INDEX(Release[Release],MATCH($A4,Release[Requirement ID],0))),"",INDEX(Release[Release],MATCH($A4,Release[Requirement ID],0))),"")</f>
        <v/>
      </c>
      <c r="L4" s="24" t="n">
        <v>46226</v>
      </c>
      <c r="M4" s="22" t="n"/>
      <c r="N4" s="22" t="n"/>
      <c r="O4" s="23">
        <f>IF($N4="","","https://smartship.atlassian.net/browse/"&amp;$N4)</f>
        <v/>
      </c>
      <c r="P4">
        <f>IFERROR(VALUE(MID($A4,5,4)),0)</f>
        <v/>
      </c>
    </row>
    <row r="5" hidden="1" ht="15" customHeight="1">
      <c r="A5" s="21" t="inlineStr">
        <is>
          <t>NEW-0007</t>
        </is>
      </c>
      <c r="B5" s="22" t="inlineStr">
        <is>
          <t>Update Hold option (decoupling)</t>
        </is>
      </c>
      <c r="C5" s="22" t="inlineStr">
        <is>
          <t>CR</t>
        </is>
      </c>
      <c r="D5" s="22" t="inlineStr">
        <is>
          <t>Growth</t>
        </is>
      </c>
      <c r="E5" s="22" t="inlineStr">
        <is>
          <t>B2CW</t>
        </is>
      </c>
      <c r="F5" s="22" t="inlineStr">
        <is>
          <t>NEW</t>
        </is>
      </c>
      <c r="G5" s="22" t="inlineStr">
        <is>
          <t>Medium</t>
        </is>
      </c>
      <c r="H5" s="22" t="inlineStr">
        <is>
          <t>Q1 2027</t>
        </is>
      </c>
      <c r="I5" s="23">
        <f>IF($A5="","",IFERROR(IF(ISBLANK(INDEX(SprintPlanning[Sprint],MATCH($A5,SprintPlanning[Requirement ID],0))),"To Plan",INDEX(SprintPlanning[Sprint],MATCH($A5,SprintPlanning[Requirement ID],0))),"To Plan"))</f>
        <v/>
      </c>
      <c r="J5" s="22" t="n">
        <v>3</v>
      </c>
      <c r="K5" s="23">
        <f>IFERROR(IF(ISBLANK(INDEX(Release[Release],MATCH($A5,Release[Requirement ID],0))),"",INDEX(Release[Release],MATCH($A5,Release[Requirement ID],0))),"")</f>
        <v/>
      </c>
      <c r="L5" s="24" t="n">
        <v>46226</v>
      </c>
      <c r="M5" s="22" t="n"/>
      <c r="N5" s="22" t="n"/>
      <c r="O5" s="23">
        <f>IF($N5="","","https://smartship.atlassian.net/browse/"&amp;$N5)</f>
        <v/>
      </c>
      <c r="P5">
        <f>IFERROR(VALUE(MID($A5,5,4)),0)</f>
        <v/>
      </c>
    </row>
    <row r="6" hidden="1" ht="15" customHeight="1">
      <c r="A6" s="21" t="inlineStr">
        <is>
          <t>NEW-0011</t>
        </is>
      </c>
      <c r="B6" s="22" t="inlineStr">
        <is>
          <t xml:space="preserve">INT 101 - Cabin Selections (Booking Group Management) </t>
        </is>
      </c>
      <c r="C6" s="22" t="inlineStr">
        <is>
          <t>CR</t>
        </is>
      </c>
      <c r="D6" s="22" t="inlineStr">
        <is>
          <t>Growth</t>
        </is>
      </c>
      <c r="E6" s="22" t="inlineStr">
        <is>
          <t>S&amp;S</t>
        </is>
      </c>
      <c r="F6" s="22" t="inlineStr">
        <is>
          <t>NEW</t>
        </is>
      </c>
      <c r="G6" s="22" t="inlineStr">
        <is>
          <t>Medium</t>
        </is>
      </c>
      <c r="H6" s="22" t="inlineStr">
        <is>
          <t>Q4 2026</t>
        </is>
      </c>
      <c r="I6" s="23">
        <f>IF($A6="","",IFERROR(IF(ISBLANK(INDEX(SprintPlanning[Sprint],MATCH($A6,SprintPlanning[Requirement ID],0))),"To Plan",INDEX(SprintPlanning[Sprint],MATCH($A6,SprintPlanning[Requirement ID],0))),"To Plan"))</f>
        <v/>
      </c>
      <c r="J6" s="22" t="n">
        <v>8</v>
      </c>
      <c r="K6" s="23">
        <f>IFERROR(IF(ISBLANK(INDEX(Release[Release],MATCH($A6,Release[Requirement ID],0))),"",INDEX(Release[Release],MATCH($A6,Release[Requirement ID],0))),"")</f>
        <v/>
      </c>
      <c r="L6" s="24" t="n">
        <v>46226</v>
      </c>
      <c r="M6" s="22" t="inlineStr">
        <is>
          <t>Created</t>
        </is>
      </c>
      <c r="N6" s="22" t="inlineStr">
        <is>
          <t>MDTTPU-8135</t>
        </is>
      </c>
      <c r="O6" s="23">
        <f>IF($N6="","","https://smartship.atlassian.net/browse/"&amp;$N6)</f>
        <v/>
      </c>
      <c r="P6">
        <f>IFERROR(VALUE(MID($A6,5,4)),0)</f>
        <v/>
      </c>
    </row>
    <row r="7" hidden="1" ht="15" customHeight="1">
      <c r="A7" s="21" t="inlineStr">
        <is>
          <t>NEW-0016</t>
        </is>
      </c>
      <c r="B7" s="22" t="inlineStr">
        <is>
          <t xml:space="preserve">myMSC Add USA Market Configuration - Chain 1/ Chain 2 </t>
        </is>
      </c>
      <c r="C7" s="22" t="inlineStr">
        <is>
          <t>Config</t>
        </is>
      </c>
      <c r="D7" s="22" t="inlineStr">
        <is>
          <t>US</t>
        </is>
      </c>
      <c r="E7" s="22" t="inlineStr">
        <is>
          <t>B2CW</t>
        </is>
      </c>
      <c r="F7" s="22" t="inlineStr">
        <is>
          <t>NEW</t>
        </is>
      </c>
      <c r="G7" s="22" t="inlineStr">
        <is>
          <t>Medium</t>
        </is>
      </c>
      <c r="H7" s="22" t="inlineStr">
        <is>
          <t>Q3 2026</t>
        </is>
      </c>
      <c r="I7" s="23">
        <f>IF($A7="","",IFERROR(IF(ISBLANK(INDEX(SprintPlanning[Sprint],MATCH($A7,SprintPlanning[Requirement ID],0))),"To Plan",INDEX(SprintPlanning[Sprint],MATCH($A7,SprintPlanning[Requirement ID],0))),"To Plan"))</f>
        <v/>
      </c>
      <c r="J7" s="22" t="n">
        <v>8</v>
      </c>
      <c r="K7" s="23">
        <f>IFERROR(IF(ISBLANK(INDEX(Release[Release],MATCH($A7,Release[Requirement ID],0))),"",INDEX(Release[Release],MATCH($A7,Release[Requirement ID],0))),"")</f>
        <v/>
      </c>
      <c r="L7" s="24" t="n">
        <v>46226</v>
      </c>
      <c r="M7" s="22" t="inlineStr">
        <is>
          <t>Created</t>
        </is>
      </c>
      <c r="N7" s="22" t="inlineStr">
        <is>
          <t>MDTTPU-13662</t>
        </is>
      </c>
      <c r="O7" s="23">
        <f>IF($N7="","","https://smartship.atlassian.net/browse/"&amp;$N7)</f>
        <v/>
      </c>
      <c r="P7">
        <f>IFERROR(VALUE(MID($A7,5,4)),0)</f>
        <v/>
      </c>
    </row>
    <row r="8" hidden="1" ht="15" customHeight="1">
      <c r="A8" s="21" t="inlineStr">
        <is>
          <t>NEW-0017</t>
        </is>
      </c>
      <c r="B8" s="22" t="inlineStr">
        <is>
          <t>ARG Payment provider Pagtur</t>
        </is>
      </c>
      <c r="C8" s="22" t="inlineStr">
        <is>
          <t>New</t>
        </is>
      </c>
      <c r="D8" s="22" t="inlineStr">
        <is>
          <t>MVP Rollout</t>
        </is>
      </c>
      <c r="E8" s="22" t="inlineStr">
        <is>
          <t>B2CW</t>
        </is>
      </c>
      <c r="F8" s="22" t="inlineStr">
        <is>
          <t>NEW</t>
        </is>
      </c>
      <c r="G8" s="22" t="inlineStr">
        <is>
          <t>Medium</t>
        </is>
      </c>
      <c r="H8" s="22" t="inlineStr">
        <is>
          <t>Q1 2027</t>
        </is>
      </c>
      <c r="I8" s="23">
        <f>IF($A8="","",IFERROR(IF(ISBLANK(INDEX(SprintPlanning[Sprint],MATCH($A8,SprintPlanning[Requirement ID],0))),"To Plan",INDEX(SprintPlanning[Sprint],MATCH($A8,SprintPlanning[Requirement ID],0))),"To Plan"))</f>
        <v/>
      </c>
      <c r="J8" s="22" t="n">
        <v>40</v>
      </c>
      <c r="K8" s="23">
        <f>IFERROR(IF(ISBLANK(INDEX(Release[Release],MATCH($A8,Release[Requirement ID],0))),"",INDEX(Release[Release],MATCH($A8,Release[Requirement ID],0))),"")</f>
        <v/>
      </c>
      <c r="L8" s="24" t="n">
        <v>46226</v>
      </c>
      <c r="M8" s="22" t="n"/>
      <c r="N8" s="22" t="n"/>
      <c r="O8" s="23">
        <f>IF($N8="","","https://smartship.atlassian.net/browse/"&amp;$N8)</f>
        <v/>
      </c>
      <c r="P8">
        <f>IFERROR(VALUE(MID($A8,5,4)),0)</f>
        <v/>
      </c>
    </row>
    <row r="9" hidden="1" ht="15" customHeight="1">
      <c r="A9" s="21" t="inlineStr">
        <is>
          <t>NEW-0018</t>
        </is>
      </c>
      <c r="B9" s="22" t="inlineStr">
        <is>
          <t>BR Payment providerDireçao</t>
        </is>
      </c>
      <c r="C9" s="22" t="inlineStr">
        <is>
          <t>New</t>
        </is>
      </c>
      <c r="D9" s="22" t="inlineStr">
        <is>
          <t>MVP Rollout</t>
        </is>
      </c>
      <c r="E9" s="22" t="inlineStr">
        <is>
          <t>B2CW</t>
        </is>
      </c>
      <c r="F9" s="22" t="inlineStr">
        <is>
          <t>NEW</t>
        </is>
      </c>
      <c r="G9" s="22" t="inlineStr">
        <is>
          <t>Medium</t>
        </is>
      </c>
      <c r="H9" s="22" t="inlineStr">
        <is>
          <t>Q1 2027</t>
        </is>
      </c>
      <c r="I9" s="23">
        <f>IF($A9="","",IFERROR(IF(ISBLANK(INDEX(SprintPlanning[Sprint],MATCH($A9,SprintPlanning[Requirement ID],0))),"To Plan",INDEX(SprintPlanning[Sprint],MATCH($A9,SprintPlanning[Requirement ID],0))),"To Plan"))</f>
        <v/>
      </c>
      <c r="J9" s="22" t="n">
        <v>40</v>
      </c>
      <c r="K9" s="23">
        <f>IFERROR(IF(ISBLANK(INDEX(Release[Release],MATCH($A9,Release[Requirement ID],0))),"",INDEX(Release[Release],MATCH($A9,Release[Requirement ID],0))),"")</f>
        <v/>
      </c>
      <c r="L9" s="24" t="n">
        <v>46226</v>
      </c>
      <c r="M9" s="22" t="n"/>
      <c r="N9" s="22" t="n"/>
      <c r="O9" s="23">
        <f>IF($N9="","","https://smartship.atlassian.net/browse/"&amp;$N9)</f>
        <v/>
      </c>
      <c r="P9">
        <f>IFERROR(VALUE(MID($A9,5,4)),0)</f>
        <v/>
      </c>
    </row>
    <row r="10" hidden="1" ht="15" customHeight="1">
      <c r="A10" s="21" t="inlineStr">
        <is>
          <t>NEW-0020</t>
        </is>
      </c>
      <c r="B10" s="22" t="inlineStr">
        <is>
          <t xml:space="preserve">MyMSC Spa </t>
        </is>
      </c>
      <c r="C10" s="22" t="inlineStr">
        <is>
          <t>New</t>
        </is>
      </c>
      <c r="D10" s="22" t="inlineStr">
        <is>
          <t>MyMSC</t>
        </is>
      </c>
      <c r="E10" s="22" t="inlineStr">
        <is>
          <t>B2CW</t>
        </is>
      </c>
      <c r="F10" s="22" t="inlineStr">
        <is>
          <t>NEW</t>
        </is>
      </c>
      <c r="G10" s="22" t="inlineStr">
        <is>
          <t>Medium</t>
        </is>
      </c>
      <c r="H10" s="22" t="n"/>
      <c r="I10" s="23">
        <f>IF($A10="","",IFERROR(IF(ISBLANK(INDEX(SprintPlanning[Sprint],MATCH($A10,SprintPlanning[Requirement ID],0))),"To Plan",INDEX(SprintPlanning[Sprint],MATCH($A10,SprintPlanning[Requirement ID],0))),"To Plan"))</f>
        <v/>
      </c>
      <c r="J10" s="22" t="n">
        <v>20</v>
      </c>
      <c r="K10" s="23">
        <f>IFERROR(IF(ISBLANK(INDEX(Release[Release],MATCH($A10,Release[Requirement ID],0))),"",INDEX(Release[Release],MATCH($A10,Release[Requirement ID],0))),"")</f>
        <v/>
      </c>
      <c r="L10" s="24" t="n">
        <v>46226</v>
      </c>
      <c r="M10" s="22" t="n"/>
      <c r="N10" s="22" t="n"/>
      <c r="O10" s="23">
        <f>IF($N10="","","https://smartship.atlassian.net/browse/"&amp;$N10)</f>
        <v/>
      </c>
      <c r="P10">
        <f>IFERROR(VALUE(MID($A10,5,4)),0)</f>
        <v/>
      </c>
    </row>
    <row r="11" hidden="1" ht="15" customHeight="1">
      <c r="A11" s="21" t="inlineStr">
        <is>
          <t>NEW-0022</t>
        </is>
      </c>
      <c r="B11" s="22" t="inlineStr">
        <is>
          <t>Super Agency Access</t>
        </is>
      </c>
      <c r="C11" s="22" t="inlineStr">
        <is>
          <t>New</t>
        </is>
      </c>
      <c r="D11" s="22" t="inlineStr">
        <is>
          <t>MyMSC</t>
        </is>
      </c>
      <c r="E11" s="22" t="inlineStr">
        <is>
          <t>B2CW</t>
        </is>
      </c>
      <c r="F11" s="22" t="inlineStr">
        <is>
          <t>NEW</t>
        </is>
      </c>
      <c r="G11" s="22" t="inlineStr">
        <is>
          <t>Medium</t>
        </is>
      </c>
      <c r="H11" s="22" t="n"/>
      <c r="I11" s="23">
        <f>IF($A11="","",IFERROR(IF(ISBLANK(INDEX(SprintPlanning[Sprint],MATCH($A11,SprintPlanning[Requirement ID],0))),"To Plan",INDEX(SprintPlanning[Sprint],MATCH($A11,SprintPlanning[Requirement ID],0))),"To Plan"))</f>
        <v/>
      </c>
      <c r="J11" s="22" t="n">
        <v>8</v>
      </c>
      <c r="K11" s="23">
        <f>IFERROR(IF(ISBLANK(INDEX(Release[Release],MATCH($A11,Release[Requirement ID],0))),"",INDEX(Release[Release],MATCH($A11,Release[Requirement ID],0))),"")</f>
        <v/>
      </c>
      <c r="L11" s="24" t="n">
        <v>46226</v>
      </c>
      <c r="M11" s="22" t="n"/>
      <c r="N11" s="22" t="n"/>
      <c r="O11" s="23">
        <f>IF($N11="","","https://smartship.atlassian.net/browse/"&amp;$N11)</f>
        <v/>
      </c>
      <c r="P11">
        <f>IFERROR(VALUE(MID($A11,5,4)),0)</f>
        <v/>
      </c>
    </row>
    <row r="12" hidden="1" ht="15" customHeight="1">
      <c r="A12" s="21" t="inlineStr">
        <is>
          <t>NEW-0033</t>
        </is>
      </c>
      <c r="B12" s="22" t="inlineStr">
        <is>
          <t>Pending Configurations for DACH, MED, LATAM</t>
        </is>
      </c>
      <c r="C12" s="22" t="inlineStr">
        <is>
          <t>Config</t>
        </is>
      </c>
      <c r="D12" s="22" t="inlineStr">
        <is>
          <t>MyMSC</t>
        </is>
      </c>
      <c r="E12" s="22" t="inlineStr">
        <is>
          <t>B2CW</t>
        </is>
      </c>
      <c r="F12" s="22" t="inlineStr">
        <is>
          <t>NEW</t>
        </is>
      </c>
      <c r="G12" s="22" t="inlineStr">
        <is>
          <t>Medium</t>
        </is>
      </c>
      <c r="H12" s="22" t="n"/>
      <c r="I12" s="23">
        <f>IF($A12="","",IFERROR(IF(ISBLANK(INDEX(SprintPlanning[Sprint],MATCH($A12,SprintPlanning[Requirement ID],0))),"To Plan",INDEX(SprintPlanning[Sprint],MATCH($A12,SprintPlanning[Requirement ID],0))),"To Plan"))</f>
        <v/>
      </c>
      <c r="J12" s="22" t="n">
        <v>3</v>
      </c>
      <c r="K12" s="23">
        <f>IFERROR(IF(ISBLANK(INDEX(Release[Release],MATCH($A12,Release[Requirement ID],0))),"",INDEX(Release[Release],MATCH($A12,Release[Requirement ID],0))),"")</f>
        <v/>
      </c>
      <c r="L12" s="24" t="n">
        <v>46226</v>
      </c>
      <c r="M12" s="22" t="inlineStr">
        <is>
          <t>Created</t>
        </is>
      </c>
      <c r="N12" s="22" t="inlineStr">
        <is>
          <t>DTTP25-21230</t>
        </is>
      </c>
      <c r="O12" s="23">
        <f>IF($N12="","","https://smartship.atlassian.net/browse/"&amp;$N12)</f>
        <v/>
      </c>
      <c r="P12">
        <f>IFERROR(VALUE(MID($A12,5,4)),0)</f>
        <v/>
      </c>
    </row>
    <row r="13" hidden="1" ht="15" customHeight="1">
      <c r="A13" s="21" t="inlineStr">
        <is>
          <t>NEW-0068</t>
        </is>
      </c>
      <c r="B13" s="22" t="inlineStr">
        <is>
          <t>[EAINT] [CR][INT026][INT133][INT130] Split calls to CMS for excursion/OBS data into chunks</t>
        </is>
      </c>
      <c r="C13" s="22" t="inlineStr">
        <is>
          <t>CR</t>
        </is>
      </c>
      <c r="D13" s="22" t="inlineStr">
        <is>
          <t>MyMSC</t>
        </is>
      </c>
      <c r="E13" s="22" t="inlineStr">
        <is>
          <t>B2CW</t>
        </is>
      </c>
      <c r="F13" s="22" t="inlineStr">
        <is>
          <t>NEW</t>
        </is>
      </c>
      <c r="G13" s="22" t="inlineStr">
        <is>
          <t>Medium</t>
        </is>
      </c>
      <c r="H13" s="22" t="n"/>
      <c r="I13" s="23">
        <f>IF($A13="","",IFERROR(IF(ISBLANK(INDEX(SprintPlanning[Sprint],MATCH($A13,SprintPlanning[Requirement ID],0))),"To Plan",INDEX(SprintPlanning[Sprint],MATCH($A13,SprintPlanning[Requirement ID],0))),"To Plan"))</f>
        <v/>
      </c>
      <c r="J13" s="22" t="n">
        <v>8</v>
      </c>
      <c r="K13" s="23">
        <f>IFERROR(IF(ISBLANK(INDEX(Release[Release],MATCH($A13,Release[Requirement ID],0))),"",INDEX(Release[Release],MATCH($A13,Release[Requirement ID],0))),"")</f>
        <v/>
      </c>
      <c r="L13" s="24" t="n">
        <v>46226</v>
      </c>
      <c r="M13" s="22" t="n"/>
      <c r="N13" s="22" t="n"/>
      <c r="O13" s="23">
        <f>IF($N13="","","https://smartship.atlassian.net/browse/"&amp;$N13)</f>
        <v/>
      </c>
      <c r="P13">
        <f>IFERROR(VALUE(MID($A13,5,4)),0)</f>
        <v/>
      </c>
    </row>
    <row r="14" hidden="1" ht="15" customHeight="1">
      <c r="A14" s="21" t="inlineStr">
        <is>
          <t>NEW-0265</t>
        </is>
      </c>
      <c r="B14" s="22" t="inlineStr">
        <is>
          <t>TLI 99.1</t>
        </is>
      </c>
      <c r="C14" s="22" t="inlineStr">
        <is>
          <t>TBC</t>
        </is>
      </c>
      <c r="D14" s="22" t="inlineStr">
        <is>
          <t>US</t>
        </is>
      </c>
      <c r="E14" s="22" t="inlineStr">
        <is>
          <t>MA</t>
        </is>
      </c>
      <c r="F14" s="22" t="inlineStr">
        <is>
          <t>NA</t>
        </is>
      </c>
      <c r="G14" s="22" t="inlineStr">
        <is>
          <t>Medium</t>
        </is>
      </c>
      <c r="H14" s="22" t="n"/>
      <c r="I14" s="23">
        <f>IF($A14="","",IFERROR(IF(ISBLANK(INDEX(SprintPlanning[Sprint],MATCH($A14,SprintPlanning[Requirement ID],0))),"To Plan",INDEX(SprintPlanning[Sprint],MATCH($A14,SprintPlanning[Requirement ID],0))),"To Plan"))</f>
        <v/>
      </c>
      <c r="J14" s="22" t="n"/>
      <c r="K14" s="23">
        <f>IFERROR(IF(ISBLANK(INDEX(Release[Release],MATCH($A14,Release[Requirement ID],0))),"",INDEX(Release[Release],MATCH($A14,Release[Requirement ID],0))),"")</f>
        <v/>
      </c>
      <c r="L14" s="24" t="n">
        <v>46232</v>
      </c>
      <c r="M14" s="22" t="n"/>
      <c r="N14" s="22" t="n"/>
      <c r="O14" s="23">
        <f>IF($N14="","","https://smartship.atlassian.net/browse/"&amp;$N14)</f>
        <v/>
      </c>
      <c r="P14">
        <f>IFERROR(VALUE(MID($A14,5,4)),0)</f>
        <v/>
      </c>
    </row>
    <row r="15" hidden="1" ht="15" customHeight="1">
      <c r="A15" s="21" t="inlineStr">
        <is>
          <t>NEW-0266</t>
        </is>
      </c>
      <c r="B15" s="22" t="inlineStr">
        <is>
          <t>Campaigns for loyalty program management</t>
        </is>
      </c>
      <c r="C15" s="22" t="inlineStr">
        <is>
          <t>TBC</t>
        </is>
      </c>
      <c r="D15" s="22" t="inlineStr">
        <is>
          <t>US</t>
        </is>
      </c>
      <c r="E15" s="22" t="inlineStr">
        <is>
          <t>MA</t>
        </is>
      </c>
      <c r="F15" s="22" t="inlineStr">
        <is>
          <t>NA</t>
        </is>
      </c>
      <c r="G15" s="22" t="inlineStr">
        <is>
          <t>Medium</t>
        </is>
      </c>
      <c r="H15" s="22" t="n"/>
      <c r="I15" s="23">
        <f>IF($A15="","",IFERROR(IF(ISBLANK(INDEX(SprintPlanning[Sprint],MATCH($A15,SprintPlanning[Requirement ID],0))),"To Plan",INDEX(SprintPlanning[Sprint],MATCH($A15,SprintPlanning[Requirement ID],0))),"To Plan"))</f>
        <v/>
      </c>
      <c r="J15" s="22" t="n"/>
      <c r="K15" s="23">
        <f>IFERROR(IF(ISBLANK(INDEX(Release[Release],MATCH($A15,Release[Requirement ID],0))),"",INDEX(Release[Release],MATCH($A15,Release[Requirement ID],0))),"")</f>
        <v/>
      </c>
      <c r="L15" s="24" t="n">
        <v>46232</v>
      </c>
      <c r="M15" s="22" t="n"/>
      <c r="N15" s="22" t="n"/>
      <c r="O15" s="23">
        <f>IF($N15="","","https://smartship.atlassian.net/browse/"&amp;$N15)</f>
        <v/>
      </c>
      <c r="P15">
        <f>IFERROR(VALUE(MID($A15,5,4)),0)</f>
        <v/>
      </c>
    </row>
    <row r="16" hidden="1" ht="15" customHeight="1">
      <c r="A16" s="21" t="inlineStr">
        <is>
          <t>NEW-0270</t>
        </is>
      </c>
      <c r="B16" s="22" t="inlineStr">
        <is>
          <t>Booking Group Management Cabin Selections</t>
        </is>
      </c>
      <c r="C16" s="22" t="inlineStr">
        <is>
          <t>CR</t>
        </is>
      </c>
      <c r="D16" s="22" t="inlineStr">
        <is>
          <t>US</t>
        </is>
      </c>
      <c r="E16" s="22" t="inlineStr">
        <is>
          <t>B2CW</t>
        </is>
      </c>
      <c r="F16" s="22" t="inlineStr">
        <is>
          <t>NEW</t>
        </is>
      </c>
      <c r="G16" s="22" t="inlineStr">
        <is>
          <t>Medium</t>
        </is>
      </c>
      <c r="H16" s="22" t="n"/>
      <c r="I16" s="23">
        <f>IF($A16="","",IFERROR(IF(ISBLANK(INDEX(SprintPlanning[Sprint],MATCH($A16,SprintPlanning[Requirement ID],0))),"To Plan",INDEX(SprintPlanning[Sprint],MATCH($A16,SprintPlanning[Requirement ID],0))),"To Plan"))</f>
        <v/>
      </c>
      <c r="J16" s="22" t="n">
        <v>5</v>
      </c>
      <c r="K16" s="23">
        <f>IFERROR(IF(ISBLANK(INDEX(Release[Release],MATCH($A16,Release[Requirement ID],0))),"",INDEX(Release[Release],MATCH($A16,Release[Requirement ID],0))),"")</f>
        <v/>
      </c>
      <c r="L16" s="24" t="n">
        <v>46232</v>
      </c>
      <c r="M16" s="22" t="n"/>
      <c r="N16" s="22" t="n"/>
      <c r="O16" s="23">
        <f>IF($N16="","","https://smartship.atlassian.net/browse/"&amp;$N16)</f>
        <v/>
      </c>
      <c r="P16">
        <f>IFERROR(VALUE(MID($A16,5,4)),0)</f>
        <v/>
      </c>
    </row>
    <row r="17" hidden="1" ht="15" customHeight="1">
      <c r="A17" s="21" t="inlineStr">
        <is>
          <t>NEW-0274</t>
        </is>
      </c>
      <c r="B17" s="22" t="inlineStr">
        <is>
          <t>INT024.2 - Addition of “Disembarkation Date” and “Pay By” fields</t>
        </is>
      </c>
      <c r="C17" s="22" t="inlineStr">
        <is>
          <t>CR</t>
        </is>
      </c>
      <c r="D17" s="22" t="inlineStr">
        <is>
          <t>Growth</t>
        </is>
      </c>
      <c r="E17" s="22" t="inlineStr">
        <is>
          <t>S&amp;S</t>
        </is>
      </c>
      <c r="F17" s="22" t="inlineStr">
        <is>
          <t>NEW</t>
        </is>
      </c>
      <c r="G17" s="22" t="inlineStr">
        <is>
          <t>Medium</t>
        </is>
      </c>
      <c r="H17" s="22" t="n"/>
      <c r="I17" s="23">
        <f>IF($A17="","",IFERROR(IF(ISBLANK(INDEX(SprintPlanning[Sprint],MATCH($A17,SprintPlanning[Requirement ID],0))),"To Plan",INDEX(SprintPlanning[Sprint],MATCH($A17,SprintPlanning[Requirement ID],0))),"To Plan"))</f>
        <v/>
      </c>
      <c r="J17" s="22" t="n">
        <v>3</v>
      </c>
      <c r="K17" s="23">
        <f>IFERROR(IF(ISBLANK(INDEX(Release[Release],MATCH($A17,Release[Requirement ID],0))),"",INDEX(Release[Release],MATCH($A17,Release[Requirement ID],0))),"")</f>
        <v/>
      </c>
      <c r="L17" s="24" t="n">
        <v>46232</v>
      </c>
      <c r="M17" s="22" t="n"/>
      <c r="N17" s="22" t="n"/>
      <c r="O17" s="23">
        <f>IF($N17="","","https://smartship.atlassian.net/browse/"&amp;$N17)</f>
        <v/>
      </c>
      <c r="P17">
        <f>IFERROR(VALUE(MID($A17,5,4)),0)</f>
        <v/>
      </c>
    </row>
    <row r="18" hidden="1" ht="15" customHeight="1">
      <c r="A18" s="21" t="inlineStr">
        <is>
          <t>NEW-0284</t>
        </is>
      </c>
      <c r="B18" s="22" t="inlineStr">
        <is>
          <t>DACH, MED, LATAM Configurations</t>
        </is>
      </c>
      <c r="C18" s="22" t="inlineStr">
        <is>
          <t>CR</t>
        </is>
      </c>
      <c r="D18" s="22" t="inlineStr">
        <is>
          <t>MyMSC</t>
        </is>
      </c>
      <c r="E18" s="22" t="inlineStr">
        <is>
          <t>B2CW</t>
        </is>
      </c>
      <c r="F18" s="22" t="inlineStr">
        <is>
          <t>NEW</t>
        </is>
      </c>
      <c r="G18" s="22" t="inlineStr">
        <is>
          <t>Medium</t>
        </is>
      </c>
      <c r="H18" s="22" t="n"/>
      <c r="I18" s="23">
        <f>IF($A18="","",IFERROR(IF(ISBLANK(INDEX(SprintPlanning[Sprint],MATCH($A18,SprintPlanning[Requirement ID],0))),"To Plan",INDEX(SprintPlanning[Sprint],MATCH($A18,SprintPlanning[Requirement ID],0))),"To Plan"))</f>
        <v/>
      </c>
      <c r="J18" s="22" t="n"/>
      <c r="K18" s="23">
        <f>IFERROR(IF(ISBLANK(INDEX(Release[Release],MATCH($A18,Release[Requirement ID],0))),"",INDEX(Release[Release],MATCH($A18,Release[Requirement ID],0))),"")</f>
        <v/>
      </c>
      <c r="L18" s="24" t="n">
        <v>46232</v>
      </c>
      <c r="M18" s="22" t="n"/>
      <c r="N18" s="22" t="n"/>
      <c r="O18" s="23">
        <f>IF($N18="","","https://smartship.atlassian.net/browse/"&amp;$N18)</f>
        <v/>
      </c>
      <c r="P18">
        <f>IFERROR(VALUE(MID($A18,5,4)),0)</f>
        <v/>
      </c>
    </row>
    <row r="19" hidden="1" ht="15" customHeight="1">
      <c r="A19" s="21" t="inlineStr">
        <is>
          <t>NEW-0288</t>
        </is>
      </c>
      <c r="B19" s="22" t="inlineStr">
        <is>
          <t>Remove of login endpoints from MyMSC EAPI</t>
        </is>
      </c>
      <c r="C19" s="22" t="inlineStr">
        <is>
          <t>Tech Task</t>
        </is>
      </c>
      <c r="D19" s="22" t="inlineStr">
        <is>
          <t>MyMSC</t>
        </is>
      </c>
      <c r="E19" s="22" t="inlineStr">
        <is>
          <t>ALL</t>
        </is>
      </c>
      <c r="F19" s="22" t="inlineStr">
        <is>
          <t>NEW</t>
        </is>
      </c>
      <c r="G19" s="22" t="inlineStr">
        <is>
          <t>Medium</t>
        </is>
      </c>
      <c r="H19" s="22" t="n"/>
      <c r="I19" s="23">
        <f>IF($A19="","",IFERROR(IF(ISBLANK(INDEX(SprintPlanning[Sprint],MATCH($A19,SprintPlanning[Requirement ID],0))),"To Plan",INDEX(SprintPlanning[Sprint],MATCH($A19,SprintPlanning[Requirement ID],0))),"To Plan"))</f>
        <v/>
      </c>
      <c r="J19" s="22" t="n">
        <v>8</v>
      </c>
      <c r="K19" s="23">
        <f>IFERROR(IF(ISBLANK(INDEX(Release[Release],MATCH($A19,Release[Requirement ID],0))),"",INDEX(Release[Release],MATCH($A19,Release[Requirement ID],0))),"")</f>
        <v/>
      </c>
      <c r="L19" s="24" t="n">
        <v>46232</v>
      </c>
      <c r="M19" s="22" t="n"/>
      <c r="N19" s="22" t="n"/>
      <c r="O19" s="23">
        <f>IF($N19="","","https://smartship.atlassian.net/browse/"&amp;$N19)</f>
        <v/>
      </c>
      <c r="P19">
        <f>IFERROR(VALUE(MID($A19,5,4)),0)</f>
        <v/>
      </c>
    </row>
    <row r="20" hidden="1" ht="15" customHeight="1">
      <c r="A20" s="21" t="inlineStr">
        <is>
          <t>NEW-0290</t>
        </is>
      </c>
      <c r="B20" s="22" t="inlineStr">
        <is>
          <t>Bug fix for cabin logic in INT135.1/135.2</t>
        </is>
      </c>
      <c r="C20" s="22" t="inlineStr">
        <is>
          <t>Bug</t>
        </is>
      </c>
      <c r="D20" s="22" t="inlineStr">
        <is>
          <t>MyMSC</t>
        </is>
      </c>
      <c r="E20" s="22" t="inlineStr">
        <is>
          <t>B2CW</t>
        </is>
      </c>
      <c r="F20" s="22" t="inlineStr">
        <is>
          <t>NEW</t>
        </is>
      </c>
      <c r="G20" s="22" t="inlineStr">
        <is>
          <t>Medium</t>
        </is>
      </c>
      <c r="H20" s="22" t="n"/>
      <c r="I20" s="23">
        <f>IF($A20="","",IFERROR(IF(ISBLANK(INDEX(SprintPlanning[Sprint],MATCH($A20,SprintPlanning[Requirement ID],0))),"To Plan",INDEX(SprintPlanning[Sprint],MATCH($A20,SprintPlanning[Requirement ID],0))),"To Plan"))</f>
        <v/>
      </c>
      <c r="J20" s="22" t="n"/>
      <c r="K20" s="23">
        <f>IFERROR(IF(ISBLANK(INDEX(Release[Release],MATCH($A20,Release[Requirement ID],0))),"",INDEX(Release[Release],MATCH($A20,Release[Requirement ID],0))),"")</f>
        <v/>
      </c>
      <c r="L20" s="24" t="n">
        <v>46232</v>
      </c>
      <c r="M20" s="22" t="n"/>
      <c r="N20" s="22" t="n"/>
      <c r="O20" s="23">
        <f>IF($N20="","","https://smartship.atlassian.net/browse/"&amp;$N20)</f>
        <v/>
      </c>
      <c r="P20">
        <f>IFERROR(VALUE(MID($A20,5,4)),0)</f>
        <v/>
      </c>
    </row>
    <row r="21" hidden="1" ht="15" customHeight="1">
      <c r="A21" s="21" t="inlineStr">
        <is>
          <t>NEW-0299</t>
        </is>
      </c>
      <c r="B21" s="22" t="inlineStr">
        <is>
          <t>Spa</t>
        </is>
      </c>
      <c r="C21" s="22" t="inlineStr">
        <is>
          <t>CR</t>
        </is>
      </c>
      <c r="D21" s="22" t="inlineStr">
        <is>
          <t>MyMSC</t>
        </is>
      </c>
      <c r="E21" s="22" t="inlineStr">
        <is>
          <t>B2CW</t>
        </is>
      </c>
      <c r="F21" s="22" t="inlineStr">
        <is>
          <t>NEW</t>
        </is>
      </c>
      <c r="G21" s="22" t="inlineStr">
        <is>
          <t>Medium</t>
        </is>
      </c>
      <c r="H21" s="22" t="n"/>
      <c r="I21" s="23">
        <f>IF($A21="","",IFERROR(IF(ISBLANK(INDEX(SprintPlanning[Sprint],MATCH($A21,SprintPlanning[Requirement ID],0))),"To Plan",INDEX(SprintPlanning[Sprint],MATCH($A21,SprintPlanning[Requirement ID],0))),"To Plan"))</f>
        <v/>
      </c>
      <c r="J21" s="22" t="n">
        <v>33</v>
      </c>
      <c r="K21" s="23">
        <f>IFERROR(IF(ISBLANK(INDEX(Release[Release],MATCH($A21,Release[Requirement ID],0))),"",INDEX(Release[Release],MATCH($A21,Release[Requirement ID],0))),"")</f>
        <v/>
      </c>
      <c r="L21" s="24" t="n">
        <v>46232</v>
      </c>
      <c r="M21" s="22" t="n"/>
      <c r="N21" s="22" t="n"/>
      <c r="O21" s="23">
        <f>IF($N21="","","https://smartship.atlassian.net/browse/"&amp;$N21)</f>
        <v/>
      </c>
      <c r="P21">
        <f>IFERROR(VALUE(MID($A21,5,4)),0)</f>
        <v/>
      </c>
    </row>
    <row r="22" hidden="1" ht="15" customHeight="1">
      <c r="A22" s="21" t="inlineStr">
        <is>
          <t>NEW-0315</t>
        </is>
      </c>
      <c r="B22" s="22" t="inlineStr">
        <is>
          <t>MyMSC CR to handle BKG_001 when booking retrieved</t>
        </is>
      </c>
      <c r="C22" s="22" t="inlineStr">
        <is>
          <t>CR</t>
        </is>
      </c>
      <c r="D22" s="22" t="inlineStr">
        <is>
          <t>MyMSC</t>
        </is>
      </c>
      <c r="E22" s="22" t="inlineStr">
        <is>
          <t>B2CW</t>
        </is>
      </c>
      <c r="F22" s="22" t="inlineStr">
        <is>
          <t>NEW</t>
        </is>
      </c>
      <c r="G22" s="22" t="inlineStr">
        <is>
          <t>Medium</t>
        </is>
      </c>
      <c r="H22" s="22" t="n"/>
      <c r="I22" s="23">
        <f>IF($A22="","",IFERROR(IF(ISBLANK(INDEX(SprintPlanning[Sprint],MATCH($A22,SprintPlanning[Requirement ID],0))),"To Plan",INDEX(SprintPlanning[Sprint],MATCH($A22,SprintPlanning[Requirement ID],0))),"To Plan"))</f>
        <v/>
      </c>
      <c r="J22" s="22" t="n">
        <v>8</v>
      </c>
      <c r="K22" s="23">
        <f>IFERROR(IF(ISBLANK(INDEX(Release[Release],MATCH($A22,Release[Requirement ID],0))),"",INDEX(Release[Release],MATCH($A22,Release[Requirement ID],0))),"")</f>
        <v/>
      </c>
      <c r="L22" s="24" t="n">
        <v>46232</v>
      </c>
      <c r="M22" s="22" t="n"/>
      <c r="N22" s="22" t="n"/>
      <c r="O22" s="23">
        <f>IF($N22="","","https://smartship.atlassian.net/browse/"&amp;$N22)</f>
        <v/>
      </c>
      <c r="P22">
        <f>IFERROR(VALUE(MID($A22,5,4)),0)</f>
        <v/>
      </c>
    </row>
    <row r="23" hidden="1" ht="15" customHeight="1">
      <c r="A23" s="21" t="inlineStr">
        <is>
          <t>NEW-0322</t>
        </is>
      </c>
      <c r="B23" s="22" t="inlineStr">
        <is>
          <t>MyMSC/MA CR for enabling DEM links to light login</t>
        </is>
      </c>
      <c r="C23" s="22" t="inlineStr">
        <is>
          <t>CR</t>
        </is>
      </c>
      <c r="D23" s="22" t="inlineStr">
        <is>
          <t>MyMSC</t>
        </is>
      </c>
      <c r="E23" s="22" t="inlineStr">
        <is>
          <t>B2CW</t>
        </is>
      </c>
      <c r="F23" s="22" t="inlineStr">
        <is>
          <t>NEW</t>
        </is>
      </c>
      <c r="G23" s="22" t="inlineStr">
        <is>
          <t>Medium</t>
        </is>
      </c>
      <c r="H23" s="22" t="n"/>
      <c r="I23" s="23">
        <f>IF($A23="","",IFERROR(IF(ISBLANK(INDEX(SprintPlanning[Sprint],MATCH($A23,SprintPlanning[Requirement ID],0))),"To Plan",INDEX(SprintPlanning[Sprint],MATCH($A23,SprintPlanning[Requirement ID],0))),"To Plan"))</f>
        <v/>
      </c>
      <c r="J23" s="22" t="n">
        <v>13</v>
      </c>
      <c r="K23" s="23">
        <f>IFERROR(IF(ISBLANK(INDEX(Release[Release],MATCH($A23,Release[Requirement ID],0))),"",INDEX(Release[Release],MATCH($A23,Release[Requirement ID],0))),"")</f>
        <v/>
      </c>
      <c r="L23" s="24" t="n">
        <v>46232</v>
      </c>
      <c r="M23" s="22" t="n"/>
      <c r="N23" s="22" t="n"/>
      <c r="O23" s="23">
        <f>IF($N23="","","https://smartship.atlassian.net/browse/"&amp;$N23)</f>
        <v/>
      </c>
      <c r="P23">
        <f>IFERROR(VALUE(MID($A23,5,4)),0)</f>
        <v/>
      </c>
    </row>
    <row r="24" hidden="1" ht="15" customHeight="1">
      <c r="A24" s="21" t="inlineStr">
        <is>
          <t>NEW-0324</t>
        </is>
      </c>
      <c r="B24" s="22" t="inlineStr">
        <is>
          <t>MSC- MyMSC PRE_CRM_002 error scenario change CR to additem</t>
        </is>
      </c>
      <c r="C24" s="22" t="inlineStr">
        <is>
          <t>CR</t>
        </is>
      </c>
      <c r="D24" s="22" t="inlineStr">
        <is>
          <t>MyMSC</t>
        </is>
      </c>
      <c r="E24" s="22" t="inlineStr">
        <is>
          <t>B2CW</t>
        </is>
      </c>
      <c r="F24" s="22" t="inlineStr">
        <is>
          <t>NEW</t>
        </is>
      </c>
      <c r="G24" s="22" t="inlineStr">
        <is>
          <t>Medium</t>
        </is>
      </c>
      <c r="H24" s="22" t="n"/>
      <c r="I24" s="23">
        <f>IF($A24="","",IFERROR(IF(ISBLANK(INDEX(SprintPlanning[Sprint],MATCH($A24,SprintPlanning[Requirement ID],0))),"To Plan",INDEX(SprintPlanning[Sprint],MATCH($A24,SprintPlanning[Requirement ID],0))),"To Plan"))</f>
        <v/>
      </c>
      <c r="J24" s="22" t="n"/>
      <c r="K24" s="23">
        <f>IFERROR(IF(ISBLANK(INDEX(Release[Release],MATCH($A24,Release[Requirement ID],0))),"",INDEX(Release[Release],MATCH($A24,Release[Requirement ID],0))),"")</f>
        <v/>
      </c>
      <c r="L24" s="24" t="n">
        <v>46232</v>
      </c>
      <c r="M24" s="22" t="n"/>
      <c r="N24" s="22" t="n"/>
      <c r="O24" s="23">
        <f>IF($N24="","","https://smartship.atlassian.net/browse/"&amp;$N24)</f>
        <v/>
      </c>
      <c r="P24">
        <f>IFERROR(VALUE(MID($A24,5,4)),0)</f>
        <v/>
      </c>
    </row>
    <row r="25" hidden="1" ht="15" customHeight="1">
      <c r="A25" s="21" t="inlineStr">
        <is>
          <t>NEW-0343</t>
        </is>
      </c>
      <c r="B25" s="22" t="inlineStr">
        <is>
          <t>CDP / DTS Post Booking - CR - Passenger name filter</t>
        </is>
      </c>
      <c r="C25" s="22" t="inlineStr">
        <is>
          <t>CR</t>
        </is>
      </c>
      <c r="D25" s="22" t="inlineStr">
        <is>
          <t>Backlog</t>
        </is>
      </c>
      <c r="E25" s="22" t="inlineStr">
        <is>
          <t>MA</t>
        </is>
      </c>
      <c r="F25" s="22" t="inlineStr">
        <is>
          <t>ON HOLD</t>
        </is>
      </c>
      <c r="G25" s="22" t="inlineStr">
        <is>
          <t>Medium</t>
        </is>
      </c>
      <c r="H25" s="22" t="n"/>
      <c r="I25" s="23">
        <f>IF($A25="","",IFERROR(IF(ISBLANK(INDEX(SprintPlanning[Sprint],MATCH($A25,SprintPlanning[Requirement ID],0))),"To Plan",INDEX(SprintPlanning[Sprint],MATCH($A25,SprintPlanning[Requirement ID],0))),"To Plan"))</f>
        <v/>
      </c>
      <c r="J25" s="22" t="n"/>
      <c r="K25" s="23">
        <f>IFERROR(IF(ISBLANK(INDEX(Release[Release],MATCH($A25,Release[Requirement ID],0))),"",INDEX(Release[Release],MATCH($A25,Release[Requirement ID],0))),"")</f>
        <v/>
      </c>
      <c r="L25" s="24" t="n">
        <v>46232</v>
      </c>
      <c r="M25" s="22" t="n"/>
      <c r="N25" s="22" t="n"/>
      <c r="O25" s="23">
        <f>IF($N25="","","https://smartship.atlassian.net/browse/"&amp;$N25)</f>
        <v/>
      </c>
      <c r="P25">
        <f>IFERROR(VALUE(MID($A25,5,4)),0)</f>
        <v/>
      </c>
    </row>
    <row r="26" hidden="1" ht="15" customHeight="1">
      <c r="A26" s="21" t="inlineStr">
        <is>
          <t>NEW-0344</t>
        </is>
      </c>
      <c r="B26" s="22" t="inlineStr">
        <is>
          <t>CDP / DTS Post Booking - CR  - INT024.1 Improve data quality handling and optimise customer  search</t>
        </is>
      </c>
      <c r="C26" s="22" t="inlineStr">
        <is>
          <t>CR</t>
        </is>
      </c>
      <c r="D26" s="22" t="inlineStr">
        <is>
          <t>Backlog</t>
        </is>
      </c>
      <c r="E26" s="22" t="inlineStr">
        <is>
          <t>MA</t>
        </is>
      </c>
      <c r="F26" s="22" t="inlineStr">
        <is>
          <t>NEW</t>
        </is>
      </c>
      <c r="G26" s="22" t="inlineStr">
        <is>
          <t>Medium</t>
        </is>
      </c>
      <c r="H26" s="22" t="n"/>
      <c r="I26" s="23">
        <f>IF($A26="","",IFERROR(IF(ISBLANK(INDEX(SprintPlanning[Sprint],MATCH($A26,SprintPlanning[Requirement ID],0))),"To Plan",INDEX(SprintPlanning[Sprint],MATCH($A26,SprintPlanning[Requirement ID],0))),"To Plan"))</f>
        <v/>
      </c>
      <c r="J26" s="22" t="n"/>
      <c r="K26" s="23">
        <f>IFERROR(IF(ISBLANK(INDEX(Release[Release],MATCH($A26,Release[Requirement ID],0))),"",INDEX(Release[Release],MATCH($A26,Release[Requirement ID],0))),"")</f>
        <v/>
      </c>
      <c r="L26" s="24" t="n">
        <v>46232</v>
      </c>
      <c r="M26" s="22" t="n"/>
      <c r="N26" s="22" t="n"/>
      <c r="O26" s="23">
        <f>IF($N26="","","https://smartship.atlassian.net/browse/"&amp;$N26)</f>
        <v/>
      </c>
      <c r="P26">
        <f>IFERROR(VALUE(MID($A26,5,4)),0)</f>
        <v/>
      </c>
    </row>
    <row r="27" hidden="1" ht="15" customHeight="1">
      <c r="A27" s="21" t="inlineStr">
        <is>
          <t>NEW-0345</t>
        </is>
      </c>
      <c r="B27" s="22" t="inlineStr">
        <is>
          <t>CDP / DTS Post Booking - CR - INT024.1 Long term Improved data quality handling</t>
        </is>
      </c>
      <c r="C27" s="22" t="inlineStr">
        <is>
          <t>CR</t>
        </is>
      </c>
      <c r="D27" s="22" t="inlineStr">
        <is>
          <t>Backlog</t>
        </is>
      </c>
      <c r="E27" s="22" t="inlineStr">
        <is>
          <t>MA</t>
        </is>
      </c>
      <c r="F27" s="22" t="inlineStr">
        <is>
          <t>NEW</t>
        </is>
      </c>
      <c r="G27" s="22" t="inlineStr">
        <is>
          <t>Medium</t>
        </is>
      </c>
      <c r="H27" s="22" t="n"/>
      <c r="I27" s="23">
        <f>IF($A27="","",IFERROR(IF(ISBLANK(INDEX(SprintPlanning[Sprint],MATCH($A27,SprintPlanning[Requirement ID],0))),"To Plan",INDEX(SprintPlanning[Sprint],MATCH($A27,SprintPlanning[Requirement ID],0))),"To Plan"))</f>
        <v/>
      </c>
      <c r="J27" s="22" t="n"/>
      <c r="K27" s="23">
        <f>IFERROR(IF(ISBLANK(INDEX(Release[Release],MATCH($A27,Release[Requirement ID],0))),"",INDEX(Release[Release],MATCH($A27,Release[Requirement ID],0))),"")</f>
        <v/>
      </c>
      <c r="L27" s="24" t="n">
        <v>46232</v>
      </c>
      <c r="M27" s="22" t="n"/>
      <c r="N27" s="22" t="n"/>
      <c r="O27" s="23">
        <f>IF($N27="","","https://smartship.atlassian.net/browse/"&amp;$N27)</f>
        <v/>
      </c>
      <c r="P27">
        <f>IFERROR(VALUE(MID($A27,5,4)),0)</f>
        <v/>
      </c>
    </row>
    <row r="28" hidden="1" ht="15" customHeight="1">
      <c r="A28" s="21" t="inlineStr">
        <is>
          <t>NEW-0346</t>
        </is>
      </c>
      <c r="B28" s="22" t="inlineStr">
        <is>
          <t>CR - Improved data quality handling optimise customer search page size across other integrations</t>
        </is>
      </c>
      <c r="C28" s="22" t="inlineStr">
        <is>
          <t>CR</t>
        </is>
      </c>
      <c r="D28" s="22" t="inlineStr">
        <is>
          <t>Backlog</t>
        </is>
      </c>
      <c r="E28" s="22" t="inlineStr">
        <is>
          <t>MA</t>
        </is>
      </c>
      <c r="F28" s="22" t="inlineStr">
        <is>
          <t>NEW</t>
        </is>
      </c>
      <c r="G28" s="22" t="inlineStr">
        <is>
          <t>Medium</t>
        </is>
      </c>
      <c r="H28" s="22" t="n"/>
      <c r="I28" s="23">
        <f>IF($A28="","",IFERROR(IF(ISBLANK(INDEX(SprintPlanning[Sprint],MATCH($A28,SprintPlanning[Requirement ID],0))),"To Plan",INDEX(SprintPlanning[Sprint],MATCH($A28,SprintPlanning[Requirement ID],0))),"To Plan"))</f>
        <v/>
      </c>
      <c r="J28" s="22" t="n"/>
      <c r="K28" s="23">
        <f>IFERROR(IF(ISBLANK(INDEX(Release[Release],MATCH($A28,Release[Requirement ID],0))),"",INDEX(Release[Release],MATCH($A28,Release[Requirement ID],0))),"")</f>
        <v/>
      </c>
      <c r="L28" s="24" t="n">
        <v>46232</v>
      </c>
      <c r="M28" s="22" t="n"/>
      <c r="N28" s="22" t="n"/>
      <c r="O28" s="23">
        <f>IF($N28="","","https://smartship.atlassian.net/browse/"&amp;$N28)</f>
        <v/>
      </c>
      <c r="P28">
        <f>IFERROR(VALUE(MID($A28,5,4)),0)</f>
        <v/>
      </c>
    </row>
    <row r="29" hidden="1" ht="15" customHeight="1">
      <c r="A29" s="21" t="inlineStr">
        <is>
          <t>NEW-0356</t>
        </is>
      </c>
      <c r="B29" s="22" t="inlineStr">
        <is>
          <t>MED Insurance - Do not sell any insurance if CoR differ across pax</t>
        </is>
      </c>
      <c r="C29" s="22" t="inlineStr">
        <is>
          <t>CR</t>
        </is>
      </c>
      <c r="D29" s="22" t="inlineStr">
        <is>
          <t>Growth</t>
        </is>
      </c>
      <c r="E29" s="22" t="inlineStr">
        <is>
          <t>B2CW</t>
        </is>
      </c>
      <c r="F29" s="22" t="inlineStr">
        <is>
          <t>ON HOLD</t>
        </is>
      </c>
      <c r="G29" s="22" t="inlineStr">
        <is>
          <t>Medium</t>
        </is>
      </c>
      <c r="H29" s="22" t="n"/>
      <c r="I29" s="23">
        <f>IF($A29="","",IFERROR(IF(ISBLANK(INDEX(SprintPlanning[Sprint],MATCH($A29,SprintPlanning[Requirement ID],0))),"To Plan",INDEX(SprintPlanning[Sprint],MATCH($A29,SprintPlanning[Requirement ID],0))),"To Plan"))</f>
        <v/>
      </c>
      <c r="J29" s="22" t="n">
        <v>8</v>
      </c>
      <c r="K29" s="23">
        <f>IFERROR(IF(ISBLANK(INDEX(Release[Release],MATCH($A29,Release[Requirement ID],0))),"",INDEX(Release[Release],MATCH($A29,Release[Requirement ID],0))),"")</f>
        <v/>
      </c>
      <c r="L29" s="24" t="n">
        <v>46232</v>
      </c>
      <c r="M29" s="22" t="n"/>
      <c r="N29" s="22" t="n"/>
      <c r="O29" s="23">
        <f>IF($N29="","","https://smartship.atlassian.net/browse/"&amp;$N29)</f>
        <v/>
      </c>
      <c r="P29">
        <f>IFERROR(VALUE(MID($A29,5,4)),0)</f>
        <v/>
      </c>
    </row>
    <row r="30" hidden="1" ht="15" customHeight="1">
      <c r="A30" s="21" t="inlineStr">
        <is>
          <t>NEW-0358</t>
        </is>
      </c>
      <c r="B30" s="22" t="inlineStr">
        <is>
          <t>CMS Configuration for Airports in B2CW Booking Funnel</t>
        </is>
      </c>
      <c r="C30" s="22" t="inlineStr">
        <is>
          <t>CR</t>
        </is>
      </c>
      <c r="D30" s="22" t="inlineStr">
        <is>
          <t>Growth</t>
        </is>
      </c>
      <c r="E30" s="22" t="inlineStr">
        <is>
          <t>B2CW</t>
        </is>
      </c>
      <c r="F30" s="22" t="inlineStr">
        <is>
          <t>ON HOLD</t>
        </is>
      </c>
      <c r="G30" s="22" t="inlineStr">
        <is>
          <t>Medium</t>
        </is>
      </c>
      <c r="H30" s="22" t="n"/>
      <c r="I30" s="23">
        <f>IF($A30="","",IFERROR(IF(ISBLANK(INDEX(SprintPlanning[Sprint],MATCH($A30,SprintPlanning[Requirement ID],0))),"To Plan",INDEX(SprintPlanning[Sprint],MATCH($A30,SprintPlanning[Requirement ID],0))),"To Plan"))</f>
        <v/>
      </c>
      <c r="J30" s="22" t="n"/>
      <c r="K30" s="23">
        <f>IFERROR(IF(ISBLANK(INDEX(Release[Release],MATCH($A30,Release[Requirement ID],0))),"",INDEX(Release[Release],MATCH($A30,Release[Requirement ID],0))),"")</f>
        <v/>
      </c>
      <c r="L30" s="24" t="n">
        <v>46232</v>
      </c>
      <c r="M30" s="22" t="n"/>
      <c r="N30" s="22" t="n"/>
      <c r="O30" s="23">
        <f>IF($N30="","","https://smartship.atlassian.net/browse/"&amp;$N30)</f>
        <v/>
      </c>
      <c r="P30">
        <f>IFERROR(VALUE(MID($A30,5,4)),0)</f>
        <v/>
      </c>
    </row>
    <row r="31" hidden="1" ht="15" customHeight="1">
      <c r="A31" s="21" t="inlineStr">
        <is>
          <t>NEW-0360</t>
        </is>
      </c>
      <c r="B31" s="22" t="inlineStr">
        <is>
          <t>Paypal Reconciliation for prepaid</t>
        </is>
      </c>
      <c r="C31" s="22" t="inlineStr">
        <is>
          <t>CR</t>
        </is>
      </c>
      <c r="D31" s="22" t="inlineStr">
        <is>
          <t>Growth</t>
        </is>
      </c>
      <c r="E31" s="22" t="inlineStr">
        <is>
          <t>B2CW</t>
        </is>
      </c>
      <c r="F31" s="22" t="inlineStr">
        <is>
          <t>NEW</t>
        </is>
      </c>
      <c r="G31" s="22" t="inlineStr">
        <is>
          <t>Medium</t>
        </is>
      </c>
      <c r="H31" s="22" t="inlineStr">
        <is>
          <t>Q4 2026</t>
        </is>
      </c>
      <c r="I31" s="23">
        <f>IF($A31="","",IFERROR(IF(ISBLANK(INDEX(SprintPlanning[Sprint],MATCH($A31,SprintPlanning[Requirement ID],0))),"To Plan",INDEX(SprintPlanning[Sprint],MATCH($A31,SprintPlanning[Requirement ID],0))),"To Plan"))</f>
        <v/>
      </c>
      <c r="J31" s="22" t="n">
        <v>5</v>
      </c>
      <c r="K31" s="23">
        <f>IFERROR(IF(ISBLANK(INDEX(Release[Release],MATCH($A31,Release[Requirement ID],0))),"",INDEX(Release[Release],MATCH($A31,Release[Requirement ID],0))),"")</f>
        <v/>
      </c>
      <c r="L31" s="24" t="n">
        <v>46232</v>
      </c>
      <c r="M31" s="22" t="n"/>
      <c r="N31" s="22" t="n"/>
      <c r="O31" s="23">
        <f>IF($N31="","","https://smartship.atlassian.net/browse/"&amp;$N31)</f>
        <v/>
      </c>
      <c r="P31">
        <f>IFERROR(VALUE(MID($A31,5,4)),0)</f>
        <v/>
      </c>
    </row>
    <row r="32" hidden="1" ht="15" customHeight="1">
      <c r="A32" s="21" t="inlineStr">
        <is>
          <t>NEW-0361</t>
        </is>
      </c>
      <c r="B32" s="26" t="inlineStr">
        <is>
          <t>US - adding of fields to Hold option orchestration in call to AJO  -cabincode, embarkation date, cruise area</t>
        </is>
      </c>
      <c r="C32" s="22" t="inlineStr">
        <is>
          <t>CR</t>
        </is>
      </c>
      <c r="D32" s="22" t="inlineStr">
        <is>
          <t>Growth</t>
        </is>
      </c>
      <c r="E32" s="22" t="inlineStr">
        <is>
          <t>MA</t>
        </is>
      </c>
      <c r="F32" s="22" t="inlineStr">
        <is>
          <t>NEW</t>
        </is>
      </c>
      <c r="G32" s="22" t="inlineStr">
        <is>
          <t>Medium</t>
        </is>
      </c>
      <c r="H32" s="22" t="inlineStr">
        <is>
          <t>Q4 2026</t>
        </is>
      </c>
      <c r="I32" s="23">
        <f>IF($A32="","",IFERROR(IF(ISBLANK(INDEX(SprintPlanning[Sprint],MATCH($A32,SprintPlanning[Requirement ID],0))),"To Plan",INDEX(SprintPlanning[Sprint],MATCH($A32,SprintPlanning[Requirement ID],0))),"To Plan"))</f>
        <v/>
      </c>
      <c r="J32" s="22" t="n"/>
      <c r="K32" s="23">
        <f>IFERROR(IF(ISBLANK(INDEX(Release[Release],MATCH($A32,Release[Requirement ID],0))),"",INDEX(Release[Release],MATCH($A32,Release[Requirement ID],0))),"")</f>
        <v/>
      </c>
      <c r="L32" s="24" t="n">
        <v>46232</v>
      </c>
      <c r="M32" s="22" t="n"/>
      <c r="N32" s="22" t="n"/>
      <c r="O32" s="23">
        <f>IF($N32="","","https://smartship.atlassian.net/browse/"&amp;$N32)</f>
        <v/>
      </c>
      <c r="P32">
        <f>IFERROR(VALUE(MID($A32,5,4)),0)</f>
        <v/>
      </c>
    </row>
    <row r="33" hidden="1" ht="15" customHeight="1">
      <c r="A33" s="21" t="inlineStr">
        <is>
          <t>NEW-0362</t>
        </is>
      </c>
      <c r="B33" s="22" t="inlineStr">
        <is>
          <t>US - Known and Unknown management analysis for US (CDP/AJO)</t>
        </is>
      </c>
      <c r="C33" s="22" t="inlineStr">
        <is>
          <t>CR</t>
        </is>
      </c>
      <c r="D33" s="22" t="inlineStr">
        <is>
          <t>Growth</t>
        </is>
      </c>
      <c r="E33" s="22" t="inlineStr">
        <is>
          <t>MA</t>
        </is>
      </c>
      <c r="F33" s="22" t="inlineStr">
        <is>
          <t>NEW</t>
        </is>
      </c>
      <c r="G33" s="22" t="inlineStr">
        <is>
          <t>Medium</t>
        </is>
      </c>
      <c r="H33" s="22" t="inlineStr">
        <is>
          <t>Q4 2026</t>
        </is>
      </c>
      <c r="I33" s="23">
        <f>IF($A33="","",IFERROR(IF(ISBLANK(INDEX(SprintPlanning[Sprint],MATCH($A33,SprintPlanning[Requirement ID],0))),"To Plan",INDEX(SprintPlanning[Sprint],MATCH($A33,SprintPlanning[Requirement ID],0))),"To Plan"))</f>
        <v/>
      </c>
      <c r="J33" s="22" t="n"/>
      <c r="K33" s="23">
        <f>IFERROR(IF(ISBLANK(INDEX(Release[Release],MATCH($A33,Release[Requirement ID],0))),"",INDEX(Release[Release],MATCH($A33,Release[Requirement ID],0))),"")</f>
        <v/>
      </c>
      <c r="L33" s="24" t="n">
        <v>46232</v>
      </c>
      <c r="M33" s="22" t="n"/>
      <c r="N33" s="22" t="n"/>
      <c r="O33" s="23">
        <f>IF($N33="","","https://smartship.atlassian.net/browse/"&amp;$N33)</f>
        <v/>
      </c>
      <c r="P33">
        <f>IFERROR(VALUE(MID($A33,5,4)),0)</f>
        <v/>
      </c>
    </row>
    <row r="34" hidden="1" ht="15" customHeight="1">
      <c r="A34" s="21" t="inlineStr">
        <is>
          <t>NEW-0363</t>
        </is>
      </c>
      <c r="B34" s="22" t="inlineStr">
        <is>
          <t>US - Outbound Leads - Light Login for Leads Moving Option Expiring</t>
        </is>
      </c>
      <c r="C34" s="22" t="inlineStr">
        <is>
          <t>CR</t>
        </is>
      </c>
      <c r="D34" s="22" t="inlineStr">
        <is>
          <t>Growth</t>
        </is>
      </c>
      <c r="E34" s="22" t="inlineStr">
        <is>
          <t>B2CW</t>
        </is>
      </c>
      <c r="F34" s="22" t="inlineStr">
        <is>
          <t>NEW</t>
        </is>
      </c>
      <c r="G34" s="22" t="inlineStr">
        <is>
          <t>Medium</t>
        </is>
      </c>
      <c r="H34" s="22" t="inlineStr">
        <is>
          <t>Q4 2026</t>
        </is>
      </c>
      <c r="I34" s="23">
        <f>IF($A34="","",IFERROR(IF(ISBLANK(INDEX(SprintPlanning[Sprint],MATCH($A34,SprintPlanning[Requirement ID],0))),"To Plan",INDEX(SprintPlanning[Sprint],MATCH($A34,SprintPlanning[Requirement ID],0))),"To Plan"))</f>
        <v/>
      </c>
      <c r="J34" s="22" t="n"/>
      <c r="K34" s="23">
        <f>IFERROR(IF(ISBLANK(INDEX(Release[Release],MATCH($A34,Release[Requirement ID],0))),"",INDEX(Release[Release],MATCH($A34,Release[Requirement ID],0))),"")</f>
        <v/>
      </c>
      <c r="L34" s="24" t="n">
        <v>46232</v>
      </c>
      <c r="M34" s="22" t="n"/>
      <c r="N34" s="22" t="n"/>
      <c r="O34" s="23">
        <f>IF($N34="","","https://smartship.atlassian.net/browse/"&amp;$N34)</f>
        <v/>
      </c>
      <c r="P34">
        <f>IFERROR(VALUE(MID($A34,5,4)),0)</f>
        <v/>
      </c>
    </row>
    <row r="35" hidden="1" ht="15" customHeight="1">
      <c r="A35" s="21" t="inlineStr">
        <is>
          <t>NEW-0364</t>
        </is>
      </c>
      <c r="B35" s="22" t="inlineStr">
        <is>
          <t>B2CW Booking Funnel - TRF and Pricing Structure Assessment – ESP Market</t>
        </is>
      </c>
      <c r="C35" s="22" t="inlineStr">
        <is>
          <t>CR</t>
        </is>
      </c>
      <c r="D35" s="22" t="inlineStr">
        <is>
          <t>Growth</t>
        </is>
      </c>
      <c r="E35" s="22" t="inlineStr">
        <is>
          <t>B2CW</t>
        </is>
      </c>
      <c r="F35" s="22" t="inlineStr">
        <is>
          <t>NEW</t>
        </is>
      </c>
      <c r="G35" s="22" t="inlineStr">
        <is>
          <t>Medium</t>
        </is>
      </c>
      <c r="H35" s="22" t="inlineStr">
        <is>
          <t>Q4 2026</t>
        </is>
      </c>
      <c r="I35" s="23">
        <f>IF($A35="","",IFERROR(IF(ISBLANK(INDEX(SprintPlanning[Sprint],MATCH($A35,SprintPlanning[Requirement ID],0))),"To Plan",INDEX(SprintPlanning[Sprint],MATCH($A35,SprintPlanning[Requirement ID],0))),"To Plan"))</f>
        <v/>
      </c>
      <c r="J35" s="22" t="n"/>
      <c r="K35" s="23">
        <f>IFERROR(IF(ISBLANK(INDEX(Release[Release],MATCH($A35,Release[Requirement ID],0))),"",INDEX(Release[Release],MATCH($A35,Release[Requirement ID],0))),"")</f>
        <v/>
      </c>
      <c r="L35" s="24" t="n">
        <v>46232</v>
      </c>
      <c r="M35" s="22" t="n"/>
      <c r="N35" s="22" t="n"/>
      <c r="O35" s="23">
        <f>IF($N35="","","https://smartship.atlassian.net/browse/"&amp;$N35)</f>
        <v/>
      </c>
      <c r="P35">
        <f>IFERROR(VALUE(MID($A35,5,4)),0)</f>
        <v/>
      </c>
    </row>
    <row r="36" hidden="1" ht="15" customHeight="1">
      <c r="A36" s="21" t="inlineStr">
        <is>
          <t>NEW-0366</t>
        </is>
      </c>
      <c r="B36" s="22" t="inlineStr">
        <is>
          <t>B2CW Accessibility &amp; Medical Webform Business Rules for booking</t>
        </is>
      </c>
      <c r="C36" s="22" t="inlineStr">
        <is>
          <t>CR</t>
        </is>
      </c>
      <c r="D36" s="22" t="inlineStr">
        <is>
          <t>Growth</t>
        </is>
      </c>
      <c r="E36" s="22" t="inlineStr">
        <is>
          <t>B2CW</t>
        </is>
      </c>
      <c r="F36" s="22" t="inlineStr">
        <is>
          <t>NEW</t>
        </is>
      </c>
      <c r="G36" s="22" t="inlineStr">
        <is>
          <t>Medium</t>
        </is>
      </c>
      <c r="H36" s="22" t="inlineStr">
        <is>
          <t>Q4 2026</t>
        </is>
      </c>
      <c r="I36" s="23">
        <f>IF($A36="","",IFERROR(IF(ISBLANK(INDEX(SprintPlanning[Sprint],MATCH($A36,SprintPlanning[Requirement ID],0))),"To Plan",INDEX(SprintPlanning[Sprint],MATCH($A36,SprintPlanning[Requirement ID],0))),"To Plan"))</f>
        <v/>
      </c>
      <c r="J36" s="22" t="n"/>
      <c r="K36" s="23">
        <f>IFERROR(IF(ISBLANK(INDEX(Release[Release],MATCH($A36,Release[Requirement ID],0))),"",INDEX(Release[Release],MATCH($A36,Release[Requirement ID],0))),"")</f>
        <v/>
      </c>
      <c r="L36" s="24" t="n">
        <v>46232</v>
      </c>
      <c r="M36" s="22" t="n"/>
      <c r="N36" s="22" t="n"/>
      <c r="O36" s="23">
        <f>IF($N36="","","https://smartship.atlassian.net/browse/"&amp;$N36)</f>
        <v/>
      </c>
      <c r="P36">
        <f>IFERROR(VALUE(MID($A36,5,4)),0)</f>
        <v/>
      </c>
    </row>
    <row r="37" hidden="1" ht="15" customHeight="1">
      <c r="A37" s="21" t="inlineStr">
        <is>
          <t>NEW-0367</t>
        </is>
      </c>
      <c r="B37" s="22" t="inlineStr">
        <is>
          <t>MyMSC US | Extend JWT expiry</t>
        </is>
      </c>
      <c r="C37" s="22" t="inlineStr">
        <is>
          <t>CR</t>
        </is>
      </c>
      <c r="D37" s="22" t="inlineStr">
        <is>
          <t>Growth</t>
        </is>
      </c>
      <c r="E37" s="22" t="inlineStr">
        <is>
          <t>B2CW</t>
        </is>
      </c>
      <c r="F37" s="22" t="inlineStr">
        <is>
          <t>NEW</t>
        </is>
      </c>
      <c r="G37" s="22" t="inlineStr">
        <is>
          <t>Medium</t>
        </is>
      </c>
      <c r="H37" s="22" t="inlineStr">
        <is>
          <t>Q4 2026</t>
        </is>
      </c>
      <c r="I37" s="23">
        <f>IF($A37="","",IFERROR(IF(ISBLANK(INDEX(SprintPlanning[Sprint],MATCH($A37,SprintPlanning[Requirement ID],0))),"To Plan",INDEX(SprintPlanning[Sprint],MATCH($A37,SprintPlanning[Requirement ID],0))),"To Plan"))</f>
        <v/>
      </c>
      <c r="J37" s="22" t="n">
        <v>5</v>
      </c>
      <c r="K37" s="23">
        <f>IFERROR(IF(ISBLANK(INDEX(Release[Release],MATCH($A37,Release[Requirement ID],0))),"",INDEX(Release[Release],MATCH($A37,Release[Requirement ID],0))),"")</f>
        <v/>
      </c>
      <c r="L37" s="24" t="n">
        <v>46232</v>
      </c>
      <c r="M37" s="22" t="n"/>
      <c r="N37" s="22" t="n"/>
      <c r="O37" s="23">
        <f>IF($N37="","","https://smartship.atlassian.net/browse/"&amp;$N37)</f>
        <v/>
      </c>
      <c r="P37">
        <f>IFERROR(VALUE(MID($A37,5,4)),0)</f>
        <v/>
      </c>
    </row>
    <row r="38" hidden="1" ht="15" customHeight="1">
      <c r="A38" s="21" t="inlineStr">
        <is>
          <t>NEW-0370</t>
        </is>
      </c>
      <c r="B38" s="22" t="inlineStr">
        <is>
          <t>Handling DSC_076 scenario in booking funnel</t>
        </is>
      </c>
      <c r="C38" s="22" t="inlineStr">
        <is>
          <t>CR</t>
        </is>
      </c>
      <c r="D38" s="22" t="inlineStr">
        <is>
          <t>Growth</t>
        </is>
      </c>
      <c r="E38" s="22" t="inlineStr">
        <is>
          <t>B2CW</t>
        </is>
      </c>
      <c r="F38" s="22" t="n"/>
      <c r="G38" s="22" t="inlineStr">
        <is>
          <t>Medium</t>
        </is>
      </c>
      <c r="H38" s="22" t="n"/>
      <c r="I38" s="23">
        <f>IF($A38="","",IFERROR(IF(ISBLANK(INDEX(SprintPlanning[Sprint],MATCH($A38,SprintPlanning[Requirement ID],0))),"To Plan",INDEX(SprintPlanning[Sprint],MATCH($A38,SprintPlanning[Requirement ID],0))),"To Plan"))</f>
        <v/>
      </c>
      <c r="J38" s="22" t="n"/>
      <c r="K38" s="23">
        <f>IFERROR(IF(ISBLANK(INDEX(Release[Release],MATCH($A38,Release[Requirement ID],0))),"",INDEX(Release[Release],MATCH($A38,Release[Requirement ID],0))),"")</f>
        <v/>
      </c>
      <c r="L38" s="24" t="n">
        <v>46232</v>
      </c>
      <c r="M38" s="22" t="n"/>
      <c r="N38" s="22" t="n"/>
      <c r="O38" s="23">
        <f>IF($N38="","","https://smartship.atlassian.net/browse/"&amp;$N38)</f>
        <v/>
      </c>
      <c r="P38">
        <f>IFERROR(VALUE(MID($A38,5,4)),0)</f>
        <v/>
      </c>
    </row>
    <row r="39" hidden="1" ht="15" customHeight="1">
      <c r="A39" s="21" t="inlineStr">
        <is>
          <t>NEW-0371</t>
        </is>
      </c>
      <c r="B39" s="22" t="inlineStr">
        <is>
          <t>B2CW Prospect Onsite Quotation</t>
        </is>
      </c>
      <c r="C39" s="22" t="inlineStr">
        <is>
          <t>TBC</t>
        </is>
      </c>
      <c r="D39" s="22" t="inlineStr">
        <is>
          <t>Growth</t>
        </is>
      </c>
      <c r="E39" s="22" t="inlineStr">
        <is>
          <t>B2CW</t>
        </is>
      </c>
      <c r="F39" s="22" t="inlineStr">
        <is>
          <t>NEW</t>
        </is>
      </c>
      <c r="G39" s="22" t="inlineStr">
        <is>
          <t>Medium</t>
        </is>
      </c>
      <c r="H39" s="22" t="n"/>
      <c r="I39" s="23">
        <f>IF($A39="","",IFERROR(IF(ISBLANK(INDEX(SprintPlanning[Sprint],MATCH($A39,SprintPlanning[Requirement ID],0))),"To Plan",INDEX(SprintPlanning[Sprint],MATCH($A39,SprintPlanning[Requirement ID],0))),"To Plan"))</f>
        <v/>
      </c>
      <c r="J39" s="22" t="n">
        <v>5</v>
      </c>
      <c r="K39" s="23">
        <f>IFERROR(IF(ISBLANK(INDEX(Release[Release],MATCH($A39,Release[Requirement ID],0))),"",INDEX(Release[Release],MATCH($A39,Release[Requirement ID],0))),"")</f>
        <v/>
      </c>
      <c r="L39" s="24" t="n">
        <v>46232</v>
      </c>
      <c r="M39" s="22" t="n"/>
      <c r="N39" s="22" t="n"/>
      <c r="O39" s="23">
        <f>IF($N39="","","https://smartship.atlassian.net/browse/"&amp;$N39)</f>
        <v/>
      </c>
      <c r="P39">
        <f>IFERROR(VALUE(MID($A39,5,4)),0)</f>
        <v/>
      </c>
    </row>
    <row r="40" hidden="1" ht="15" customHeight="1">
      <c r="A40" s="21" t="inlineStr">
        <is>
          <t>NEW-0373</t>
        </is>
      </c>
      <c r="B40" s="22" t="inlineStr">
        <is>
          <t>Booking Funnel - AI Optimisation</t>
        </is>
      </c>
      <c r="C40" s="22" t="inlineStr">
        <is>
          <t>Tech Task</t>
        </is>
      </c>
      <c r="D40" s="22" t="inlineStr">
        <is>
          <t>Backlog / Tech Enh</t>
        </is>
      </c>
      <c r="E40" s="22" t="inlineStr">
        <is>
          <t>ALL</t>
        </is>
      </c>
      <c r="F40" s="22" t="inlineStr">
        <is>
          <t>NEW</t>
        </is>
      </c>
      <c r="G40" s="22" t="inlineStr">
        <is>
          <t>Medium</t>
        </is>
      </c>
      <c r="H40" s="22" t="n"/>
      <c r="I40" s="23">
        <f>IF($A40="","",IFERROR(IF(ISBLANK(INDEX(SprintPlanning[Sprint],MATCH($A40,SprintPlanning[Requirement ID],0))),"To Plan",INDEX(SprintPlanning[Sprint],MATCH($A40,SprintPlanning[Requirement ID],0))),"To Plan"))</f>
        <v/>
      </c>
      <c r="J40" s="22" t="n"/>
      <c r="K40" s="23">
        <f>IFERROR(IF(ISBLANK(INDEX(Release[Release],MATCH($A40,Release[Requirement ID],0))),"",INDEX(Release[Release],MATCH($A40,Release[Requirement ID],0))),"")</f>
        <v/>
      </c>
      <c r="L40" s="24" t="n">
        <v>46232</v>
      </c>
      <c r="M40" s="22" t="n"/>
      <c r="N40" s="22" t="n"/>
      <c r="O40" s="23">
        <f>IF($N40="","","https://smartship.atlassian.net/browse/"&amp;$N40)</f>
        <v/>
      </c>
      <c r="P40">
        <f>IFERROR(VALUE(MID($A40,5,4)),0)</f>
        <v/>
      </c>
    </row>
    <row r="41" hidden="1" ht="15" customHeight="1">
      <c r="A41" s="21" t="inlineStr">
        <is>
          <t>NEW-0375</t>
        </is>
      </c>
      <c r="B41" s="22" t="inlineStr">
        <is>
          <t>Booking Funnel - OTEL</t>
        </is>
      </c>
      <c r="C41" s="22" t="inlineStr">
        <is>
          <t>Tech Task</t>
        </is>
      </c>
      <c r="D41" s="22" t="inlineStr">
        <is>
          <t>Backlog / Tech Enh</t>
        </is>
      </c>
      <c r="E41" s="22" t="inlineStr">
        <is>
          <t>ALL</t>
        </is>
      </c>
      <c r="F41" s="22" t="inlineStr">
        <is>
          <t>IN PROGRESS</t>
        </is>
      </c>
      <c r="G41" s="22" t="inlineStr">
        <is>
          <t>Medium</t>
        </is>
      </c>
      <c r="H41" s="22" t="n"/>
      <c r="I41" s="23">
        <f>IF($A41="","",IFERROR(IF(ISBLANK(INDEX(SprintPlanning[Sprint],MATCH($A41,SprintPlanning[Requirement ID],0))),"To Plan",INDEX(SprintPlanning[Sprint],MATCH($A41,SprintPlanning[Requirement ID],0))),"To Plan"))</f>
        <v/>
      </c>
      <c r="J41" s="22" t="n"/>
      <c r="K41" s="23">
        <f>IFERROR(IF(ISBLANK(INDEX(Release[Release],MATCH($A41,Release[Requirement ID],0))),"",INDEX(Release[Release],MATCH($A41,Release[Requirement ID],0))),"")</f>
        <v/>
      </c>
      <c r="L41" s="24" t="n">
        <v>46232</v>
      </c>
      <c r="M41" s="22" t="n"/>
      <c r="N41" s="22" t="n"/>
      <c r="O41" s="23">
        <f>IF($N41="","","https://smartship.atlassian.net/browse/"&amp;$N41)</f>
        <v/>
      </c>
      <c r="P41">
        <f>IFERROR(VALUE(MID($A41,5,4)),0)</f>
        <v/>
      </c>
    </row>
    <row r="42" hidden="1" ht="15" customHeight="1">
      <c r="A42" s="21" t="inlineStr">
        <is>
          <t>NEW-0376</t>
        </is>
      </c>
      <c r="B42" s="22" t="inlineStr">
        <is>
          <t>Improve error handling in booking creation</t>
        </is>
      </c>
      <c r="C42" s="22" t="inlineStr">
        <is>
          <t>Tech Task</t>
        </is>
      </c>
      <c r="D42" s="22" t="inlineStr">
        <is>
          <t>Backlog / Tech Enh</t>
        </is>
      </c>
      <c r="E42" s="22" t="inlineStr">
        <is>
          <t>ALL</t>
        </is>
      </c>
      <c r="F42" s="22" t="inlineStr">
        <is>
          <t>NEW</t>
        </is>
      </c>
      <c r="G42" s="22" t="inlineStr">
        <is>
          <t>Medium</t>
        </is>
      </c>
      <c r="H42" s="22" t="n"/>
      <c r="I42" s="23">
        <f>IF($A42="","",IFERROR(IF(ISBLANK(INDEX(SprintPlanning[Sprint],MATCH($A42,SprintPlanning[Requirement ID],0))),"To Plan",INDEX(SprintPlanning[Sprint],MATCH($A42,SprintPlanning[Requirement ID],0))),"To Plan"))</f>
        <v/>
      </c>
      <c r="J42" s="22" t="n"/>
      <c r="K42" s="23">
        <f>IFERROR(IF(ISBLANK(INDEX(Release[Release],MATCH($A42,Release[Requirement ID],0))),"",INDEX(Release[Release],MATCH($A42,Release[Requirement ID],0))),"")</f>
        <v/>
      </c>
      <c r="L42" s="24" t="n">
        <v>46232</v>
      </c>
      <c r="M42" s="22" t="n"/>
      <c r="N42" s="22" t="n"/>
      <c r="O42" s="23">
        <f>IF($N42="","","https://smartship.atlassian.net/browse/"&amp;$N42)</f>
        <v/>
      </c>
      <c r="P42">
        <f>IFERROR(VALUE(MID($A42,5,4)),0)</f>
        <v/>
      </c>
    </row>
    <row r="43" hidden="1" ht="15" customHeight="1">
      <c r="A43" s="21" t="inlineStr">
        <is>
          <t>NEW-0377</t>
        </is>
      </c>
      <c r="B43" s="22" t="inlineStr">
        <is>
          <t>DTTP25-27161 Change payment and newsletter redirection URL logic</t>
        </is>
      </c>
      <c r="C43" s="22" t="inlineStr">
        <is>
          <t>Tech Task</t>
        </is>
      </c>
      <c r="D43" s="22" t="inlineStr">
        <is>
          <t>Backlog / Tech Enh</t>
        </is>
      </c>
      <c r="E43" s="22" t="inlineStr">
        <is>
          <t>ALL</t>
        </is>
      </c>
      <c r="F43" s="22" t="inlineStr">
        <is>
          <t>NEW</t>
        </is>
      </c>
      <c r="G43" s="22" t="inlineStr">
        <is>
          <t>Medium</t>
        </is>
      </c>
      <c r="H43" s="22" t="n"/>
      <c r="I43" s="23">
        <f>IF($A43="","",IFERROR(IF(ISBLANK(INDEX(SprintPlanning[Sprint],MATCH($A43,SprintPlanning[Requirement ID],0))),"To Plan",INDEX(SprintPlanning[Sprint],MATCH($A43,SprintPlanning[Requirement ID],0))),"To Plan"))</f>
        <v/>
      </c>
      <c r="J43" s="22" t="n"/>
      <c r="K43" s="23">
        <f>IFERROR(IF(ISBLANK(INDEX(Release[Release],MATCH($A43,Release[Requirement ID],0))),"",INDEX(Release[Release],MATCH($A43,Release[Requirement ID],0))),"")</f>
        <v/>
      </c>
      <c r="L43" s="24" t="n">
        <v>46232</v>
      </c>
      <c r="M43" s="22" t="n"/>
      <c r="N43" s="22" t="n"/>
      <c r="O43" s="23">
        <f>IF($N43="","","https://smartship.atlassian.net/browse/"&amp;$N43)</f>
        <v/>
      </c>
      <c r="P43">
        <f>IFERROR(VALUE(MID($A43,5,4)),0)</f>
        <v/>
      </c>
    </row>
    <row r="44" hidden="1" ht="15" customHeight="1">
      <c r="A44" s="21" t="inlineStr">
        <is>
          <t>NEW-0384</t>
        </is>
      </c>
      <c r="B44" s="22" t="inlineStr">
        <is>
          <t>New Security Remediation - DTTP Stack to CRM ASIS_EA</t>
        </is>
      </c>
      <c r="C44" s="22" t="inlineStr">
        <is>
          <t>CR</t>
        </is>
      </c>
      <c r="D44" s="22" t="inlineStr">
        <is>
          <t>PI10</t>
        </is>
      </c>
      <c r="E44" s="22" t="inlineStr">
        <is>
          <t>CRMASIS</t>
        </is>
      </c>
      <c r="F44" s="22" t="inlineStr">
        <is>
          <t>NA</t>
        </is>
      </c>
      <c r="G44" s="22" t="inlineStr">
        <is>
          <t>Medium</t>
        </is>
      </c>
      <c r="H44" s="22" t="n"/>
      <c r="I44" s="23">
        <f>IF($A44="","",IFERROR(IF(ISBLANK(INDEX(SprintPlanning[Sprint],MATCH($A44,SprintPlanning[Requirement ID],0))),"To Plan",INDEX(SprintPlanning[Sprint],MATCH($A44,SprintPlanning[Requirement ID],0))),"To Plan"))</f>
        <v/>
      </c>
      <c r="J44" s="22" t="n"/>
      <c r="K44" s="23">
        <f>IFERROR(IF(ISBLANK(INDEX(Release[Release],MATCH($A44,Release[Requirement ID],0))),"",INDEX(Release[Release],MATCH($A44,Release[Requirement ID],0))),"")</f>
        <v/>
      </c>
      <c r="L44" s="24" t="n">
        <v>46232</v>
      </c>
      <c r="M44" s="22" t="n"/>
      <c r="N44" s="22" t="n"/>
      <c r="O44" s="23">
        <f>IF($N44="","","https://smartship.atlassian.net/browse/"&amp;$N44)</f>
        <v/>
      </c>
      <c r="P44">
        <f>IFERROR(VALUE(MID($A44,5,4)),0)</f>
        <v/>
      </c>
    </row>
    <row r="45" hidden="1" ht="15" customHeight="1">
      <c r="A45" s="21" t="inlineStr">
        <is>
          <t>NEW-0395</t>
        </is>
      </c>
      <c r="B45" s="22" t="inlineStr">
        <is>
          <t>PDF: age restrictions management</t>
        </is>
      </c>
      <c r="C45" s="22" t="inlineStr">
        <is>
          <t>CR</t>
        </is>
      </c>
      <c r="D45" s="22" t="inlineStr">
        <is>
          <t>MyMSC</t>
        </is>
      </c>
      <c r="E45" s="22" t="inlineStr">
        <is>
          <t>B2CW</t>
        </is>
      </c>
      <c r="F45" s="22" t="inlineStr">
        <is>
          <t>NEW</t>
        </is>
      </c>
      <c r="G45" s="22" t="inlineStr">
        <is>
          <t>Medium</t>
        </is>
      </c>
      <c r="H45" s="22" t="inlineStr">
        <is>
          <t>Aug 2026</t>
        </is>
      </c>
      <c r="I45" s="23">
        <f>IF($A45="","",IFERROR(IF(ISBLANK(INDEX(SprintPlanning[Sprint],MATCH($A45,SprintPlanning[Requirement ID],0))),"To Plan",INDEX(SprintPlanning[Sprint],MATCH($A45,SprintPlanning[Requirement ID],0))),"To Plan"))</f>
        <v/>
      </c>
      <c r="J45" s="22" t="n">
        <v>5</v>
      </c>
      <c r="K45" s="23">
        <f>IFERROR(IF(ISBLANK(INDEX(Release[Release],MATCH($A45,Release[Requirement ID],0))),"",INDEX(Release[Release],MATCH($A45,Release[Requirement ID],0))),"")</f>
        <v/>
      </c>
      <c r="L45" s="24" t="n">
        <v>46232</v>
      </c>
      <c r="M45" s="22" t="n"/>
      <c r="N45" s="22" t="n"/>
      <c r="O45" s="23">
        <f>IF($N45="","","https://smartship.atlassian.net/browse/"&amp;$N45)</f>
        <v/>
      </c>
      <c r="P45">
        <f>IFERROR(VALUE(MID($A45,5,4)),0)</f>
        <v/>
      </c>
    </row>
    <row r="46" hidden="1" ht="15" customHeight="1">
      <c r="A46" s="21" t="inlineStr">
        <is>
          <t>NEW-0397</t>
        </is>
      </c>
      <c r="B46" s="22" t="inlineStr">
        <is>
          <t>MSC Voyagers Club subscription block for pending Status Match request for the same user</t>
        </is>
      </c>
      <c r="C46" s="22" t="inlineStr">
        <is>
          <t>CR</t>
        </is>
      </c>
      <c r="D46" s="22" t="inlineStr">
        <is>
          <t>MyMSC</t>
        </is>
      </c>
      <c r="E46" s="22" t="inlineStr">
        <is>
          <t>B2CW</t>
        </is>
      </c>
      <c r="F46" s="22" t="inlineStr">
        <is>
          <t>NEW</t>
        </is>
      </c>
      <c r="G46" s="22" t="inlineStr">
        <is>
          <t>Medium</t>
        </is>
      </c>
      <c r="H46" s="22" t="inlineStr">
        <is>
          <t>Q1 2027</t>
        </is>
      </c>
      <c r="I46" s="23">
        <f>IF($A46="","",IFERROR(IF(ISBLANK(INDEX(SprintPlanning[Sprint],MATCH($A46,SprintPlanning[Requirement ID],0))),"To Plan",INDEX(SprintPlanning[Sprint],MATCH($A46,SprintPlanning[Requirement ID],0))),"To Plan"))</f>
        <v/>
      </c>
      <c r="J46" s="22" t="n">
        <v>8</v>
      </c>
      <c r="K46" s="23">
        <f>IFERROR(IF(ISBLANK(INDEX(Release[Release],MATCH($A46,Release[Requirement ID],0))),"",INDEX(Release[Release],MATCH($A46,Release[Requirement ID],0))),"")</f>
        <v/>
      </c>
      <c r="L46" s="24" t="n">
        <v>46232</v>
      </c>
      <c r="M46" s="22" t="n"/>
      <c r="N46" s="22" t="n"/>
      <c r="O46" s="23">
        <f>IF($N46="","","https://smartship.atlassian.net/browse/"&amp;$N46)</f>
        <v/>
      </c>
      <c r="P46">
        <f>IFERROR(VALUE(MID($A46,5,4)),0)</f>
        <v/>
      </c>
    </row>
    <row r="47" hidden="1" ht="15" customHeight="1">
      <c r="A47" s="21" t="inlineStr">
        <is>
          <t>NEW-0398</t>
        </is>
      </c>
      <c r="B47" s="22" t="inlineStr">
        <is>
          <t>MSC Voyagers Club children association</t>
        </is>
      </c>
      <c r="C47" s="22" t="inlineStr">
        <is>
          <t>CR</t>
        </is>
      </c>
      <c r="D47" s="22" t="inlineStr">
        <is>
          <t>MyMSC</t>
        </is>
      </c>
      <c r="E47" s="22" t="inlineStr">
        <is>
          <t>B2CW</t>
        </is>
      </c>
      <c r="F47" s="22" t="inlineStr">
        <is>
          <t>NEW</t>
        </is>
      </c>
      <c r="G47" s="22" t="inlineStr">
        <is>
          <t>Medium</t>
        </is>
      </c>
      <c r="H47" s="22" t="inlineStr">
        <is>
          <t>Q1 2027</t>
        </is>
      </c>
      <c r="I47" s="23">
        <f>IF($A47="","",IFERROR(IF(ISBLANK(INDEX(SprintPlanning[Sprint],MATCH($A47,SprintPlanning[Requirement ID],0))),"To Plan",INDEX(SprintPlanning[Sprint],MATCH($A47,SprintPlanning[Requirement ID],0))),"To Plan"))</f>
        <v/>
      </c>
      <c r="J47" s="22" t="n">
        <v>13</v>
      </c>
      <c r="K47" s="23">
        <f>IFERROR(IF(ISBLANK(INDEX(Release[Release],MATCH($A47,Release[Requirement ID],0))),"",INDEX(Release[Release],MATCH($A47,Release[Requirement ID],0))),"")</f>
        <v/>
      </c>
      <c r="L47" s="24" t="n">
        <v>46232</v>
      </c>
      <c r="M47" s="22" t="n"/>
      <c r="N47" s="22" t="n"/>
      <c r="O47" s="23">
        <f>IF($N47="","","https://smartship.atlassian.net/browse/"&amp;$N47)</f>
        <v/>
      </c>
      <c r="P47">
        <f>IFERROR(VALUE(MID($A47,5,4)),0)</f>
        <v/>
      </c>
    </row>
    <row r="48" hidden="1" ht="15" customHeight="1">
      <c r="A48" s="21" t="inlineStr">
        <is>
          <t>NEW-0399</t>
        </is>
      </c>
      <c r="B48" s="22" t="inlineStr">
        <is>
          <t>Managing the possibility of multiple categories for the same EXC item</t>
        </is>
      </c>
      <c r="C48" s="22" t="inlineStr">
        <is>
          <t>CR</t>
        </is>
      </c>
      <c r="D48" s="22" t="inlineStr">
        <is>
          <t>MyMSC</t>
        </is>
      </c>
      <c r="E48" s="22" t="inlineStr">
        <is>
          <t>B2CW</t>
        </is>
      </c>
      <c r="F48" s="22" t="inlineStr">
        <is>
          <t>NEW</t>
        </is>
      </c>
      <c r="G48" s="22" t="inlineStr">
        <is>
          <t>Medium</t>
        </is>
      </c>
      <c r="H48" s="22" t="inlineStr">
        <is>
          <t>Q1 2027</t>
        </is>
      </c>
      <c r="I48" s="23">
        <f>IF($A48="","",IFERROR(IF(ISBLANK(INDEX(SprintPlanning[Sprint],MATCH($A48,SprintPlanning[Requirement ID],0))),"To Plan",INDEX(SprintPlanning[Sprint],MATCH($A48,SprintPlanning[Requirement ID],0))),"To Plan"))</f>
        <v/>
      </c>
      <c r="J48" s="22" t="n">
        <v>8</v>
      </c>
      <c r="K48" s="23">
        <f>IFERROR(IF(ISBLANK(INDEX(Release[Release],MATCH($A48,Release[Requirement ID],0))),"",INDEX(Release[Release],MATCH($A48,Release[Requirement ID],0))),"")</f>
        <v/>
      </c>
      <c r="L48" s="24" t="n">
        <v>46232</v>
      </c>
      <c r="M48" s="22" t="n"/>
      <c r="N48" s="22" t="n"/>
      <c r="O48" s="23">
        <f>IF($N48="","","https://smartship.atlassian.net/browse/"&amp;$N48)</f>
        <v/>
      </c>
      <c r="P48">
        <f>IFERROR(VALUE(MID($A48,5,4)),0)</f>
        <v/>
      </c>
    </row>
    <row r="49" hidden="1" ht="15" customHeight="1">
      <c r="A49" s="21" t="inlineStr">
        <is>
          <t>NEW-0400</t>
        </is>
      </c>
      <c r="B49" s="22" t="inlineStr">
        <is>
          <t>Card Points History Reliability Enhancement - B2C</t>
        </is>
      </c>
      <c r="C49" s="22" t="inlineStr">
        <is>
          <t>CR</t>
        </is>
      </c>
      <c r="D49" s="22" t="inlineStr">
        <is>
          <t>MyMSC</t>
        </is>
      </c>
      <c r="E49" s="22" t="inlineStr">
        <is>
          <t>B2CW</t>
        </is>
      </c>
      <c r="F49" s="22" t="inlineStr">
        <is>
          <t>NEW</t>
        </is>
      </c>
      <c r="G49" s="22" t="inlineStr">
        <is>
          <t>Medium</t>
        </is>
      </c>
      <c r="H49" s="22" t="inlineStr">
        <is>
          <t>Q1 2027</t>
        </is>
      </c>
      <c r="I49" s="23">
        <f>IF($A49="","",IFERROR(IF(ISBLANK(INDEX(SprintPlanning[Sprint],MATCH($A49,SprintPlanning[Requirement ID],0))),"To Plan",INDEX(SprintPlanning[Sprint],MATCH($A49,SprintPlanning[Requirement ID],0))),"To Plan"))</f>
        <v/>
      </c>
      <c r="J49" s="22" t="n">
        <v>8</v>
      </c>
      <c r="K49" s="23">
        <f>IFERROR(IF(ISBLANK(INDEX(Release[Release],MATCH($A49,Release[Requirement ID],0))),"",INDEX(Release[Release],MATCH($A49,Release[Requirement ID],0))),"")</f>
        <v/>
      </c>
      <c r="L49" s="24" t="n">
        <v>46232</v>
      </c>
      <c r="M49" s="22" t="n"/>
      <c r="N49" s="22" t="n"/>
      <c r="O49" s="23">
        <f>IF($N49="","","https://smartship.atlassian.net/browse/"&amp;$N49)</f>
        <v/>
      </c>
      <c r="P49">
        <f>IFERROR(VALUE(MID($A49,5,4)),0)</f>
        <v/>
      </c>
    </row>
    <row r="50" hidden="1" ht="15" customHeight="1">
      <c r="A50" s="21" t="inlineStr">
        <is>
          <t>NEW-0401</t>
        </is>
      </c>
      <c r="B50" s="22" t="inlineStr">
        <is>
          <t>Excursions' category not visible, neither in the catalogue nor in the modal</t>
        </is>
      </c>
      <c r="C50" s="22" t="inlineStr">
        <is>
          <t>CR</t>
        </is>
      </c>
      <c r="D50" s="22" t="inlineStr">
        <is>
          <t>MyMSC</t>
        </is>
      </c>
      <c r="E50" s="22" t="inlineStr">
        <is>
          <t>B2CW</t>
        </is>
      </c>
      <c r="F50" s="22" t="inlineStr">
        <is>
          <t>NEW</t>
        </is>
      </c>
      <c r="G50" s="22" t="inlineStr">
        <is>
          <t>Medium</t>
        </is>
      </c>
      <c r="H50" s="22" t="inlineStr">
        <is>
          <t>Q1 2027</t>
        </is>
      </c>
      <c r="I50" s="23">
        <f>IF($A50="","",IFERROR(IF(ISBLANK(INDEX(SprintPlanning[Sprint],MATCH($A50,SprintPlanning[Requirement ID],0))),"To Plan",INDEX(SprintPlanning[Sprint],MATCH($A50,SprintPlanning[Requirement ID],0))),"To Plan"))</f>
        <v/>
      </c>
      <c r="J50" s="22" t="n">
        <v>8</v>
      </c>
      <c r="K50" s="23">
        <f>IFERROR(IF(ISBLANK(INDEX(Release[Release],MATCH($A50,Release[Requirement ID],0))),"",INDEX(Release[Release],MATCH($A50,Release[Requirement ID],0))),"")</f>
        <v/>
      </c>
      <c r="L50" s="24" t="n">
        <v>46232</v>
      </c>
      <c r="M50" s="22" t="n"/>
      <c r="N50" s="22" t="n"/>
      <c r="O50" s="23">
        <f>IF($N50="","","https://smartship.atlassian.net/browse/"&amp;$N50)</f>
        <v/>
      </c>
      <c r="P50">
        <f>IFERROR(VALUE(MID($A50,5,4)),0)</f>
        <v/>
      </c>
    </row>
    <row r="51" hidden="1" ht="15" customHeight="1">
      <c r="A51" s="21" t="inlineStr">
        <is>
          <t>NEW-0402</t>
        </is>
      </c>
      <c r="B51" s="22" t="inlineStr">
        <is>
          <t>Cross Device &gt; Plan my cruise: Cart &gt; Impossible to apply a coupon on a NON-Discounted item</t>
        </is>
      </c>
      <c r="C51" s="22" t="inlineStr">
        <is>
          <t>CR</t>
        </is>
      </c>
      <c r="D51" s="22" t="inlineStr">
        <is>
          <t>MyMSC</t>
        </is>
      </c>
      <c r="E51" s="22" t="inlineStr">
        <is>
          <t>B2CW</t>
        </is>
      </c>
      <c r="F51" s="22" t="inlineStr">
        <is>
          <t>NEW</t>
        </is>
      </c>
      <c r="G51" s="22" t="inlineStr">
        <is>
          <t>Medium</t>
        </is>
      </c>
      <c r="H51" s="22" t="inlineStr">
        <is>
          <t>Q1 2027</t>
        </is>
      </c>
      <c r="I51" s="23">
        <f>IF($A51="","",IFERROR(IF(ISBLANK(INDEX(SprintPlanning[Sprint],MATCH($A51,SprintPlanning[Requirement ID],0))),"To Plan",INDEX(SprintPlanning[Sprint],MATCH($A51,SprintPlanning[Requirement ID],0))),"To Plan"))</f>
        <v/>
      </c>
      <c r="J51" s="22" t="n">
        <v>8</v>
      </c>
      <c r="K51" s="23">
        <f>IFERROR(IF(ISBLANK(INDEX(Release[Release],MATCH($A51,Release[Requirement ID],0))),"",INDEX(Release[Release],MATCH($A51,Release[Requirement ID],0))),"")</f>
        <v/>
      </c>
      <c r="L51" s="24" t="n">
        <v>46232</v>
      </c>
      <c r="M51" s="22" t="n"/>
      <c r="N51" s="22" t="n"/>
      <c r="O51" s="23">
        <f>IF($N51="","","https://smartship.atlassian.net/browse/"&amp;$N51)</f>
        <v/>
      </c>
      <c r="P51">
        <f>IFERROR(VALUE(MID($A51,5,4)),0)</f>
        <v/>
      </c>
    </row>
    <row r="52" hidden="1" ht="15" customHeight="1">
      <c r="A52" s="21" t="inlineStr">
        <is>
          <t>NEW-0403</t>
        </is>
      </c>
      <c r="B52" s="22" t="inlineStr">
        <is>
          <t>Wider management of label</t>
        </is>
      </c>
      <c r="C52" s="22" t="inlineStr">
        <is>
          <t>TBC</t>
        </is>
      </c>
      <c r="D52" s="22" t="inlineStr">
        <is>
          <t>MyMSC</t>
        </is>
      </c>
      <c r="E52" s="22" t="inlineStr">
        <is>
          <t>B2CW</t>
        </is>
      </c>
      <c r="F52" s="22" t="inlineStr">
        <is>
          <t>NEW</t>
        </is>
      </c>
      <c r="G52" s="22" t="inlineStr">
        <is>
          <t>Medium</t>
        </is>
      </c>
      <c r="H52" s="22" t="inlineStr">
        <is>
          <t>Q1 2027</t>
        </is>
      </c>
      <c r="I52" s="23">
        <f>IF($A52="","",IFERROR(IF(ISBLANK(INDEX(SprintPlanning[Sprint],MATCH($A52,SprintPlanning[Requirement ID],0))),"To Plan",INDEX(SprintPlanning[Sprint],MATCH($A52,SprintPlanning[Requirement ID],0))),"To Plan"))</f>
        <v/>
      </c>
      <c r="J52" s="22" t="n"/>
      <c r="K52" s="23">
        <f>IFERROR(IF(ISBLANK(INDEX(Release[Release],MATCH($A52,Release[Requirement ID],0))),"",INDEX(Release[Release],MATCH($A52,Release[Requirement ID],0))),"")</f>
        <v/>
      </c>
      <c r="L52" s="24" t="n">
        <v>46232</v>
      </c>
      <c r="M52" s="22" t="n"/>
      <c r="N52" s="22" t="n"/>
      <c r="O52" s="23">
        <f>IF($N52="","","https://smartship.atlassian.net/browse/"&amp;$N52)</f>
        <v/>
      </c>
      <c r="P52">
        <f>IFERROR(VALUE(MID($A52,5,4)),0)</f>
        <v/>
      </c>
    </row>
    <row r="53" hidden="1" ht="15" customHeight="1">
      <c r="A53" s="21" t="inlineStr">
        <is>
          <t>NEW-0404</t>
        </is>
      </c>
      <c r="B53" s="22" t="inlineStr">
        <is>
          <t>Cross Device &gt; Plan My Cruise &gt; OBS/ACT 'Add passenger' CTA shown even if only non-eligible pax</t>
        </is>
      </c>
      <c r="C53" s="22" t="inlineStr">
        <is>
          <t>TBC</t>
        </is>
      </c>
      <c r="D53" s="22" t="inlineStr">
        <is>
          <t>MyMSC</t>
        </is>
      </c>
      <c r="E53" s="22" t="inlineStr">
        <is>
          <t>B2CW</t>
        </is>
      </c>
      <c r="F53" s="22" t="inlineStr">
        <is>
          <t>NEW</t>
        </is>
      </c>
      <c r="G53" s="22" t="inlineStr">
        <is>
          <t>Medium</t>
        </is>
      </c>
      <c r="H53" s="22" t="inlineStr">
        <is>
          <t>Q1 2027</t>
        </is>
      </c>
      <c r="I53" s="23">
        <f>IF($A53="","",IFERROR(IF(ISBLANK(INDEX(SprintPlanning[Sprint],MATCH($A53,SprintPlanning[Requirement ID],0))),"To Plan",INDEX(SprintPlanning[Sprint],MATCH($A53,SprintPlanning[Requirement ID],0))),"To Plan"))</f>
        <v/>
      </c>
      <c r="J53" s="22" t="n"/>
      <c r="K53" s="23">
        <f>IFERROR(IF(ISBLANK(INDEX(Release[Release],MATCH($A53,Release[Requirement ID],0))),"",INDEX(Release[Release],MATCH($A53,Release[Requirement ID],0))),"")</f>
        <v/>
      </c>
      <c r="L53" s="24" t="n">
        <v>46232</v>
      </c>
      <c r="M53" s="22" t="n"/>
      <c r="N53" s="22" t="n"/>
      <c r="O53" s="23">
        <f>IF($N53="","","https://smartship.atlassian.net/browse/"&amp;$N53)</f>
        <v/>
      </c>
      <c r="P53">
        <f>IFERROR(VALUE(MID($A53,5,4)),0)</f>
        <v/>
      </c>
    </row>
    <row r="54" hidden="1" ht="15" customHeight="1">
      <c r="A54" s="21" t="inlineStr">
        <is>
          <t>NEW-0405</t>
        </is>
      </c>
      <c r="B54" s="22" t="inlineStr">
        <is>
          <t>Whatsapp Subscription (Phase 3)</t>
        </is>
      </c>
      <c r="C54" s="22" t="inlineStr">
        <is>
          <t>CR</t>
        </is>
      </c>
      <c r="D54" s="22" t="inlineStr">
        <is>
          <t>Backlog</t>
        </is>
      </c>
      <c r="E54" s="22" t="inlineStr">
        <is>
          <t>MA</t>
        </is>
      </c>
      <c r="F54" s="22" t="inlineStr">
        <is>
          <t>NEW</t>
        </is>
      </c>
      <c r="G54" s="22" t="inlineStr">
        <is>
          <t>Medium</t>
        </is>
      </c>
      <c r="H54" s="22" t="inlineStr">
        <is>
          <t>Q4 2026</t>
        </is>
      </c>
      <c r="I54" s="23">
        <f>IF($A54="","",IFERROR(IF(ISBLANK(INDEX(SprintPlanning[Sprint],MATCH($A54,SprintPlanning[Requirement ID],0))),"To Plan",INDEX(SprintPlanning[Sprint],MATCH($A54,SprintPlanning[Requirement ID],0))),"To Plan"))</f>
        <v/>
      </c>
      <c r="J54" s="22" t="n">
        <v>16</v>
      </c>
      <c r="K54" s="23">
        <f>IFERROR(IF(ISBLANK(INDEX(Release[Release],MATCH($A54,Release[Requirement ID],0))),"",INDEX(Release[Release],MATCH($A54,Release[Requirement ID],0))),"")</f>
        <v/>
      </c>
      <c r="L54" s="24" t="n">
        <v>46233</v>
      </c>
      <c r="M54" s="22" t="n"/>
      <c r="N54" s="22" t="n"/>
      <c r="O54" s="23">
        <f>IF($N54="","","https://smartship.atlassian.net/browse/"&amp;$N54)</f>
        <v/>
      </c>
      <c r="P54">
        <f>IFERROR(VALUE(MID($A54,5,4)),0)</f>
        <v/>
      </c>
    </row>
    <row r="55" hidden="1" ht="15" customHeight="1">
      <c r="A55" s="27" t="inlineStr">
        <is>
          <t>NEW-0407</t>
        </is>
      </c>
      <c r="B55" s="28" t="inlineStr">
        <is>
          <t>Puerto Rico on US site Status Match (INT010.3)</t>
        </is>
      </c>
      <c r="C55" s="28" t="inlineStr">
        <is>
          <t>CR</t>
        </is>
      </c>
      <c r="D55" s="28" t="inlineStr">
        <is>
          <t>US</t>
        </is>
      </c>
      <c r="E55" s="28" t="n"/>
      <c r="F55" s="28" t="inlineStr">
        <is>
          <t>NEW</t>
        </is>
      </c>
      <c r="G55" s="28" t="inlineStr">
        <is>
          <t>High</t>
        </is>
      </c>
      <c r="H55" s="28" t="inlineStr">
        <is>
          <t>Q3 2026</t>
        </is>
      </c>
      <c r="I55" s="29">
        <f>IF($A55="","",IFERROR(IF(ISBLANK(INDEX(SprintPlanning[Sprint],MATCH($A55,SprintPlanning[Requirement ID],0))),"To Plan",INDEX(SprintPlanning[Sprint],MATCH($A55,SprintPlanning[Requirement ID],0))),"To Plan"))</f>
        <v/>
      </c>
      <c r="J55" s="28" t="n">
        <v>5</v>
      </c>
      <c r="K55" s="29">
        <f>IFERROR(IF(ISBLANK(INDEX(Release[Release],MATCH($A55,Release[Requirement ID],0))),"",INDEX(Release[Release],MATCH($A55,Release[Requirement ID],0))),"")</f>
        <v/>
      </c>
      <c r="L55" s="30" t="n">
        <v>46237</v>
      </c>
      <c r="M55" s="28" t="inlineStr">
        <is>
          <t>Created</t>
        </is>
      </c>
      <c r="N55" s="28" t="inlineStr">
        <is>
          <t>MDTTPU-15251</t>
        </is>
      </c>
      <c r="O55" s="29">
        <f>IF($N55="","","https://smartship.atlassian.net/browse/"&amp;$N55)</f>
        <v/>
      </c>
      <c r="P55">
        <f>IFERROR(VALUE(MID($A55,5,4)),0)</f>
        <v/>
      </c>
    </row>
    <row r="56" hidden="1" ht="15" customHeight="1">
      <c r="A56" s="27" t="inlineStr">
        <is>
          <t>NEW-0413</t>
        </is>
      </c>
      <c r="B56" s="28" t="inlineStr">
        <is>
          <t>[EINT][INT187][INT139][INT145] - Remove phone number mapping from Datatrans transaction creation</t>
        </is>
      </c>
      <c r="C56" s="28" t="inlineStr">
        <is>
          <t>Tech Story</t>
        </is>
      </c>
      <c r="D56" s="28" t="inlineStr">
        <is>
          <t>PI10</t>
        </is>
      </c>
      <c r="E56" s="28" t="inlineStr">
        <is>
          <t>M4M</t>
        </is>
      </c>
      <c r="F56" s="28" t="inlineStr">
        <is>
          <t>NEW</t>
        </is>
      </c>
      <c r="G56" s="28" t="inlineStr">
        <is>
          <t>Medium</t>
        </is>
      </c>
      <c r="H56" s="28" t="n"/>
      <c r="I56" s="29">
        <f>IF($A56="","",IFERROR(IF(ISBLANK(INDEX(SprintPlanning[Sprint],MATCH($A56,SprintPlanning[Requirement ID],0))),"To Plan",INDEX(SprintPlanning[Sprint],MATCH($A56,SprintPlanning[Requirement ID],0))),"To Plan"))</f>
        <v/>
      </c>
      <c r="J56" s="28" t="n"/>
      <c r="K56" s="29">
        <f>IFERROR(IF(ISBLANK(INDEX(Release[Release],MATCH($A56,Release[Requirement ID],0))),"",INDEX(Release[Release],MATCH($A56,Release[Requirement ID],0))),"")</f>
        <v/>
      </c>
      <c r="L56" s="30" t="n">
        <v>46237</v>
      </c>
      <c r="M56" s="28" t="inlineStr">
        <is>
          <t>Created</t>
        </is>
      </c>
      <c r="N56" s="28" t="inlineStr">
        <is>
          <t>DTTP25-41728</t>
        </is>
      </c>
      <c r="O56" s="29">
        <f>IF($N56="","","https://smartship.atlassian.net/browse/"&amp;$N56)</f>
        <v/>
      </c>
      <c r="P56">
        <f>IFERROR(VALUE(MID($A56,5,4)),0)</f>
        <v/>
      </c>
    </row>
    <row r="57" hidden="1" ht="15" customHeight="1">
      <c r="A57" s="27" t="inlineStr">
        <is>
          <t>NEW-0414</t>
        </is>
      </c>
      <c r="B57" s="28" t="inlineStr">
        <is>
          <t>[EINT][INT139][INT140][INT187][INT188] - Fix PromoCodeData coupon/discount code field mapping</t>
        </is>
      </c>
      <c r="C57" s="28" t="inlineStr">
        <is>
          <t>Tech Story</t>
        </is>
      </c>
      <c r="D57" s="28" t="inlineStr">
        <is>
          <t>PI10</t>
        </is>
      </c>
      <c r="E57" s="28" t="inlineStr">
        <is>
          <t>M4M</t>
        </is>
      </c>
      <c r="F57" s="28" t="inlineStr">
        <is>
          <t>NEW</t>
        </is>
      </c>
      <c r="G57" s="28" t="inlineStr">
        <is>
          <t>Medium</t>
        </is>
      </c>
      <c r="H57" s="28" t="n"/>
      <c r="I57" s="29">
        <f>IF($A57="","",IFERROR(IF(ISBLANK(INDEX(SprintPlanning[Sprint],MATCH($A57,SprintPlanning[Requirement ID],0))),"To Plan",INDEX(SprintPlanning[Sprint],MATCH($A57,SprintPlanning[Requirement ID],0))),"To Plan"))</f>
        <v/>
      </c>
      <c r="J57" s="28" t="n"/>
      <c r="K57" s="29">
        <f>IFERROR(IF(ISBLANK(INDEX(Release[Release],MATCH($A57,Release[Requirement ID],0))),"",INDEX(Release[Release],MATCH($A57,Release[Requirement ID],0))),"")</f>
        <v/>
      </c>
      <c r="L57" s="30" t="n">
        <v>46237</v>
      </c>
      <c r="M57" s="28" t="inlineStr">
        <is>
          <t>Created</t>
        </is>
      </c>
      <c r="N57" s="28" t="inlineStr">
        <is>
          <t>DTTP25-41730</t>
        </is>
      </c>
      <c r="O57" s="29">
        <f>IF($N57="","","https://smartship.atlassian.net/browse/"&amp;$N57)</f>
        <v/>
      </c>
      <c r="P57">
        <f>IFERROR(VALUE(MID($A57,5,4)),0)</f>
        <v/>
      </c>
    </row>
    <row r="58" hidden="1" ht="15" customHeight="1">
      <c r="A58" s="27" t="inlineStr">
        <is>
          <t>NEW-0415</t>
        </is>
      </c>
      <c r="B58" s="28" t="inlineStr">
        <is>
          <t>[EINT][INT139][INT187][INT140][INT188] - Improve error handling: BKGREQ_098, BKGREQ_050, PPI_DRIPR_11</t>
        </is>
      </c>
      <c r="C58" s="28" t="inlineStr">
        <is>
          <t>Tech Story</t>
        </is>
      </c>
      <c r="D58" s="28" t="inlineStr">
        <is>
          <t>PI10</t>
        </is>
      </c>
      <c r="E58" s="28" t="inlineStr">
        <is>
          <t>M4M</t>
        </is>
      </c>
      <c r="F58" s="28" t="inlineStr">
        <is>
          <t>NEW</t>
        </is>
      </c>
      <c r="G58" s="28" t="inlineStr">
        <is>
          <t>Medium</t>
        </is>
      </c>
      <c r="H58" s="28" t="n"/>
      <c r="I58" s="29">
        <f>IF($A58="","",IFERROR(IF(ISBLANK(INDEX(SprintPlanning[Sprint],MATCH($A58,SprintPlanning[Requirement ID],0))),"To Plan",INDEX(SprintPlanning[Sprint],MATCH($A58,SprintPlanning[Requirement ID],0))),"To Plan"))</f>
        <v/>
      </c>
      <c r="J58" s="28" t="n"/>
      <c r="K58" s="29">
        <f>IFERROR(IF(ISBLANK(INDEX(Release[Release],MATCH($A58,Release[Requirement ID],0))),"",INDEX(Release[Release],MATCH($A58,Release[Requirement ID],0))),"")</f>
        <v/>
      </c>
      <c r="L58" s="30" t="n">
        <v>46237</v>
      </c>
      <c r="M58" s="28" t="inlineStr">
        <is>
          <t>Created</t>
        </is>
      </c>
      <c r="N58" s="28" t="inlineStr">
        <is>
          <t>DTTP25-41725</t>
        </is>
      </c>
      <c r="O58" s="29">
        <f>IF($N58="","","https://smartship.atlassian.net/browse/"&amp;$N58)</f>
        <v/>
      </c>
      <c r="P58">
        <f>IFERROR(VALUE(MID($A58,5,4)),0)</f>
        <v/>
      </c>
    </row>
    <row r="59" hidden="1" ht="15" customHeight="1">
      <c r="A59" s="21" t="inlineStr">
        <is>
          <t>NEW-0032</t>
        </is>
      </c>
      <c r="B59" s="22" t="inlineStr">
        <is>
          <t>Cruise ID / Birthdate missing from A013 and A007</t>
        </is>
      </c>
      <c r="C59" s="22" t="inlineStr">
        <is>
          <t>CR</t>
        </is>
      </c>
      <c r="D59" s="22" t="inlineStr">
        <is>
          <t>MyMSC</t>
        </is>
      </c>
      <c r="E59" s="22" t="inlineStr">
        <is>
          <t>B2CW</t>
        </is>
      </c>
      <c r="F59" s="22" t="inlineStr">
        <is>
          <t>DONE</t>
        </is>
      </c>
      <c r="G59" s="22" t="inlineStr">
        <is>
          <t>Medium</t>
        </is>
      </c>
      <c r="H59" s="22" t="n"/>
      <c r="I59" s="23">
        <f>IF($A59="","",IFERROR(IF(ISBLANK(INDEX(SprintPlanning[Sprint],MATCH($A59,SprintPlanning[Requirement ID],0))),"To Plan",INDEX(SprintPlanning[Sprint],MATCH($A59,SprintPlanning[Requirement ID],0))),"To Plan"))</f>
        <v/>
      </c>
      <c r="J59" s="22" t="n">
        <v>8</v>
      </c>
      <c r="K59" s="23">
        <f>IFERROR(IF(ISBLANK(INDEX(Release[Release],MATCH($A59,Release[Requirement ID],0))),"",INDEX(Release[Release],MATCH($A59,Release[Requirement ID],0))),"")</f>
        <v/>
      </c>
      <c r="L59" s="24" t="n">
        <v>46226</v>
      </c>
      <c r="M59" s="22" t="inlineStr">
        <is>
          <t>Created</t>
        </is>
      </c>
      <c r="N59" s="22" t="inlineStr">
        <is>
          <t>DTTP25-40256</t>
        </is>
      </c>
      <c r="O59" s="23">
        <f>IF($N59="","","https://smartship.atlassian.net/browse/"&amp;$N59)</f>
        <v/>
      </c>
      <c r="P59">
        <f>IFERROR(VALUE(MID($A59,5,4)),0)</f>
        <v/>
      </c>
    </row>
    <row r="60" hidden="1" ht="15" customHeight="1">
      <c r="A60" s="21" t="inlineStr">
        <is>
          <t>NEW-0047</t>
        </is>
      </c>
      <c r="B60" s="22" t="inlineStr">
        <is>
          <t>Load Test + Performance Enhancements</t>
        </is>
      </c>
      <c r="C60" s="22" t="inlineStr">
        <is>
          <t>Tech Task</t>
        </is>
      </c>
      <c r="D60" s="22" t="inlineStr">
        <is>
          <t>US</t>
        </is>
      </c>
      <c r="E60" s="22" t="inlineStr">
        <is>
          <t>ALL</t>
        </is>
      </c>
      <c r="F60" s="22" t="inlineStr">
        <is>
          <t>IN PROGRESS</t>
        </is>
      </c>
      <c r="G60" s="22" t="inlineStr">
        <is>
          <t>Medium</t>
        </is>
      </c>
      <c r="H60" s="22" t="n"/>
      <c r="I60" s="23">
        <f>IF($A60="","",IFERROR(IF(ISBLANK(INDEX(SprintPlanning[Sprint],MATCH($A60,SprintPlanning[Requirement ID],0))),"To Plan",INDEX(SprintPlanning[Sprint],MATCH($A60,SprintPlanning[Requirement ID],0))),"To Plan"))</f>
        <v/>
      </c>
      <c r="J60" s="22" t="n">
        <v>40</v>
      </c>
      <c r="K60" s="23">
        <f>IFERROR(IF(ISBLANK(INDEX(Release[Release],MATCH($A60,Release[Requirement ID],0))),"",INDEX(Release[Release],MATCH($A60,Release[Requirement ID],0))),"")</f>
        <v/>
      </c>
      <c r="L60" s="24" t="n">
        <v>46226</v>
      </c>
      <c r="M60" s="22" t="inlineStr">
        <is>
          <t>Created</t>
        </is>
      </c>
      <c r="N60" s="22" t="inlineStr">
        <is>
          <t>MDTTPU-13969</t>
        </is>
      </c>
      <c r="O60" s="23">
        <f>IF($N60="","","https://smartship.atlassian.net/browse/"&amp;$N60)</f>
        <v/>
      </c>
      <c r="P60">
        <f>IFERROR(VALUE(MID($A60,5,4)),0)</f>
        <v/>
      </c>
    </row>
    <row r="61" hidden="1" ht="15" customHeight="1">
      <c r="A61" s="21" t="inlineStr">
        <is>
          <t>NEW-0048</t>
        </is>
      </c>
      <c r="B61" s="22" t="inlineStr">
        <is>
          <t>API Prod Configurations</t>
        </is>
      </c>
      <c r="C61" s="22" t="inlineStr">
        <is>
          <t>Config</t>
        </is>
      </c>
      <c r="D61" s="22" t="inlineStr">
        <is>
          <t>US</t>
        </is>
      </c>
      <c r="E61" s="22" t="inlineStr">
        <is>
          <t>B2CW</t>
        </is>
      </c>
      <c r="F61" s="22" t="inlineStr">
        <is>
          <t>IN PROGRESS</t>
        </is>
      </c>
      <c r="G61" s="22" t="inlineStr">
        <is>
          <t>Medium</t>
        </is>
      </c>
      <c r="H61" s="22" t="n"/>
      <c r="I61" s="23">
        <f>IF($A61="","",IFERROR(IF(ISBLANK(INDEX(SprintPlanning[Sprint],MATCH($A61,SprintPlanning[Requirement ID],0))),"To Plan",INDEX(SprintPlanning[Sprint],MATCH($A61,SprintPlanning[Requirement ID],0))),"To Plan"))</f>
        <v/>
      </c>
      <c r="J61" s="22" t="n">
        <v>8</v>
      </c>
      <c r="K61" s="23">
        <f>IFERROR(IF(ISBLANK(INDEX(Release[Release],MATCH($A61,Release[Requirement ID],0))),"",INDEX(Release[Release],MATCH($A61,Release[Requirement ID],0))),"")</f>
        <v/>
      </c>
      <c r="L61" s="24" t="n">
        <v>46226</v>
      </c>
      <c r="M61" s="22" t="inlineStr">
        <is>
          <t>Created</t>
        </is>
      </c>
      <c r="N61" s="22" t="inlineStr">
        <is>
          <t>MDTTPU-1292</t>
        </is>
      </c>
      <c r="O61" s="23">
        <f>IF($N61="","","https://smartship.atlassian.net/browse/"&amp;$N61)</f>
        <v/>
      </c>
      <c r="P61">
        <f>IFERROR(VALUE(MID($A61,5,4)),0)</f>
        <v/>
      </c>
    </row>
    <row r="62" hidden="1" ht="15" customHeight="1">
      <c r="A62" s="21" t="inlineStr">
        <is>
          <t>NEW-0049</t>
        </is>
      </c>
      <c r="B62" s="22" t="inlineStr">
        <is>
          <t>Redo configs of US in Chain 1 branches for non-prod/ prod</t>
        </is>
      </c>
      <c r="C62" s="22" t="inlineStr">
        <is>
          <t>Config</t>
        </is>
      </c>
      <c r="D62" s="22" t="inlineStr">
        <is>
          <t>US</t>
        </is>
      </c>
      <c r="E62" s="22" t="inlineStr">
        <is>
          <t>ALL</t>
        </is>
      </c>
      <c r="F62" s="22" t="inlineStr">
        <is>
          <t>IN PROGRESS</t>
        </is>
      </c>
      <c r="G62" s="22" t="inlineStr">
        <is>
          <t>Medium</t>
        </is>
      </c>
      <c r="H62" s="22" t="n"/>
      <c r="I62" s="23">
        <f>IF($A62="","",IFERROR(IF(ISBLANK(INDEX(SprintPlanning[Sprint],MATCH($A62,SprintPlanning[Requirement ID],0))),"To Plan",INDEX(SprintPlanning[Sprint],MATCH($A62,SprintPlanning[Requirement ID],0))),"To Plan"))</f>
        <v/>
      </c>
      <c r="J62" s="22" t="n">
        <v>8</v>
      </c>
      <c r="K62" s="23">
        <f>IFERROR(IF(ISBLANK(INDEX(Release[Release],MATCH($A62,Release[Requirement ID],0))),"",INDEX(Release[Release],MATCH($A62,Release[Requirement ID],0))),"")</f>
        <v/>
      </c>
      <c r="L62" s="24" t="n">
        <v>46226</v>
      </c>
      <c r="M62" s="22" t="inlineStr">
        <is>
          <t>Created</t>
        </is>
      </c>
      <c r="N62" s="22" t="inlineStr">
        <is>
          <t>MDTTPU-13739</t>
        </is>
      </c>
      <c r="O62" s="23">
        <f>IF($N62="","","https://smartship.atlassian.net/browse/"&amp;$N62)</f>
        <v/>
      </c>
      <c r="P62">
        <f>IFERROR(VALUE(MID($A62,5,4)),0)</f>
        <v/>
      </c>
    </row>
    <row r="63" hidden="1" ht="15" customHeight="1">
      <c r="A63" s="21" t="inlineStr">
        <is>
          <t>NEW-0050</t>
        </is>
      </c>
      <c r="B63" s="22" t="inlineStr">
        <is>
          <t>Redo market routing logic to cover calls to CDP for Chain 1</t>
        </is>
      </c>
      <c r="C63" s="22" t="inlineStr">
        <is>
          <t>Config</t>
        </is>
      </c>
      <c r="D63" s="22" t="inlineStr">
        <is>
          <t>US</t>
        </is>
      </c>
      <c r="E63" s="22" t="inlineStr">
        <is>
          <t>ALL</t>
        </is>
      </c>
      <c r="F63" s="22" t="inlineStr">
        <is>
          <t>IN PROGRESS</t>
        </is>
      </c>
      <c r="G63" s="22" t="inlineStr">
        <is>
          <t>Medium</t>
        </is>
      </c>
      <c r="H63" s="22" t="n"/>
      <c r="I63" s="23">
        <f>IF($A63="","",IFERROR(IF(ISBLANK(INDEX(SprintPlanning[Sprint],MATCH($A63,SprintPlanning[Requirement ID],0))),"To Plan",INDEX(SprintPlanning[Sprint],MATCH($A63,SprintPlanning[Requirement ID],0))),"To Plan"))</f>
        <v/>
      </c>
      <c r="J63" s="22" t="n">
        <v>13</v>
      </c>
      <c r="K63" s="23">
        <f>IFERROR(IF(ISBLANK(INDEX(Release[Release],MATCH($A63,Release[Requirement ID],0))),"",INDEX(Release[Release],MATCH($A63,Release[Requirement ID],0))),"")</f>
        <v/>
      </c>
      <c r="L63" s="24" t="n">
        <v>46226</v>
      </c>
      <c r="M63" s="22" t="inlineStr">
        <is>
          <t>Created</t>
        </is>
      </c>
      <c r="N63" s="22" t="inlineStr">
        <is>
          <t>MDTTPU-13740</t>
        </is>
      </c>
      <c r="O63" s="23">
        <f>IF($N63="","","https://smartship.atlassian.net/browse/"&amp;$N63)</f>
        <v/>
      </c>
      <c r="P63">
        <f>IFERROR(VALUE(MID($A63,5,4)),0)</f>
        <v/>
      </c>
    </row>
    <row r="64" hidden="1" ht="15" customHeight="1">
      <c r="A64" s="21" t="inlineStr">
        <is>
          <t>NEW-0051</t>
        </is>
      </c>
      <c r="B64" s="22" t="inlineStr">
        <is>
          <t>US Migration to CHAIN1</t>
        </is>
      </c>
      <c r="C64" s="22" t="inlineStr">
        <is>
          <t>Tech Task</t>
        </is>
      </c>
      <c r="D64" s="22" t="inlineStr">
        <is>
          <t>US</t>
        </is>
      </c>
      <c r="E64" s="22" t="inlineStr">
        <is>
          <t>ALL</t>
        </is>
      </c>
      <c r="F64" s="22" t="inlineStr">
        <is>
          <t>IN PROGRESS</t>
        </is>
      </c>
      <c r="G64" s="22" t="inlineStr">
        <is>
          <t>High</t>
        </is>
      </c>
      <c r="H64" s="22" t="n"/>
      <c r="I64" s="23">
        <f>IF($A64="","",IFERROR(IF(ISBLANK(INDEX(SprintPlanning[Sprint],MATCH($A64,SprintPlanning[Requirement ID],0))),"To Plan",INDEX(SprintPlanning[Sprint],MATCH($A64,SprintPlanning[Requirement ID],0))),"To Plan"))</f>
        <v/>
      </c>
      <c r="J64" s="22" t="n">
        <v>5</v>
      </c>
      <c r="K64" s="23">
        <f>IFERROR(IF(ISBLANK(INDEX(Release[Release],MATCH($A64,Release[Requirement ID],0))),"",INDEX(Release[Release],MATCH($A64,Release[Requirement ID],0))),"")</f>
        <v/>
      </c>
      <c r="L64" s="24" t="n">
        <v>46226</v>
      </c>
      <c r="M64" s="22" t="inlineStr">
        <is>
          <t>Created</t>
        </is>
      </c>
      <c r="N64" s="22" t="inlineStr">
        <is>
          <t>MDTTPU-13970</t>
        </is>
      </c>
      <c r="O64" s="23">
        <f>IF($N64="","","https://smartship.atlassian.net/browse/"&amp;$N64)</f>
        <v/>
      </c>
      <c r="P64">
        <f>IFERROR(VALUE(MID($A64,5,4)),0)</f>
        <v/>
      </c>
    </row>
    <row r="65" hidden="1" ht="15" customHeight="1">
      <c r="A65" s="21" t="inlineStr">
        <is>
          <t>NEW-0053</t>
        </is>
      </c>
      <c r="B65" s="22" t="inlineStr">
        <is>
          <t>US Configuration CHAIN1/2</t>
        </is>
      </c>
      <c r="C65" s="22" t="inlineStr">
        <is>
          <t>Config</t>
        </is>
      </c>
      <c r="D65" s="22" t="inlineStr">
        <is>
          <t>MyMSC</t>
        </is>
      </c>
      <c r="E65" s="22" t="inlineStr">
        <is>
          <t>B2CW</t>
        </is>
      </c>
      <c r="F65" s="22" t="inlineStr">
        <is>
          <t>NEW</t>
        </is>
      </c>
      <c r="G65" s="22" t="inlineStr">
        <is>
          <t>Medium</t>
        </is>
      </c>
      <c r="H65" s="22" t="n"/>
      <c r="I65" s="23">
        <f>IF($A65="","",IFERROR(IF(ISBLANK(INDEX(SprintPlanning[Sprint],MATCH($A65,SprintPlanning[Requirement ID],0))),"To Plan",INDEX(SprintPlanning[Sprint],MATCH($A65,SprintPlanning[Requirement ID],0))),"To Plan"))</f>
        <v/>
      </c>
      <c r="J65" s="22" t="n">
        <v>8</v>
      </c>
      <c r="K65" s="23">
        <f>IFERROR(IF(ISBLANK(INDEX(Release[Release],MATCH($A65,Release[Requirement ID],0))),"",INDEX(Release[Release],MATCH($A65,Release[Requirement ID],0))),"")</f>
        <v/>
      </c>
      <c r="L65" s="24" t="n">
        <v>46226</v>
      </c>
      <c r="M65" s="22" t="inlineStr">
        <is>
          <t>Created</t>
        </is>
      </c>
      <c r="N65" s="22" t="inlineStr">
        <is>
          <t>MDTTPU-13662</t>
        </is>
      </c>
      <c r="O65" s="23">
        <f>IF($N65="","","https://smartship.atlassian.net/browse/"&amp;$N65)</f>
        <v/>
      </c>
      <c r="P65">
        <f>IFERROR(VALUE(MID($A65,5,4)),0)</f>
        <v/>
      </c>
    </row>
    <row r="66" hidden="1" ht="15" customHeight="1">
      <c r="A66" s="21" t="inlineStr">
        <is>
          <t>NEW-0055</t>
        </is>
      </c>
      <c r="B66" s="22" t="inlineStr">
        <is>
          <t>Release Preparation (Release 15, M4M, US)</t>
        </is>
      </c>
      <c r="C66" s="22" t="inlineStr">
        <is>
          <t>Tech Task</t>
        </is>
      </c>
      <c r="D66" s="22" t="inlineStr">
        <is>
          <t>Cross</t>
        </is>
      </c>
      <c r="E66" s="22" t="inlineStr">
        <is>
          <t>ALL</t>
        </is>
      </c>
      <c r="F66" s="22" t="inlineStr">
        <is>
          <t>IN PROGRESS</t>
        </is>
      </c>
      <c r="G66" s="22" t="inlineStr">
        <is>
          <t>High</t>
        </is>
      </c>
      <c r="H66" s="22" t="n"/>
      <c r="I66" s="23">
        <f>IF($A66="","",IFERROR(IF(ISBLANK(INDEX(SprintPlanning[Sprint],MATCH($A66,SprintPlanning[Requirement ID],0))),"To Plan",INDEX(SprintPlanning[Sprint],MATCH($A66,SprintPlanning[Requirement ID],0))),"To Plan"))</f>
        <v/>
      </c>
      <c r="J66" s="22" t="n">
        <v>21</v>
      </c>
      <c r="K66" s="23">
        <f>IFERROR(IF(ISBLANK(INDEX(Release[Release],MATCH($A66,Release[Requirement ID],0))),"",INDEX(Release[Release],MATCH($A66,Release[Requirement ID],0))),"")</f>
        <v/>
      </c>
      <c r="L66" s="24" t="n">
        <v>46226</v>
      </c>
      <c r="M66" s="22" t="inlineStr">
        <is>
          <t>Created</t>
        </is>
      </c>
      <c r="N66" s="22" t="inlineStr">
        <is>
          <t>MDTTPU-13971</t>
        </is>
      </c>
      <c r="O66" s="23">
        <f>IF($N66="","","https://smartship.atlassian.net/browse/"&amp;$N66)</f>
        <v/>
      </c>
      <c r="P66">
        <f>IFERROR(VALUE(MID($A66,5,4)),0)</f>
        <v/>
      </c>
    </row>
    <row r="67" hidden="1" ht="15" customHeight="1">
      <c r="A67" s="21" t="inlineStr">
        <is>
          <t>NEW-0359</t>
        </is>
      </c>
      <c r="B67" s="22" t="inlineStr">
        <is>
          <t>Paypal Reconciliation for booking payments</t>
        </is>
      </c>
      <c r="C67" s="22" t="inlineStr">
        <is>
          <t>CR</t>
        </is>
      </c>
      <c r="D67" s="22" t="inlineStr">
        <is>
          <t>Growth</t>
        </is>
      </c>
      <c r="E67" s="22" t="inlineStr">
        <is>
          <t>B2CW</t>
        </is>
      </c>
      <c r="F67" s="22" t="inlineStr">
        <is>
          <t>DONE</t>
        </is>
      </c>
      <c r="G67" s="22" t="inlineStr">
        <is>
          <t>High</t>
        </is>
      </c>
      <c r="H67" s="22" t="n"/>
      <c r="I67" s="23">
        <f>IF($A67="","",IFERROR(IF(ISBLANK(INDEX(SprintPlanning[Sprint],MATCH($A67,SprintPlanning[Requirement ID],0))),"To Plan",INDEX(SprintPlanning[Sprint],MATCH($A67,SprintPlanning[Requirement ID],0))),"To Plan"))</f>
        <v/>
      </c>
      <c r="J67" s="22" t="n">
        <v>5</v>
      </c>
      <c r="K67" s="23">
        <f>IFERROR(IF(ISBLANK(INDEX(Release[Release],MATCH($A67,Release[Requirement ID],0))),"",INDEX(Release[Release],MATCH($A67,Release[Requirement ID],0))),"")</f>
        <v/>
      </c>
      <c r="L67" s="24" t="n">
        <v>46232</v>
      </c>
      <c r="M67" s="22" t="inlineStr">
        <is>
          <t>Created</t>
        </is>
      </c>
      <c r="N67" s="22" t="inlineStr">
        <is>
          <t>DTTP25-19655</t>
        </is>
      </c>
      <c r="O67" s="23">
        <f>IF($N67="","","https://smartship.atlassian.net/browse/"&amp;$N67)</f>
        <v/>
      </c>
      <c r="P67">
        <f>IFERROR(VALUE(MID($A67,5,4)),0)</f>
        <v/>
      </c>
    </row>
    <row r="68" hidden="1" ht="15" customHeight="1">
      <c r="A68" s="21" t="inlineStr">
        <is>
          <t>NEW-0392</t>
        </is>
      </c>
      <c r="B68" s="22" t="inlineStr">
        <is>
          <t>INT183 - Add price per night</t>
        </is>
      </c>
      <c r="C68" s="22" t="inlineStr">
        <is>
          <t>CR</t>
        </is>
      </c>
      <c r="D68" s="22" t="inlineStr">
        <is>
          <t>PI10</t>
        </is>
      </c>
      <c r="E68" s="22" t="inlineStr">
        <is>
          <t>M4M</t>
        </is>
      </c>
      <c r="F68" s="22" t="inlineStr">
        <is>
          <t>DONE</t>
        </is>
      </c>
      <c r="G68" s="22" t="inlineStr">
        <is>
          <t>High</t>
        </is>
      </c>
      <c r="H68" s="22" t="n"/>
      <c r="I68" s="23">
        <f>IF($A68="","",IFERROR(IF(ISBLANK(INDEX(SprintPlanning[Sprint],MATCH($A68,SprintPlanning[Requirement ID],0))),"To Plan",INDEX(SprintPlanning[Sprint],MATCH($A68,SprintPlanning[Requirement ID],0))),"To Plan"))</f>
        <v/>
      </c>
      <c r="J68" s="22" t="n">
        <v>3</v>
      </c>
      <c r="K68" s="23">
        <f>IFERROR(IF(ISBLANK(INDEX(Release[Release],MATCH($A68,Release[Requirement ID],0))),"",INDEX(Release[Release],MATCH($A68,Release[Requirement ID],0))),"")</f>
        <v/>
      </c>
      <c r="L68" s="24" t="n">
        <v>46232</v>
      </c>
      <c r="M68" s="22" t="inlineStr">
        <is>
          <t>Created</t>
        </is>
      </c>
      <c r="N68" s="22" t="inlineStr">
        <is>
          <t>EA-1772</t>
        </is>
      </c>
      <c r="O68" s="23">
        <f>IF($N68="","","https://smartship.atlassian.net/browse/"&amp;$N68)</f>
        <v/>
      </c>
      <c r="P68">
        <f>IFERROR(VALUE(MID($A68,5,4)),0)</f>
        <v/>
      </c>
    </row>
    <row r="69" hidden="1" ht="15" customHeight="1">
      <c r="A69" s="21" t="inlineStr">
        <is>
          <t>NEW-0406</t>
        </is>
      </c>
      <c r="B69" s="22" t="inlineStr">
        <is>
          <t xml:space="preserve">myMSC Add USA Market Configuration - Production </t>
        </is>
      </c>
      <c r="C69" s="28" t="inlineStr">
        <is>
          <t>Config</t>
        </is>
      </c>
      <c r="D69" s="28" t="inlineStr">
        <is>
          <t>MyMSC</t>
        </is>
      </c>
      <c r="E69" s="28" t="inlineStr">
        <is>
          <t>B2CW</t>
        </is>
      </c>
      <c r="F69" s="28" t="inlineStr">
        <is>
          <t>NEW</t>
        </is>
      </c>
      <c r="G69" s="28" t="inlineStr">
        <is>
          <t>Medium</t>
        </is>
      </c>
      <c r="H69" s="28" t="inlineStr">
        <is>
          <t>Q3 2026</t>
        </is>
      </c>
      <c r="I69" s="23">
        <f>IF($A69="","",IFERROR(IF(ISBLANK(INDEX(SprintPlanning[Sprint],MATCH($A69,SprintPlanning[Requirement ID],0))),"To Plan",INDEX(SprintPlanning[Sprint],MATCH($A69,SprintPlanning[Requirement ID],0))),"To Plan"))</f>
        <v/>
      </c>
      <c r="J69" s="28" t="n">
        <v>8</v>
      </c>
      <c r="K69" s="29">
        <f>IFERROR(IF(ISBLANK(INDEX(Release[Release],MATCH($A69,Release[Requirement ID],0))),"",INDEX(Release[Release],MATCH($A69,Release[Requirement ID],0))),"")</f>
        <v/>
      </c>
      <c r="L69" s="24" t="n">
        <v>46233</v>
      </c>
      <c r="M69" s="28" t="inlineStr">
        <is>
          <t>Created</t>
        </is>
      </c>
      <c r="N69" s="28" t="inlineStr">
        <is>
          <t>MDTTPU-14018</t>
        </is>
      </c>
      <c r="O69" s="29">
        <f>IF($N69="","","https://smartship.atlassian.net/browse/"&amp;$N69)</f>
        <v/>
      </c>
      <c r="P69">
        <f>IFERROR(VALUE(MID($A69,5,4)),0)</f>
        <v/>
      </c>
    </row>
    <row r="70" hidden="1" ht="15" customHeight="1">
      <c r="A70" s="27" t="inlineStr">
        <is>
          <t>NEW-0416</t>
        </is>
      </c>
      <c r="B70" s="28" t="inlineStr">
        <is>
          <t>Relax MyArea access rules in LL</t>
        </is>
      </c>
      <c r="C70" s="28" t="inlineStr">
        <is>
          <t>CR</t>
        </is>
      </c>
      <c r="D70" s="28" t="inlineStr">
        <is>
          <t>MyMSC</t>
        </is>
      </c>
      <c r="E70" s="28" t="inlineStr">
        <is>
          <t>B2CW</t>
        </is>
      </c>
      <c r="F70" s="28" t="inlineStr">
        <is>
          <t>DONE</t>
        </is>
      </c>
      <c r="G70" s="28" t="inlineStr">
        <is>
          <t>Medium</t>
        </is>
      </c>
      <c r="H70" s="28" t="n"/>
      <c r="I70" s="29">
        <f>IF($A70="","",IFERROR(IF(ISBLANK(INDEX(SprintPlanning[Sprint],MATCH($A70,SprintPlanning[Requirement ID],0))),"To Plan",INDEX(SprintPlanning[Sprint],MATCH($A70,SprintPlanning[Requirement ID],0))),"To Plan"))</f>
        <v/>
      </c>
      <c r="J70" s="28" t="n">
        <v>5</v>
      </c>
      <c r="K70" s="29">
        <f>IFERROR(IF(ISBLANK(INDEX(Release[Release],MATCH($A70,Release[Requirement ID],0))),"",INDEX(Release[Release],MATCH($A70,Release[Requirement ID],0))),"")</f>
        <v/>
      </c>
      <c r="L70" s="30" t="n">
        <v>46238</v>
      </c>
      <c r="M70" s="28" t="inlineStr">
        <is>
          <t>Created</t>
        </is>
      </c>
      <c r="N70" s="28" t="inlineStr">
        <is>
          <t>DTTP25-41462</t>
        </is>
      </c>
      <c r="O70" s="29">
        <f>IF($N70="","","https://smartship.atlassian.net/browse/"&amp;$N70)</f>
        <v/>
      </c>
      <c r="P70">
        <f>IFERROR(VALUE(MID($A70,5,4)),0)</f>
        <v/>
      </c>
    </row>
    <row r="71" hidden="1" ht="15" customHeight="1">
      <c r="A71" s="21" t="inlineStr">
        <is>
          <t>NEW-0012</t>
        </is>
      </c>
      <c r="B71" s="22" t="inlineStr">
        <is>
          <t>INT 103 - agency email,.  Representative code in INT 101/ 103 (webform US)</t>
        </is>
      </c>
      <c r="C71" s="22" t="inlineStr">
        <is>
          <t>CR</t>
        </is>
      </c>
      <c r="D71" s="22" t="inlineStr">
        <is>
          <t>US</t>
        </is>
      </c>
      <c r="E71" s="22" t="inlineStr">
        <is>
          <t>S&amp;S</t>
        </is>
      </c>
      <c r="F71" s="22" t="inlineStr">
        <is>
          <t>DONE</t>
        </is>
      </c>
      <c r="G71" s="22" t="inlineStr">
        <is>
          <t>Medium</t>
        </is>
      </c>
      <c r="H71" s="22" t="n"/>
      <c r="I71" s="23">
        <f>IF($A71="","",IFERROR(IF(ISBLANK(INDEX(SprintPlanning[Sprint],MATCH($A71,SprintPlanning[Requirement ID],0))),"To Plan",INDEX(SprintPlanning[Sprint],MATCH($A71,SprintPlanning[Requirement ID],0))),"To Plan"))</f>
        <v/>
      </c>
      <c r="J71" s="22" t="n">
        <v>5</v>
      </c>
      <c r="K71" s="23">
        <f>IFERROR(IF(ISBLANK(INDEX(Release[Release],MATCH($A71,Release[Requirement ID],0))),"",INDEX(Release[Release],MATCH($A71,Release[Requirement ID],0))),"")</f>
        <v/>
      </c>
      <c r="L71" s="24" t="n">
        <v>46226</v>
      </c>
      <c r="M71" s="22" t="inlineStr">
        <is>
          <t>Created</t>
        </is>
      </c>
      <c r="N71" s="22" t="inlineStr">
        <is>
          <t>MDTTPU-6137</t>
        </is>
      </c>
      <c r="O71" s="23">
        <f>IF($N71="","","https://smartship.atlassian.net/browse/"&amp;$N71)</f>
        <v/>
      </c>
      <c r="P71">
        <f>IFERROR(VALUE(MID($A71,5,4)),0)</f>
        <v/>
      </c>
    </row>
    <row r="72" hidden="1" ht="15" customHeight="1">
      <c r="A72" s="21" t="inlineStr">
        <is>
          <t>NEW-0015</t>
        </is>
      </c>
      <c r="B72" s="22" t="inlineStr">
        <is>
          <t>Tokenisation - CR - INT 007/ INT 146</t>
        </is>
      </c>
      <c r="C72" s="22" t="inlineStr">
        <is>
          <t>CR</t>
        </is>
      </c>
      <c r="D72" s="22" t="inlineStr">
        <is>
          <t>US</t>
        </is>
      </c>
      <c r="E72" s="22" t="inlineStr">
        <is>
          <t>B2CW</t>
        </is>
      </c>
      <c r="F72" s="22" t="inlineStr">
        <is>
          <t>DONE</t>
        </is>
      </c>
      <c r="G72" s="22" t="inlineStr">
        <is>
          <t>Medium</t>
        </is>
      </c>
      <c r="H72" s="22" t="n"/>
      <c r="I72" s="23">
        <f>IF($A72="","",IFERROR(IF(ISBLANK(INDEX(SprintPlanning[Sprint],MATCH($A72,SprintPlanning[Requirement ID],0))),"To Plan",INDEX(SprintPlanning[Sprint],MATCH($A72,SprintPlanning[Requirement ID],0))),"To Plan"))</f>
        <v/>
      </c>
      <c r="J72" s="22" t="n">
        <v>5</v>
      </c>
      <c r="K72" s="23">
        <f>IFERROR(IF(ISBLANK(INDEX(Release[Release],MATCH($A72,Release[Requirement ID],0))),"",INDEX(Release[Release],MATCH($A72,Release[Requirement ID],0))),"")</f>
        <v/>
      </c>
      <c r="L72" s="24" t="n">
        <v>46226</v>
      </c>
      <c r="M72" s="22" t="inlineStr">
        <is>
          <t>Created</t>
        </is>
      </c>
      <c r="N72" s="22" t="inlineStr">
        <is>
          <t>MDTTPU-10926</t>
        </is>
      </c>
      <c r="O72" s="23">
        <f>IF($N72="","","https://smartship.atlassian.net/browse/"&amp;$N72)</f>
        <v/>
      </c>
      <c r="P72">
        <f>IFERROR(VALUE(MID($A72,5,4)),0)</f>
        <v/>
      </c>
    </row>
    <row r="73" hidden="1" ht="15" customHeight="1">
      <c r="A73" s="21" t="inlineStr">
        <is>
          <t>NEW-0043</t>
        </is>
      </c>
      <c r="B73" s="22" t="inlineStr">
        <is>
          <t>CR INT 113 - FormofPayment (PL)</t>
        </is>
      </c>
      <c r="C73" s="22" t="inlineStr">
        <is>
          <t>CR</t>
        </is>
      </c>
      <c r="D73" s="22" t="inlineStr">
        <is>
          <t>MyMSC</t>
        </is>
      </c>
      <c r="E73" s="22" t="inlineStr">
        <is>
          <t>B2CW</t>
        </is>
      </c>
      <c r="F73" s="22" t="inlineStr">
        <is>
          <t>DONE</t>
        </is>
      </c>
      <c r="G73" s="22" t="inlineStr">
        <is>
          <t>Medium</t>
        </is>
      </c>
      <c r="H73" s="22" t="n"/>
      <c r="I73" s="23">
        <f>IF($A73="","",IFERROR(IF(ISBLANK(INDEX(SprintPlanning[Sprint],MATCH($A73,SprintPlanning[Requirement ID],0))),"To Plan",INDEX(SprintPlanning[Sprint],MATCH($A73,SprintPlanning[Requirement ID],0))),"To Plan"))</f>
        <v/>
      </c>
      <c r="J73" s="22" t="n">
        <v>2</v>
      </c>
      <c r="K73" s="23">
        <f>IFERROR(IF(ISBLANK(INDEX(Release[Release],MATCH($A73,Release[Requirement ID],0))),"",INDEX(Release[Release],MATCH($A73,Release[Requirement ID],0))),"")</f>
        <v/>
      </c>
      <c r="L73" s="24" t="n">
        <v>46226</v>
      </c>
      <c r="M73" s="22" t="inlineStr">
        <is>
          <t>Created</t>
        </is>
      </c>
      <c r="N73" s="22" t="inlineStr">
        <is>
          <t>DTTP25-38934</t>
        </is>
      </c>
      <c r="O73" s="23">
        <f>IF($N73="","","https://smartship.atlassian.net/browse/"&amp;$N73)</f>
        <v/>
      </c>
      <c r="P73">
        <f>IFERROR(VALUE(MID($A73,5,4)),0)</f>
        <v/>
      </c>
    </row>
    <row r="74" hidden="1" ht="15" customHeight="1">
      <c r="A74" s="21" t="inlineStr">
        <is>
          <t>NEW-0044</t>
        </is>
      </c>
      <c r="B74" s="22" t="inlineStr">
        <is>
          <t>CR INT 113/ INT 142 - Group type field</t>
        </is>
      </c>
      <c r="C74" s="22" t="inlineStr">
        <is>
          <t>CR</t>
        </is>
      </c>
      <c r="D74" s="22" t="inlineStr">
        <is>
          <t>MyMSC</t>
        </is>
      </c>
      <c r="E74" s="22" t="inlineStr">
        <is>
          <t>B2CW</t>
        </is>
      </c>
      <c r="F74" s="22" t="inlineStr">
        <is>
          <t>DONE</t>
        </is>
      </c>
      <c r="G74" s="22" t="inlineStr">
        <is>
          <t>Medium</t>
        </is>
      </c>
      <c r="H74" s="22" t="n"/>
      <c r="I74" s="23">
        <f>IF($A74="","",IFERROR(IF(ISBLANK(INDEX(SprintPlanning[Sprint],MATCH($A74,SprintPlanning[Requirement ID],0))),"To Plan",INDEX(SprintPlanning[Sprint],MATCH($A74,SprintPlanning[Requirement ID],0))),"To Plan"))</f>
        <v/>
      </c>
      <c r="J74" s="22" t="n">
        <v>3</v>
      </c>
      <c r="K74" s="23">
        <f>IFERROR(IF(ISBLANK(INDEX(Release[Release],MATCH($A74,Release[Requirement ID],0))),"",INDEX(Release[Release],MATCH($A74,Release[Requirement ID],0))),"")</f>
        <v/>
      </c>
      <c r="L74" s="24" t="n">
        <v>46226</v>
      </c>
      <c r="M74" s="22" t="inlineStr">
        <is>
          <t>Created</t>
        </is>
      </c>
      <c r="N74" s="22" t="inlineStr">
        <is>
          <t>DTTP25-38931</t>
        </is>
      </c>
      <c r="O74" s="23">
        <f>IF($N74="","","https://smartship.atlassian.net/browse/"&amp;$N74)</f>
        <v/>
      </c>
      <c r="P74">
        <f>IFERROR(VALUE(MID($A74,5,4)),0)</f>
        <v/>
      </c>
    </row>
    <row r="75" hidden="1" ht="15" customHeight="1">
      <c r="A75" s="21" t="inlineStr">
        <is>
          <t>NEW-0263</t>
        </is>
      </c>
      <c r="B75" s="22" t="inlineStr">
        <is>
          <t>B2CW Payment Review - Data Lodging - INT140 &amp; INT146 - prepaid/cruise booking myAREA</t>
        </is>
      </c>
      <c r="C75" s="22" t="inlineStr">
        <is>
          <t>CR</t>
        </is>
      </c>
      <c r="D75" s="22" t="inlineStr">
        <is>
          <t>US</t>
        </is>
      </c>
      <c r="E75" s="22" t="inlineStr">
        <is>
          <t>B2CW</t>
        </is>
      </c>
      <c r="F75" s="22" t="inlineStr">
        <is>
          <t>DONE</t>
        </is>
      </c>
      <c r="G75" s="22" t="inlineStr">
        <is>
          <t>Medium</t>
        </is>
      </c>
      <c r="H75" s="22" t="n"/>
      <c r="I75" s="23">
        <f>IF($A75="","",IFERROR(IF(ISBLANK(INDEX(SprintPlanning[Sprint],MATCH($A75,SprintPlanning[Requirement ID],0))),"To Plan",INDEX(SprintPlanning[Sprint],MATCH($A75,SprintPlanning[Requirement ID],0))),"To Plan"))</f>
        <v/>
      </c>
      <c r="J75" s="22" t="n">
        <v>10</v>
      </c>
      <c r="K75" s="23">
        <f>IFERROR(IF(ISBLANK(INDEX(Release[Release],MATCH($A75,Release[Requirement ID],0))),"",INDEX(Release[Release],MATCH($A75,Release[Requirement ID],0))),"")</f>
        <v/>
      </c>
      <c r="L75" s="24" t="n">
        <v>46232</v>
      </c>
      <c r="M75" s="22" t="inlineStr">
        <is>
          <t>Created</t>
        </is>
      </c>
      <c r="N75" s="22" t="inlineStr">
        <is>
          <t>MDTTPU-4728</t>
        </is>
      </c>
      <c r="O75" s="23">
        <f>IF($N75="","","https://smartship.atlassian.net/browse/"&amp;$N75)</f>
        <v/>
      </c>
      <c r="P75">
        <f>IFERROR(VALUE(MID($A75,5,4)),0)</f>
        <v/>
      </c>
    </row>
    <row r="76" hidden="1" ht="15" customHeight="1">
      <c r="A76" s="21" t="inlineStr">
        <is>
          <t>NEW-0264</t>
        </is>
      </c>
      <c r="B76" s="22" t="inlineStr">
        <is>
          <t>Web form for US</t>
        </is>
      </c>
      <c r="C76" s="22" t="inlineStr">
        <is>
          <t>CR</t>
        </is>
      </c>
      <c r="D76" s="22" t="inlineStr">
        <is>
          <t>US</t>
        </is>
      </c>
      <c r="E76" s="22" t="inlineStr">
        <is>
          <t>MA</t>
        </is>
      </c>
      <c r="F76" s="22" t="inlineStr">
        <is>
          <t>DONE</t>
        </is>
      </c>
      <c r="G76" s="22" t="inlineStr">
        <is>
          <t>Medium</t>
        </is>
      </c>
      <c r="H76" s="22" t="n"/>
      <c r="I76" s="23">
        <f>IF($A76="","",IFERROR(IF(ISBLANK(INDEX(SprintPlanning[Sprint],MATCH($A76,SprintPlanning[Requirement ID],0))),"To Plan",INDEX(SprintPlanning[Sprint],MATCH($A76,SprintPlanning[Requirement ID],0))),"To Plan"))</f>
        <v/>
      </c>
      <c r="J76" s="22" t="n">
        <v>6</v>
      </c>
      <c r="K76" s="23">
        <f>IFERROR(IF(ISBLANK(INDEX(Release[Release],MATCH($A76,Release[Requirement ID],0))),"",INDEX(Release[Release],MATCH($A76,Release[Requirement ID],0))),"")</f>
        <v/>
      </c>
      <c r="L76" s="24" t="n">
        <v>46232</v>
      </c>
      <c r="M76" s="22" t="inlineStr">
        <is>
          <t>Created</t>
        </is>
      </c>
      <c r="N76" s="22" t="inlineStr">
        <is>
          <t>MDTTPU-6137</t>
        </is>
      </c>
      <c r="O76" s="23">
        <f>IF($N76="","","https://smartship.atlassian.net/browse/"&amp;$N76)</f>
        <v/>
      </c>
      <c r="P76">
        <f>IFERROR(VALUE(MID($A76,5,4)),0)</f>
        <v/>
      </c>
    </row>
    <row r="77" hidden="1" ht="15" customHeight="1">
      <c r="A77" s="21" t="inlineStr">
        <is>
          <t>NEW-0272</t>
        </is>
      </c>
      <c r="B77" s="22" t="inlineStr">
        <is>
          <t>B2CW Payment Review Tokenisation - CR to update AJO/CDP A013/A070</t>
        </is>
      </c>
      <c r="C77" s="22" t="inlineStr">
        <is>
          <t>CR</t>
        </is>
      </c>
      <c r="D77" s="22" t="inlineStr">
        <is>
          <t>US</t>
        </is>
      </c>
      <c r="E77" s="22" t="inlineStr">
        <is>
          <t>MA</t>
        </is>
      </c>
      <c r="F77" s="22" t="inlineStr">
        <is>
          <t>IN PROGRESS</t>
        </is>
      </c>
      <c r="G77" s="22" t="inlineStr">
        <is>
          <t>Medium</t>
        </is>
      </c>
      <c r="H77" s="22" t="n"/>
      <c r="I77" s="23">
        <f>IF($A77="","",IFERROR(IF(ISBLANK(INDEX(SprintPlanning[Sprint],MATCH($A77,SprintPlanning[Requirement ID],0))),"To Plan",INDEX(SprintPlanning[Sprint],MATCH($A77,SprintPlanning[Requirement ID],0))),"To Plan"))</f>
        <v/>
      </c>
      <c r="J77" s="22" t="n">
        <v>5</v>
      </c>
      <c r="K77" s="23">
        <f>IFERROR(IF(ISBLANK(INDEX(Release[Release],MATCH($A77,Release[Requirement ID],0))),"",INDEX(Release[Release],MATCH($A77,Release[Requirement ID],0))),"")</f>
        <v/>
      </c>
      <c r="L77" s="24" t="n">
        <v>46232</v>
      </c>
      <c r="M77" s="22" t="inlineStr">
        <is>
          <t>Created</t>
        </is>
      </c>
      <c r="N77" s="22" t="inlineStr">
        <is>
          <t>MDTTPU-10926</t>
        </is>
      </c>
      <c r="O77" s="23">
        <f>IF($N77="","","https://smartship.atlassian.net/browse/"&amp;$N77)</f>
        <v/>
      </c>
      <c r="P77">
        <f>IFERROR(VALUE(MID($A77,5,4)),0)</f>
        <v/>
      </c>
    </row>
    <row r="78" hidden="1" ht="15" customHeight="1">
      <c r="A78" s="21" t="inlineStr">
        <is>
          <t>NEW-0292</t>
        </is>
      </c>
      <c r="B78" s="22" t="inlineStr">
        <is>
          <t>INT139 / INT140 - CR - Klarna Prepaid + PDC Customer Contacts</t>
        </is>
      </c>
      <c r="C78" s="22" t="inlineStr">
        <is>
          <t>CR</t>
        </is>
      </c>
      <c r="D78" s="22" t="inlineStr">
        <is>
          <t>MyMSC</t>
        </is>
      </c>
      <c r="E78" s="22" t="inlineStr">
        <is>
          <t>B2CW</t>
        </is>
      </c>
      <c r="F78" s="22" t="inlineStr">
        <is>
          <t>DONE</t>
        </is>
      </c>
      <c r="G78" s="22" t="inlineStr">
        <is>
          <t>Medium</t>
        </is>
      </c>
      <c r="H78" s="22" t="n"/>
      <c r="I78" s="23">
        <f>IF($A78="","",IFERROR(IF(ISBLANK(INDEX(SprintPlanning[Sprint],MATCH($A78,SprintPlanning[Requirement ID],0))),"To Plan",INDEX(SprintPlanning[Sprint],MATCH($A78,SprintPlanning[Requirement ID],0))),"To Plan"))</f>
        <v/>
      </c>
      <c r="J78" s="22" t="n">
        <v>16</v>
      </c>
      <c r="K78" s="23">
        <f>IFERROR(IF(ISBLANK(INDEX(Release[Release],MATCH($A78,Release[Requirement ID],0))),"",INDEX(Release[Release],MATCH($A78,Release[Requirement ID],0))),"")</f>
        <v/>
      </c>
      <c r="L78" s="24" t="n">
        <v>46232</v>
      </c>
      <c r="M78" s="22" t="inlineStr">
        <is>
          <t>Created</t>
        </is>
      </c>
      <c r="N78" s="22" t="inlineStr">
        <is>
          <t>DTTP25-35604</t>
        </is>
      </c>
      <c r="O78" s="23">
        <f>IF($N78="","","https://smartship.atlassian.net/browse/"&amp;$N78)</f>
        <v/>
      </c>
      <c r="P78">
        <f>IFERROR(VALUE(MID($A78,5,4)),0)</f>
        <v/>
      </c>
    </row>
    <row r="79" hidden="1" ht="15" customHeight="1">
      <c r="A79" s="21" t="inlineStr">
        <is>
          <t>NEW-0293</t>
        </is>
      </c>
      <c r="B79" s="22" t="inlineStr">
        <is>
          <t>INT145 - CR - Klarna - MyMSC Checkout Payment Support</t>
        </is>
      </c>
      <c r="C79" s="22" t="inlineStr">
        <is>
          <t>CR</t>
        </is>
      </c>
      <c r="D79" s="22" t="inlineStr">
        <is>
          <t>MyMSC</t>
        </is>
      </c>
      <c r="E79" s="22" t="inlineStr">
        <is>
          <t>B2CW</t>
        </is>
      </c>
      <c r="F79" s="22" t="inlineStr">
        <is>
          <t>DONE</t>
        </is>
      </c>
      <c r="G79" s="22" t="inlineStr">
        <is>
          <t>Medium</t>
        </is>
      </c>
      <c r="H79" s="22" t="n"/>
      <c r="I79" s="23">
        <f>IF($A79="","",IFERROR(IF(ISBLANK(INDEX(SprintPlanning[Sprint],MATCH($A79,SprintPlanning[Requirement ID],0))),"To Plan",INDEX(SprintPlanning[Sprint],MATCH($A79,SprintPlanning[Requirement ID],0))),"To Plan"))</f>
        <v/>
      </c>
      <c r="J79" s="22" t="n">
        <v>8</v>
      </c>
      <c r="K79" s="23">
        <f>IFERROR(IF(ISBLANK(INDEX(Release[Release],MATCH($A79,Release[Requirement ID],0))),"",INDEX(Release[Release],MATCH($A79,Release[Requirement ID],0))),"")</f>
        <v/>
      </c>
      <c r="L79" s="24" t="n">
        <v>46232</v>
      </c>
      <c r="M79" s="22" t="inlineStr">
        <is>
          <t>Created</t>
        </is>
      </c>
      <c r="N79" s="22" t="inlineStr">
        <is>
          <t>DTTP25-35603</t>
        </is>
      </c>
      <c r="O79" s="23">
        <f>IF($N79="","","https://smartship.atlassian.net/browse/"&amp;$N79)</f>
        <v/>
      </c>
      <c r="P79">
        <f>IFERROR(VALUE(MID($A79,5,4)),0)</f>
        <v/>
      </c>
    </row>
    <row r="80" hidden="1" ht="15" customHeight="1">
      <c r="A80" s="21" t="inlineStr">
        <is>
          <t>NEW-0313</t>
        </is>
      </c>
      <c r="B80" s="22" t="inlineStr">
        <is>
          <t>Idempotency on booking payments</t>
        </is>
      </c>
      <c r="C80" s="22" t="inlineStr">
        <is>
          <t>CR</t>
        </is>
      </c>
      <c r="D80" s="22" t="inlineStr">
        <is>
          <t>MyMSC</t>
        </is>
      </c>
      <c r="E80" s="22" t="inlineStr">
        <is>
          <t>B2CW</t>
        </is>
      </c>
      <c r="F80" s="22" t="inlineStr">
        <is>
          <t>DONE</t>
        </is>
      </c>
      <c r="G80" s="22" t="inlineStr">
        <is>
          <t>Medium</t>
        </is>
      </c>
      <c r="H80" s="22" t="n"/>
      <c r="I80" s="23">
        <f>IF($A80="","",IFERROR(IF(ISBLANK(INDEX(SprintPlanning[Sprint],MATCH($A80,SprintPlanning[Requirement ID],0))),"To Plan",INDEX(SprintPlanning[Sprint],MATCH($A80,SprintPlanning[Requirement ID],0))),"To Plan"))</f>
        <v/>
      </c>
      <c r="J80" s="22" t="n">
        <v>8</v>
      </c>
      <c r="K80" s="23">
        <f>IFERROR(IF(ISBLANK(INDEX(Release[Release],MATCH($A80,Release[Requirement ID],0))),"",INDEX(Release[Release],MATCH($A80,Release[Requirement ID],0))),"")</f>
        <v/>
      </c>
      <c r="L80" s="24" t="n">
        <v>46232</v>
      </c>
      <c r="M80" s="22" t="inlineStr">
        <is>
          <t>Created</t>
        </is>
      </c>
      <c r="N80" s="22" t="inlineStr">
        <is>
          <t>DTTP25-36938</t>
        </is>
      </c>
      <c r="O80" s="23">
        <f>IF($N80="","","https://smartship.atlassian.net/browse/"&amp;$N80)</f>
        <v/>
      </c>
      <c r="P80">
        <f>IFERROR(VALUE(MID($A80,5,4)),0)</f>
        <v/>
      </c>
    </row>
    <row r="81" hidden="1" ht="15" customHeight="1">
      <c r="A81" s="21" t="inlineStr">
        <is>
          <t>NEW-0341</t>
        </is>
      </c>
      <c r="B81" s="22" t="inlineStr">
        <is>
          <t>DTS Post Booking Migration - Market US + CAN</t>
        </is>
      </c>
      <c r="C81" s="22" t="inlineStr">
        <is>
          <t>CR</t>
        </is>
      </c>
      <c r="D81" s="22" t="inlineStr">
        <is>
          <t>Backlog</t>
        </is>
      </c>
      <c r="E81" s="22" t="inlineStr">
        <is>
          <t>MA</t>
        </is>
      </c>
      <c r="F81" s="22" t="inlineStr">
        <is>
          <t>DONE</t>
        </is>
      </c>
      <c r="G81" s="22" t="inlineStr">
        <is>
          <t>Medium</t>
        </is>
      </c>
      <c r="H81" s="22" t="n"/>
      <c r="I81" s="23">
        <f>IF($A81="","",IFERROR(IF(ISBLANK(INDEX(SprintPlanning[Sprint],MATCH($A81,SprintPlanning[Requirement ID],0))),"To Plan",INDEX(SprintPlanning[Sprint],MATCH($A81,SprintPlanning[Requirement ID],0))),"To Plan"))</f>
        <v/>
      </c>
      <c r="J81" s="22" t="n">
        <v>8</v>
      </c>
      <c r="K81" s="23">
        <f>IFERROR(IF(ISBLANK(INDEX(Release[Release],MATCH($A81,Release[Requirement ID],0))),"",INDEX(Release[Release],MATCH($A81,Release[Requirement ID],0))),"")</f>
        <v/>
      </c>
      <c r="L81" s="24" t="n">
        <v>46232</v>
      </c>
      <c r="M81" s="22" t="inlineStr">
        <is>
          <t>Created</t>
        </is>
      </c>
      <c r="N81" s="22" t="inlineStr">
        <is>
          <t>DTTP25-38409</t>
        </is>
      </c>
      <c r="O81" s="23">
        <f>IF($N81="","","https://smartship.atlassian.net/browse/"&amp;$N81)</f>
        <v/>
      </c>
      <c r="P81">
        <f>IFERROR(VALUE(MID($A81,5,4)),0)</f>
        <v/>
      </c>
    </row>
    <row r="82" hidden="1" ht="15" customHeight="1">
      <c r="A82" s="21" t="inlineStr">
        <is>
          <t>NEW-0342</t>
        </is>
      </c>
      <c r="B82" s="22" t="inlineStr">
        <is>
          <t>CDP / DTS Post Booking - CR - Pax details Change</t>
        </is>
      </c>
      <c r="C82" s="22" t="inlineStr">
        <is>
          <t>CR</t>
        </is>
      </c>
      <c r="D82" s="22" t="inlineStr">
        <is>
          <t>Backlog</t>
        </is>
      </c>
      <c r="E82" s="22" t="inlineStr">
        <is>
          <t>MA</t>
        </is>
      </c>
      <c r="F82" s="22" t="inlineStr">
        <is>
          <t>DONE</t>
        </is>
      </c>
      <c r="G82" s="22" t="inlineStr">
        <is>
          <t>Medium</t>
        </is>
      </c>
      <c r="H82" s="22" t="n"/>
      <c r="I82" s="23">
        <f>IF($A82="","",IFERROR(IF(ISBLANK(INDEX(SprintPlanning[Sprint],MATCH($A82,SprintPlanning[Requirement ID],0))),"To Plan",INDEX(SprintPlanning[Sprint],MATCH($A82,SprintPlanning[Requirement ID],0))),"To Plan"))</f>
        <v/>
      </c>
      <c r="J82" s="22" t="n">
        <v>5</v>
      </c>
      <c r="K82" s="23">
        <f>IFERROR(IF(ISBLANK(INDEX(Release[Release],MATCH($A82,Release[Requirement ID],0))),"",INDEX(Release[Release],MATCH($A82,Release[Requirement ID],0))),"")</f>
        <v/>
      </c>
      <c r="L82" s="24" t="n">
        <v>46232</v>
      </c>
      <c r="M82" s="22" t="inlineStr">
        <is>
          <t>Created</t>
        </is>
      </c>
      <c r="N82" s="22" t="inlineStr">
        <is>
          <t>DTTP25-36972</t>
        </is>
      </c>
      <c r="O82" s="23">
        <f>IF($N82="","","https://smartship.atlassian.net/browse/"&amp;$N82)</f>
        <v/>
      </c>
      <c r="P82">
        <f>IFERROR(VALUE(MID($A82,5,4)),0)</f>
        <v/>
      </c>
    </row>
    <row r="83" hidden="1" ht="15" customHeight="1">
      <c r="A83" s="21" t="inlineStr">
        <is>
          <t>NEW-0380</t>
        </is>
      </c>
      <c r="B83" s="22" t="inlineStr">
        <is>
          <t>MSC4Me Precruise - Prepaids flow indipendence</t>
        </is>
      </c>
      <c r="C83" s="22" t="inlineStr">
        <is>
          <t>New</t>
        </is>
      </c>
      <c r="D83" s="22" t="inlineStr">
        <is>
          <t>PI9</t>
        </is>
      </c>
      <c r="E83" s="22" t="inlineStr">
        <is>
          <t>M4M</t>
        </is>
      </c>
      <c r="F83" s="22" t="inlineStr">
        <is>
          <t>DONE</t>
        </is>
      </c>
      <c r="G83" s="22" t="inlineStr">
        <is>
          <t>Medium</t>
        </is>
      </c>
      <c r="H83" s="22" t="n"/>
      <c r="I83" s="23">
        <f>IF($A83="","",IFERROR(IF(ISBLANK(INDEX(SprintPlanning[Sprint],MATCH($A83,SprintPlanning[Requirement ID],0))),"To Plan",INDEX(SprintPlanning[Sprint],MATCH($A83,SprintPlanning[Requirement ID],0))),"To Plan"))</f>
        <v/>
      </c>
      <c r="J83" s="22" t="n"/>
      <c r="K83" s="23">
        <f>IFERROR(IF(ISBLANK(INDEX(Release[Release],MATCH($A83,Release[Requirement ID],0))),"",INDEX(Release[Release],MATCH($A83,Release[Requirement ID],0))),"")</f>
        <v/>
      </c>
      <c r="L83" s="24" t="n">
        <v>46232</v>
      </c>
      <c r="M83" s="22" t="inlineStr">
        <is>
          <t>Created</t>
        </is>
      </c>
      <c r="N83" s="22" t="inlineStr">
        <is>
          <t>EA-1117</t>
        </is>
      </c>
      <c r="O83" s="23">
        <f>IF($N83="","","https://smartship.atlassian.net/browse/"&amp;$N83)</f>
        <v/>
      </c>
      <c r="P83">
        <f>IFERROR(VALUE(MID($A83,5,4)),0)</f>
        <v/>
      </c>
    </row>
    <row r="84" hidden="1" ht="15" customHeight="1">
      <c r="A84" s="21" t="inlineStr">
        <is>
          <t>NEW-0042</t>
        </is>
      </c>
      <c r="B84" s="22" t="inlineStr">
        <is>
          <t>Idempotency Key for Prepaids + Refund</t>
        </is>
      </c>
      <c r="C84" s="22" t="inlineStr">
        <is>
          <t>CR</t>
        </is>
      </c>
      <c r="D84" s="22" t="inlineStr">
        <is>
          <t>MyMSC</t>
        </is>
      </c>
      <c r="E84" s="22" t="inlineStr">
        <is>
          <t>B2CW</t>
        </is>
      </c>
      <c r="F84" s="22" t="inlineStr">
        <is>
          <t>DONE</t>
        </is>
      </c>
      <c r="G84" s="22" t="inlineStr">
        <is>
          <t>Medium</t>
        </is>
      </c>
      <c r="H84" s="22" t="n"/>
      <c r="I84" s="23">
        <f>IF($A84="","",IFERROR(IF(ISBLANK(INDEX(SprintPlanning[Sprint],MATCH($A84,SprintPlanning[Requirement ID],0))),"To Plan",INDEX(SprintPlanning[Sprint],MATCH($A84,SprintPlanning[Requirement ID],0))),"To Plan"))</f>
        <v/>
      </c>
      <c r="J84" s="22" t="n">
        <v>3</v>
      </c>
      <c r="K84" s="23">
        <f>IFERROR(IF(ISBLANK(INDEX(Release[Release],MATCH($A84,Release[Requirement ID],0))),"",INDEX(Release[Release],MATCH($A84,Release[Requirement ID],0))),"")</f>
        <v/>
      </c>
      <c r="L84" s="24" t="n">
        <v>46226</v>
      </c>
      <c r="M84" s="22" t="n"/>
      <c r="N84" s="22" t="inlineStr">
        <is>
          <t>DTTP25-36939</t>
        </is>
      </c>
      <c r="O84" s="23">
        <f>IF($N84="","","https://smartship.atlassian.net/browse/"&amp;$N84)</f>
        <v/>
      </c>
      <c r="P84">
        <f>IFERROR(VALUE(MID($A84,5,4)),0)</f>
        <v/>
      </c>
    </row>
    <row r="85" hidden="1" ht="15" customHeight="1">
      <c r="A85" s="27" t="inlineStr">
        <is>
          <t>NEW-0417</t>
        </is>
      </c>
      <c r="B85" s="28" t="inlineStr">
        <is>
          <t>Configure APIs for India</t>
        </is>
      </c>
      <c r="C85" s="28" t="inlineStr">
        <is>
          <t>Config</t>
        </is>
      </c>
      <c r="D85" s="28" t="inlineStr">
        <is>
          <t>MVP Rollout</t>
        </is>
      </c>
      <c r="E85" s="28" t="inlineStr">
        <is>
          <t>B2CW</t>
        </is>
      </c>
      <c r="F85" s="28" t="inlineStr">
        <is>
          <t>DONE</t>
        </is>
      </c>
      <c r="G85" s="28" t="inlineStr">
        <is>
          <t>Medium</t>
        </is>
      </c>
      <c r="H85" s="28" t="n"/>
      <c r="I85" s="29">
        <f>IF($A85="","",IFERROR(IF(ISBLANK(INDEX(SprintPlanning[Sprint],MATCH($A85,SprintPlanning[Requirement ID],0))),"To Plan",INDEX(SprintPlanning[Sprint],MATCH($A85,SprintPlanning[Requirement ID],0))),"To Plan"))</f>
        <v/>
      </c>
      <c r="J85" s="28" t="n">
        <v>8</v>
      </c>
      <c r="K85" s="29">
        <f>IFERROR(IF(ISBLANK(INDEX(Release[Release],MATCH($A85,Release[Requirement ID],0))),"",INDEX(Release[Release],MATCH($A85,Release[Requirement ID],0))),"")</f>
        <v/>
      </c>
      <c r="L85" s="30" t="n">
        <v>46238</v>
      </c>
      <c r="M85" s="28" t="inlineStr">
        <is>
          <t>Created</t>
        </is>
      </c>
      <c r="N85" s="28" t="inlineStr">
        <is>
          <t>DTTP25-40332</t>
        </is>
      </c>
      <c r="O85" s="29">
        <f>IF($N85="","","https://smartship.atlassian.net/browse/"&amp;$N85)</f>
        <v/>
      </c>
      <c r="P85">
        <f>IFERROR(VALUE(MID($A85,5,4)),0)</f>
        <v/>
      </c>
    </row>
    <row r="86" hidden="1" ht="15" customHeight="1">
      <c r="A86" s="27" t="inlineStr">
        <is>
          <t>NEW-0418</t>
        </is>
      </c>
      <c r="B86" s="28" t="inlineStr">
        <is>
          <t>INT146 - CR - Klarna - MyMSC Post-Booking Payment Support</t>
        </is>
      </c>
      <c r="C86" s="28" t="inlineStr">
        <is>
          <t>CR</t>
        </is>
      </c>
      <c r="D86" s="28" t="inlineStr">
        <is>
          <t>MyMSC</t>
        </is>
      </c>
      <c r="E86" s="28" t="inlineStr">
        <is>
          <t>B2CW</t>
        </is>
      </c>
      <c r="F86" s="28" t="inlineStr">
        <is>
          <t>DONE</t>
        </is>
      </c>
      <c r="G86" s="28" t="inlineStr">
        <is>
          <t>Medium</t>
        </is>
      </c>
      <c r="H86" s="28" t="n"/>
      <c r="I86" s="29">
        <f>IF($A86="","",IFERROR(IF(ISBLANK(INDEX(SprintPlanning[Sprint],MATCH($A86,SprintPlanning[Requirement ID],0))),"To Plan",INDEX(SprintPlanning[Sprint],MATCH($A86,SprintPlanning[Requirement ID],0))),"To Plan"))</f>
        <v/>
      </c>
      <c r="J86" s="28" t="n">
        <v>13</v>
      </c>
      <c r="K86" s="29">
        <f>IFERROR(IF(ISBLANK(INDEX(Release[Release],MATCH($A86,Release[Requirement ID],0))),"",INDEX(Release[Release],MATCH($A86,Release[Requirement ID],0))),"")</f>
        <v/>
      </c>
      <c r="L86" s="30" t="n">
        <v>46238</v>
      </c>
      <c r="M86" s="28" t="inlineStr">
        <is>
          <t>Created</t>
        </is>
      </c>
      <c r="N86" s="28" t="inlineStr">
        <is>
          <t>DTTP25-38635</t>
        </is>
      </c>
      <c r="O86" s="29">
        <f>IF($N86="","","https://smartship.atlassian.net/browse/"&amp;$N86)</f>
        <v/>
      </c>
      <c r="P86">
        <f>IFERROR(VALUE(MID($A86,5,4)),0)</f>
        <v/>
      </c>
    </row>
    <row r="87" hidden="1" ht="15" customHeight="1">
      <c r="A87" s="21" t="inlineStr">
        <is>
          <t>NEW-0063</t>
        </is>
      </c>
      <c r="B87" s="22" t="inlineStr">
        <is>
          <t>INT 005.2 - Support One-Way Air Packages in Flight Availability</t>
        </is>
      </c>
      <c r="C87" s="22" t="inlineStr">
        <is>
          <t>CR</t>
        </is>
      </c>
      <c r="D87" s="22" t="inlineStr">
        <is>
          <t>Growth</t>
        </is>
      </c>
      <c r="E87" s="22" t="inlineStr">
        <is>
          <t>B2CW</t>
        </is>
      </c>
      <c r="F87" s="22" t="inlineStr">
        <is>
          <t>DONE</t>
        </is>
      </c>
      <c r="G87" s="22" t="inlineStr">
        <is>
          <t>Critical</t>
        </is>
      </c>
      <c r="H87" s="22" t="n"/>
      <c r="I87" s="23">
        <f>IF($A87="","",IFERROR(IF(ISBLANK(INDEX(SprintPlanning[Sprint],MATCH($A87,SprintPlanning[Requirement ID],0))),"To Plan",INDEX(SprintPlanning[Sprint],MATCH($A87,SprintPlanning[Requirement ID],0))),"To Plan"))</f>
        <v/>
      </c>
      <c r="J87" s="22" t="n">
        <v>5</v>
      </c>
      <c r="K87" s="23">
        <f>IFERROR(IF(ISBLANK(INDEX(Release[Release],MATCH($A87,Release[Requirement ID],0))),"",INDEX(Release[Release],MATCH($A87,Release[Requirement ID],0))),"")</f>
        <v/>
      </c>
      <c r="L87" s="24" t="n">
        <v>46226</v>
      </c>
      <c r="M87" s="22" t="inlineStr">
        <is>
          <t>Created</t>
        </is>
      </c>
      <c r="N87" s="22" t="inlineStr">
        <is>
          <t>DTTP25-37438</t>
        </is>
      </c>
      <c r="O87" s="23">
        <f>IF($N87="","","https://smartship.atlassian.net/browse/"&amp;$N87)</f>
        <v/>
      </c>
      <c r="P87">
        <f>IFERROR(VALUE(MID($A87,5,4)),0)</f>
        <v/>
      </c>
    </row>
    <row r="88" hidden="1" ht="15" customHeight="1">
      <c r="A88" s="21" t="inlineStr">
        <is>
          <t>NEW-0112</t>
        </is>
      </c>
      <c r="B88" s="22" t="inlineStr">
        <is>
          <t>Lead pax details in booking event</t>
        </is>
      </c>
      <c r="C88" s="22" t="inlineStr">
        <is>
          <t>CR</t>
        </is>
      </c>
      <c r="D88" s="22" t="inlineStr">
        <is>
          <t>US</t>
        </is>
      </c>
      <c r="E88" s="22" t="inlineStr">
        <is>
          <t>S&amp;S</t>
        </is>
      </c>
      <c r="F88" s="22" t="inlineStr">
        <is>
          <t>DONE</t>
        </is>
      </c>
      <c r="G88" s="22" t="inlineStr">
        <is>
          <t>Medium</t>
        </is>
      </c>
      <c r="H88" s="22" t="n"/>
      <c r="I88" s="23">
        <f>IF($A88="","",IFERROR(IF(ISBLANK(INDEX(SprintPlanning[Sprint],MATCH($A88,SprintPlanning[Requirement ID],0))),"To Plan",INDEX(SprintPlanning[Sprint],MATCH($A88,SprintPlanning[Requirement ID],0))),"To Plan"))</f>
        <v/>
      </c>
      <c r="J88" s="22" t="n"/>
      <c r="K88" s="23">
        <f>IFERROR(IF(ISBLANK(INDEX(Release[Release],MATCH($A88,Release[Requirement ID],0))),"",INDEX(Release[Release],MATCH($A88,Release[Requirement ID],0))),"")</f>
        <v/>
      </c>
      <c r="L88" s="24" t="n">
        <v>46232</v>
      </c>
      <c r="M88" s="22" t="inlineStr">
        <is>
          <t>Created</t>
        </is>
      </c>
      <c r="N88" s="22" t="inlineStr">
        <is>
          <t>DTTP25-36972</t>
        </is>
      </c>
      <c r="O88" s="23">
        <f>IF($N88="","","https://smartship.atlassian.net/browse/"&amp;$N88)</f>
        <v/>
      </c>
      <c r="P88">
        <f>IFERROR(VALUE(MID($A88,5,4)),0)</f>
        <v/>
      </c>
    </row>
    <row r="89" hidden="1" ht="15" customHeight="1">
      <c r="A89" s="21" t="inlineStr">
        <is>
          <t>NEW-0113</t>
        </is>
      </c>
      <c r="B89" s="22" t="inlineStr">
        <is>
          <t>INT 710 Timezone Lookup</t>
        </is>
      </c>
      <c r="C89" s="22" t="inlineStr">
        <is>
          <t>CR</t>
        </is>
      </c>
      <c r="D89" s="22" t="inlineStr">
        <is>
          <t>US</t>
        </is>
      </c>
      <c r="E89" s="22" t="inlineStr">
        <is>
          <t>S&amp;S</t>
        </is>
      </c>
      <c r="F89" s="22" t="inlineStr">
        <is>
          <t>DONE</t>
        </is>
      </c>
      <c r="G89" s="22" t="inlineStr">
        <is>
          <t>Medium</t>
        </is>
      </c>
      <c r="H89" s="22" t="n"/>
      <c r="I89" s="23">
        <f>IF($A89="","",IFERROR(IF(ISBLANK(INDEX(SprintPlanning[Sprint],MATCH($A89,SprintPlanning[Requirement ID],0))),"To Plan",INDEX(SprintPlanning[Sprint],MATCH($A89,SprintPlanning[Requirement ID],0))),"To Plan"))</f>
        <v/>
      </c>
      <c r="J89" s="22" t="n"/>
      <c r="K89" s="23">
        <f>IFERROR(IF(ISBLANK(INDEX(Release[Release],MATCH($A89,Release[Requirement ID],0))),"",INDEX(Release[Release],MATCH($A89,Release[Requirement ID],0))),"")</f>
        <v/>
      </c>
      <c r="L89" s="24" t="n">
        <v>46232</v>
      </c>
      <c r="M89" s="22" t="inlineStr">
        <is>
          <t>Created</t>
        </is>
      </c>
      <c r="N89" s="22" t="inlineStr">
        <is>
          <t>MDTTPU-6141</t>
        </is>
      </c>
      <c r="O89" s="23">
        <f>IF($N89="","","https://smartship.atlassian.net/browse/"&amp;$N89)</f>
        <v/>
      </c>
      <c r="P89">
        <f>IFERROR(VALUE(MID($A89,5,4)),0)</f>
        <v/>
      </c>
    </row>
    <row r="90" hidden="1" ht="15" customHeight="1">
      <c r="A90" s="21" t="inlineStr">
        <is>
          <t>NEW-0120</t>
        </is>
      </c>
      <c r="B90" s="22" t="inlineStr">
        <is>
          <t>INT 101 - Add group id in webforms</t>
        </is>
      </c>
      <c r="C90" s="22" t="inlineStr">
        <is>
          <t>CR</t>
        </is>
      </c>
      <c r="D90" s="22" t="inlineStr">
        <is>
          <t>US</t>
        </is>
      </c>
      <c r="E90" s="22" t="inlineStr">
        <is>
          <t>S&amp;S</t>
        </is>
      </c>
      <c r="F90" s="22" t="inlineStr">
        <is>
          <t>DONE</t>
        </is>
      </c>
      <c r="G90" s="22" t="inlineStr">
        <is>
          <t>Medium</t>
        </is>
      </c>
      <c r="H90" s="22" t="n"/>
      <c r="I90" s="23">
        <f>IF($A90="","",IFERROR(IF(ISBLANK(INDEX(SprintPlanning[Sprint],MATCH($A90,SprintPlanning[Requirement ID],0))),"To Plan",INDEX(SprintPlanning[Sprint],MATCH($A90,SprintPlanning[Requirement ID],0))),"To Plan"))</f>
        <v/>
      </c>
      <c r="J90" s="22" t="n"/>
      <c r="K90" s="23">
        <f>IFERROR(IF(ISBLANK(INDEX(Release[Release],MATCH($A90,Release[Requirement ID],0))),"",INDEX(Release[Release],MATCH($A90,Release[Requirement ID],0))),"")</f>
        <v/>
      </c>
      <c r="L90" s="24" t="n">
        <v>46232</v>
      </c>
      <c r="M90" s="22" t="inlineStr">
        <is>
          <t>Created</t>
        </is>
      </c>
      <c r="N90" s="22" t="inlineStr">
        <is>
          <t>MDTTPU-8133</t>
        </is>
      </c>
      <c r="O90" s="23">
        <f>IF($N90="","","https://smartship.atlassian.net/browse/"&amp;$N90)</f>
        <v/>
      </c>
      <c r="P90">
        <f>IFERROR(VALUE(MID($A90,5,4)),0)</f>
        <v/>
      </c>
    </row>
    <row r="91" hidden="1" ht="15" customHeight="1">
      <c r="A91" s="21" t="inlineStr">
        <is>
          <t>NEW-0121</t>
        </is>
      </c>
      <c r="B91" s="22" t="inlineStr">
        <is>
          <t>INT 024.1/ INT 025/ INT100 - Add group type field</t>
        </is>
      </c>
      <c r="C91" s="22" t="inlineStr">
        <is>
          <t>CR</t>
        </is>
      </c>
      <c r="D91" s="22" t="inlineStr">
        <is>
          <t>US</t>
        </is>
      </c>
      <c r="E91" s="22" t="inlineStr">
        <is>
          <t>S&amp;S</t>
        </is>
      </c>
      <c r="F91" s="22" t="inlineStr">
        <is>
          <t>DONE</t>
        </is>
      </c>
      <c r="G91" s="22" t="inlineStr">
        <is>
          <t>Medium</t>
        </is>
      </c>
      <c r="H91" s="22" t="n"/>
      <c r="I91" s="23">
        <f>IF($A91="","",IFERROR(IF(ISBLANK(INDEX(SprintPlanning[Sprint],MATCH($A91,SprintPlanning[Requirement ID],0))),"To Plan",INDEX(SprintPlanning[Sprint],MATCH($A91,SprintPlanning[Requirement ID],0))),"To Plan"))</f>
        <v/>
      </c>
      <c r="J91" s="22" t="n">
        <v>3</v>
      </c>
      <c r="K91" s="23">
        <f>IFERROR(IF(ISBLANK(INDEX(Release[Release],MATCH($A91,Release[Requirement ID],0))),"",INDEX(Release[Release],MATCH($A91,Release[Requirement ID],0))),"")</f>
        <v/>
      </c>
      <c r="L91" s="24" t="n">
        <v>46232</v>
      </c>
      <c r="M91" s="22" t="inlineStr">
        <is>
          <t>Created</t>
        </is>
      </c>
      <c r="N91" s="22" t="inlineStr">
        <is>
          <t>MDTTPU-6140</t>
        </is>
      </c>
      <c r="O91" s="23">
        <f>IF($N91="","","https://smartship.atlassian.net/browse/"&amp;$N91)</f>
        <v/>
      </c>
      <c r="P91">
        <f>IFERROR(VALUE(MID($A91,5,4)),0)</f>
        <v/>
      </c>
    </row>
    <row r="92" hidden="1" ht="15" customHeight="1">
      <c r="A92" s="21" t="inlineStr">
        <is>
          <t>NEW-0122</t>
        </is>
      </c>
      <c r="B92" s="22" t="inlineStr">
        <is>
          <t>INT 037 - B2B Representative Event</t>
        </is>
      </c>
      <c r="C92" s="22" t="inlineStr">
        <is>
          <t>New</t>
        </is>
      </c>
      <c r="D92" s="22" t="inlineStr">
        <is>
          <t>US</t>
        </is>
      </c>
      <c r="E92" s="22" t="inlineStr">
        <is>
          <t>S&amp;S</t>
        </is>
      </c>
      <c r="F92" s="22" t="inlineStr">
        <is>
          <t>DONE</t>
        </is>
      </c>
      <c r="G92" s="22" t="inlineStr">
        <is>
          <t>Medium</t>
        </is>
      </c>
      <c r="H92" s="22" t="n"/>
      <c r="I92" s="23">
        <f>IF($A92="","",IFERROR(IF(ISBLANK(INDEX(SprintPlanning[Sprint],MATCH($A92,SprintPlanning[Requirement ID],0))),"To Plan",INDEX(SprintPlanning[Sprint],MATCH($A92,SprintPlanning[Requirement ID],0))),"To Plan"))</f>
        <v/>
      </c>
      <c r="J92" s="22" t="n">
        <v>5</v>
      </c>
      <c r="K92" s="23">
        <f>IFERROR(IF(ISBLANK(INDEX(Release[Release],MATCH($A92,Release[Requirement ID],0))),"",INDEX(Release[Release],MATCH($A92,Release[Requirement ID],0))),"")</f>
        <v/>
      </c>
      <c r="L92" s="24" t="n">
        <v>46232</v>
      </c>
      <c r="M92" s="22" t="inlineStr">
        <is>
          <t>Created</t>
        </is>
      </c>
      <c r="N92" s="22" t="inlineStr">
        <is>
          <t>MDTTPU-2675</t>
        </is>
      </c>
      <c r="O92" s="23">
        <f>IF($N92="","","https://smartship.atlassian.net/browse/"&amp;$N92)</f>
        <v/>
      </c>
      <c r="P92">
        <f>IFERROR(VALUE(MID($A92,5,4)),0)</f>
        <v/>
      </c>
    </row>
    <row r="93" hidden="1" ht="15" customHeight="1">
      <c r="A93" s="21" t="inlineStr">
        <is>
          <t>NEW-0151</t>
        </is>
      </c>
      <c r="B93" s="22" t="inlineStr">
        <is>
          <t>INT 139 / 140 - additional applicability logic</t>
        </is>
      </c>
      <c r="C93" s="22" t="inlineStr">
        <is>
          <t>CR</t>
        </is>
      </c>
      <c r="D93" s="22" t="inlineStr">
        <is>
          <t>MyMSC</t>
        </is>
      </c>
      <c r="E93" s="22" t="inlineStr">
        <is>
          <t>B2CW</t>
        </is>
      </c>
      <c r="F93" s="22" t="inlineStr">
        <is>
          <t>DONE</t>
        </is>
      </c>
      <c r="G93" s="22" t="inlineStr">
        <is>
          <t>Medium</t>
        </is>
      </c>
      <c r="H93" s="22" t="n"/>
      <c r="I93" s="23">
        <f>IF($A93="","",IFERROR(IF(ISBLANK(INDEX(SprintPlanning[Sprint],MATCH($A93,SprintPlanning[Requirement ID],0))),"To Plan",INDEX(SprintPlanning[Sprint],MATCH($A93,SprintPlanning[Requirement ID],0))),"To Plan"))</f>
        <v/>
      </c>
      <c r="J93" s="22" t="n"/>
      <c r="K93" s="23">
        <f>IFERROR(IF(ISBLANK(INDEX(Release[Release],MATCH($A93,Release[Requirement ID],0))),"",INDEX(Release[Release],MATCH($A93,Release[Requirement ID],0))),"")</f>
        <v/>
      </c>
      <c r="L93" s="24" t="n">
        <v>46232</v>
      </c>
      <c r="M93" s="22" t="inlineStr">
        <is>
          <t>Created</t>
        </is>
      </c>
      <c r="N93" s="22" t="inlineStr">
        <is>
          <t>DTTP25-35437</t>
        </is>
      </c>
      <c r="O93" s="23">
        <f>IF($N93="","","https://smartship.atlassian.net/browse/"&amp;$N93)</f>
        <v/>
      </c>
      <c r="P93">
        <f>IFERROR(VALUE(MID($A93,5,4)),0)</f>
        <v/>
      </c>
    </row>
    <row r="94" hidden="1" ht="15" customHeight="1">
      <c r="A94" s="21" t="inlineStr">
        <is>
          <t>NEW-0219</t>
        </is>
      </c>
      <c r="B94" s="22" t="inlineStr">
        <is>
          <t>INT710 - Outbound leads - Abandoned Cart - Genesys Contact ID Mapping and Multiple Case Handling</t>
        </is>
      </c>
      <c r="C94" s="22" t="inlineStr">
        <is>
          <t>CR</t>
        </is>
      </c>
      <c r="D94" s="22" t="inlineStr">
        <is>
          <t>US</t>
        </is>
      </c>
      <c r="E94" s="22" t="inlineStr">
        <is>
          <t>S&amp;S</t>
        </is>
      </c>
      <c r="F94" s="22" t="inlineStr">
        <is>
          <t>DONE</t>
        </is>
      </c>
      <c r="G94" s="22" t="inlineStr">
        <is>
          <t>Medium</t>
        </is>
      </c>
      <c r="H94" s="22" t="n"/>
      <c r="I94" s="23">
        <f>IF($A94="","",IFERROR(IF(ISBLANK(INDEX(SprintPlanning[Sprint],MATCH($A94,SprintPlanning[Requirement ID],0))),"To Plan",INDEX(SprintPlanning[Sprint],MATCH($A94,SprintPlanning[Requirement ID],0))),"To Plan"))</f>
        <v/>
      </c>
      <c r="J94" s="22" t="n">
        <v>5</v>
      </c>
      <c r="K94" s="23">
        <f>IFERROR(IF(ISBLANK(INDEX(Release[Release],MATCH($A94,Release[Requirement ID],0))),"",INDEX(Release[Release],MATCH($A94,Release[Requirement ID],0))),"")</f>
        <v/>
      </c>
      <c r="L94" s="24" t="n">
        <v>46232</v>
      </c>
      <c r="M94" s="22" t="inlineStr">
        <is>
          <t>Created</t>
        </is>
      </c>
      <c r="N94" s="22" t="inlineStr">
        <is>
          <t>MDTTPU-5929</t>
        </is>
      </c>
      <c r="O94" s="23">
        <f>IF($N94="","","https://smartship.atlassian.net/browse/"&amp;$N94)</f>
        <v/>
      </c>
      <c r="P94">
        <f>IFERROR(VALUE(MID($A94,5,4)),0)</f>
        <v/>
      </c>
    </row>
    <row r="95" hidden="1" ht="15" customHeight="1">
      <c r="A95" s="21" t="inlineStr">
        <is>
          <t>NEW-0228</t>
        </is>
      </c>
      <c r="B95" s="22" t="inlineStr">
        <is>
          <t>INT114.1 / INT114.2 / INT113 Limit access to bookings from the same office as the website agency</t>
        </is>
      </c>
      <c r="C95" s="22" t="inlineStr">
        <is>
          <t>CR</t>
        </is>
      </c>
      <c r="D95" s="22" t="inlineStr">
        <is>
          <t>MyMSC</t>
        </is>
      </c>
      <c r="E95" s="22" t="inlineStr">
        <is>
          <t>B2CW</t>
        </is>
      </c>
      <c r="F95" s="22" t="inlineStr">
        <is>
          <t>DONE</t>
        </is>
      </c>
      <c r="G95" s="22" t="inlineStr">
        <is>
          <t>Medium</t>
        </is>
      </c>
      <c r="H95" s="22" t="n"/>
      <c r="I95" s="23">
        <f>IF($A95="","",IFERROR(IF(ISBLANK(INDEX(SprintPlanning[Sprint],MATCH($A95,SprintPlanning[Requirement ID],0))),"To Plan",INDEX(SprintPlanning[Sprint],MATCH($A95,SprintPlanning[Requirement ID],0))),"To Plan"))</f>
        <v/>
      </c>
      <c r="J95" s="22" t="n">
        <v>3</v>
      </c>
      <c r="K95" s="23">
        <f>IFERROR(IF(ISBLANK(INDEX(Release[Release],MATCH($A95,Release[Requirement ID],0))),"",INDEX(Release[Release],MATCH($A95,Release[Requirement ID],0))),"")</f>
        <v/>
      </c>
      <c r="L95" s="24" t="n">
        <v>46232</v>
      </c>
      <c r="M95" s="22" t="inlineStr">
        <is>
          <t>Created</t>
        </is>
      </c>
      <c r="N95" s="22" t="inlineStr">
        <is>
          <t>DTTP25-38013</t>
        </is>
      </c>
      <c r="O95" s="23">
        <f>IF($N95="","","https://smartship.atlassian.net/browse/"&amp;$N95)</f>
        <v/>
      </c>
      <c r="P95">
        <f>IFERROR(VALUE(MID($A95,5,4)),0)</f>
        <v/>
      </c>
    </row>
    <row r="96" hidden="1" ht="15" customHeight="1">
      <c r="A96" s="21" t="inlineStr">
        <is>
          <t>NEW-0233</t>
        </is>
      </c>
      <c r="B96" s="22" t="inlineStr">
        <is>
          <t>[CR] Booking Funnel Market Segregation - Include market-level data in logging</t>
        </is>
      </c>
      <c r="C96" s="22" t="inlineStr">
        <is>
          <t>Tech Task</t>
        </is>
      </c>
      <c r="D96" s="22" t="inlineStr">
        <is>
          <t>Tech</t>
        </is>
      </c>
      <c r="E96" s="22" t="inlineStr">
        <is>
          <t>ALL</t>
        </is>
      </c>
      <c r="F96" s="22" t="inlineStr">
        <is>
          <t>DONE</t>
        </is>
      </c>
      <c r="G96" s="22" t="inlineStr">
        <is>
          <t>Medium</t>
        </is>
      </c>
      <c r="H96" s="22" t="n"/>
      <c r="I96" s="23">
        <f>IF($A96="","",IFERROR(IF(ISBLANK(INDEX(SprintPlanning[Sprint],MATCH($A96,SprintPlanning[Requirement ID],0))),"To Plan",INDEX(SprintPlanning[Sprint],MATCH($A96,SprintPlanning[Requirement ID],0))),"To Plan"))</f>
        <v/>
      </c>
      <c r="J96" s="22" t="n">
        <v>8</v>
      </c>
      <c r="K96" s="23">
        <f>IFERROR(IF(ISBLANK(INDEX(Release[Release],MATCH($A96,Release[Requirement ID],0))),"",INDEX(Release[Release],MATCH($A96,Release[Requirement ID],0))),"")</f>
        <v/>
      </c>
      <c r="L96" s="24" t="n">
        <v>46232</v>
      </c>
      <c r="M96" s="22" t="inlineStr">
        <is>
          <t>Created</t>
        </is>
      </c>
      <c r="N96" s="22" t="inlineStr">
        <is>
          <t>DTTP25-34120</t>
        </is>
      </c>
      <c r="O96" s="23">
        <f>IF($N96="","","https://smartship.atlassian.net/browse/"&amp;$N96)</f>
        <v/>
      </c>
      <c r="P96">
        <f>IFERROR(VALUE(MID($A96,5,4)),0)</f>
        <v/>
      </c>
    </row>
    <row r="97" hidden="1" ht="15" customHeight="1">
      <c r="A97" s="21" t="inlineStr">
        <is>
          <t>NEW-0234</t>
        </is>
      </c>
      <c r="B97" s="22" t="inlineStr">
        <is>
          <t>LOAD TEST in Perf Env - Part 2</t>
        </is>
      </c>
      <c r="C97" s="22" t="inlineStr">
        <is>
          <t>Tech Task</t>
        </is>
      </c>
      <c r="D97" s="22" t="inlineStr">
        <is>
          <t>Tech</t>
        </is>
      </c>
      <c r="E97" s="22" t="inlineStr">
        <is>
          <t>ALL</t>
        </is>
      </c>
      <c r="F97" s="22" t="inlineStr">
        <is>
          <t>DONE</t>
        </is>
      </c>
      <c r="G97" s="22" t="inlineStr">
        <is>
          <t>Medium</t>
        </is>
      </c>
      <c r="H97" s="22" t="n"/>
      <c r="I97" s="23">
        <f>IF($A97="","",IFERROR(IF(ISBLANK(INDEX(SprintPlanning[Sprint],MATCH($A97,SprintPlanning[Requirement ID],0))),"To Plan",INDEX(SprintPlanning[Sprint],MATCH($A97,SprintPlanning[Requirement ID],0))),"To Plan"))</f>
        <v/>
      </c>
      <c r="J97" s="22" t="n">
        <v>5</v>
      </c>
      <c r="K97" s="23">
        <f>IFERROR(IF(ISBLANK(INDEX(Release[Release],MATCH($A97,Release[Requirement ID],0))),"",INDEX(Release[Release],MATCH($A97,Release[Requirement ID],0))),"")</f>
        <v/>
      </c>
      <c r="L97" s="24" t="n">
        <v>46232</v>
      </c>
      <c r="M97" s="22" t="n"/>
      <c r="N97" s="22" t="n"/>
      <c r="O97" s="23">
        <f>IF($N97="","","https://smartship.atlassian.net/browse/"&amp;$N97)</f>
        <v/>
      </c>
      <c r="P97">
        <f>IFERROR(VALUE(MID($A97,5,4)),0)</f>
        <v/>
      </c>
    </row>
    <row r="98" hidden="1" ht="15" customHeight="1">
      <c r="A98" s="21" t="inlineStr">
        <is>
          <t>NEW-0242</t>
        </is>
      </c>
      <c r="B98" s="22" t="inlineStr">
        <is>
          <t>PVC - INT024.2 CR</t>
        </is>
      </c>
      <c r="C98" s="22" t="inlineStr">
        <is>
          <t>CR</t>
        </is>
      </c>
      <c r="D98" s="22" t="inlineStr">
        <is>
          <t>US</t>
        </is>
      </c>
      <c r="E98" s="22" t="inlineStr">
        <is>
          <t>S&amp;S</t>
        </is>
      </c>
      <c r="F98" s="22" t="inlineStr">
        <is>
          <t>DONE</t>
        </is>
      </c>
      <c r="G98" s="22" t="inlineStr">
        <is>
          <t>Medium</t>
        </is>
      </c>
      <c r="H98" s="22" t="n"/>
      <c r="I98" s="23">
        <f>IF($A98="","",IFERROR(IF(ISBLANK(INDEX(SprintPlanning[Sprint],MATCH($A98,SprintPlanning[Requirement ID],0))),"To Plan",INDEX(SprintPlanning[Sprint],MATCH($A98,SprintPlanning[Requirement ID],0))),"To Plan"))</f>
        <v/>
      </c>
      <c r="J98" s="22" t="n">
        <v>2</v>
      </c>
      <c r="K98" s="23">
        <f>IFERROR(IF(ISBLANK(INDEX(Release[Release],MATCH($A98,Release[Requirement ID],0))),"",INDEX(Release[Release],MATCH($A98,Release[Requirement ID],0))),"")</f>
        <v/>
      </c>
      <c r="L98" s="24" t="n">
        <v>46232</v>
      </c>
      <c r="M98" s="22" t="inlineStr">
        <is>
          <t>Created</t>
        </is>
      </c>
      <c r="N98" s="22" t="inlineStr">
        <is>
          <t>MDTTPU-4777</t>
        </is>
      </c>
      <c r="O98" s="23">
        <f>IF($N98="","","https://smartship.atlassian.net/browse/"&amp;$N98)</f>
        <v/>
      </c>
      <c r="P98">
        <f>IFERROR(VALUE(MID($A98,5,4)),0)</f>
        <v/>
      </c>
    </row>
    <row r="99" hidden="1" ht="15" customHeight="1">
      <c r="A99" s="21" t="inlineStr">
        <is>
          <t>NEW-0247</t>
        </is>
      </c>
      <c r="B99" s="22" t="inlineStr">
        <is>
          <t>Attentive - INT172</t>
        </is>
      </c>
      <c r="C99" s="22" t="inlineStr">
        <is>
          <t>New</t>
        </is>
      </c>
      <c r="D99" s="22" t="inlineStr">
        <is>
          <t>US</t>
        </is>
      </c>
      <c r="E99" s="22" t="inlineStr">
        <is>
          <t>MA</t>
        </is>
      </c>
      <c r="F99" s="22" t="inlineStr">
        <is>
          <t>DONE</t>
        </is>
      </c>
      <c r="G99" s="22" t="inlineStr">
        <is>
          <t>Medium</t>
        </is>
      </c>
      <c r="H99" s="22" t="n"/>
      <c r="I99" s="23">
        <f>IF($A99="","",IFERROR(IF(ISBLANK(INDEX(SprintPlanning[Sprint],MATCH($A99,SprintPlanning[Requirement ID],0))),"To Plan",INDEX(SprintPlanning[Sprint],MATCH($A99,SprintPlanning[Requirement ID],0))),"To Plan"))</f>
        <v/>
      </c>
      <c r="J99" s="22" t="n">
        <v>21</v>
      </c>
      <c r="K99" s="23">
        <f>IFERROR(IF(ISBLANK(INDEX(Release[Release],MATCH($A99,Release[Requirement ID],0))),"",INDEX(Release[Release],MATCH($A99,Release[Requirement ID],0))),"")</f>
        <v/>
      </c>
      <c r="L99" s="24" t="n">
        <v>46232</v>
      </c>
      <c r="M99" s="22" t="n"/>
      <c r="N99" s="22" t="n"/>
      <c r="O99" s="23">
        <f>IF($N99="","","https://smartship.atlassian.net/browse/"&amp;$N99)</f>
        <v/>
      </c>
      <c r="P99">
        <f>IFERROR(VALUE(MID($A99,5,4)),0)</f>
        <v/>
      </c>
    </row>
    <row r="100" hidden="1" ht="15" customHeight="1">
      <c r="A100" s="21" t="inlineStr">
        <is>
          <t>NEW-0248</t>
        </is>
      </c>
      <c r="B100" s="22" t="inlineStr">
        <is>
          <t>Attentive - INT174</t>
        </is>
      </c>
      <c r="C100" s="22" t="inlineStr">
        <is>
          <t>New</t>
        </is>
      </c>
      <c r="D100" s="22" t="inlineStr">
        <is>
          <t>US</t>
        </is>
      </c>
      <c r="E100" s="22" t="inlineStr">
        <is>
          <t>MA</t>
        </is>
      </c>
      <c r="F100" s="22" t="inlineStr">
        <is>
          <t>DONE</t>
        </is>
      </c>
      <c r="G100" s="22" t="inlineStr">
        <is>
          <t>Medium</t>
        </is>
      </c>
      <c r="H100" s="22" t="n"/>
      <c r="I100" s="23">
        <f>IF($A100="","",IFERROR(IF(ISBLANK(INDEX(SprintPlanning[Sprint],MATCH($A100,SprintPlanning[Requirement ID],0))),"To Plan",INDEX(SprintPlanning[Sprint],MATCH($A100,SprintPlanning[Requirement ID],0))),"To Plan"))</f>
        <v/>
      </c>
      <c r="J100" s="22" t="n">
        <v>8</v>
      </c>
      <c r="K100" s="23">
        <f>IFERROR(IF(ISBLANK(INDEX(Release[Release],MATCH($A100,Release[Requirement ID],0))),"",INDEX(Release[Release],MATCH($A100,Release[Requirement ID],0))),"")</f>
        <v/>
      </c>
      <c r="L100" s="24" t="n">
        <v>46232</v>
      </c>
      <c r="M100" s="22" t="n"/>
      <c r="N100" s="22" t="n"/>
      <c r="O100" s="23">
        <f>IF($N100="","","https://smartship.atlassian.net/browse/"&amp;$N100)</f>
        <v/>
      </c>
      <c r="P100">
        <f>IFERROR(VALUE(MID($A100,5,4)),0)</f>
        <v/>
      </c>
    </row>
    <row r="101" hidden="1" ht="15" customHeight="1">
      <c r="A101" s="21" t="inlineStr">
        <is>
          <t>NEW-0267</t>
        </is>
      </c>
      <c r="B101" s="22" t="inlineStr">
        <is>
          <t>Outbound leads - Abandoned Cart - Replacement of Salescycle</t>
        </is>
      </c>
      <c r="C101" s="22" t="inlineStr">
        <is>
          <t>TBC</t>
        </is>
      </c>
      <c r="D101" s="22" t="inlineStr">
        <is>
          <t>US</t>
        </is>
      </c>
      <c r="E101" s="22" t="inlineStr">
        <is>
          <t>MA</t>
        </is>
      </c>
      <c r="F101" s="22" t="inlineStr">
        <is>
          <t>ON HOLD</t>
        </is>
      </c>
      <c r="G101" s="22" t="inlineStr">
        <is>
          <t>Medium</t>
        </is>
      </c>
      <c r="H101" s="22" t="n"/>
      <c r="I101" s="23">
        <f>IF($A101="","",IFERROR(IF(ISBLANK(INDEX(SprintPlanning[Sprint],MATCH($A101,SprintPlanning[Requirement ID],0))),"To Plan",INDEX(SprintPlanning[Sprint],MATCH($A101,SprintPlanning[Requirement ID],0))),"To Plan"))</f>
        <v/>
      </c>
      <c r="J101" s="22" t="n"/>
      <c r="K101" s="23">
        <f>IFERROR(IF(ISBLANK(INDEX(Release[Release],MATCH($A101,Release[Requirement ID],0))),"",INDEX(Release[Release],MATCH($A101,Release[Requirement ID],0))),"")</f>
        <v/>
      </c>
      <c r="L101" s="24" t="n">
        <v>46232</v>
      </c>
      <c r="M101" s="22" t="n"/>
      <c r="N101" s="22" t="n"/>
      <c r="O101" s="23">
        <f>IF($N101="","","https://smartship.atlassian.net/browse/"&amp;$N101)</f>
        <v/>
      </c>
      <c r="P101">
        <f>IFERROR(VALUE(MID($A101,5,4)),0)</f>
        <v/>
      </c>
    </row>
    <row r="102" hidden="1" ht="15" customHeight="1">
      <c r="A102" s="21" t="inlineStr">
        <is>
          <t>NEW-0269</t>
        </is>
      </c>
      <c r="B102" s="22" t="inlineStr">
        <is>
          <t>Pre-booking customisation - Free Balcony Upgrades</t>
        </is>
      </c>
      <c r="C102" s="22" t="inlineStr">
        <is>
          <t>CR</t>
        </is>
      </c>
      <c r="D102" s="22" t="inlineStr">
        <is>
          <t>US</t>
        </is>
      </c>
      <c r="E102" s="22" t="inlineStr">
        <is>
          <t>B2CW</t>
        </is>
      </c>
      <c r="F102" s="22" t="inlineStr">
        <is>
          <t>DONE</t>
        </is>
      </c>
      <c r="G102" s="22" t="inlineStr">
        <is>
          <t>Medium</t>
        </is>
      </c>
      <c r="H102" s="22" t="n"/>
      <c r="I102" s="23">
        <f>IF($A102="","",IFERROR(IF(ISBLANK(INDEX(SprintPlanning[Sprint],MATCH($A102,SprintPlanning[Requirement ID],0))),"To Plan",INDEX(SprintPlanning[Sprint],MATCH($A102,SprintPlanning[Requirement ID],0))),"To Plan"))</f>
        <v/>
      </c>
      <c r="J102" s="22" t="n">
        <v>3</v>
      </c>
      <c r="K102" s="23">
        <f>IFERROR(IF(ISBLANK(INDEX(Release[Release],MATCH($A102,Release[Requirement ID],0))),"",INDEX(Release[Release],MATCH($A102,Release[Requirement ID],0))),"")</f>
        <v/>
      </c>
      <c r="L102" s="24" t="n">
        <v>46232</v>
      </c>
      <c r="M102" s="22" t="inlineStr">
        <is>
          <t>Created</t>
        </is>
      </c>
      <c r="N102" s="22" t="inlineStr">
        <is>
          <t>MDTTPU-9536</t>
        </is>
      </c>
      <c r="O102" s="23">
        <f>IF($N102="","","https://smartship.atlassian.net/browse/"&amp;$N102)</f>
        <v/>
      </c>
      <c r="P102">
        <f>IFERROR(VALUE(MID($A102,5,4)),0)</f>
        <v/>
      </c>
    </row>
    <row r="103" hidden="1" ht="15" customHeight="1">
      <c r="A103" s="21" t="inlineStr">
        <is>
          <t>NEW-0271</t>
        </is>
      </c>
      <c r="B103" s="22" t="inlineStr">
        <is>
          <t>INT 002 CR - Kids Sail Free</t>
        </is>
      </c>
      <c r="C103" s="22" t="inlineStr">
        <is>
          <t>CR</t>
        </is>
      </c>
      <c r="D103" s="22" t="inlineStr">
        <is>
          <t>US</t>
        </is>
      </c>
      <c r="E103" s="22" t="inlineStr">
        <is>
          <t>B2CW</t>
        </is>
      </c>
      <c r="F103" s="22" t="inlineStr">
        <is>
          <t>DONE</t>
        </is>
      </c>
      <c r="G103" s="22" t="inlineStr">
        <is>
          <t>Medium</t>
        </is>
      </c>
      <c r="H103" s="22" t="n"/>
      <c r="I103" s="23">
        <f>IF($A103="","",IFERROR(IF(ISBLANK(INDEX(SprintPlanning[Sprint],MATCH($A103,SprintPlanning[Requirement ID],0))),"To Plan",INDEX(SprintPlanning[Sprint],MATCH($A103,SprintPlanning[Requirement ID],0))),"To Plan"))</f>
        <v/>
      </c>
      <c r="J103" s="22" t="n">
        <v>5</v>
      </c>
      <c r="K103" s="23">
        <f>IFERROR(IF(ISBLANK(INDEX(Release[Release],MATCH($A103,Release[Requirement ID],0))),"",INDEX(Release[Release],MATCH($A103,Release[Requirement ID],0))),"")</f>
        <v/>
      </c>
      <c r="L103" s="24" t="n">
        <v>46232</v>
      </c>
      <c r="M103" s="22" t="inlineStr">
        <is>
          <t>Created</t>
        </is>
      </c>
      <c r="N103" s="22" t="inlineStr">
        <is>
          <t>MDTTPU-7976</t>
        </is>
      </c>
      <c r="O103" s="23">
        <f>IF($N103="","","https://smartship.atlassian.net/browse/"&amp;$N103)</f>
        <v/>
      </c>
      <c r="P103">
        <f>IFERROR(VALUE(MID($A103,5,4)),0)</f>
        <v/>
      </c>
    </row>
    <row r="104" hidden="1" ht="15" customHeight="1">
      <c r="A104" s="21" t="inlineStr">
        <is>
          <t>NEW-0304</t>
        </is>
      </c>
      <c r="B104" s="22" t="inlineStr">
        <is>
          <t>INT139 / INT140 - Applicability of items during all inclusive logic - CR passenger type logic</t>
        </is>
      </c>
      <c r="C104" s="22" t="inlineStr">
        <is>
          <t>CR</t>
        </is>
      </c>
      <c r="D104" s="22" t="inlineStr">
        <is>
          <t>MyMSC</t>
        </is>
      </c>
      <c r="E104" s="22" t="inlineStr">
        <is>
          <t>B2CW</t>
        </is>
      </c>
      <c r="F104" s="22" t="inlineStr">
        <is>
          <t>DONE</t>
        </is>
      </c>
      <c r="G104" s="22" t="inlineStr">
        <is>
          <t>Medium</t>
        </is>
      </c>
      <c r="H104" s="22" t="n"/>
      <c r="I104" s="23">
        <f>IF($A104="","",IFERROR(IF(ISBLANK(INDEX(SprintPlanning[Sprint],MATCH($A104,SprintPlanning[Requirement ID],0))),"To Plan",INDEX(SprintPlanning[Sprint],MATCH($A104,SprintPlanning[Requirement ID],0))),"To Plan"))</f>
        <v/>
      </c>
      <c r="J104" s="22" t="n">
        <v>2</v>
      </c>
      <c r="K104" s="23">
        <f>IFERROR(IF(ISBLANK(INDEX(Release[Release],MATCH($A104,Release[Requirement ID],0))),"",INDEX(Release[Release],MATCH($A104,Release[Requirement ID],0))),"")</f>
        <v/>
      </c>
      <c r="L104" s="24" t="n">
        <v>46232</v>
      </c>
      <c r="M104" s="22" t="inlineStr">
        <is>
          <t>Created</t>
        </is>
      </c>
      <c r="N104" s="22" t="inlineStr">
        <is>
          <t>DTTP25-37982</t>
        </is>
      </c>
      <c r="O104" s="23">
        <f>IF($N104="","","https://smartship.atlassian.net/browse/"&amp;$N104)</f>
        <v/>
      </c>
      <c r="P104">
        <f>IFERROR(VALUE(MID($A104,5,4)),0)</f>
        <v/>
      </c>
    </row>
    <row r="105" hidden="1" ht="15" customHeight="1">
      <c r="A105" s="21" t="inlineStr">
        <is>
          <t>NEW-0310</t>
        </is>
      </c>
      <c r="B105" s="22" t="inlineStr">
        <is>
          <t>Super Agency Access - Short term workaround CR</t>
        </is>
      </c>
      <c r="C105" s="22" t="inlineStr">
        <is>
          <t>CR</t>
        </is>
      </c>
      <c r="D105" s="22" t="inlineStr">
        <is>
          <t>MyMSC</t>
        </is>
      </c>
      <c r="E105" s="22" t="inlineStr">
        <is>
          <t>B2CW</t>
        </is>
      </c>
      <c r="F105" s="22" t="inlineStr">
        <is>
          <t>DONE</t>
        </is>
      </c>
      <c r="G105" s="22" t="inlineStr">
        <is>
          <t>Medium</t>
        </is>
      </c>
      <c r="H105" s="22" t="n"/>
      <c r="I105" s="23">
        <f>IF($A105="","",IFERROR(IF(ISBLANK(INDEX(SprintPlanning[Sprint],MATCH($A105,SprintPlanning[Requirement ID],0))),"To Plan",INDEX(SprintPlanning[Sprint],MATCH($A105,SprintPlanning[Requirement ID],0))),"To Plan"))</f>
        <v/>
      </c>
      <c r="J105" s="22" t="n">
        <v>3</v>
      </c>
      <c r="K105" s="23">
        <f>IFERROR(IF(ISBLANK(INDEX(Release[Release],MATCH($A105,Release[Requirement ID],0))),"",INDEX(Release[Release],MATCH($A105,Release[Requirement ID],0))),"")</f>
        <v/>
      </c>
      <c r="L105" s="24" t="n">
        <v>46232</v>
      </c>
      <c r="M105" s="22" t="inlineStr">
        <is>
          <t>Created</t>
        </is>
      </c>
      <c r="N105" s="22" t="inlineStr">
        <is>
          <t>DTTP25-38013</t>
        </is>
      </c>
      <c r="O105" s="23">
        <f>IF($N105="","","https://smartship.atlassian.net/browse/"&amp;$N105)</f>
        <v/>
      </c>
      <c r="P105">
        <f>IFERROR(VALUE(MID($A105,5,4)),0)</f>
        <v/>
      </c>
    </row>
    <row r="106" hidden="1" ht="15" customHeight="1">
      <c r="A106" s="21" t="inlineStr">
        <is>
          <t>NEW-0312</t>
        </is>
      </c>
      <c r="B106" s="22" t="inlineStr">
        <is>
          <t>INT114 Modify rule on departure date</t>
        </is>
      </c>
      <c r="C106" s="22" t="inlineStr">
        <is>
          <t>CR</t>
        </is>
      </c>
      <c r="D106" s="22" t="inlineStr">
        <is>
          <t>MyMSC</t>
        </is>
      </c>
      <c r="E106" s="22" t="inlineStr">
        <is>
          <t>B2CW</t>
        </is>
      </c>
      <c r="F106" s="22" t="inlineStr">
        <is>
          <t>DONE</t>
        </is>
      </c>
      <c r="G106" s="22" t="inlineStr">
        <is>
          <t>Medium</t>
        </is>
      </c>
      <c r="H106" s="22" t="n"/>
      <c r="I106" s="23">
        <f>IF($A106="","",IFERROR(IF(ISBLANK(INDEX(SprintPlanning[Sprint],MATCH($A106,SprintPlanning[Requirement ID],0))),"To Plan",INDEX(SprintPlanning[Sprint],MATCH($A106,SprintPlanning[Requirement ID],0))),"To Plan"))</f>
        <v/>
      </c>
      <c r="J106" s="22" t="n">
        <v>2</v>
      </c>
      <c r="K106" s="23">
        <f>IFERROR(IF(ISBLANK(INDEX(Release[Release],MATCH($A106,Release[Requirement ID],0))),"",INDEX(Release[Release],MATCH($A106,Release[Requirement ID],0))),"")</f>
        <v/>
      </c>
      <c r="L106" s="24" t="n">
        <v>46232</v>
      </c>
      <c r="M106" s="22" t="inlineStr">
        <is>
          <t>Created</t>
        </is>
      </c>
      <c r="N106" s="22" t="inlineStr">
        <is>
          <t>DTTP25-35435</t>
        </is>
      </c>
      <c r="O106" s="23">
        <f>IF($N106="","","https://smartship.atlassian.net/browse/"&amp;$N106)</f>
        <v/>
      </c>
      <c r="P106">
        <f>IFERROR(VALUE(MID($A106,5,4)),0)</f>
        <v/>
      </c>
    </row>
    <row r="107" hidden="1" ht="15" customHeight="1">
      <c r="A107" s="21" t="inlineStr">
        <is>
          <t>NEW-0388</t>
        </is>
      </c>
      <c r="B107" s="22" t="inlineStr">
        <is>
          <t>DTTP - Sign Up Event Tracking in AEP/AJO/CDP/SALESFORCE_EAImpact</t>
        </is>
      </c>
      <c r="C107" s="22" t="inlineStr">
        <is>
          <t>CR</t>
        </is>
      </c>
      <c r="D107" s="22" t="inlineStr">
        <is>
          <t>PI10</t>
        </is>
      </c>
      <c r="E107" s="22" t="inlineStr">
        <is>
          <t>MA</t>
        </is>
      </c>
      <c r="F107" s="22" t="inlineStr">
        <is>
          <t>DONE</t>
        </is>
      </c>
      <c r="G107" s="22" t="inlineStr">
        <is>
          <t>Medium</t>
        </is>
      </c>
      <c r="H107" s="22" t="n"/>
      <c r="I107" s="23">
        <f>IF($A107="","",IFERROR(IF(ISBLANK(INDEX(SprintPlanning[Sprint],MATCH($A107,SprintPlanning[Requirement ID],0))),"To Plan",INDEX(SprintPlanning[Sprint],MATCH($A107,SprintPlanning[Requirement ID],0))),"To Plan"))</f>
        <v/>
      </c>
      <c r="J107" s="22" t="n">
        <v>5</v>
      </c>
      <c r="K107" s="23">
        <f>IFERROR(IF(ISBLANK(INDEX(Release[Release],MATCH($A107,Release[Requirement ID],0))),"",INDEX(Release[Release],MATCH($A107,Release[Requirement ID],0))),"")</f>
        <v/>
      </c>
      <c r="L107" s="24" t="n">
        <v>46232</v>
      </c>
      <c r="M107" s="22" t="inlineStr">
        <is>
          <t>Created</t>
        </is>
      </c>
      <c r="N107" s="22" t="inlineStr">
        <is>
          <t>EA-1307</t>
        </is>
      </c>
      <c r="O107" s="23">
        <f>IF($N107="","","https://smartship.atlassian.net/browse/"&amp;$N107)</f>
        <v/>
      </c>
      <c r="P107">
        <f>IFERROR(VALUE(MID($A107,5,4)),0)</f>
        <v/>
      </c>
    </row>
    <row r="108" hidden="1" ht="15" customHeight="1">
      <c r="A108" s="21" t="inlineStr">
        <is>
          <t>NEW-0390</t>
        </is>
      </c>
      <c r="B108" s="22" t="inlineStr">
        <is>
          <t>CRM - Consent Management - Profiling info in the Customer Event table CDP/AJ0_EAImpact</t>
        </is>
      </c>
      <c r="C108" s="22" t="n"/>
      <c r="D108" s="22" t="inlineStr">
        <is>
          <t>PI10</t>
        </is>
      </c>
      <c r="E108" s="22" t="n"/>
      <c r="F108" s="22" t="inlineStr">
        <is>
          <t>NEW</t>
        </is>
      </c>
      <c r="G108" s="22" t="inlineStr">
        <is>
          <t>Medium</t>
        </is>
      </c>
      <c r="H108" s="22" t="n"/>
      <c r="I108" s="23">
        <f>IF($A108="","",IFERROR(IF(ISBLANK(INDEX(SprintPlanning[Sprint],MATCH($A108,SprintPlanning[Requirement ID],0))),"To Plan",INDEX(SprintPlanning[Sprint],MATCH($A108,SprintPlanning[Requirement ID],0))),"To Plan"))</f>
        <v/>
      </c>
      <c r="J108" s="22" t="n">
        <v>5</v>
      </c>
      <c r="K108" s="23">
        <f>IFERROR(IF(ISBLANK(INDEX(Release[Release],MATCH($A108,Release[Requirement ID],0))),"",INDEX(Release[Release],MATCH($A108,Release[Requirement ID],0))),"")</f>
        <v/>
      </c>
      <c r="L108" s="24" t="n">
        <v>46232</v>
      </c>
      <c r="M108" s="22" t="inlineStr">
        <is>
          <t>Created</t>
        </is>
      </c>
      <c r="N108" s="22" t="inlineStr">
        <is>
          <t>EA-1327</t>
        </is>
      </c>
      <c r="O108" s="23">
        <f>IF($N108="","","https://smartship.atlassian.net/browse/"&amp;$N108)</f>
        <v/>
      </c>
      <c r="P108">
        <f>IFERROR(VALUE(MID($A108,5,4)),0)</f>
        <v/>
      </c>
    </row>
    <row r="109" hidden="1" ht="15" customHeight="1">
      <c r="A109" s="27" t="inlineStr">
        <is>
          <t>NEW-0420</t>
        </is>
      </c>
      <c r="B109" s="28" t="inlineStr">
        <is>
          <t>INT 004.3/004.4/006/007 - Forward airType to DTS in Insurance, Price, Booking, and Hold Option Requests (One-Way Air Packages)</t>
        </is>
      </c>
      <c r="C109" s="28" t="inlineStr">
        <is>
          <t>CR</t>
        </is>
      </c>
      <c r="D109" s="28" t="inlineStr">
        <is>
          <t>Growth</t>
        </is>
      </c>
      <c r="E109" s="28" t="inlineStr">
        <is>
          <t>B2CW</t>
        </is>
      </c>
      <c r="F109" s="28" t="inlineStr">
        <is>
          <t>DONE</t>
        </is>
      </c>
      <c r="G109" s="28" t="inlineStr">
        <is>
          <t>Critical</t>
        </is>
      </c>
      <c r="H109" s="28" t="n"/>
      <c r="I109" s="29">
        <f>IF($A109="","",IFERROR(IF(ISBLANK(INDEX(SprintPlanning[Sprint],MATCH($A109,SprintPlanning[Requirement ID],0))),"To Plan",INDEX(SprintPlanning[Sprint],MATCH($A109,SprintPlanning[Requirement ID],0))),"To Plan"))</f>
        <v/>
      </c>
      <c r="J109" s="28" t="n">
        <v>13</v>
      </c>
      <c r="K109" s="29">
        <f>IFERROR(IF(ISBLANK(INDEX(Release[Release],MATCH($A109,Release[Requirement ID],0))),"",INDEX(Release[Release],MATCH($A109,Release[Requirement ID],0))),"")</f>
        <v/>
      </c>
      <c r="L109" s="30" t="n">
        <v>46238</v>
      </c>
      <c r="M109" s="28" t="inlineStr">
        <is>
          <t>Created</t>
        </is>
      </c>
      <c r="N109" s="28" t="inlineStr">
        <is>
          <t>DTTP25-37439</t>
        </is>
      </c>
      <c r="O109" s="29">
        <f>IF($N109="","","https://smartship.atlassian.net/browse/"&amp;$N109)</f>
        <v/>
      </c>
      <c r="P109">
        <f>IFERROR(VALUE(MID($A109,5,4)),0)</f>
        <v/>
      </c>
    </row>
    <row r="110" hidden="1" ht="15" customHeight="1">
      <c r="A110" s="27" t="inlineStr">
        <is>
          <t>NEW-0421</t>
        </is>
      </c>
      <c r="B110" s="28" t="inlineStr">
        <is>
          <t>INT 002.x - Expose airType in Category Search Responses (One-Way Air Packages)</t>
        </is>
      </c>
      <c r="C110" s="28" t="inlineStr">
        <is>
          <t>CR</t>
        </is>
      </c>
      <c r="D110" s="28" t="inlineStr">
        <is>
          <t>Growth</t>
        </is>
      </c>
      <c r="E110" s="28" t="inlineStr">
        <is>
          <t>B2CW</t>
        </is>
      </c>
      <c r="F110" s="28" t="inlineStr">
        <is>
          <t>DONE</t>
        </is>
      </c>
      <c r="G110" s="28" t="inlineStr">
        <is>
          <t>Critical</t>
        </is>
      </c>
      <c r="H110" s="28" t="n"/>
      <c r="I110" s="29">
        <f>IF($A110="","",IFERROR(IF(ISBLANK(INDEX(SprintPlanning[Sprint],MATCH($A110,SprintPlanning[Requirement ID],0))),"To Plan",INDEX(SprintPlanning[Sprint],MATCH($A110,SprintPlanning[Requirement ID],0))),"To Plan"))</f>
        <v/>
      </c>
      <c r="J110" s="28" t="n">
        <v>5</v>
      </c>
      <c r="K110" s="29">
        <f>IFERROR(IF(ISBLANK(INDEX(Release[Release],MATCH($A110,Release[Requirement ID],0))),"",INDEX(Release[Release],MATCH($A110,Release[Requirement ID],0))),"")</f>
        <v/>
      </c>
      <c r="L110" s="30" t="n">
        <v>46238</v>
      </c>
      <c r="M110" s="28" t="inlineStr">
        <is>
          <t>Created</t>
        </is>
      </c>
      <c r="N110" s="28" t="inlineStr">
        <is>
          <t>DTTP25-31684</t>
        </is>
      </c>
      <c r="O110" s="29">
        <f>IF($N110="","","https://smartship.atlassian.net/browse/"&amp;$N110)</f>
        <v/>
      </c>
      <c r="P110">
        <f>IFERROR(VALUE(MID($A110,5,4)),0)</f>
        <v/>
      </c>
    </row>
    <row r="111" hidden="1" ht="15" customHeight="1">
      <c r="A111" s="27" t="inlineStr">
        <is>
          <t>NEW-0422</t>
        </is>
      </c>
      <c r="B111" s="28" t="inlineStr">
        <is>
          <t>[Rollout] Configure APIs for India - CHAIN1&amp;2 Config</t>
        </is>
      </c>
      <c r="C111" s="28" t="inlineStr">
        <is>
          <t>Config</t>
        </is>
      </c>
      <c r="D111" s="28" t="inlineStr">
        <is>
          <t>MVP Rollout</t>
        </is>
      </c>
      <c r="E111" s="28" t="inlineStr">
        <is>
          <t>B2CW</t>
        </is>
      </c>
      <c r="F111" s="28" t="inlineStr">
        <is>
          <t>DONE</t>
        </is>
      </c>
      <c r="G111" s="28" t="inlineStr">
        <is>
          <t>Medium</t>
        </is>
      </c>
      <c r="H111" s="28" t="n"/>
      <c r="I111" s="29">
        <f>IF($A111="","",IFERROR(IF(ISBLANK(INDEX(SprintPlanning[Sprint],MATCH($A111,SprintPlanning[Requirement ID],0))),"To Plan",INDEX(SprintPlanning[Sprint],MATCH($A111,SprintPlanning[Requirement ID],0))),"To Plan"))</f>
        <v/>
      </c>
      <c r="J111" s="28" t="n">
        <v>8</v>
      </c>
      <c r="K111" s="29">
        <f>IFERROR(IF(ISBLANK(INDEX(Release[Release],MATCH($A111,Release[Requirement ID],0))),"",INDEX(Release[Release],MATCH($A111,Release[Requirement ID],0))),"")</f>
        <v/>
      </c>
      <c r="L111" s="30" t="n">
        <v>46238</v>
      </c>
      <c r="M111" s="28" t="inlineStr">
        <is>
          <t>Created</t>
        </is>
      </c>
      <c r="N111" s="28" t="inlineStr">
        <is>
          <t>DTTP25-39645</t>
        </is>
      </c>
      <c r="O111" s="29">
        <f>IF($N111="","","https://smartship.atlassian.net/browse/"&amp;$N111)</f>
        <v/>
      </c>
      <c r="P111">
        <f>IFERROR(VALUE(MID($A111,5,4)),0)</f>
        <v/>
      </c>
    </row>
    <row r="112" ht="15" customHeight="1">
      <c r="A112" s="21" t="inlineStr">
        <is>
          <t>NEW-0100</t>
        </is>
      </c>
      <c r="B112" s="22" t="inlineStr">
        <is>
          <t>Call me back / Already sent</t>
        </is>
      </c>
      <c r="C112" s="22" t="inlineStr">
        <is>
          <t>CR</t>
        </is>
      </c>
      <c r="D112" s="22" t="inlineStr">
        <is>
          <t>US</t>
        </is>
      </c>
      <c r="E112" s="22" t="inlineStr">
        <is>
          <t>S&amp;S</t>
        </is>
      </c>
      <c r="F112" s="22" t="inlineStr">
        <is>
          <t>DONE</t>
        </is>
      </c>
      <c r="G112" s="22" t="inlineStr">
        <is>
          <t>Medium</t>
        </is>
      </c>
      <c r="H112" s="22" t="n"/>
      <c r="I112" s="23">
        <f>IF($A112="","",IFERROR(IF(ISBLANK(INDEX(SprintPlanning[Sprint],MATCH($A112,SprintPlanning[Requirement ID],0))),"To Plan",INDEX(SprintPlanning[Sprint],MATCH($A112,SprintPlanning[Requirement ID],0))),"To Plan"))</f>
        <v/>
      </c>
      <c r="J112" s="22" t="n">
        <v>8</v>
      </c>
      <c r="K112" s="23">
        <f>IFERROR(IF(ISBLANK(INDEX(Release[Release],MATCH($A112,Release[Requirement ID],0))),"",INDEX(Release[Release],MATCH($A112,Release[Requirement ID],0))),"")</f>
        <v/>
      </c>
      <c r="L112" s="24" t="n">
        <v>46232</v>
      </c>
      <c r="M112" s="22" t="inlineStr">
        <is>
          <t>Created</t>
        </is>
      </c>
      <c r="N112" s="22" t="inlineStr">
        <is>
          <t>MDTTPU-4412</t>
        </is>
      </c>
      <c r="O112" s="23">
        <f>IF($N112="","","https://smartship.atlassian.net/browse/"&amp;$N112)</f>
        <v/>
      </c>
      <c r="P112">
        <f>IFERROR(VALUE(MID($A112,5,4)),0)</f>
        <v/>
      </c>
    </row>
    <row r="113" ht="15" customHeight="1">
      <c r="A113" s="21" t="inlineStr">
        <is>
          <t>NEW-0103</t>
        </is>
      </c>
      <c r="B113" s="22" t="inlineStr">
        <is>
          <t>Outbound leads - Abandoned Cart - New Interface INT007.2</t>
        </is>
      </c>
      <c r="C113" s="22" t="inlineStr">
        <is>
          <t>CR</t>
        </is>
      </c>
      <c r="D113" s="22" t="inlineStr">
        <is>
          <t>US</t>
        </is>
      </c>
      <c r="E113" s="22" t="inlineStr">
        <is>
          <t>B2CW</t>
        </is>
      </c>
      <c r="F113" s="22" t="inlineStr">
        <is>
          <t>DONE</t>
        </is>
      </c>
      <c r="G113" s="22" t="inlineStr">
        <is>
          <t>Medium</t>
        </is>
      </c>
      <c r="H113" s="22" t="n"/>
      <c r="I113" s="23">
        <f>IF($A113="","",IFERROR(IF(ISBLANK(INDEX(SprintPlanning[Sprint],MATCH($A113,SprintPlanning[Requirement ID],0))),"To Plan",INDEX(SprintPlanning[Sprint],MATCH($A113,SprintPlanning[Requirement ID],0))),"To Plan"))</f>
        <v/>
      </c>
      <c r="J113" s="22" t="n">
        <v>8</v>
      </c>
      <c r="K113" s="23">
        <f>IFERROR(IF(ISBLANK(INDEX(Release[Release],MATCH($A113,Release[Requirement ID],0))),"",INDEX(Release[Release],MATCH($A113,Release[Requirement ID],0))),"")</f>
        <v/>
      </c>
      <c r="L113" s="24" t="n">
        <v>46232</v>
      </c>
      <c r="M113" s="22" t="inlineStr">
        <is>
          <t>Created</t>
        </is>
      </c>
      <c r="N113" s="22" t="inlineStr">
        <is>
          <t>MDTTPU-5928</t>
        </is>
      </c>
      <c r="O113" s="23">
        <f>IF($N113="","","https://smartship.atlassian.net/browse/"&amp;$N113)</f>
        <v/>
      </c>
      <c r="P113">
        <f>IFERROR(VALUE(MID($A113,5,4)),0)</f>
        <v/>
      </c>
    </row>
    <row r="114" ht="15" customHeight="1">
      <c r="A114" s="21" t="inlineStr">
        <is>
          <t>NEW-0104</t>
        </is>
      </c>
      <c r="B114" s="22" t="inlineStr">
        <is>
          <t>Outbound leads - Abandoned Cart - Change to INT710</t>
        </is>
      </c>
      <c r="C114" s="22" t="inlineStr">
        <is>
          <t>CR</t>
        </is>
      </c>
      <c r="D114" s="22" t="inlineStr">
        <is>
          <t>US</t>
        </is>
      </c>
      <c r="E114" s="22" t="inlineStr">
        <is>
          <t>B2CW</t>
        </is>
      </c>
      <c r="F114" s="22" t="inlineStr">
        <is>
          <t>DONE</t>
        </is>
      </c>
      <c r="G114" s="22" t="inlineStr">
        <is>
          <t>Medium</t>
        </is>
      </c>
      <c r="H114" s="22" t="n"/>
      <c r="I114" s="23">
        <f>IF($A114="","",IFERROR(IF(ISBLANK(INDEX(SprintPlanning[Sprint],MATCH($A114,SprintPlanning[Requirement ID],0))),"To Plan",INDEX(SprintPlanning[Sprint],MATCH($A114,SprintPlanning[Requirement ID],0))),"To Plan"))</f>
        <v/>
      </c>
      <c r="J114" s="22" t="n">
        <v>5</v>
      </c>
      <c r="K114" s="23">
        <f>IFERROR(IF(ISBLANK(INDEX(Release[Release],MATCH($A114,Release[Requirement ID],0))),"",INDEX(Release[Release],MATCH($A114,Release[Requirement ID],0))),"")</f>
        <v/>
      </c>
      <c r="L114" s="24" t="n">
        <v>46232</v>
      </c>
      <c r="M114" s="22" t="n"/>
      <c r="N114" s="22" t="n"/>
      <c r="O114" s="23">
        <f>IF($N114="","","https://smartship.atlassian.net/browse/"&amp;$N114)</f>
        <v/>
      </c>
      <c r="P114">
        <f>IFERROR(VALUE(MID($A114,5,4)),0)</f>
        <v/>
      </c>
    </row>
    <row r="115" ht="15" customHeight="1">
      <c r="A115" s="21" t="inlineStr">
        <is>
          <t>NEW-0105</t>
        </is>
      </c>
      <c r="B115" s="22" t="inlineStr">
        <is>
          <t>Uknown Web Option</t>
        </is>
      </c>
      <c r="C115" s="22" t="inlineStr">
        <is>
          <t>CR</t>
        </is>
      </c>
      <c r="D115" s="22" t="inlineStr">
        <is>
          <t>US</t>
        </is>
      </c>
      <c r="E115" s="22" t="inlineStr">
        <is>
          <t>B2CW</t>
        </is>
      </c>
      <c r="F115" s="22" t="inlineStr">
        <is>
          <t>DONE</t>
        </is>
      </c>
      <c r="G115" s="22" t="inlineStr">
        <is>
          <t>Medium</t>
        </is>
      </c>
      <c r="H115" s="22" t="n"/>
      <c r="I115" s="23">
        <f>IF($A115="","",IFERROR(IF(ISBLANK(INDEX(SprintPlanning[Sprint],MATCH($A115,SprintPlanning[Requirement ID],0))),"To Plan",INDEX(SprintPlanning[Sprint],MATCH($A115,SprintPlanning[Requirement ID],0))),"To Plan"))</f>
        <v/>
      </c>
      <c r="J115" s="22" t="n">
        <v>3</v>
      </c>
      <c r="K115" s="23">
        <f>IFERROR(IF(ISBLANK(INDEX(Release[Release],MATCH($A115,Release[Requirement ID],0))),"",INDEX(Release[Release],MATCH($A115,Release[Requirement ID],0))),"")</f>
        <v/>
      </c>
      <c r="L115" s="24" t="n">
        <v>46232</v>
      </c>
      <c r="M115" s="22" t="n"/>
      <c r="N115" s="22" t="n"/>
      <c r="O115" s="23">
        <f>IF($N115="","","https://smartship.atlassian.net/browse/"&amp;$N115)</f>
        <v/>
      </c>
      <c r="P115">
        <f>IFERROR(VALUE(MID($A115,5,4)),0)</f>
        <v/>
      </c>
    </row>
    <row r="116" ht="15" customHeight="1">
      <c r="A116" s="21" t="inlineStr">
        <is>
          <t>NEW-0111</t>
        </is>
      </c>
      <c r="B116" s="22" t="inlineStr">
        <is>
          <t>INT 158 - Assign Opportunity ID to existing booking</t>
        </is>
      </c>
      <c r="C116" s="22" t="inlineStr">
        <is>
          <t>New</t>
        </is>
      </c>
      <c r="D116" s="22" t="inlineStr">
        <is>
          <t>US</t>
        </is>
      </c>
      <c r="E116" s="22" t="inlineStr">
        <is>
          <t>S&amp;S</t>
        </is>
      </c>
      <c r="F116" s="22" t="inlineStr">
        <is>
          <t>DONE</t>
        </is>
      </c>
      <c r="G116" s="22" t="inlineStr">
        <is>
          <t>Medium</t>
        </is>
      </c>
      <c r="H116" s="22" t="n"/>
      <c r="I116" s="23">
        <f>IF($A116="","",IFERROR(IF(ISBLANK(INDEX(SprintPlanning[Sprint],MATCH($A116,SprintPlanning[Requirement ID],0))),"To Plan",INDEX(SprintPlanning[Sprint],MATCH($A116,SprintPlanning[Requirement ID],0))),"To Plan"))</f>
        <v/>
      </c>
      <c r="J116" s="22" t="n">
        <v>5</v>
      </c>
      <c r="K116" s="23">
        <f>IFERROR(IF(ISBLANK(INDEX(Release[Release],MATCH($A116,Release[Requirement ID],0))),"",INDEX(Release[Release],MATCH($A116,Release[Requirement ID],0))),"")</f>
        <v/>
      </c>
      <c r="L116" s="24" t="n">
        <v>46232</v>
      </c>
      <c r="M116" s="22" t="inlineStr">
        <is>
          <t>Created</t>
        </is>
      </c>
      <c r="N116" s="22" t="inlineStr">
        <is>
          <t>MDTTPU-1816</t>
        </is>
      </c>
      <c r="O116" s="23">
        <f>IF($N116="","","https://smartship.atlassian.net/browse/"&amp;$N116)</f>
        <v/>
      </c>
      <c r="P116">
        <f>IFERROR(VALUE(MID($A116,5,4)),0)</f>
        <v/>
      </c>
    </row>
    <row r="117" ht="15" customHeight="1">
      <c r="A117" s="21" t="inlineStr">
        <is>
          <t>NEW-0127</t>
        </is>
      </c>
      <c r="B117" s="22" t="inlineStr">
        <is>
          <t>Flight classes</t>
        </is>
      </c>
      <c r="C117" s="22" t="inlineStr">
        <is>
          <t>CR</t>
        </is>
      </c>
      <c r="D117" s="22" t="inlineStr">
        <is>
          <t>Growth</t>
        </is>
      </c>
      <c r="E117" s="22" t="inlineStr">
        <is>
          <t>B2CW</t>
        </is>
      </c>
      <c r="F117" s="22" t="inlineStr">
        <is>
          <t>DONE</t>
        </is>
      </c>
      <c r="G117" s="22" t="inlineStr">
        <is>
          <t>Medium</t>
        </is>
      </c>
      <c r="H117" s="22" t="n"/>
      <c r="I117" s="23">
        <f>IF($A117="","",IFERROR(IF(ISBLANK(INDEX(SprintPlanning[Sprint],MATCH($A117,SprintPlanning[Requirement ID],0))),"To Plan",INDEX(SprintPlanning[Sprint],MATCH($A117,SprintPlanning[Requirement ID],0))),"To Plan"))</f>
        <v/>
      </c>
      <c r="J117" s="22" t="n">
        <v>5</v>
      </c>
      <c r="K117" s="23">
        <f>IFERROR(IF(ISBLANK(INDEX(Release[Release],MATCH($A117,Release[Requirement ID],0))),"",INDEX(Release[Release],MATCH($A117,Release[Requirement ID],0))),"")</f>
        <v/>
      </c>
      <c r="L117" s="24" t="n">
        <v>46232</v>
      </c>
      <c r="M117" s="22" t="inlineStr">
        <is>
          <t>Created</t>
        </is>
      </c>
      <c r="N117" s="22" t="inlineStr">
        <is>
          <t>DTTP25-35414</t>
        </is>
      </c>
      <c r="O117" s="23">
        <f>IF($N117="","","https://smartship.atlassian.net/browse/"&amp;$N117)</f>
        <v/>
      </c>
      <c r="P117">
        <f>IFERROR(VALUE(MID($A117,5,4)),0)</f>
        <v/>
      </c>
    </row>
    <row r="118" ht="15" customHeight="1">
      <c r="A118" s="21" t="inlineStr">
        <is>
          <t>NEW-0131</t>
        </is>
      </c>
      <c r="B118" s="22" t="inlineStr">
        <is>
          <t>Datatrans webhook INT165 inc. routing to AZF005</t>
        </is>
      </c>
      <c r="C118" s="22" t="inlineStr">
        <is>
          <t>CR</t>
        </is>
      </c>
      <c r="D118" s="22" t="inlineStr">
        <is>
          <t>Growth</t>
        </is>
      </c>
      <c r="E118" s="22" t="inlineStr">
        <is>
          <t>B2CW</t>
        </is>
      </c>
      <c r="F118" s="22" t="inlineStr">
        <is>
          <t>DONE</t>
        </is>
      </c>
      <c r="G118" s="22" t="inlineStr">
        <is>
          <t>Medium</t>
        </is>
      </c>
      <c r="H118" s="22" t="n"/>
      <c r="I118" s="23">
        <f>IF($A118="","",IFERROR(IF(ISBLANK(INDEX(SprintPlanning[Sprint],MATCH($A118,SprintPlanning[Requirement ID],0))),"To Plan",INDEX(SprintPlanning[Sprint],MATCH($A118,SprintPlanning[Requirement ID],0))),"To Plan"))</f>
        <v/>
      </c>
      <c r="J118" s="22" t="n">
        <v>8</v>
      </c>
      <c r="K118" s="23">
        <f>IFERROR(IF(ISBLANK(INDEX(Release[Release],MATCH($A118,Release[Requirement ID],0))),"",INDEX(Release[Release],MATCH($A118,Release[Requirement ID],0))),"")</f>
        <v/>
      </c>
      <c r="L118" s="24" t="n">
        <v>46232</v>
      </c>
      <c r="M118" s="22" t="inlineStr">
        <is>
          <t>Created</t>
        </is>
      </c>
      <c r="N118" s="22" t="inlineStr">
        <is>
          <t>DTTP25-36856</t>
        </is>
      </c>
      <c r="O118" s="23">
        <f>IF($N118="","","https://smartship.atlassian.net/browse/"&amp;$N118)</f>
        <v/>
      </c>
      <c r="P118">
        <f>IFERROR(VALUE(MID($A118,5,4)),0)</f>
        <v/>
      </c>
    </row>
    <row r="119" ht="15" customHeight="1">
      <c r="A119" s="21" t="inlineStr">
        <is>
          <t>NEW-0143</t>
        </is>
      </c>
      <c r="B119" s="22" t="inlineStr">
        <is>
          <t>INT 130 - Dining Slots CR</t>
        </is>
      </c>
      <c r="C119" s="22" t="inlineStr">
        <is>
          <t>CR</t>
        </is>
      </c>
      <c r="D119" s="22" t="inlineStr">
        <is>
          <t>MyMSC</t>
        </is>
      </c>
      <c r="E119" s="22" t="inlineStr">
        <is>
          <t>B2CW</t>
        </is>
      </c>
      <c r="F119" s="22" t="inlineStr">
        <is>
          <t>DONE</t>
        </is>
      </c>
      <c r="G119" s="22" t="inlineStr">
        <is>
          <t>Medium</t>
        </is>
      </c>
      <c r="H119" s="22" t="n"/>
      <c r="I119" s="23">
        <f>IF($A119="","",IFERROR(IF(ISBLANK(INDEX(SprintPlanning[Sprint],MATCH($A119,SprintPlanning[Requirement ID],0))),"To Plan",INDEX(SprintPlanning[Sprint],MATCH($A119,SprintPlanning[Requirement ID],0))),"To Plan"))</f>
        <v/>
      </c>
      <c r="J119" s="22" t="n">
        <v>3</v>
      </c>
      <c r="K119" s="23">
        <f>IFERROR(IF(ISBLANK(INDEX(Release[Release],MATCH($A119,Release[Requirement ID],0))),"",INDEX(Release[Release],MATCH($A119,Release[Requirement ID],0))),"")</f>
        <v/>
      </c>
      <c r="L119" s="24" t="n">
        <v>46232</v>
      </c>
      <c r="M119" s="22" t="inlineStr">
        <is>
          <t>Created</t>
        </is>
      </c>
      <c r="N119" s="22" t="inlineStr">
        <is>
          <t>DTTP25-35956</t>
        </is>
      </c>
      <c r="O119" s="23">
        <f>IF($N119="","","https://smartship.atlassian.net/browse/"&amp;$N119)</f>
        <v/>
      </c>
      <c r="P119">
        <f>IFERROR(VALUE(MID($A119,5,4)),0)</f>
        <v/>
      </c>
    </row>
    <row r="120" ht="15" customHeight="1">
      <c r="A120" s="21" t="inlineStr">
        <is>
          <t>NEW-0146</t>
        </is>
      </c>
      <c r="B120" s="22" t="inlineStr">
        <is>
          <t>INT 139/ INT 140 Applicability ALL INC</t>
        </is>
      </c>
      <c r="C120" s="22" t="inlineStr">
        <is>
          <t>CR</t>
        </is>
      </c>
      <c r="D120" s="22" t="inlineStr">
        <is>
          <t>MyMSC</t>
        </is>
      </c>
      <c r="E120" s="22" t="inlineStr">
        <is>
          <t>B2CW</t>
        </is>
      </c>
      <c r="F120" s="22" t="inlineStr">
        <is>
          <t>DONE</t>
        </is>
      </c>
      <c r="G120" s="22" t="inlineStr">
        <is>
          <t>Medium</t>
        </is>
      </c>
      <c r="H120" s="22" t="n"/>
      <c r="I120" s="23">
        <f>IF($A120="","",IFERROR(IF(ISBLANK(INDEX(SprintPlanning[Sprint],MATCH($A120,SprintPlanning[Requirement ID],0))),"To Plan",INDEX(SprintPlanning[Sprint],MATCH($A120,SprintPlanning[Requirement ID],0))),"To Plan"))</f>
        <v/>
      </c>
      <c r="J120" s="22" t="n">
        <v>8</v>
      </c>
      <c r="K120" s="23">
        <f>IFERROR(IF(ISBLANK(INDEX(Release[Release],MATCH($A120,Release[Requirement ID],0))),"",INDEX(Release[Release],MATCH($A120,Release[Requirement ID],0))),"")</f>
        <v/>
      </c>
      <c r="L120" s="24" t="n">
        <v>46232</v>
      </c>
      <c r="M120" s="22" t="inlineStr">
        <is>
          <t>Created</t>
        </is>
      </c>
      <c r="N120" s="22" t="inlineStr">
        <is>
          <t>DTTP25-35437</t>
        </is>
      </c>
      <c r="O120" s="23">
        <f>IF($N120="","","https://smartship.atlassian.net/browse/"&amp;$N120)</f>
        <v/>
      </c>
      <c r="P120">
        <f>IFERROR(VALUE(MID($A120,5,4)),0)</f>
        <v/>
      </c>
    </row>
    <row r="121" ht="15" customHeight="1">
      <c r="A121" s="21" t="inlineStr">
        <is>
          <t>NEW-0148</t>
        </is>
      </c>
      <c r="B121" s="22" t="inlineStr">
        <is>
          <t>Already Purchased - item no longer sold - INT 142</t>
        </is>
      </c>
      <c r="C121" s="22" t="inlineStr">
        <is>
          <t>CR</t>
        </is>
      </c>
      <c r="D121" s="22" t="inlineStr">
        <is>
          <t>MyMSC</t>
        </is>
      </c>
      <c r="E121" s="22" t="inlineStr">
        <is>
          <t>B2CW</t>
        </is>
      </c>
      <c r="F121" s="22" t="inlineStr">
        <is>
          <t>DONE</t>
        </is>
      </c>
      <c r="G121" s="22" t="inlineStr">
        <is>
          <t>Medium</t>
        </is>
      </c>
      <c r="H121" s="22" t="n"/>
      <c r="I121" s="23">
        <f>IF($A121="","",IFERROR(IF(ISBLANK(INDEX(SprintPlanning[Sprint],MATCH($A121,SprintPlanning[Requirement ID],0))),"To Plan",INDEX(SprintPlanning[Sprint],MATCH($A121,SprintPlanning[Requirement ID],0))),"To Plan"))</f>
        <v/>
      </c>
      <c r="J121" s="22" t="n">
        <v>5</v>
      </c>
      <c r="K121" s="23">
        <f>IFERROR(IF(ISBLANK(INDEX(Release[Release],MATCH($A121,Release[Requirement ID],0))),"",INDEX(Release[Release],MATCH($A121,Release[Requirement ID],0))),"")</f>
        <v/>
      </c>
      <c r="L121" s="24" t="n">
        <v>46232</v>
      </c>
      <c r="M121" s="22" t="inlineStr">
        <is>
          <t>Created</t>
        </is>
      </c>
      <c r="N121" s="22" t="inlineStr">
        <is>
          <t>DTTP25-37062</t>
        </is>
      </c>
      <c r="O121" s="23">
        <f>IF($N121="","","https://smartship.atlassian.net/browse/"&amp;$N121)</f>
        <v/>
      </c>
      <c r="P121">
        <f>IFERROR(VALUE(MID($A121,5,4)),0)</f>
        <v/>
      </c>
    </row>
    <row r="122" ht="15" customHeight="1">
      <c r="A122" s="21" t="inlineStr">
        <is>
          <t>NEW-0150</t>
        </is>
      </c>
      <c r="B122" s="22" t="inlineStr">
        <is>
          <t>INT 139/140 -all inc item missing from OBS List</t>
        </is>
      </c>
      <c r="C122" s="22" t="inlineStr">
        <is>
          <t>CR</t>
        </is>
      </c>
      <c r="D122" s="22" t="inlineStr">
        <is>
          <t>MyMSC</t>
        </is>
      </c>
      <c r="E122" s="22" t="inlineStr">
        <is>
          <t>B2CW</t>
        </is>
      </c>
      <c r="F122" s="22" t="inlineStr">
        <is>
          <t>DONE</t>
        </is>
      </c>
      <c r="G122" s="22" t="inlineStr">
        <is>
          <t>Medium</t>
        </is>
      </c>
      <c r="H122" s="22" t="n"/>
      <c r="I122" s="23">
        <f>IF($A122="","",IFERROR(IF(ISBLANK(INDEX(SprintPlanning[Sprint],MATCH($A122,SprintPlanning[Requirement ID],0))),"To Plan",INDEX(SprintPlanning[Sprint],MATCH($A122,SprintPlanning[Requirement ID],0))),"To Plan"))</f>
        <v/>
      </c>
      <c r="J122" s="22" t="n">
        <v>3</v>
      </c>
      <c r="K122" s="23">
        <f>IFERROR(IF(ISBLANK(INDEX(Release[Release],MATCH($A122,Release[Requirement ID],0))),"",INDEX(Release[Release],MATCH($A122,Release[Requirement ID],0))),"")</f>
        <v/>
      </c>
      <c r="L122" s="24" t="n">
        <v>46232</v>
      </c>
      <c r="M122" s="22" t="n"/>
      <c r="N122" s="22" t="n"/>
      <c r="O122" s="23">
        <f>IF($N122="","","https://smartship.atlassian.net/browse/"&amp;$N122)</f>
        <v/>
      </c>
      <c r="P122">
        <f>IFERROR(VALUE(MID($A122,5,4)),0)</f>
        <v/>
      </c>
    </row>
    <row r="123" ht="15" customHeight="1">
      <c r="A123" s="21" t="inlineStr">
        <is>
          <t>NEW-0240</t>
        </is>
      </c>
      <c r="B123" s="22" t="inlineStr">
        <is>
          <t>Setup of DTS credit card codes for US</t>
        </is>
      </c>
      <c r="C123" s="22" t="inlineStr">
        <is>
          <t>CR</t>
        </is>
      </c>
      <c r="D123" s="22" t="inlineStr">
        <is>
          <t>US</t>
        </is>
      </c>
      <c r="E123" s="22" t="inlineStr">
        <is>
          <t>S&amp;S</t>
        </is>
      </c>
      <c r="F123" s="22" t="inlineStr">
        <is>
          <t>DONE</t>
        </is>
      </c>
      <c r="G123" s="22" t="inlineStr">
        <is>
          <t>Medium</t>
        </is>
      </c>
      <c r="H123" s="22" t="n"/>
      <c r="I123" s="23">
        <f>IF($A123="","",IFERROR(IF(ISBLANK(INDEX(SprintPlanning[Sprint],MATCH($A123,SprintPlanning[Requirement ID],0))),"To Plan",INDEX(SprintPlanning[Sprint],MATCH($A123,SprintPlanning[Requirement ID],0))),"To Plan"))</f>
        <v/>
      </c>
      <c r="J123" s="22" t="n">
        <v>2</v>
      </c>
      <c r="K123" s="23">
        <f>IFERROR(IF(ISBLANK(INDEX(Release[Release],MATCH($A123,Release[Requirement ID],0))),"",INDEX(Release[Release],MATCH($A123,Release[Requirement ID],0))),"")</f>
        <v/>
      </c>
      <c r="L123" s="24" t="n">
        <v>46232</v>
      </c>
      <c r="M123" s="22" t="inlineStr">
        <is>
          <t>Created</t>
        </is>
      </c>
      <c r="N123" s="22" t="inlineStr">
        <is>
          <t>MDTTPU-6139</t>
        </is>
      </c>
      <c r="O123" s="23">
        <f>IF($N123="","","https://smartship.atlassian.net/browse/"&amp;$N123)</f>
        <v/>
      </c>
      <c r="P123">
        <f>IFERROR(VALUE(MID($A123,5,4)),0)</f>
        <v/>
      </c>
    </row>
    <row r="124" ht="15" customHeight="1">
      <c r="A124" s="21" t="inlineStr">
        <is>
          <t>NEW-0243</t>
        </is>
      </c>
      <c r="B124" s="22" t="inlineStr">
        <is>
          <t>PVC - INT158 (New Interface)</t>
        </is>
      </c>
      <c r="C124" s="22" t="inlineStr">
        <is>
          <t>New</t>
        </is>
      </c>
      <c r="D124" s="22" t="inlineStr">
        <is>
          <t>US</t>
        </is>
      </c>
      <c r="E124" s="22" t="inlineStr">
        <is>
          <t>S&amp;S</t>
        </is>
      </c>
      <c r="F124" s="22" t="inlineStr">
        <is>
          <t>DONE</t>
        </is>
      </c>
      <c r="G124" s="22" t="inlineStr">
        <is>
          <t>Medium</t>
        </is>
      </c>
      <c r="H124" s="22" t="n"/>
      <c r="I124" s="23">
        <f>IF($A124="","",IFERROR(IF(ISBLANK(INDEX(SprintPlanning[Sprint],MATCH($A124,SprintPlanning[Requirement ID],0))),"To Plan",INDEX(SprintPlanning[Sprint],MATCH($A124,SprintPlanning[Requirement ID],0))),"To Plan"))</f>
        <v/>
      </c>
      <c r="J124" s="22" t="n">
        <v>5</v>
      </c>
      <c r="K124" s="23">
        <f>IFERROR(IF(ISBLANK(INDEX(Release[Release],MATCH($A124,Release[Requirement ID],0))),"",INDEX(Release[Release],MATCH($A124,Release[Requirement ID],0))),"")</f>
        <v/>
      </c>
      <c r="L124" s="24" t="n">
        <v>46232</v>
      </c>
      <c r="M124" s="22" t="inlineStr">
        <is>
          <t>Created</t>
        </is>
      </c>
      <c r="N124" s="22" t="inlineStr">
        <is>
          <t>MDTTPU-1336</t>
        </is>
      </c>
      <c r="O124" s="23">
        <f>IF($N124="","","https://smartship.atlassian.net/browse/"&amp;$N124)</f>
        <v/>
      </c>
      <c r="P124">
        <f>IFERROR(VALUE(MID($A124,5,4)),0)</f>
        <v/>
      </c>
    </row>
    <row r="125" ht="15" customHeight="1">
      <c r="A125" s="21" t="inlineStr">
        <is>
          <t>NEW-0246</t>
        </is>
      </c>
      <c r="B125" s="22" t="inlineStr">
        <is>
          <t>Attentive - INT175</t>
        </is>
      </c>
      <c r="C125" s="22" t="inlineStr">
        <is>
          <t>New</t>
        </is>
      </c>
      <c r="D125" s="22" t="inlineStr">
        <is>
          <t>US</t>
        </is>
      </c>
      <c r="E125" s="22" t="inlineStr">
        <is>
          <t>MA</t>
        </is>
      </c>
      <c r="F125" s="22" t="inlineStr">
        <is>
          <t>DONE</t>
        </is>
      </c>
      <c r="G125" s="22" t="inlineStr">
        <is>
          <t>Medium</t>
        </is>
      </c>
      <c r="H125" s="22" t="n"/>
      <c r="I125" s="23">
        <f>IF($A125="","",IFERROR(IF(ISBLANK(INDEX(SprintPlanning[Sprint],MATCH($A125,SprintPlanning[Requirement ID],0))),"To Plan",INDEX(SprintPlanning[Sprint],MATCH($A125,SprintPlanning[Requirement ID],0))),"To Plan"))</f>
        <v/>
      </c>
      <c r="J125" s="22" t="n">
        <v>5</v>
      </c>
      <c r="K125" s="23">
        <f>IFERROR(IF(ISBLANK(INDEX(Release[Release],MATCH($A125,Release[Requirement ID],0))),"",INDEX(Release[Release],MATCH($A125,Release[Requirement ID],0))),"")</f>
        <v/>
      </c>
      <c r="L125" s="24" t="n">
        <v>46232</v>
      </c>
      <c r="M125" s="22" t="n"/>
      <c r="N125" s="22" t="n"/>
      <c r="O125" s="23">
        <f>IF($N125="","","https://smartship.atlassian.net/browse/"&amp;$N125)</f>
        <v/>
      </c>
      <c r="P125">
        <f>IFERROR(VALUE(MID($A125,5,4)),0)</f>
        <v/>
      </c>
    </row>
    <row r="126" ht="15" customHeight="1">
      <c r="A126" s="21" t="inlineStr">
        <is>
          <t>NEW-0253</t>
        </is>
      </c>
      <c r="B126" s="22" t="inlineStr">
        <is>
          <t>Outbound leads - Already Sent</t>
        </is>
      </c>
      <c r="C126" s="22" t="inlineStr">
        <is>
          <t>CR</t>
        </is>
      </c>
      <c r="D126" s="22" t="inlineStr">
        <is>
          <t>US</t>
        </is>
      </c>
      <c r="E126" s="22" t="inlineStr">
        <is>
          <t>S&amp;S</t>
        </is>
      </c>
      <c r="F126" s="22" t="inlineStr">
        <is>
          <t>DONE</t>
        </is>
      </c>
      <c r="G126" s="22" t="inlineStr">
        <is>
          <t>Medium</t>
        </is>
      </c>
      <c r="H126" s="22" t="n"/>
      <c r="I126" s="23">
        <f>IF($A126="","",IFERROR(IF(ISBLANK(INDEX(SprintPlanning[Sprint],MATCH($A126,SprintPlanning[Requirement ID],0))),"To Plan",INDEX(SprintPlanning[Sprint],MATCH($A126,SprintPlanning[Requirement ID],0))),"To Plan"))</f>
        <v/>
      </c>
      <c r="J126" s="22" t="n">
        <v>8</v>
      </c>
      <c r="K126" s="23">
        <f>IFERROR(IF(ISBLANK(INDEX(Release[Release],MATCH($A126,Release[Requirement ID],0))),"",INDEX(Release[Release],MATCH($A126,Release[Requirement ID],0))),"")</f>
        <v/>
      </c>
      <c r="L126" s="24" t="n">
        <v>46232</v>
      </c>
      <c r="M126" s="22" t="inlineStr">
        <is>
          <t>Created</t>
        </is>
      </c>
      <c r="N126" s="22" t="inlineStr">
        <is>
          <t>MDTTPU-2573</t>
        </is>
      </c>
      <c r="O126" s="23">
        <f>IF($N126="","","https://smartship.atlassian.net/browse/"&amp;$N126)</f>
        <v/>
      </c>
      <c r="P126">
        <f>IFERROR(VALUE(MID($A126,5,4)),0)</f>
        <v/>
      </c>
    </row>
    <row r="127" ht="15" customHeight="1">
      <c r="A127" s="21" t="inlineStr">
        <is>
          <t>NEW-0257</t>
        </is>
      </c>
      <c r="B127" s="22" t="inlineStr">
        <is>
          <t>DTS-Salesforce Optimisations - INT 037</t>
        </is>
      </c>
      <c r="C127" s="22" t="inlineStr">
        <is>
          <t>New</t>
        </is>
      </c>
      <c r="D127" s="22" t="inlineStr">
        <is>
          <t>US</t>
        </is>
      </c>
      <c r="E127" s="22" t="inlineStr">
        <is>
          <t>S&amp;S</t>
        </is>
      </c>
      <c r="F127" s="22" t="inlineStr">
        <is>
          <t>DONE</t>
        </is>
      </c>
      <c r="G127" s="22" t="inlineStr">
        <is>
          <t>Medium</t>
        </is>
      </c>
      <c r="H127" s="22" t="n"/>
      <c r="I127" s="23">
        <f>IF($A127="","",IFERROR(IF(ISBLANK(INDEX(SprintPlanning[Sprint],MATCH($A127,SprintPlanning[Requirement ID],0))),"To Plan",INDEX(SprintPlanning[Sprint],MATCH($A127,SprintPlanning[Requirement ID],0))),"To Plan"))</f>
        <v/>
      </c>
      <c r="J127" s="22" t="n">
        <v>5</v>
      </c>
      <c r="K127" s="23">
        <f>IFERROR(IF(ISBLANK(INDEX(Release[Release],MATCH($A127,Release[Requirement ID],0))),"",INDEX(Release[Release],MATCH($A127,Release[Requirement ID],0))),"")</f>
        <v/>
      </c>
      <c r="L127" s="24" t="n">
        <v>46232</v>
      </c>
      <c r="M127" s="22" t="n"/>
      <c r="N127" s="22" t="n"/>
      <c r="O127" s="23">
        <f>IF($N127="","","https://smartship.atlassian.net/browse/"&amp;$N127)</f>
        <v/>
      </c>
      <c r="P127">
        <f>IFERROR(VALUE(MID($A127,5,4)),0)</f>
        <v/>
      </c>
    </row>
    <row r="128" ht="15" customHeight="1">
      <c r="A128" s="21" t="inlineStr">
        <is>
          <t>NEW-0268</t>
        </is>
      </c>
      <c r="B128" s="22" t="inlineStr">
        <is>
          <t>Not To Sail</t>
        </is>
      </c>
      <c r="C128" s="22" t="inlineStr">
        <is>
          <t>CR</t>
        </is>
      </c>
      <c r="D128" s="22" t="inlineStr">
        <is>
          <t>US</t>
        </is>
      </c>
      <c r="E128" s="22" t="inlineStr">
        <is>
          <t>S&amp;S</t>
        </is>
      </c>
      <c r="F128" s="22" t="inlineStr">
        <is>
          <t>DONE</t>
        </is>
      </c>
      <c r="G128" s="22" t="inlineStr">
        <is>
          <t>Medium</t>
        </is>
      </c>
      <c r="H128" s="22" t="n"/>
      <c r="I128" s="23">
        <f>IF($A128="","",IFERROR(IF(ISBLANK(INDEX(SprintPlanning[Sprint],MATCH($A128,SprintPlanning[Requirement ID],0))),"To Plan",INDEX(SprintPlanning[Sprint],MATCH($A128,SprintPlanning[Requirement ID],0))),"To Plan"))</f>
        <v/>
      </c>
      <c r="J128" s="22" t="n">
        <v>5</v>
      </c>
      <c r="K128" s="23">
        <f>IFERROR(IF(ISBLANK(INDEX(Release[Release],MATCH($A128,Release[Requirement ID],0))),"",INDEX(Release[Release],MATCH($A128,Release[Requirement ID],0))),"")</f>
        <v/>
      </c>
      <c r="L128" s="24" t="n">
        <v>46232</v>
      </c>
      <c r="M128" s="22" t="inlineStr">
        <is>
          <t>Created</t>
        </is>
      </c>
      <c r="N128" s="22" t="inlineStr">
        <is>
          <t>MDTTPU-6142</t>
        </is>
      </c>
      <c r="O128" s="23">
        <f>IF($N128="","","https://smartship.atlassian.net/browse/"&amp;$N128)</f>
        <v/>
      </c>
      <c r="P128">
        <f>IFERROR(VALUE(MID($A128,5,4)),0)</f>
        <v/>
      </c>
    </row>
    <row r="129" ht="15" customHeight="1">
      <c r="A129" s="21" t="inlineStr">
        <is>
          <t>NEW-0291</t>
        </is>
      </c>
      <c r="B129" s="22" t="inlineStr">
        <is>
          <t>INT159 - Lab item for myMSC</t>
        </is>
      </c>
      <c r="C129" s="22" t="inlineStr">
        <is>
          <t>New</t>
        </is>
      </c>
      <c r="D129" s="22" t="inlineStr">
        <is>
          <t>MyMSC</t>
        </is>
      </c>
      <c r="E129" s="22" t="inlineStr">
        <is>
          <t>B2CW</t>
        </is>
      </c>
      <c r="F129" s="22" t="inlineStr">
        <is>
          <t>DONE</t>
        </is>
      </c>
      <c r="G129" s="22" t="inlineStr">
        <is>
          <t>Medium</t>
        </is>
      </c>
      <c r="H129" s="22" t="n"/>
      <c r="I129" s="23">
        <f>IF($A129="","",IFERROR(IF(ISBLANK(INDEX(SprintPlanning[Sprint],MATCH($A129,SprintPlanning[Requirement ID],0))),"To Plan",INDEX(SprintPlanning[Sprint],MATCH($A129,SprintPlanning[Requirement ID],0))),"To Plan"))</f>
        <v/>
      </c>
      <c r="J129" s="22" t="n">
        <v>5</v>
      </c>
      <c r="K129" s="23">
        <f>IFERROR(IF(ISBLANK(INDEX(Release[Release],MATCH($A129,Release[Requirement ID],0))),"",INDEX(Release[Release],MATCH($A129,Release[Requirement ID],0))),"")</f>
        <v/>
      </c>
      <c r="L129" s="24" t="n">
        <v>46232</v>
      </c>
      <c r="M129" s="22" t="n"/>
      <c r="N129" s="22" t="inlineStr">
        <is>
          <t>DTTP25-35279</t>
        </is>
      </c>
      <c r="O129" s="23">
        <f>IF($N129="","","https://smartship.atlassian.net/browse/"&amp;$N129)</f>
        <v/>
      </c>
      <c r="P129">
        <f>IFERROR(VALUE(MID($A129,5,4)),0)</f>
        <v/>
      </c>
    </row>
    <row r="130" ht="15" customHeight="1">
      <c r="A130" s="21" t="inlineStr">
        <is>
          <t>NEW-0294</t>
        </is>
      </c>
      <c r="B130" s="22" t="inlineStr">
        <is>
          <t>INT142 fix for flights</t>
        </is>
      </c>
      <c r="C130" s="22" t="inlineStr">
        <is>
          <t>CR</t>
        </is>
      </c>
      <c r="D130" s="22" t="inlineStr">
        <is>
          <t>MyMSC</t>
        </is>
      </c>
      <c r="E130" s="22" t="inlineStr">
        <is>
          <t>B2CW</t>
        </is>
      </c>
      <c r="F130" s="22" t="inlineStr">
        <is>
          <t>DONE</t>
        </is>
      </c>
      <c r="G130" s="22" t="inlineStr">
        <is>
          <t>Medium</t>
        </is>
      </c>
      <c r="H130" s="22" t="n"/>
      <c r="I130" s="23">
        <f>IF($A130="","",IFERROR(IF(ISBLANK(INDEX(SprintPlanning[Sprint],MATCH($A130,SprintPlanning[Requirement ID],0))),"To Plan",INDEX(SprintPlanning[Sprint],MATCH($A130,SprintPlanning[Requirement ID],0))),"To Plan"))</f>
        <v/>
      </c>
      <c r="J130" s="22" t="n">
        <v>5</v>
      </c>
      <c r="K130" s="23">
        <f>IFERROR(IF(ISBLANK(INDEX(Release[Release],MATCH($A130,Release[Requirement ID],0))),"",INDEX(Release[Release],MATCH($A130,Release[Requirement ID],0))),"")</f>
        <v/>
      </c>
      <c r="L130" s="24" t="n">
        <v>46232</v>
      </c>
      <c r="M130" s="22" t="n"/>
      <c r="N130" s="22" t="n"/>
      <c r="O130" s="23">
        <f>IF($N130="","","https://smartship.atlassian.net/browse/"&amp;$N130)</f>
        <v/>
      </c>
      <c r="P130">
        <f>IFERROR(VALUE(MID($A130,5,4)),0)</f>
        <v/>
      </c>
    </row>
    <row r="131" ht="15" customHeight="1">
      <c r="A131" s="21" t="inlineStr">
        <is>
          <t>NEW-0303</t>
        </is>
      </c>
      <c r="B131" s="22" t="inlineStr">
        <is>
          <t>INT139 / INT140 - Applicability of items during all inclusive logic - CR related items</t>
        </is>
      </c>
      <c r="C131" s="22" t="inlineStr">
        <is>
          <t>CR</t>
        </is>
      </c>
      <c r="D131" s="22" t="inlineStr">
        <is>
          <t>MyMSC</t>
        </is>
      </c>
      <c r="E131" s="22" t="inlineStr">
        <is>
          <t>B2CW</t>
        </is>
      </c>
      <c r="F131" s="22" t="inlineStr">
        <is>
          <t>DONE</t>
        </is>
      </c>
      <c r="G131" s="22" t="inlineStr">
        <is>
          <t>Medium</t>
        </is>
      </c>
      <c r="H131" s="22" t="n"/>
      <c r="I131" s="23">
        <f>IF($A131="","",IFERROR(IF(ISBLANK(INDEX(SprintPlanning[Sprint],MATCH($A131,SprintPlanning[Requirement ID],0))),"To Plan",INDEX(SprintPlanning[Sprint],MATCH($A131,SprintPlanning[Requirement ID],0))),"To Plan"))</f>
        <v/>
      </c>
      <c r="J131" s="22" t="n">
        <v>8</v>
      </c>
      <c r="K131" s="23">
        <f>IFERROR(IF(ISBLANK(INDEX(Release[Release],MATCH($A131,Release[Requirement ID],0))),"",INDEX(Release[Release],MATCH($A131,Release[Requirement ID],0))),"")</f>
        <v/>
      </c>
      <c r="L131" s="24" t="n">
        <v>46232</v>
      </c>
      <c r="M131" s="22" t="n"/>
      <c r="N131" s="22" t="n"/>
      <c r="O131" s="23">
        <f>IF($N131="","","https://smartship.atlassian.net/browse/"&amp;$N131)</f>
        <v/>
      </c>
      <c r="P131">
        <f>IFERROR(VALUE(MID($A131,5,4)),0)</f>
        <v/>
      </c>
    </row>
    <row r="132" ht="15" customHeight="1">
      <c r="A132" s="21" t="inlineStr">
        <is>
          <t>NEW-0305</t>
        </is>
      </c>
      <c r="B132" s="22" t="inlineStr">
        <is>
          <t>INT130 / INT139 / INT140 - Applicability of Items - Switch to new cache jsononboardservice</t>
        </is>
      </c>
      <c r="C132" s="22" t="inlineStr">
        <is>
          <t>CR</t>
        </is>
      </c>
      <c r="D132" s="22" t="inlineStr">
        <is>
          <t>MyMSC</t>
        </is>
      </c>
      <c r="E132" s="22" t="inlineStr">
        <is>
          <t>B2CW</t>
        </is>
      </c>
      <c r="F132" s="22" t="inlineStr">
        <is>
          <t>DONE</t>
        </is>
      </c>
      <c r="G132" s="22" t="inlineStr">
        <is>
          <t>Medium</t>
        </is>
      </c>
      <c r="H132" s="22" t="n"/>
      <c r="I132" s="23">
        <f>IF($A132="","",IFERROR(IF(ISBLANK(INDEX(SprintPlanning[Sprint],MATCH($A132,SprintPlanning[Requirement ID],0))),"To Plan",INDEX(SprintPlanning[Sprint],MATCH($A132,SprintPlanning[Requirement ID],0))),"To Plan"))</f>
        <v/>
      </c>
      <c r="J132" s="22" t="n">
        <v>3</v>
      </c>
      <c r="K132" s="23">
        <f>IFERROR(IF(ISBLANK(INDEX(Release[Release],MATCH($A132,Release[Requirement ID],0))),"",INDEX(Release[Release],MATCH($A132,Release[Requirement ID],0))),"")</f>
        <v/>
      </c>
      <c r="L132" s="24" t="n">
        <v>46232</v>
      </c>
      <c r="M132" s="22" t="inlineStr">
        <is>
          <t>Created</t>
        </is>
      </c>
      <c r="N132" s="22" t="inlineStr">
        <is>
          <t>DTTP25-36730</t>
        </is>
      </c>
      <c r="O132" s="23">
        <f>IF($N132="","","https://smartship.atlassian.net/browse/"&amp;$N132)</f>
        <v/>
      </c>
      <c r="P132">
        <f>IFERROR(VALUE(MID($A132,5,4)),0)</f>
        <v/>
      </c>
    </row>
    <row r="133" ht="15" customHeight="1">
      <c r="A133" s="21" t="inlineStr">
        <is>
          <t>NEW-0307</t>
        </is>
      </c>
      <c r="B133" s="22" t="inlineStr">
        <is>
          <t>INT140 handling of coupons - error handling</t>
        </is>
      </c>
      <c r="C133" s="22" t="inlineStr">
        <is>
          <t>CR</t>
        </is>
      </c>
      <c r="D133" s="22" t="inlineStr">
        <is>
          <t>MyMSC</t>
        </is>
      </c>
      <c r="E133" s="22" t="inlineStr">
        <is>
          <t>B2CW</t>
        </is>
      </c>
      <c r="F133" s="22" t="inlineStr">
        <is>
          <t>DONE</t>
        </is>
      </c>
      <c r="G133" s="22" t="inlineStr">
        <is>
          <t>Medium</t>
        </is>
      </c>
      <c r="H133" s="22" t="n"/>
      <c r="I133" s="23">
        <f>IF($A133="","",IFERROR(IF(ISBLANK(INDEX(SprintPlanning[Sprint],MATCH($A133,SprintPlanning[Requirement ID],0))),"To Plan",INDEX(SprintPlanning[Sprint],MATCH($A133,SprintPlanning[Requirement ID],0))),"To Plan"))</f>
        <v/>
      </c>
      <c r="J133" s="22" t="n">
        <v>8</v>
      </c>
      <c r="K133" s="23">
        <f>IFERROR(IF(ISBLANK(INDEX(Release[Release],MATCH($A133,Release[Requirement ID],0))),"",INDEX(Release[Release],MATCH($A133,Release[Requirement ID],0))),"")</f>
        <v/>
      </c>
      <c r="L133" s="24" t="n">
        <v>46232</v>
      </c>
      <c r="M133" s="22" t="inlineStr">
        <is>
          <t>Created</t>
        </is>
      </c>
      <c r="N133" s="22" t="inlineStr">
        <is>
          <t>DTTP25-34505</t>
        </is>
      </c>
      <c r="O133" s="23">
        <f>IF($N133="","","https://smartship.atlassian.net/browse/"&amp;$N133)</f>
        <v/>
      </c>
      <c r="P133">
        <f>IFERROR(VALUE(MID($A133,5,4)),0)</f>
        <v/>
      </c>
    </row>
    <row r="134" ht="15" customHeight="1">
      <c r="A134" s="21" t="inlineStr">
        <is>
          <t>NEW-0319</t>
        </is>
      </c>
      <c r="B134" s="22" t="inlineStr">
        <is>
          <t>INT 163 - Add missing PrepaidShop field</t>
        </is>
      </c>
      <c r="C134" s="22" t="inlineStr">
        <is>
          <t>CR</t>
        </is>
      </c>
      <c r="D134" s="22" t="inlineStr">
        <is>
          <t>MyMSC</t>
        </is>
      </c>
      <c r="E134" s="22" t="inlineStr">
        <is>
          <t>B2CW</t>
        </is>
      </c>
      <c r="F134" s="22" t="inlineStr">
        <is>
          <t>DONE</t>
        </is>
      </c>
      <c r="G134" s="22" t="inlineStr">
        <is>
          <t>Medium</t>
        </is>
      </c>
      <c r="H134" s="22" t="n"/>
      <c r="I134" s="23">
        <f>IF($A134="","",IFERROR(IF(ISBLANK(INDEX(SprintPlanning[Sprint],MATCH($A134,SprintPlanning[Requirement ID],0))),"To Plan",INDEX(SprintPlanning[Sprint],MATCH($A134,SprintPlanning[Requirement ID],0))),"To Plan"))</f>
        <v/>
      </c>
      <c r="J134" s="22" t="n">
        <v>2</v>
      </c>
      <c r="K134" s="23">
        <f>IFERROR(IF(ISBLANK(INDEX(Release[Release],MATCH($A134,Release[Requirement ID],0))),"",INDEX(Release[Release],MATCH($A134,Release[Requirement ID],0))),"")</f>
        <v/>
      </c>
      <c r="L134" s="24" t="n">
        <v>46232</v>
      </c>
      <c r="M134" s="22" t="inlineStr">
        <is>
          <t>Created</t>
        </is>
      </c>
      <c r="N134" s="22" t="inlineStr">
        <is>
          <t>DTTP25-36916</t>
        </is>
      </c>
      <c r="O134" s="23">
        <f>IF($N134="","","https://smartship.atlassian.net/browse/"&amp;$N134)</f>
        <v/>
      </c>
      <c r="P134">
        <f>IFERROR(VALUE(MID($A134,5,4)),0)</f>
        <v/>
      </c>
    </row>
    <row r="135" ht="15" customHeight="1">
      <c r="A135" s="21" t="inlineStr">
        <is>
          <t>NEW-0352</t>
        </is>
      </c>
      <c r="B135" s="22" t="inlineStr">
        <is>
          <t>INT165 - Datatrans Webhook v1.0</t>
        </is>
      </c>
      <c r="C135" s="22" t="inlineStr">
        <is>
          <t>New</t>
        </is>
      </c>
      <c r="D135" s="22" t="inlineStr">
        <is>
          <t>Growth</t>
        </is>
      </c>
      <c r="E135" s="22" t="inlineStr">
        <is>
          <t>B2CW</t>
        </is>
      </c>
      <c r="F135" s="22" t="inlineStr">
        <is>
          <t>DONE</t>
        </is>
      </c>
      <c r="G135" s="22" t="inlineStr">
        <is>
          <t>Medium</t>
        </is>
      </c>
      <c r="H135" s="22" t="n"/>
      <c r="I135" s="23">
        <f>IF($A135="","",IFERROR(IF(ISBLANK(INDEX(SprintPlanning[Sprint],MATCH($A135,SprintPlanning[Requirement ID],0))),"To Plan",INDEX(SprintPlanning[Sprint],MATCH($A135,SprintPlanning[Requirement ID],0))),"To Plan"))</f>
        <v/>
      </c>
      <c r="J135" s="22" t="n">
        <v>5</v>
      </c>
      <c r="K135" s="23">
        <f>IFERROR(IF(ISBLANK(INDEX(Release[Release],MATCH($A135,Release[Requirement ID],0))),"",INDEX(Release[Release],MATCH($A135,Release[Requirement ID],0))),"")</f>
        <v/>
      </c>
      <c r="L135" s="24" t="n">
        <v>46232</v>
      </c>
      <c r="M135" s="22" t="inlineStr">
        <is>
          <t>Created</t>
        </is>
      </c>
      <c r="N135" s="22" t="inlineStr">
        <is>
          <t>DTTP25-34473</t>
        </is>
      </c>
      <c r="O135" s="23">
        <f>IF($N135="","","https://smartship.atlassian.net/browse/"&amp;$N135)</f>
        <v/>
      </c>
      <c r="P135">
        <f>IFERROR(VALUE(MID($A135,5,4)),0)</f>
        <v/>
      </c>
    </row>
    <row r="136" ht="15" customHeight="1">
      <c r="A136" s="21" t="inlineStr">
        <is>
          <t>NEW-0357</t>
        </is>
      </c>
      <c r="B136" s="22" t="inlineStr">
        <is>
          <t>PDC - Customer Contacts - B2C Funnel Alignment</t>
        </is>
      </c>
      <c r="C136" s="22" t="inlineStr">
        <is>
          <t>CR</t>
        </is>
      </c>
      <c r="D136" s="22" t="inlineStr">
        <is>
          <t>Growth</t>
        </is>
      </c>
      <c r="E136" s="22" t="inlineStr">
        <is>
          <t>B2CW</t>
        </is>
      </c>
      <c r="F136" s="22" t="inlineStr">
        <is>
          <t>DONE</t>
        </is>
      </c>
      <c r="G136" s="22" t="inlineStr">
        <is>
          <t>Medium</t>
        </is>
      </c>
      <c r="H136" s="22" t="n"/>
      <c r="I136" s="23">
        <f>IF($A136="","",IFERROR(IF(ISBLANK(INDEX(SprintPlanning[Sprint],MATCH($A136,SprintPlanning[Requirement ID],0))),"To Plan",INDEX(SprintPlanning[Sprint],MATCH($A136,SprintPlanning[Requirement ID],0))),"To Plan"))</f>
        <v/>
      </c>
      <c r="J136" s="22" t="n">
        <v>21</v>
      </c>
      <c r="K136" s="23">
        <f>IFERROR(IF(ISBLANK(INDEX(Release[Release],MATCH($A136,Release[Requirement ID],0))),"",INDEX(Release[Release],MATCH($A136,Release[Requirement ID],0))),"")</f>
        <v/>
      </c>
      <c r="L136" s="24" t="n">
        <v>46232</v>
      </c>
      <c r="M136" s="22" t="inlineStr">
        <is>
          <t>Created</t>
        </is>
      </c>
      <c r="N136" s="22" t="inlineStr">
        <is>
          <t>DTTP25-35415</t>
        </is>
      </c>
      <c r="O136" s="23">
        <f>IF($N136="","","https://smartship.atlassian.net/browse/"&amp;$N136)</f>
        <v/>
      </c>
      <c r="P136">
        <f>IFERROR(VALUE(MID($A136,5,4)),0)</f>
        <v/>
      </c>
    </row>
    <row r="137" ht="15" customHeight="1">
      <c r="A137" s="21" t="inlineStr">
        <is>
          <t>NEW-0387</t>
        </is>
      </c>
      <c r="B137" s="22" t="inlineStr">
        <is>
          <t>DTTP - Lead Management - Web forms - Market-Based Date Format Localization</t>
        </is>
      </c>
      <c r="C137" s="22" t="inlineStr">
        <is>
          <t>CR</t>
        </is>
      </c>
      <c r="D137" s="22" t="inlineStr">
        <is>
          <t>PI10</t>
        </is>
      </c>
      <c r="E137" s="22" t="inlineStr">
        <is>
          <t>MA</t>
        </is>
      </c>
      <c r="F137" s="22" t="inlineStr">
        <is>
          <t>DONE</t>
        </is>
      </c>
      <c r="G137" s="22" t="inlineStr">
        <is>
          <t>Medium</t>
        </is>
      </c>
      <c r="H137" s="22" t="n"/>
      <c r="I137" s="23">
        <f>IF($A137="","",IFERROR(IF(ISBLANK(INDEX(SprintPlanning[Sprint],MATCH($A137,SprintPlanning[Requirement ID],0))),"To Plan",INDEX(SprintPlanning[Sprint],MATCH($A137,SprintPlanning[Requirement ID],0))),"To Plan"))</f>
        <v/>
      </c>
      <c r="J137" s="22" t="n">
        <v>5</v>
      </c>
      <c r="K137" s="23">
        <f>IFERROR(IF(ISBLANK(INDEX(Release[Release],MATCH($A137,Release[Requirement ID],0))),"",INDEX(Release[Release],MATCH($A137,Release[Requirement ID],0))),"")</f>
        <v/>
      </c>
      <c r="L137" s="24" t="n">
        <v>46232</v>
      </c>
      <c r="M137" s="22" t="inlineStr">
        <is>
          <t>Created</t>
        </is>
      </c>
      <c r="N137" s="22" t="inlineStr">
        <is>
          <t>EA-1280</t>
        </is>
      </c>
      <c r="O137" s="23">
        <f>IF($N137="","","https://smartship.atlassian.net/browse/"&amp;$N137)</f>
        <v/>
      </c>
      <c r="P137">
        <f>IFERROR(VALUE(MID($A137,5,4)),0)</f>
        <v/>
      </c>
    </row>
    <row r="138" hidden="1" ht="15" customHeight="1">
      <c r="A138" s="21" t="inlineStr">
        <is>
          <t>NEW-0108</t>
        </is>
      </c>
      <c r="B138" s="22" t="inlineStr">
        <is>
          <t>Web user cancellation - INT 121</t>
        </is>
      </c>
      <c r="C138" s="22" t="inlineStr">
        <is>
          <t>CR</t>
        </is>
      </c>
      <c r="D138" s="22" t="inlineStr">
        <is>
          <t>US</t>
        </is>
      </c>
      <c r="E138" s="22" t="inlineStr">
        <is>
          <t>S&amp;S</t>
        </is>
      </c>
      <c r="F138" s="22" t="inlineStr">
        <is>
          <t>DONE</t>
        </is>
      </c>
      <c r="G138" s="22" t="inlineStr">
        <is>
          <t>Medium</t>
        </is>
      </c>
      <c r="H138" s="22" t="n"/>
      <c r="I138" s="23">
        <f>IF($A138="","",IFERROR(IF(ISBLANK(INDEX(SprintPlanning[Sprint],MATCH($A138,SprintPlanning[Requirement ID],0))),"To Plan",INDEX(SprintPlanning[Sprint],MATCH($A138,SprintPlanning[Requirement ID],0))),"To Plan"))</f>
        <v/>
      </c>
      <c r="J138" s="22" t="n">
        <v>5</v>
      </c>
      <c r="K138" s="23">
        <f>IFERROR(IF(ISBLANK(INDEX(Release[Release],MATCH($A138,Release[Requirement ID],0))),"",INDEX(Release[Release],MATCH($A138,Release[Requirement ID],0))),"")</f>
        <v/>
      </c>
      <c r="L138" s="24" t="n">
        <v>46232</v>
      </c>
      <c r="M138" s="22" t="inlineStr">
        <is>
          <t>Created</t>
        </is>
      </c>
      <c r="N138" s="22" t="inlineStr">
        <is>
          <t>MDTTPU-2673</t>
        </is>
      </c>
      <c r="O138" s="23">
        <f>IF($N138="","","https://smartship.atlassian.net/browse/"&amp;$N138)</f>
        <v/>
      </c>
      <c r="P138">
        <f>IFERROR(VALUE(MID($A138,5,4)),0)</f>
        <v/>
      </c>
    </row>
    <row r="139" hidden="1" ht="15" customHeight="1">
      <c r="A139" s="21" t="inlineStr">
        <is>
          <t>NEW-0109</t>
        </is>
      </c>
      <c r="B139" s="22" t="inlineStr">
        <is>
          <t>Web user cancellation - INT118</t>
        </is>
      </c>
      <c r="C139" s="22" t="inlineStr">
        <is>
          <t>New</t>
        </is>
      </c>
      <c r="D139" s="22" t="inlineStr">
        <is>
          <t>US</t>
        </is>
      </c>
      <c r="E139" s="22" t="inlineStr">
        <is>
          <t>S&amp;S</t>
        </is>
      </c>
      <c r="F139" s="22" t="inlineStr">
        <is>
          <t>DONE</t>
        </is>
      </c>
      <c r="G139" s="22" t="inlineStr">
        <is>
          <t>Medium</t>
        </is>
      </c>
      <c r="H139" s="22" t="n"/>
      <c r="I139" s="23">
        <f>IF($A139="","",IFERROR(IF(ISBLANK(INDEX(SprintPlanning[Sprint],MATCH($A139,SprintPlanning[Requirement ID],0))),"To Plan",INDEX(SprintPlanning[Sprint],MATCH($A139,SprintPlanning[Requirement ID],0))),"To Plan"))</f>
        <v/>
      </c>
      <c r="J139" s="22" t="n">
        <v>13</v>
      </c>
      <c r="K139" s="23">
        <f>IFERROR(IF(ISBLANK(INDEX(Release[Release],MATCH($A139,Release[Requirement ID],0))),"",INDEX(Release[Release],MATCH($A139,Release[Requirement ID],0))),"")</f>
        <v/>
      </c>
      <c r="L139" s="24" t="n">
        <v>46232</v>
      </c>
      <c r="M139" s="22" t="inlineStr">
        <is>
          <t>Created</t>
        </is>
      </c>
      <c r="N139" s="22" t="inlineStr">
        <is>
          <t>MDTTPU-2674</t>
        </is>
      </c>
      <c r="O139" s="23">
        <f>IF($N139="","","https://smartship.atlassian.net/browse/"&amp;$N139)</f>
        <v/>
      </c>
      <c r="P139">
        <f>IFERROR(VALUE(MID($A139,5,4)),0)</f>
        <v/>
      </c>
    </row>
    <row r="140" hidden="1" ht="15" customHeight="1">
      <c r="A140" s="21" t="inlineStr">
        <is>
          <t>NEW-0135</t>
        </is>
      </c>
      <c r="B140" s="22" t="inlineStr">
        <is>
          <t>INT 135.1 - Shop Request CR</t>
        </is>
      </c>
      <c r="C140" s="22" t="inlineStr">
        <is>
          <t>CR</t>
        </is>
      </c>
      <c r="D140" s="22" t="inlineStr">
        <is>
          <t>MyMSC</t>
        </is>
      </c>
      <c r="E140" s="22" t="inlineStr">
        <is>
          <t>B2CW</t>
        </is>
      </c>
      <c r="F140" s="22" t="inlineStr">
        <is>
          <t>DONE</t>
        </is>
      </c>
      <c r="G140" s="22" t="inlineStr">
        <is>
          <t>Medium</t>
        </is>
      </c>
      <c r="H140" s="22" t="n"/>
      <c r="I140" s="23">
        <f>IF($A140="","",IFERROR(IF(ISBLANK(INDEX(SprintPlanning[Sprint],MATCH($A140,SprintPlanning[Requirement ID],0))),"To Plan",INDEX(SprintPlanning[Sprint],MATCH($A140,SprintPlanning[Requirement ID],0))),"To Plan"))</f>
        <v/>
      </c>
      <c r="J140" s="22" t="n">
        <v>3</v>
      </c>
      <c r="K140" s="23">
        <f>IFERROR(IF(ISBLANK(INDEX(Release[Release],MATCH($A140,Release[Requirement ID],0))),"",INDEX(Release[Release],MATCH($A140,Release[Requirement ID],0))),"")</f>
        <v/>
      </c>
      <c r="L140" s="24" t="n">
        <v>46232</v>
      </c>
      <c r="M140" s="22" t="inlineStr">
        <is>
          <t>Created</t>
        </is>
      </c>
      <c r="N140" s="22" t="inlineStr">
        <is>
          <t>DTTP25-31539</t>
        </is>
      </c>
      <c r="O140" s="23">
        <f>IF($N140="","","https://smartship.atlassian.net/browse/"&amp;$N140)</f>
        <v/>
      </c>
      <c r="P140">
        <f>IFERROR(VALUE(MID($A140,5,4)),0)</f>
        <v/>
      </c>
    </row>
    <row r="141" hidden="1" ht="15" customHeight="1">
      <c r="A141" s="21" t="inlineStr">
        <is>
          <t>NEW-0136</t>
        </is>
      </c>
      <c r="B141" s="22" t="inlineStr">
        <is>
          <t>INT 142 - Add thematic Booking id</t>
        </is>
      </c>
      <c r="C141" s="22" t="inlineStr">
        <is>
          <t>CR</t>
        </is>
      </c>
      <c r="D141" s="22" t="inlineStr">
        <is>
          <t>MyMSC</t>
        </is>
      </c>
      <c r="E141" s="22" t="inlineStr">
        <is>
          <t>B2CW</t>
        </is>
      </c>
      <c r="F141" s="22" t="inlineStr">
        <is>
          <t>DONE</t>
        </is>
      </c>
      <c r="G141" s="22" t="inlineStr">
        <is>
          <t>Medium</t>
        </is>
      </c>
      <c r="H141" s="22" t="n"/>
      <c r="I141" s="23">
        <f>IF($A141="","",IFERROR(IF(ISBLANK(INDEX(SprintPlanning[Sprint],MATCH($A141,SprintPlanning[Requirement ID],0))),"To Plan",INDEX(SprintPlanning[Sprint],MATCH($A141,SprintPlanning[Requirement ID],0))),"To Plan"))</f>
        <v/>
      </c>
      <c r="J141" s="22" t="n">
        <v>2</v>
      </c>
      <c r="K141" s="23">
        <f>IFERROR(IF(ISBLANK(INDEX(Release[Release],MATCH($A141,Release[Requirement ID],0))),"",INDEX(Release[Release],MATCH($A141,Release[Requirement ID],0))),"")</f>
        <v/>
      </c>
      <c r="L141" s="24" t="n">
        <v>46232</v>
      </c>
      <c r="M141" s="22" t="inlineStr">
        <is>
          <t>Created</t>
        </is>
      </c>
      <c r="N141" s="22" t="inlineStr">
        <is>
          <t>DTTP25-34294</t>
        </is>
      </c>
      <c r="O141" s="23">
        <f>IF($N141="","","https://smartship.atlassian.net/browse/"&amp;$N141)</f>
        <v/>
      </c>
      <c r="P141">
        <f>IFERROR(VALUE(MID($A141,5,4)),0)</f>
        <v/>
      </c>
    </row>
    <row r="142" hidden="1" ht="15" customHeight="1">
      <c r="A142" s="21" t="inlineStr">
        <is>
          <t>NEW-0137</t>
        </is>
      </c>
      <c r="B142" s="22" t="inlineStr">
        <is>
          <t>[INT 136.1 - Thematic Availability (Speciality Restaurant)</t>
        </is>
      </c>
      <c r="C142" s="22" t="inlineStr">
        <is>
          <t>New</t>
        </is>
      </c>
      <c r="D142" s="22" t="inlineStr">
        <is>
          <t>MyMSC</t>
        </is>
      </c>
      <c r="E142" s="22" t="inlineStr">
        <is>
          <t>B2CW</t>
        </is>
      </c>
      <c r="F142" s="22" t="inlineStr">
        <is>
          <t>DONE</t>
        </is>
      </c>
      <c r="G142" s="22" t="inlineStr">
        <is>
          <t>Medium</t>
        </is>
      </c>
      <c r="H142" s="22" t="n"/>
      <c r="I142" s="23">
        <f>IF($A142="","",IFERROR(IF(ISBLANK(INDEX(SprintPlanning[Sprint],MATCH($A142,SprintPlanning[Requirement ID],0))),"To Plan",INDEX(SprintPlanning[Sprint],MATCH($A142,SprintPlanning[Requirement ID],0))),"To Plan"))</f>
        <v/>
      </c>
      <c r="J142" s="22" t="n">
        <v>8</v>
      </c>
      <c r="K142" s="23">
        <f>IFERROR(IF(ISBLANK(INDEX(Release[Release],MATCH($A142,Release[Requirement ID],0))),"",INDEX(Release[Release],MATCH($A142,Release[Requirement ID],0))),"")</f>
        <v/>
      </c>
      <c r="L142" s="24" t="n">
        <v>46232</v>
      </c>
      <c r="M142" s="22" t="inlineStr">
        <is>
          <t>Created</t>
        </is>
      </c>
      <c r="N142" s="22" t="inlineStr">
        <is>
          <t>DTTP25-34293</t>
        </is>
      </c>
      <c r="O142" s="23">
        <f>IF($N142="","","https://smartship.atlassian.net/browse/"&amp;$N142)</f>
        <v/>
      </c>
      <c r="P142">
        <f>IFERROR(VALUE(MID($A142,5,4)),0)</f>
        <v/>
      </c>
    </row>
    <row r="143" hidden="1" ht="15" customHeight="1">
      <c r="A143" s="21" t="inlineStr">
        <is>
          <t>NEW-0138</t>
        </is>
      </c>
      <c r="B143" s="22" t="inlineStr">
        <is>
          <t>INT 139/ INT 140 CR - Pricetobook / bookprepaid itesm</t>
        </is>
      </c>
      <c r="C143" s="22" t="inlineStr">
        <is>
          <t>CR</t>
        </is>
      </c>
      <c r="D143" s="22" t="inlineStr">
        <is>
          <t>MyMSC</t>
        </is>
      </c>
      <c r="E143" s="22" t="inlineStr">
        <is>
          <t>B2CW</t>
        </is>
      </c>
      <c r="F143" s="22" t="inlineStr">
        <is>
          <t>DONE</t>
        </is>
      </c>
      <c r="G143" s="22" t="inlineStr">
        <is>
          <t>Medium</t>
        </is>
      </c>
      <c r="H143" s="22" t="n"/>
      <c r="I143" s="23">
        <f>IF($A143="","",IFERROR(IF(ISBLANK(INDEX(SprintPlanning[Sprint],MATCH($A143,SprintPlanning[Requirement ID],0))),"To Plan",INDEX(SprintPlanning[Sprint],MATCH($A143,SprintPlanning[Requirement ID],0))),"To Plan"))</f>
        <v/>
      </c>
      <c r="J143" s="22" t="n">
        <v>13</v>
      </c>
      <c r="K143" s="23">
        <f>IFERROR(IF(ISBLANK(INDEX(Release[Release],MATCH($A143,Release[Requirement ID],0))),"",INDEX(Release[Release],MATCH($A143,Release[Requirement ID],0))),"")</f>
        <v/>
      </c>
      <c r="L143" s="24" t="n">
        <v>46232</v>
      </c>
      <c r="M143" s="22" t="inlineStr">
        <is>
          <t>Created</t>
        </is>
      </c>
      <c r="N143" s="22" t="inlineStr">
        <is>
          <t>DTTP25-34295</t>
        </is>
      </c>
      <c r="O143" s="23">
        <f>IF($N143="","","https://smartship.atlassian.net/browse/"&amp;$N143)</f>
        <v/>
      </c>
      <c r="P143">
        <f>IFERROR(VALUE(MID($A143,5,4)),0)</f>
        <v/>
      </c>
    </row>
    <row r="144" hidden="1" ht="15" customHeight="1">
      <c r="A144" s="21" t="inlineStr">
        <is>
          <t>NEW-0139</t>
        </is>
      </c>
      <c r="B144" s="22" t="inlineStr">
        <is>
          <t>INT 163 - Thematic Revise</t>
        </is>
      </c>
      <c r="C144" s="22" t="inlineStr">
        <is>
          <t>New</t>
        </is>
      </c>
      <c r="D144" s="22" t="inlineStr">
        <is>
          <t>MyMSC</t>
        </is>
      </c>
      <c r="E144" s="22" t="inlineStr">
        <is>
          <t>B2CW</t>
        </is>
      </c>
      <c r="F144" s="22" t="inlineStr">
        <is>
          <t>DONE</t>
        </is>
      </c>
      <c r="G144" s="22" t="inlineStr">
        <is>
          <t>Medium</t>
        </is>
      </c>
      <c r="H144" s="22" t="n"/>
      <c r="I144" s="23">
        <f>IF($A144="","",IFERROR(IF(ISBLANK(INDEX(SprintPlanning[Sprint],MATCH($A144,SprintPlanning[Requirement ID],0))),"To Plan",INDEX(SprintPlanning[Sprint],MATCH($A144,SprintPlanning[Requirement ID],0))),"To Plan"))</f>
        <v/>
      </c>
      <c r="J144" s="22" t="n">
        <v>5</v>
      </c>
      <c r="K144" s="23">
        <f>IFERROR(IF(ISBLANK(INDEX(Release[Release],MATCH($A144,Release[Requirement ID],0))),"",INDEX(Release[Release],MATCH($A144,Release[Requirement ID],0))),"")</f>
        <v/>
      </c>
      <c r="L144" s="24" t="n">
        <v>46232</v>
      </c>
      <c r="M144" s="22" t="inlineStr">
        <is>
          <t>Created</t>
        </is>
      </c>
      <c r="N144" s="22" t="inlineStr">
        <is>
          <t>DTTP25-34475</t>
        </is>
      </c>
      <c r="O144" s="23">
        <f>IF($N144="","","https://smartship.atlassian.net/browse/"&amp;$N144)</f>
        <v/>
      </c>
      <c r="P144">
        <f>IFERROR(VALUE(MID($A144,5,4)),0)</f>
        <v/>
      </c>
    </row>
    <row r="145" hidden="1" ht="15" customHeight="1">
      <c r="A145" s="21" t="inlineStr">
        <is>
          <t>NEW-0142</t>
        </is>
      </c>
      <c r="B145" s="22" t="inlineStr">
        <is>
          <t>INT 139/ INT 140 CR - Item unavailablility</t>
        </is>
      </c>
      <c r="C145" s="22" t="inlineStr">
        <is>
          <t>CR</t>
        </is>
      </c>
      <c r="D145" s="22" t="inlineStr">
        <is>
          <t>MyMSC</t>
        </is>
      </c>
      <c r="E145" s="22" t="inlineStr">
        <is>
          <t>B2CW</t>
        </is>
      </c>
      <c r="F145" s="22" t="inlineStr">
        <is>
          <t>DONE</t>
        </is>
      </c>
      <c r="G145" s="22" t="inlineStr">
        <is>
          <t>Medium</t>
        </is>
      </c>
      <c r="H145" s="22" t="n"/>
      <c r="I145" s="23">
        <f>IF($A145="","",IFERROR(IF(ISBLANK(INDEX(SprintPlanning[Sprint],MATCH($A145,SprintPlanning[Requirement ID],0))),"To Plan",INDEX(SprintPlanning[Sprint],MATCH($A145,SprintPlanning[Requirement ID],0))),"To Plan"))</f>
        <v/>
      </c>
      <c r="J145" s="22" t="n">
        <v>13</v>
      </c>
      <c r="K145" s="23">
        <f>IFERROR(IF(ISBLANK(INDEX(Release[Release],MATCH($A145,Release[Requirement ID],0))),"",INDEX(Release[Release],MATCH($A145,Release[Requirement ID],0))),"")</f>
        <v/>
      </c>
      <c r="L145" s="24" t="n">
        <v>46232</v>
      </c>
      <c r="M145" s="22" t="inlineStr">
        <is>
          <t>Created</t>
        </is>
      </c>
      <c r="N145" s="22" t="inlineStr">
        <is>
          <t>DTTP25-35278</t>
        </is>
      </c>
      <c r="O145" s="23">
        <f>IF($N145="","","https://smartship.atlassian.net/browse/"&amp;$N145)</f>
        <v/>
      </c>
      <c r="P145">
        <f>IFERROR(VALUE(MID($A145,5,4)),0)</f>
        <v/>
      </c>
    </row>
    <row r="146" hidden="1" ht="15" customHeight="1">
      <c r="A146" s="21" t="inlineStr">
        <is>
          <t>NEW-0153</t>
        </is>
      </c>
      <c r="B146" s="22" t="inlineStr">
        <is>
          <t>Outbound leads - Unknown web option</t>
        </is>
      </c>
      <c r="C146" s="22" t="inlineStr">
        <is>
          <t>CR</t>
        </is>
      </c>
      <c r="D146" s="22" t="inlineStr">
        <is>
          <t>US</t>
        </is>
      </c>
      <c r="E146" s="22" t="inlineStr">
        <is>
          <t>MA</t>
        </is>
      </c>
      <c r="F146" s="22" t="inlineStr">
        <is>
          <t>DONE</t>
        </is>
      </c>
      <c r="G146" s="22" t="inlineStr">
        <is>
          <t>Medium</t>
        </is>
      </c>
      <c r="H146" s="22" t="n"/>
      <c r="I146" s="23">
        <f>IF($A146="","",IFERROR(IF(ISBLANK(INDEX(SprintPlanning[Sprint],MATCH($A146,SprintPlanning[Requirement ID],0))),"To Plan",INDEX(SprintPlanning[Sprint],MATCH($A146,SprintPlanning[Requirement ID],0))),"To Plan"))</f>
        <v/>
      </c>
      <c r="J146" s="22" t="n">
        <v>3</v>
      </c>
      <c r="K146" s="23">
        <f>IFERROR(IF(ISBLANK(INDEX(Release[Release],MATCH($A146,Release[Requirement ID],0))),"",INDEX(Release[Release],MATCH($A146,Release[Requirement ID],0))),"")</f>
        <v/>
      </c>
      <c r="L146" s="24" t="n">
        <v>46232</v>
      </c>
      <c r="M146" s="22" t="inlineStr">
        <is>
          <t>Created</t>
        </is>
      </c>
      <c r="N146" s="22" t="inlineStr">
        <is>
          <t>MDTTPU-5927</t>
        </is>
      </c>
      <c r="O146" s="23">
        <f>IF($N146="","","https://smartship.atlassian.net/browse/"&amp;$N146)</f>
        <v/>
      </c>
      <c r="P146">
        <f>IFERROR(VALUE(MID($A146,5,4)),0)</f>
        <v/>
      </c>
    </row>
    <row r="147" hidden="1" ht="15" customHeight="1">
      <c r="A147" s="21" t="inlineStr">
        <is>
          <t>NEW-0187</t>
        </is>
      </c>
      <c r="B147" s="22" t="inlineStr">
        <is>
          <t>Update configurations for Turkey</t>
        </is>
      </c>
      <c r="C147" s="22" t="inlineStr">
        <is>
          <t>Config</t>
        </is>
      </c>
      <c r="D147" s="22" t="inlineStr">
        <is>
          <t>MVP Rollout</t>
        </is>
      </c>
      <c r="E147" s="22" t="inlineStr">
        <is>
          <t>B2CW</t>
        </is>
      </c>
      <c r="F147" s="22" t="inlineStr">
        <is>
          <t>DONE</t>
        </is>
      </c>
      <c r="G147" s="22" t="inlineStr">
        <is>
          <t>Medium</t>
        </is>
      </c>
      <c r="H147" s="22" t="n"/>
      <c r="I147" s="23">
        <f>IF($A147="","",IFERROR(IF(ISBLANK(INDEX(SprintPlanning[Sprint],MATCH($A147,SprintPlanning[Requirement ID],0))),"To Plan",INDEX(SprintPlanning[Sprint],MATCH($A147,SprintPlanning[Requirement ID],0))),"To Plan"))</f>
        <v/>
      </c>
      <c r="J147" s="22" t="n">
        <v>2</v>
      </c>
      <c r="K147" s="23">
        <f>IFERROR(IF(ISBLANK(INDEX(Release[Release],MATCH($A147,Release[Requirement ID],0))),"",INDEX(Release[Release],MATCH($A147,Release[Requirement ID],0))),"")</f>
        <v/>
      </c>
      <c r="L147" s="24" t="n">
        <v>46232</v>
      </c>
      <c r="M147" s="22" t="inlineStr">
        <is>
          <t>Created</t>
        </is>
      </c>
      <c r="N147" s="22" t="inlineStr">
        <is>
          <t>DTTP25-35439</t>
        </is>
      </c>
      <c r="O147" s="23">
        <f>IF($N147="","","https://smartship.atlassian.net/browse/"&amp;$N147)</f>
        <v/>
      </c>
      <c r="P147">
        <f>IFERROR(VALUE(MID($A147,5,4)),0)</f>
        <v/>
      </c>
    </row>
    <row r="148" hidden="1" ht="15" customHeight="1">
      <c r="A148" s="21" t="inlineStr">
        <is>
          <t>NEW-0188</t>
        </is>
      </c>
      <c r="B148" s="22" t="inlineStr">
        <is>
          <t>DTS Post Booking - Load Test Activities + New Volumes Support</t>
        </is>
      </c>
      <c r="C148" s="22" t="inlineStr">
        <is>
          <t>Tech Task</t>
        </is>
      </c>
      <c r="D148" s="22" t="inlineStr">
        <is>
          <t>Backlog</t>
        </is>
      </c>
      <c r="E148" s="22" t="inlineStr">
        <is>
          <t>ALL</t>
        </is>
      </c>
      <c r="F148" s="22" t="inlineStr">
        <is>
          <t>DONE</t>
        </is>
      </c>
      <c r="G148" s="22" t="inlineStr">
        <is>
          <t>High</t>
        </is>
      </c>
      <c r="H148" s="22" t="n"/>
      <c r="I148" s="23">
        <f>IF($A148="","",IFERROR(IF(ISBLANK(INDEX(SprintPlanning[Sprint],MATCH($A148,SprintPlanning[Requirement ID],0))),"To Plan",INDEX(SprintPlanning[Sprint],MATCH($A148,SprintPlanning[Requirement ID],0))),"To Plan"))</f>
        <v/>
      </c>
      <c r="J148" s="22" t="n">
        <v>18</v>
      </c>
      <c r="K148" s="23">
        <f>IFERROR(IF(ISBLANK(INDEX(Release[Release],MATCH($A148,Release[Requirement ID],0))),"",INDEX(Release[Release],MATCH($A148,Release[Requirement ID],0))),"")</f>
        <v/>
      </c>
      <c r="L148" s="24" t="n">
        <v>46232</v>
      </c>
      <c r="M148" s="22" t="inlineStr">
        <is>
          <t>Created</t>
        </is>
      </c>
      <c r="N148" s="22" t="inlineStr">
        <is>
          <t>DTTP25-35644</t>
        </is>
      </c>
      <c r="O148" s="23">
        <f>IF($N148="","","https://smartship.atlassian.net/browse/"&amp;$N148)</f>
        <v/>
      </c>
      <c r="P148">
        <f>IFERROR(VALUE(MID($A148,5,4)),0)</f>
        <v/>
      </c>
    </row>
    <row r="149" hidden="1" ht="15" customHeight="1">
      <c r="A149" s="21" t="inlineStr">
        <is>
          <t>NEW-0190</t>
        </is>
      </c>
      <c r="B149" s="22" t="inlineStr">
        <is>
          <t>Outbound leads - Hold Option - INT004.4</t>
        </is>
      </c>
      <c r="C149" s="22" t="inlineStr">
        <is>
          <t>CR</t>
        </is>
      </c>
      <c r="D149" s="22" t="inlineStr">
        <is>
          <t>US</t>
        </is>
      </c>
      <c r="E149" s="22" t="inlineStr">
        <is>
          <t>MA</t>
        </is>
      </c>
      <c r="F149" s="22" t="inlineStr">
        <is>
          <t>DONE</t>
        </is>
      </c>
      <c r="G149" s="22" t="inlineStr">
        <is>
          <t>Medium</t>
        </is>
      </c>
      <c r="H149" s="22" t="n"/>
      <c r="I149" s="23">
        <f>IF($A149="","",IFERROR(IF(ISBLANK(INDEX(SprintPlanning[Sprint],MATCH($A149,SprintPlanning[Requirement ID],0))),"To Plan",INDEX(SprintPlanning[Sprint],MATCH($A149,SprintPlanning[Requirement ID],0))),"To Plan"))</f>
        <v/>
      </c>
      <c r="J149" s="22" t="n">
        <v>21</v>
      </c>
      <c r="K149" s="23">
        <f>IFERROR(IF(ISBLANK(INDEX(Release[Release],MATCH($A149,Release[Requirement ID],0))),"",INDEX(Release[Release],MATCH($A149,Release[Requirement ID],0))),"")</f>
        <v/>
      </c>
      <c r="L149" s="24" t="n">
        <v>46232</v>
      </c>
      <c r="M149" s="22" t="inlineStr">
        <is>
          <t>Created</t>
        </is>
      </c>
      <c r="N149" s="22" t="inlineStr">
        <is>
          <t>MDTTPU-5925</t>
        </is>
      </c>
      <c r="O149" s="23">
        <f>IF($N149="","","https://smartship.atlassian.net/browse/"&amp;$N149)</f>
        <v/>
      </c>
      <c r="P149">
        <f>IFERROR(VALUE(MID($A149,5,4)),0)</f>
        <v/>
      </c>
    </row>
    <row r="150" hidden="1" ht="15" customHeight="1">
      <c r="A150" s="21" t="inlineStr">
        <is>
          <t>NEW-0192</t>
        </is>
      </c>
      <c r="B150" s="22" t="inlineStr">
        <is>
          <t>[MyArea] Re-captcha keys - Lower environment TEST</t>
        </is>
      </c>
      <c r="C150" s="22" t="inlineStr">
        <is>
          <t>Tech Task</t>
        </is>
      </c>
      <c r="D150" s="22" t="inlineStr">
        <is>
          <t>MyMSC</t>
        </is>
      </c>
      <c r="E150" s="22" t="inlineStr">
        <is>
          <t>B2CW</t>
        </is>
      </c>
      <c r="F150" s="22" t="inlineStr">
        <is>
          <t>DONE</t>
        </is>
      </c>
      <c r="G150" s="22" t="inlineStr">
        <is>
          <t>Medium</t>
        </is>
      </c>
      <c r="H150" s="22" t="n"/>
      <c r="I150" s="23">
        <f>IF($A150="","",IFERROR(IF(ISBLANK(INDEX(SprintPlanning[Sprint],MATCH($A150,SprintPlanning[Requirement ID],0))),"To Plan",INDEX(SprintPlanning[Sprint],MATCH($A150,SprintPlanning[Requirement ID],0))),"To Plan"))</f>
        <v/>
      </c>
      <c r="J150" s="22" t="n">
        <v>2</v>
      </c>
      <c r="K150" s="23">
        <f>IFERROR(IF(ISBLANK(INDEX(Release[Release],MATCH($A150,Release[Requirement ID],0))),"",INDEX(Release[Release],MATCH($A150,Release[Requirement ID],0))),"")</f>
        <v/>
      </c>
      <c r="L150" s="24" t="n">
        <v>46232</v>
      </c>
      <c r="M150" s="22" t="inlineStr">
        <is>
          <t>Created</t>
        </is>
      </c>
      <c r="N150" s="22" t="inlineStr">
        <is>
          <t>DTTP25-35257</t>
        </is>
      </c>
      <c r="O150" s="23">
        <f>IF($N150="","","https://smartship.atlassian.net/browse/"&amp;$N150)</f>
        <v/>
      </c>
      <c r="P150">
        <f>IFERROR(VALUE(MID($A150,5,4)),0)</f>
        <v/>
      </c>
    </row>
    <row r="151" hidden="1" ht="15" customHeight="1">
      <c r="A151" s="21" t="inlineStr">
        <is>
          <t>NEW-0256</t>
        </is>
      </c>
      <c r="B151" s="22" t="inlineStr">
        <is>
          <t>Outbound leads - Hold Option - INT006</t>
        </is>
      </c>
      <c r="C151" s="22" t="inlineStr">
        <is>
          <t>CR</t>
        </is>
      </c>
      <c r="D151" s="22" t="inlineStr">
        <is>
          <t>US</t>
        </is>
      </c>
      <c r="E151" s="22" t="inlineStr">
        <is>
          <t>B2CW</t>
        </is>
      </c>
      <c r="F151" s="22" t="inlineStr">
        <is>
          <t>DONE</t>
        </is>
      </c>
      <c r="G151" s="22" t="inlineStr">
        <is>
          <t>Medium</t>
        </is>
      </c>
      <c r="H151" s="22" t="n"/>
      <c r="I151" s="23">
        <f>IF($A151="","",IFERROR(IF(ISBLANK(INDEX(SprintPlanning[Sprint],MATCH($A151,SprintPlanning[Requirement ID],0))),"To Plan",INDEX(SprintPlanning[Sprint],MATCH($A151,SprintPlanning[Requirement ID],0))),"To Plan"))</f>
        <v/>
      </c>
      <c r="J151" s="22" t="n">
        <v>8</v>
      </c>
      <c r="K151" s="23">
        <f>IFERROR(IF(ISBLANK(INDEX(Release[Release],MATCH($A151,Release[Requirement ID],0))),"",INDEX(Release[Release],MATCH($A151,Release[Requirement ID],0))),"")</f>
        <v/>
      </c>
      <c r="L151" s="24" t="n">
        <v>46232</v>
      </c>
      <c r="M151" s="22" t="inlineStr">
        <is>
          <t>Created</t>
        </is>
      </c>
      <c r="N151" s="22" t="inlineStr">
        <is>
          <t>MDTTPU-5926</t>
        </is>
      </c>
      <c r="O151" s="23">
        <f>IF($N151="","","https://smartship.atlassian.net/browse/"&amp;$N151)</f>
        <v/>
      </c>
      <c r="P151">
        <f>IFERROR(VALUE(MID($A151,5,4)),0)</f>
        <v/>
      </c>
    </row>
    <row r="152" hidden="1" ht="15" customHeight="1">
      <c r="A152" s="21" t="inlineStr">
        <is>
          <t>NEW-0283</t>
        </is>
      </c>
      <c r="B152" s="22" t="inlineStr">
        <is>
          <t xml:space="preserve">[EINT] Campaign codes for UK/IE myMSC - New HQ Sandbox </t>
        </is>
      </c>
      <c r="C152" s="22" t="inlineStr">
        <is>
          <t>CR</t>
        </is>
      </c>
      <c r="D152" s="22" t="inlineStr">
        <is>
          <t>MyMSC</t>
        </is>
      </c>
      <c r="E152" s="22" t="inlineStr">
        <is>
          <t>B2CW</t>
        </is>
      </c>
      <c r="F152" s="22" t="inlineStr">
        <is>
          <t>DONE</t>
        </is>
      </c>
      <c r="G152" s="22" t="inlineStr">
        <is>
          <t>Medium</t>
        </is>
      </c>
      <c r="H152" s="22" t="n"/>
      <c r="I152" s="23">
        <f>IF($A152="","",IFERROR(IF(ISBLANK(INDEX(SprintPlanning[Sprint],MATCH($A152,SprintPlanning[Requirement ID],0))),"To Plan",INDEX(SprintPlanning[Sprint],MATCH($A152,SprintPlanning[Requirement ID],0))),"To Plan"))</f>
        <v/>
      </c>
      <c r="J152" s="22" t="n">
        <v>3</v>
      </c>
      <c r="K152" s="23">
        <f>IFERROR(IF(ISBLANK(INDEX(Release[Release],MATCH($A152,Release[Requirement ID],0))),"",INDEX(Release[Release],MATCH($A152,Release[Requirement ID],0))),"")</f>
        <v/>
      </c>
      <c r="L152" s="24" t="n">
        <v>46232</v>
      </c>
      <c r="M152" s="22" t="inlineStr">
        <is>
          <t>Created</t>
        </is>
      </c>
      <c r="N152" s="22" t="inlineStr">
        <is>
          <t>DTTP25-34495</t>
        </is>
      </c>
      <c r="O152" s="23">
        <f>IF($N152="","","https://smartship.atlassian.net/browse/"&amp;$N152)</f>
        <v/>
      </c>
      <c r="P152">
        <f>IFERROR(VALUE(MID($A152,5,4)),0)</f>
        <v/>
      </c>
    </row>
    <row r="153" hidden="1" ht="15" customHeight="1">
      <c r="A153" s="21" t="inlineStr">
        <is>
          <t>NEW-0287</t>
        </is>
      </c>
      <c r="B153" s="22" t="inlineStr">
        <is>
          <t>INT145/146 Revised payment options</t>
        </is>
      </c>
      <c r="C153" s="22" t="inlineStr">
        <is>
          <t>CR</t>
        </is>
      </c>
      <c r="D153" s="22" t="inlineStr">
        <is>
          <t>MyMSC</t>
        </is>
      </c>
      <c r="E153" s="22" t="inlineStr">
        <is>
          <t>B2CW</t>
        </is>
      </c>
      <c r="F153" s="22" t="inlineStr">
        <is>
          <t>DONE</t>
        </is>
      </c>
      <c r="G153" s="22" t="inlineStr">
        <is>
          <t>Medium</t>
        </is>
      </c>
      <c r="H153" s="22" t="n"/>
      <c r="I153" s="23">
        <f>IF($A153="","",IFERROR(IF(ISBLANK(INDEX(SprintPlanning[Sprint],MATCH($A153,SprintPlanning[Requirement ID],0))),"To Plan",INDEX(SprintPlanning[Sprint],MATCH($A153,SprintPlanning[Requirement ID],0))),"To Plan"))</f>
        <v/>
      </c>
      <c r="J153" s="22" t="n">
        <v>5</v>
      </c>
      <c r="K153" s="23">
        <f>IFERROR(IF(ISBLANK(INDEX(Release[Release],MATCH($A153,Release[Requirement ID],0))),"",INDEX(Release[Release],MATCH($A153,Release[Requirement ID],0))),"")</f>
        <v/>
      </c>
      <c r="L153" s="24" t="n">
        <v>46232</v>
      </c>
      <c r="M153" s="22" t="inlineStr">
        <is>
          <t>Created</t>
        </is>
      </c>
      <c r="N153" s="22" t="inlineStr">
        <is>
          <t>DTTP25-14439</t>
        </is>
      </c>
      <c r="O153" s="23">
        <f>IF($N153="","","https://smartship.atlassian.net/browse/"&amp;$N153)</f>
        <v/>
      </c>
      <c r="P153">
        <f>IFERROR(VALUE(MID($A153,5,4)),0)</f>
        <v/>
      </c>
    </row>
    <row r="154" hidden="1" ht="15" customHeight="1">
      <c r="A154" s="21" t="inlineStr">
        <is>
          <t>NEW-0289</t>
        </is>
      </c>
      <c r="B154" s="22" t="inlineStr">
        <is>
          <t>[EINT] [CR] INT 139/ 140 - Item unavailability</t>
        </is>
      </c>
      <c r="C154" s="22" t="inlineStr">
        <is>
          <t>CR</t>
        </is>
      </c>
      <c r="D154" s="22" t="inlineStr">
        <is>
          <t>MyMSC</t>
        </is>
      </c>
      <c r="E154" s="22" t="inlineStr">
        <is>
          <t>B2CW</t>
        </is>
      </c>
      <c r="F154" s="22" t="inlineStr">
        <is>
          <t>DONE</t>
        </is>
      </c>
      <c r="G154" s="22" t="inlineStr">
        <is>
          <t>Medium</t>
        </is>
      </c>
      <c r="H154" s="22" t="n"/>
      <c r="I154" s="23">
        <f>IF($A154="","",IFERROR(IF(ISBLANK(INDEX(SprintPlanning[Sprint],MATCH($A154,SprintPlanning[Requirement ID],0))),"To Plan",INDEX(SprintPlanning[Sprint],MATCH($A154,SprintPlanning[Requirement ID],0))),"To Plan"))</f>
        <v/>
      </c>
      <c r="J154" s="22" t="n">
        <v>5</v>
      </c>
      <c r="K154" s="23">
        <f>IFERROR(IF(ISBLANK(INDEX(Release[Release],MATCH($A154,Release[Requirement ID],0))),"",INDEX(Release[Release],MATCH($A154,Release[Requirement ID],0))),"")</f>
        <v/>
      </c>
      <c r="L154" s="24" t="n">
        <v>46232</v>
      </c>
      <c r="M154" s="22" t="inlineStr">
        <is>
          <t>Created</t>
        </is>
      </c>
      <c r="N154" s="22" t="inlineStr">
        <is>
          <t>DTTP25-35278</t>
        </is>
      </c>
      <c r="O154" s="23">
        <f>IF($N154="","","https://smartship.atlassian.net/browse/"&amp;$N154)</f>
        <v/>
      </c>
      <c r="P154">
        <f>IFERROR(VALUE(MID($A154,5,4)),0)</f>
        <v/>
      </c>
    </row>
    <row r="155" hidden="1" ht="15" customHeight="1">
      <c r="A155" s="21" t="inlineStr">
        <is>
          <t>NEW-0295</t>
        </is>
      </c>
      <c r="B155" s="22" t="inlineStr">
        <is>
          <t>Specialty Restaurants - INT135, INT139, INT140, INT142</t>
        </is>
      </c>
      <c r="C155" s="22" t="inlineStr">
        <is>
          <t>CR</t>
        </is>
      </c>
      <c r="D155" s="22" t="inlineStr">
        <is>
          <t>MyMSC</t>
        </is>
      </c>
      <c r="E155" s="22" t="inlineStr">
        <is>
          <t>B2CW</t>
        </is>
      </c>
      <c r="F155" s="22" t="inlineStr">
        <is>
          <t>DONE</t>
        </is>
      </c>
      <c r="G155" s="22" t="inlineStr">
        <is>
          <t>Medium</t>
        </is>
      </c>
      <c r="H155" s="22" t="n"/>
      <c r="I155" s="23">
        <f>IF($A155="","",IFERROR(IF(ISBLANK(INDEX(SprintPlanning[Sprint],MATCH($A155,SprintPlanning[Requirement ID],0))),"To Plan",INDEX(SprintPlanning[Sprint],MATCH($A155,SprintPlanning[Requirement ID],0))),"To Plan"))</f>
        <v/>
      </c>
      <c r="J155" s="22" t="n">
        <v>18</v>
      </c>
      <c r="K155" s="23">
        <f>IFERROR(IF(ISBLANK(INDEX(Release[Release],MATCH($A155,Release[Requirement ID],0))),"",INDEX(Release[Release],MATCH($A155,Release[Requirement ID],0))),"")</f>
        <v/>
      </c>
      <c r="L155" s="24" t="n">
        <v>46232</v>
      </c>
      <c r="M155" s="22" t="inlineStr">
        <is>
          <t>Created</t>
        </is>
      </c>
      <c r="N155" s="22" t="inlineStr">
        <is>
          <t>DTTP25-31539</t>
        </is>
      </c>
      <c r="O155" s="23">
        <f>IF($N155="","","https://smartship.atlassian.net/browse/"&amp;$N155)</f>
        <v/>
      </c>
      <c r="P155">
        <f>IFERROR(VALUE(MID($A155,5,4)),0)</f>
        <v/>
      </c>
    </row>
    <row r="156" hidden="1" ht="15" customHeight="1">
      <c r="A156" s="21" t="inlineStr">
        <is>
          <t>NEW-0296</t>
        </is>
      </c>
      <c r="B156" s="22" t="inlineStr">
        <is>
          <t>Specialty Restaurants - INT136, INT163</t>
        </is>
      </c>
      <c r="C156" s="22" t="inlineStr">
        <is>
          <t>New</t>
        </is>
      </c>
      <c r="D156" s="22" t="inlineStr">
        <is>
          <t>MyMSC</t>
        </is>
      </c>
      <c r="E156" s="22" t="inlineStr">
        <is>
          <t>B2CW</t>
        </is>
      </c>
      <c r="F156" s="22" t="inlineStr">
        <is>
          <t>DONE</t>
        </is>
      </c>
      <c r="G156" s="22" t="inlineStr">
        <is>
          <t>Medium</t>
        </is>
      </c>
      <c r="H156" s="22" t="n"/>
      <c r="I156" s="23">
        <f>IF($A156="","",IFERROR(IF(ISBLANK(INDEX(SprintPlanning[Sprint],MATCH($A156,SprintPlanning[Requirement ID],0))),"To Plan",INDEX(SprintPlanning[Sprint],MATCH($A156,SprintPlanning[Requirement ID],0))),"To Plan"))</f>
        <v/>
      </c>
      <c r="J156" s="22" t="n">
        <v>13</v>
      </c>
      <c r="K156" s="23">
        <f>IFERROR(IF(ISBLANK(INDEX(Release[Release],MATCH($A156,Release[Requirement ID],0))),"",INDEX(Release[Release],MATCH($A156,Release[Requirement ID],0))),"")</f>
        <v/>
      </c>
      <c r="L156" s="24" t="n">
        <v>46232</v>
      </c>
      <c r="M156" s="22" t="inlineStr">
        <is>
          <t>Created</t>
        </is>
      </c>
      <c r="N156" s="22" t="inlineStr">
        <is>
          <t>DTTP25-34475</t>
        </is>
      </c>
      <c r="O156" s="23">
        <f>IF($N156="","","https://smartship.atlassian.net/browse/"&amp;$N156)</f>
        <v/>
      </c>
      <c r="P156">
        <f>IFERROR(VALUE(MID($A156,5,4)),0)</f>
        <v/>
      </c>
    </row>
    <row r="157" hidden="1" ht="15" customHeight="1">
      <c r="A157" s="21" t="inlineStr">
        <is>
          <t>NEW-0298</t>
        </is>
      </c>
      <c r="B157" s="22" t="inlineStr">
        <is>
          <t>Consent Management</t>
        </is>
      </c>
      <c r="C157" s="22" t="inlineStr">
        <is>
          <t>CR</t>
        </is>
      </c>
      <c r="D157" s="22" t="inlineStr">
        <is>
          <t>MyMSC</t>
        </is>
      </c>
      <c r="E157" s="22" t="inlineStr">
        <is>
          <t>B2CW</t>
        </is>
      </c>
      <c r="F157" s="22" t="inlineStr">
        <is>
          <t>DONE</t>
        </is>
      </c>
      <c r="G157" s="22" t="inlineStr">
        <is>
          <t>Medium</t>
        </is>
      </c>
      <c r="H157" s="22" t="n"/>
      <c r="I157" s="23">
        <f>IF($A157="","",IFERROR(IF(ISBLANK(INDEX(SprintPlanning[Sprint],MATCH($A157,SprintPlanning[Requirement ID],0))),"To Plan",INDEX(SprintPlanning[Sprint],MATCH($A157,SprintPlanning[Requirement ID],0))),"To Plan"))</f>
        <v/>
      </c>
      <c r="J157" s="22" t="n">
        <v>13</v>
      </c>
      <c r="K157" s="23">
        <f>IFERROR(IF(ISBLANK(INDEX(Release[Release],MATCH($A157,Release[Requirement ID],0))),"",INDEX(Release[Release],MATCH($A157,Release[Requirement ID],0))),"")</f>
        <v/>
      </c>
      <c r="L157" s="24" t="n">
        <v>46232</v>
      </c>
      <c r="M157" s="22" t="inlineStr">
        <is>
          <t>Created</t>
        </is>
      </c>
      <c r="N157" s="22" t="inlineStr">
        <is>
          <t>DTTP25-29365</t>
        </is>
      </c>
      <c r="O157" s="23">
        <f>IF($N157="","","https://smartship.atlassian.net/browse/"&amp;$N157)</f>
        <v/>
      </c>
      <c r="P157">
        <f>IFERROR(VALUE(MID($A157,5,4)),0)</f>
        <v/>
      </c>
    </row>
    <row r="158" hidden="1" ht="15" customHeight="1">
      <c r="A158" s="21" t="inlineStr">
        <is>
          <t>NEW-0300</t>
        </is>
      </c>
      <c r="B158" s="22" t="inlineStr">
        <is>
          <t>INT137 - Refund: improve long processing time</t>
        </is>
      </c>
      <c r="C158" s="22" t="inlineStr">
        <is>
          <t>CR</t>
        </is>
      </c>
      <c r="D158" s="22" t="inlineStr">
        <is>
          <t>MyMSC</t>
        </is>
      </c>
      <c r="E158" s="22" t="inlineStr">
        <is>
          <t>B2CW</t>
        </is>
      </c>
      <c r="F158" s="22" t="inlineStr">
        <is>
          <t>DONE</t>
        </is>
      </c>
      <c r="G158" s="22" t="inlineStr">
        <is>
          <t>Medium</t>
        </is>
      </c>
      <c r="H158" s="22" t="n"/>
      <c r="I158" s="23">
        <f>IF($A158="","",IFERROR(IF(ISBLANK(INDEX(SprintPlanning[Sprint],MATCH($A158,SprintPlanning[Requirement ID],0))),"To Plan",INDEX(SprintPlanning[Sprint],MATCH($A158,SprintPlanning[Requirement ID],0))),"To Plan"))</f>
        <v/>
      </c>
      <c r="J158" s="22" t="n">
        <v>21</v>
      </c>
      <c r="K158" s="23">
        <f>IFERROR(IF(ISBLANK(INDEX(Release[Release],MATCH($A158,Release[Requirement ID],0))),"",INDEX(Release[Release],MATCH($A158,Release[Requirement ID],0))),"")</f>
        <v/>
      </c>
      <c r="L158" s="24" t="n">
        <v>46232</v>
      </c>
      <c r="M158" s="22" t="inlineStr">
        <is>
          <t>Created</t>
        </is>
      </c>
      <c r="N158" s="22" t="inlineStr">
        <is>
          <t>DTTP25-14697</t>
        </is>
      </c>
      <c r="O158" s="23">
        <f>IF($N158="","","https://smartship.atlassian.net/browse/"&amp;$N158)</f>
        <v/>
      </c>
      <c r="P158">
        <f>IFERROR(VALUE(MID($A158,5,4)),0)</f>
        <v/>
      </c>
    </row>
    <row r="159" hidden="1" ht="15" customHeight="1">
      <c r="A159" s="21" t="inlineStr">
        <is>
          <t>NEW-0386</t>
        </is>
      </c>
      <c r="B159" s="22" t="inlineStr">
        <is>
          <t>Support for the enabling of IP whitelist for Mulesoft Marketo</t>
        </is>
      </c>
      <c r="C159" s="22" t="inlineStr">
        <is>
          <t>CR</t>
        </is>
      </c>
      <c r="D159" s="22" t="inlineStr">
        <is>
          <t>PI10</t>
        </is>
      </c>
      <c r="E159" s="22" t="inlineStr">
        <is>
          <t>MA</t>
        </is>
      </c>
      <c r="F159" s="22" t="inlineStr">
        <is>
          <t>DONE</t>
        </is>
      </c>
      <c r="G159" s="22" t="inlineStr">
        <is>
          <t>Medium</t>
        </is>
      </c>
      <c r="H159" s="22" t="n"/>
      <c r="I159" s="23">
        <f>IF($A159="","",IFERROR(IF(ISBLANK(INDEX(SprintPlanning[Sprint],MATCH($A159,SprintPlanning[Requirement ID],0))),"To Plan",INDEX(SprintPlanning[Sprint],MATCH($A159,SprintPlanning[Requirement ID],0))),"To Plan"))</f>
        <v/>
      </c>
      <c r="J159" s="22" t="n">
        <v>8</v>
      </c>
      <c r="K159" s="23">
        <f>IFERROR(IF(ISBLANK(INDEX(Release[Release],MATCH($A159,Release[Requirement ID],0))),"",INDEX(Release[Release],MATCH($A159,Release[Requirement ID],0))),"")</f>
        <v/>
      </c>
      <c r="L159" s="24" t="n">
        <v>46232</v>
      </c>
      <c r="M159" s="22" t="inlineStr">
        <is>
          <t>Created</t>
        </is>
      </c>
      <c r="N159" s="22" t="inlineStr">
        <is>
          <t>EA-1125</t>
        </is>
      </c>
      <c r="O159" s="23">
        <f>IF($N159="","","https://smartship.atlassian.net/browse/"&amp;$N159)</f>
        <v/>
      </c>
      <c r="P159">
        <f>IFERROR(VALUE(MID($A159,5,4)),0)</f>
        <v/>
      </c>
    </row>
    <row r="160" hidden="1" ht="15" customHeight="1">
      <c r="A160" s="21" t="inlineStr">
        <is>
          <t>NEW-0123</t>
        </is>
      </c>
      <c r="B160" s="22" t="inlineStr">
        <is>
          <t>Data Lodging - INT 007</t>
        </is>
      </c>
      <c r="C160" s="22" t="inlineStr">
        <is>
          <t>CR</t>
        </is>
      </c>
      <c r="D160" s="22" t="inlineStr">
        <is>
          <t>US</t>
        </is>
      </c>
      <c r="E160" s="22" t="inlineStr">
        <is>
          <t>B2CW</t>
        </is>
      </c>
      <c r="F160" s="22" t="inlineStr">
        <is>
          <t>DONE</t>
        </is>
      </c>
      <c r="G160" s="22" t="inlineStr">
        <is>
          <t>Medium</t>
        </is>
      </c>
      <c r="H160" s="22" t="n"/>
      <c r="I160" s="23">
        <f>IF($A160="","",IFERROR(IF(ISBLANK(INDEX(SprintPlanning[Sprint],MATCH($A160,SprintPlanning[Requirement ID],0))),"To Plan",INDEX(SprintPlanning[Sprint],MATCH($A160,SprintPlanning[Requirement ID],0))),"To Plan"))</f>
        <v/>
      </c>
      <c r="J160" s="22" t="n">
        <v>5</v>
      </c>
      <c r="K160" s="23">
        <f>IFERROR(IF(ISBLANK(INDEX(Release[Release],MATCH($A160,Release[Requirement ID],0))),"",INDEX(Release[Release],MATCH($A160,Release[Requirement ID],0))),"")</f>
        <v/>
      </c>
      <c r="L160" s="24" t="n">
        <v>46232</v>
      </c>
      <c r="M160" s="22" t="inlineStr">
        <is>
          <t>Created</t>
        </is>
      </c>
      <c r="N160" s="22" t="inlineStr">
        <is>
          <t>MDTTPU-2694</t>
        </is>
      </c>
      <c r="O160" s="23">
        <f>IF($N160="","","https://smartship.atlassian.net/browse/"&amp;$N160)</f>
        <v/>
      </c>
      <c r="P160">
        <f>IFERROR(VALUE(MID($A160,5,4)),0)</f>
        <v/>
      </c>
    </row>
    <row r="161" hidden="1" ht="15" customHeight="1">
      <c r="A161" s="21" t="inlineStr">
        <is>
          <t>NEW-0249</t>
        </is>
      </c>
      <c r="B161" s="22" t="inlineStr">
        <is>
          <t>Pre Booking Customisation - INT017v1 - Ship Postion</t>
        </is>
      </c>
      <c r="C161" s="22" t="inlineStr">
        <is>
          <t>CR</t>
        </is>
      </c>
      <c r="D161" s="22" t="inlineStr">
        <is>
          <t>US</t>
        </is>
      </c>
      <c r="E161" s="22" t="inlineStr">
        <is>
          <t>B2CW</t>
        </is>
      </c>
      <c r="F161" s="22" t="inlineStr">
        <is>
          <t>DONE</t>
        </is>
      </c>
      <c r="G161" s="22" t="inlineStr">
        <is>
          <t>Medium</t>
        </is>
      </c>
      <c r="H161" s="22" t="n"/>
      <c r="I161" s="23">
        <f>IF($A161="","",IFERROR(IF(ISBLANK(INDEX(SprintPlanning[Sprint],MATCH($A161,SprintPlanning[Requirement ID],0))),"To Plan",INDEX(SprintPlanning[Sprint],MATCH($A161,SprintPlanning[Requirement ID],0))),"To Plan"))</f>
        <v/>
      </c>
      <c r="J161" s="22" t="n">
        <v>2</v>
      </c>
      <c r="K161" s="23">
        <f>IFERROR(IF(ISBLANK(INDEX(Release[Release],MATCH($A161,Release[Requirement ID],0))),"",INDEX(Release[Release],MATCH($A161,Release[Requirement ID],0))),"")</f>
        <v/>
      </c>
      <c r="L161" s="24" t="n">
        <v>46232</v>
      </c>
      <c r="M161" s="22" t="inlineStr">
        <is>
          <t>Created</t>
        </is>
      </c>
      <c r="N161" s="22" t="inlineStr">
        <is>
          <t>MDTTPU-1817</t>
        </is>
      </c>
      <c r="O161" s="23">
        <f>IF($N161="","","https://smartship.atlassian.net/browse/"&amp;$N161)</f>
        <v/>
      </c>
      <c r="P161">
        <f>IFERROR(VALUE(MID($A161,5,4)),0)</f>
        <v/>
      </c>
    </row>
    <row r="162" hidden="1" ht="15" customHeight="1">
      <c r="A162" s="21" t="inlineStr">
        <is>
          <t>NEW-0250</t>
        </is>
      </c>
      <c r="B162" s="22" t="inlineStr">
        <is>
          <t>Pre Booking Customisation - INT 007/006 - Error management – Fully booked cabin</t>
        </is>
      </c>
      <c r="C162" s="22" t="inlineStr">
        <is>
          <t>CR</t>
        </is>
      </c>
      <c r="D162" s="22" t="inlineStr">
        <is>
          <t>US</t>
        </is>
      </c>
      <c r="E162" s="22" t="inlineStr">
        <is>
          <t>B2CW</t>
        </is>
      </c>
      <c r="F162" s="22" t="inlineStr">
        <is>
          <t>DONE</t>
        </is>
      </c>
      <c r="G162" s="22" t="inlineStr">
        <is>
          <t>Medium</t>
        </is>
      </c>
      <c r="H162" s="22" t="n"/>
      <c r="I162" s="23">
        <f>IF($A162="","",IFERROR(IF(ISBLANK(INDEX(SprintPlanning[Sprint],MATCH($A162,SprintPlanning[Requirement ID],0))),"To Plan",INDEX(SprintPlanning[Sprint],MATCH($A162,SprintPlanning[Requirement ID],0))),"To Plan"))</f>
        <v/>
      </c>
      <c r="J162" s="22" t="n">
        <v>5</v>
      </c>
      <c r="K162" s="23">
        <f>IFERROR(IF(ISBLANK(INDEX(Release[Release],MATCH($A162,Release[Requirement ID],0))),"",INDEX(Release[Release],MATCH($A162,Release[Requirement ID],0))),"")</f>
        <v/>
      </c>
      <c r="L162" s="24" t="n">
        <v>46232</v>
      </c>
      <c r="M162" s="22" t="inlineStr">
        <is>
          <t>Created</t>
        </is>
      </c>
      <c r="N162" s="22" t="inlineStr">
        <is>
          <t>MDTTPU-1818</t>
        </is>
      </c>
      <c r="O162" s="23">
        <f>IF($N162="","","https://smartship.atlassian.net/browse/"&amp;$N162)</f>
        <v/>
      </c>
      <c r="P162">
        <f>IFERROR(VALUE(MID($A162,5,4)),0)</f>
        <v/>
      </c>
    </row>
    <row r="163" hidden="1" ht="15" customHeight="1">
      <c r="A163" s="21" t="inlineStr">
        <is>
          <t>NEW-0251</t>
        </is>
      </c>
      <c r="B163" s="22" t="inlineStr">
        <is>
          <t>Pre Booking Customisation - Refresh availability  – Change to INT 002</t>
        </is>
      </c>
      <c r="C163" s="22" t="inlineStr">
        <is>
          <t>CR</t>
        </is>
      </c>
      <c r="D163" s="22" t="inlineStr">
        <is>
          <t>US</t>
        </is>
      </c>
      <c r="E163" s="22" t="inlineStr">
        <is>
          <t>B2CW</t>
        </is>
      </c>
      <c r="F163" s="22" t="inlineStr">
        <is>
          <t>DONE</t>
        </is>
      </c>
      <c r="G163" s="22" t="inlineStr">
        <is>
          <t>Medium</t>
        </is>
      </c>
      <c r="H163" s="22" t="n"/>
      <c r="I163" s="23">
        <f>IF($A163="","",IFERROR(IF(ISBLANK(INDEX(SprintPlanning[Sprint],MATCH($A163,SprintPlanning[Requirement ID],0))),"To Plan",INDEX(SprintPlanning[Sprint],MATCH($A163,SprintPlanning[Requirement ID],0))),"To Plan"))</f>
        <v/>
      </c>
      <c r="J163" s="22" t="n">
        <v>5</v>
      </c>
      <c r="K163" s="23">
        <f>IFERROR(IF(ISBLANK(INDEX(Release[Release],MATCH($A163,Release[Requirement ID],0))),"",INDEX(Release[Release],MATCH($A163,Release[Requirement ID],0))),"")</f>
        <v/>
      </c>
      <c r="L163" s="24" t="n">
        <v>46232</v>
      </c>
      <c r="M163" s="22" t="inlineStr">
        <is>
          <t>Created</t>
        </is>
      </c>
      <c r="N163" s="22" t="inlineStr">
        <is>
          <t>MDTTPU-3291</t>
        </is>
      </c>
      <c r="O163" s="23">
        <f>IF($N163="","","https://smartship.atlassian.net/browse/"&amp;$N163)</f>
        <v/>
      </c>
      <c r="P163">
        <f>IFERROR(VALUE(MID($A163,5,4)),0)</f>
        <v/>
      </c>
    </row>
    <row r="164" hidden="1" ht="15" customHeight="1">
      <c r="A164" s="21" t="inlineStr">
        <is>
          <t>NEW-0252</t>
        </is>
      </c>
      <c r="B164" s="22" t="inlineStr">
        <is>
          <t>Pre Booking Customisation - OBC Pills</t>
        </is>
      </c>
      <c r="C164" s="22" t="inlineStr">
        <is>
          <t>CR</t>
        </is>
      </c>
      <c r="D164" s="22" t="inlineStr">
        <is>
          <t>US</t>
        </is>
      </c>
      <c r="E164" s="22" t="inlineStr">
        <is>
          <t>B2CW</t>
        </is>
      </c>
      <c r="F164" s="22" t="inlineStr">
        <is>
          <t>DONE</t>
        </is>
      </c>
      <c r="G164" s="22" t="inlineStr">
        <is>
          <t>Medium</t>
        </is>
      </c>
      <c r="H164" s="22" t="n"/>
      <c r="I164" s="23">
        <f>IF($A164="","",IFERROR(IF(ISBLANK(INDEX(SprintPlanning[Sprint],MATCH($A164,SprintPlanning[Requirement ID],0))),"To Plan",INDEX(SprintPlanning[Sprint],MATCH($A164,SprintPlanning[Requirement ID],0))),"To Plan"))</f>
        <v/>
      </c>
      <c r="J164" s="22" t="n">
        <v>5</v>
      </c>
      <c r="K164" s="23">
        <f>IFERROR(IF(ISBLANK(INDEX(Release[Release],MATCH($A164,Release[Requirement ID],0))),"",INDEX(Release[Release],MATCH($A164,Release[Requirement ID],0))),"")</f>
        <v/>
      </c>
      <c r="L164" s="24" t="n">
        <v>46232</v>
      </c>
      <c r="M164" s="22" t="inlineStr">
        <is>
          <t>Created</t>
        </is>
      </c>
      <c r="N164" s="22" t="inlineStr">
        <is>
          <t>MDTTPU-2801</t>
        </is>
      </c>
      <c r="O164" s="23">
        <f>IF($N164="","","https://smartship.atlassian.net/browse/"&amp;$N164)</f>
        <v/>
      </c>
      <c r="P164">
        <f>IFERROR(VALUE(MID($A164,5,4)),0)</f>
        <v/>
      </c>
    </row>
    <row r="165" hidden="1" ht="15" customHeight="1">
      <c r="A165" s="21" t="inlineStr">
        <is>
          <t>NEW-0260</t>
        </is>
      </c>
      <c r="B165" s="22" t="inlineStr">
        <is>
          <t>B2CW Payment Review - Tokenisation (Booking Funnel)</t>
        </is>
      </c>
      <c r="C165" s="22" t="inlineStr">
        <is>
          <t>CR</t>
        </is>
      </c>
      <c r="D165" s="22" t="inlineStr">
        <is>
          <t>US</t>
        </is>
      </c>
      <c r="E165" s="22" t="inlineStr">
        <is>
          <t>B2CW</t>
        </is>
      </c>
      <c r="F165" s="22" t="inlineStr">
        <is>
          <t>DONE</t>
        </is>
      </c>
      <c r="G165" s="22" t="inlineStr">
        <is>
          <t>Medium</t>
        </is>
      </c>
      <c r="H165" s="22" t="n"/>
      <c r="I165" s="23">
        <f>IF($A165="","",IFERROR(IF(ISBLANK(INDEX(SprintPlanning[Sprint],MATCH($A165,SprintPlanning[Requirement ID],0))),"To Plan",INDEX(SprintPlanning[Sprint],MATCH($A165,SprintPlanning[Requirement ID],0))),"To Plan"))</f>
        <v/>
      </c>
      <c r="J165" s="22" t="n">
        <v>13</v>
      </c>
      <c r="K165" s="23">
        <f>IFERROR(IF(ISBLANK(INDEX(Release[Release],MATCH($A165,Release[Requirement ID],0))),"",INDEX(Release[Release],MATCH($A165,Release[Requirement ID],0))),"")</f>
        <v/>
      </c>
      <c r="L165" s="24" t="n">
        <v>46232</v>
      </c>
      <c r="M165" s="22" t="inlineStr">
        <is>
          <t>Created</t>
        </is>
      </c>
      <c r="N165" s="22" t="inlineStr">
        <is>
          <t>MDTTPU-2693</t>
        </is>
      </c>
      <c r="O165" s="23">
        <f>IF($N165="","","https://smartship.atlassian.net/browse/"&amp;$N165)</f>
        <v/>
      </c>
      <c r="P165">
        <f>IFERROR(VALUE(MID($A165,5,4)),0)</f>
        <v/>
      </c>
    </row>
    <row r="166" hidden="1" ht="15" customHeight="1">
      <c r="A166" s="21" t="inlineStr">
        <is>
          <t>NEW-0261</t>
        </is>
      </c>
      <c r="B166" s="22" t="inlineStr">
        <is>
          <t>B2CW Payment Review - Tokenisation (myMSC)</t>
        </is>
      </c>
      <c r="C166" s="22" t="inlineStr">
        <is>
          <t>CR</t>
        </is>
      </c>
      <c r="D166" s="22" t="inlineStr">
        <is>
          <t>US</t>
        </is>
      </c>
      <c r="E166" s="22" t="inlineStr">
        <is>
          <t>B2CW</t>
        </is>
      </c>
      <c r="F166" s="22" t="inlineStr">
        <is>
          <t>DONE</t>
        </is>
      </c>
      <c r="G166" s="22" t="inlineStr">
        <is>
          <t>Medium</t>
        </is>
      </c>
      <c r="H166" s="22" t="n"/>
      <c r="I166" s="23">
        <f>IF($A166="","",IFERROR(IF(ISBLANK(INDEX(SprintPlanning[Sprint],MATCH($A166,SprintPlanning[Requirement ID],0))),"To Plan",INDEX(SprintPlanning[Sprint],MATCH($A166,SprintPlanning[Requirement ID],0))),"To Plan"))</f>
        <v/>
      </c>
      <c r="J166" s="22" t="n">
        <v>5</v>
      </c>
      <c r="K166" s="23">
        <f>IFERROR(IF(ISBLANK(INDEX(Release[Release],MATCH($A166,Release[Requirement ID],0))),"",INDEX(Release[Release],MATCH($A166,Release[Requirement ID],0))),"")</f>
        <v/>
      </c>
      <c r="L166" s="24" t="n">
        <v>46232</v>
      </c>
      <c r="M166" s="22" t="inlineStr">
        <is>
          <t>Created</t>
        </is>
      </c>
      <c r="N166" s="22" t="inlineStr">
        <is>
          <t>MDTTPU-4426</t>
        </is>
      </c>
      <c r="O166" s="23">
        <f>IF($N166="","","https://smartship.atlassian.net/browse/"&amp;$N166)</f>
        <v/>
      </c>
      <c r="P166">
        <f>IFERROR(VALUE(MID($A166,5,4)),0)</f>
        <v/>
      </c>
    </row>
    <row r="167" hidden="1" ht="15" customHeight="1">
      <c r="A167" s="21" t="inlineStr">
        <is>
          <t>NEW-0262</t>
        </is>
      </c>
      <c r="B167" s="22" t="inlineStr">
        <is>
          <t>B2CW Payment Review - Data lodging - cruise booking - Booking funnel</t>
        </is>
      </c>
      <c r="C167" s="22" t="inlineStr">
        <is>
          <t>CR</t>
        </is>
      </c>
      <c r="D167" s="22" t="inlineStr">
        <is>
          <t>US</t>
        </is>
      </c>
      <c r="E167" s="22" t="inlineStr">
        <is>
          <t>B2CW</t>
        </is>
      </c>
      <c r="F167" s="22" t="inlineStr">
        <is>
          <t>DONE</t>
        </is>
      </c>
      <c r="G167" s="22" t="inlineStr">
        <is>
          <t>Medium</t>
        </is>
      </c>
      <c r="H167" s="22" t="n"/>
      <c r="I167" s="23">
        <f>IF($A167="","",IFERROR(IF(ISBLANK(INDEX(SprintPlanning[Sprint],MATCH($A167,SprintPlanning[Requirement ID],0))),"To Plan",INDEX(SprintPlanning[Sprint],MATCH($A167,SprintPlanning[Requirement ID],0))),"To Plan"))</f>
        <v/>
      </c>
      <c r="J167" s="22" t="n">
        <v>5</v>
      </c>
      <c r="K167" s="23">
        <f>IFERROR(IF(ISBLANK(INDEX(Release[Release],MATCH($A167,Release[Requirement ID],0))),"",INDEX(Release[Release],MATCH($A167,Release[Requirement ID],0))),"")</f>
        <v/>
      </c>
      <c r="L167" s="24" t="n">
        <v>46232</v>
      </c>
      <c r="M167" s="22" t="inlineStr">
        <is>
          <t>Created</t>
        </is>
      </c>
      <c r="N167" s="22" t="inlineStr">
        <is>
          <t>MDTTPU-2597</t>
        </is>
      </c>
      <c r="O167" s="23">
        <f>IF($N167="","","https://smartship.atlassian.net/browse/"&amp;$N167)</f>
        <v/>
      </c>
      <c r="P167">
        <f>IFERROR(VALUE(MID($A167,5,4)),0)</f>
        <v/>
      </c>
    </row>
    <row r="168" hidden="1" ht="15" customHeight="1">
      <c r="A168" s="21" t="inlineStr">
        <is>
          <t>NEW-0306</t>
        </is>
      </c>
      <c r="B168" s="22" t="inlineStr">
        <is>
          <t>INT139 handling of coupons</t>
        </is>
      </c>
      <c r="C168" s="22" t="inlineStr">
        <is>
          <t>CR</t>
        </is>
      </c>
      <c r="D168" s="22" t="inlineStr">
        <is>
          <t>MyMSC</t>
        </is>
      </c>
      <c r="E168" s="22" t="inlineStr">
        <is>
          <t>B2CW</t>
        </is>
      </c>
      <c r="F168" s="22" t="inlineStr">
        <is>
          <t>DONE</t>
        </is>
      </c>
      <c r="G168" s="22" t="inlineStr">
        <is>
          <t>Medium</t>
        </is>
      </c>
      <c r="H168" s="22" t="n"/>
      <c r="I168" s="23">
        <f>IF($A168="","",IFERROR(IF(ISBLANK(INDEX(SprintPlanning[Sprint],MATCH($A168,SprintPlanning[Requirement ID],0))),"To Plan",INDEX(SprintPlanning[Sprint],MATCH($A168,SprintPlanning[Requirement ID],0))),"To Plan"))</f>
        <v/>
      </c>
      <c r="J168" s="22" t="n">
        <v>13</v>
      </c>
      <c r="K168" s="23">
        <f>IFERROR(IF(ISBLANK(INDEX(Release[Release],MATCH($A168,Release[Requirement ID],0))),"",INDEX(Release[Release],MATCH($A168,Release[Requirement ID],0))),"")</f>
        <v/>
      </c>
      <c r="L168" s="24" t="n">
        <v>46232</v>
      </c>
      <c r="M168" s="22" t="inlineStr">
        <is>
          <t>Created</t>
        </is>
      </c>
      <c r="N168" s="22" t="inlineStr">
        <is>
          <t>DTTP25-34471</t>
        </is>
      </c>
      <c r="O168" s="23">
        <f>IF($N168="","","https://smartship.atlassian.net/browse/"&amp;$N168)</f>
        <v/>
      </c>
      <c r="P168">
        <f>IFERROR(VALUE(MID($A168,5,4)),0)</f>
        <v/>
      </c>
    </row>
    <row r="169" hidden="1" ht="15" customHeight="1">
      <c r="A169" s="21" t="inlineStr">
        <is>
          <t>NEW-0308</t>
        </is>
      </c>
      <c r="B169" s="22" t="inlineStr">
        <is>
          <t>Voyager Club - INT152 - Add Total Points per cruise</t>
        </is>
      </c>
      <c r="C169" s="22" t="inlineStr">
        <is>
          <t>CR</t>
        </is>
      </c>
      <c r="D169" s="22" t="inlineStr">
        <is>
          <t>MyMSC</t>
        </is>
      </c>
      <c r="E169" s="22" t="inlineStr">
        <is>
          <t>B2CW</t>
        </is>
      </c>
      <c r="F169" s="22" t="inlineStr">
        <is>
          <t>DONE</t>
        </is>
      </c>
      <c r="G169" s="22" t="inlineStr">
        <is>
          <t>Medium</t>
        </is>
      </c>
      <c r="H169" s="22" t="n"/>
      <c r="I169" s="23">
        <f>IF($A169="","",IFERROR(IF(ISBLANK(INDEX(SprintPlanning[Sprint],MATCH($A169,SprintPlanning[Requirement ID],0))),"To Plan",INDEX(SprintPlanning[Sprint],MATCH($A169,SprintPlanning[Requirement ID],0))),"To Plan"))</f>
        <v/>
      </c>
      <c r="J169" s="22" t="n">
        <v>2</v>
      </c>
      <c r="K169" s="23">
        <f>IFERROR(IF(ISBLANK(INDEX(Release[Release],MATCH($A169,Release[Requirement ID],0))),"",INDEX(Release[Release],MATCH($A169,Release[Requirement ID],0))),"")</f>
        <v/>
      </c>
      <c r="L169" s="24" t="n">
        <v>46232</v>
      </c>
      <c r="M169" s="22" t="inlineStr">
        <is>
          <t>Created</t>
        </is>
      </c>
      <c r="N169" s="22" t="inlineStr">
        <is>
          <t>DTTP25-32814</t>
        </is>
      </c>
      <c r="O169" s="23">
        <f>IF($N169="","","https://smartship.atlassian.net/browse/"&amp;$N169)</f>
        <v/>
      </c>
      <c r="P169">
        <f>IFERROR(VALUE(MID($A169,5,4)),0)</f>
        <v/>
      </c>
    </row>
    <row r="170" hidden="1" ht="15" customHeight="1">
      <c r="A170" s="21" t="inlineStr">
        <is>
          <t>NEW-0309</t>
        </is>
      </c>
      <c r="B170" s="22" t="inlineStr">
        <is>
          <t>INT139 Add new field regarding coupon discount</t>
        </is>
      </c>
      <c r="C170" s="22" t="inlineStr">
        <is>
          <t>CR</t>
        </is>
      </c>
      <c r="D170" s="22" t="inlineStr">
        <is>
          <t>MyMSC</t>
        </is>
      </c>
      <c r="E170" s="22" t="inlineStr">
        <is>
          <t>B2CW</t>
        </is>
      </c>
      <c r="F170" s="22" t="inlineStr">
        <is>
          <t>DONE</t>
        </is>
      </c>
      <c r="G170" s="22" t="inlineStr">
        <is>
          <t>Medium</t>
        </is>
      </c>
      <c r="H170" s="22" t="n"/>
      <c r="I170" s="23">
        <f>IF($A170="","",IFERROR(IF(ISBLANK(INDEX(SprintPlanning[Sprint],MATCH($A170,SprintPlanning[Requirement ID],0))),"To Plan",INDEX(SprintPlanning[Sprint],MATCH($A170,SprintPlanning[Requirement ID],0))),"To Plan"))</f>
        <v/>
      </c>
      <c r="J170" s="22" t="n">
        <v>3</v>
      </c>
      <c r="K170" s="23">
        <f>IFERROR(IF(ISBLANK(INDEX(Release[Release],MATCH($A170,Release[Requirement ID],0))),"",INDEX(Release[Release],MATCH($A170,Release[Requirement ID],0))),"")</f>
        <v/>
      </c>
      <c r="L170" s="24" t="n">
        <v>46232</v>
      </c>
      <c r="M170" s="22" t="inlineStr">
        <is>
          <t>Created</t>
        </is>
      </c>
      <c r="N170" s="22" t="inlineStr">
        <is>
          <t>DTTP25-33595</t>
        </is>
      </c>
      <c r="O170" s="23">
        <f>IF($N170="","","https://smartship.atlassian.net/browse/"&amp;$N170)</f>
        <v/>
      </c>
      <c r="P170">
        <f>IFERROR(VALUE(MID($A170,5,4)),0)</f>
        <v/>
      </c>
    </row>
    <row r="171" hidden="1" ht="15" customHeight="1">
      <c r="A171" s="21" t="inlineStr">
        <is>
          <t>NEW-0339</t>
        </is>
      </c>
      <c r="B171" s="22" t="inlineStr">
        <is>
          <t>CDP / DTS Post Booking - CR - Beverage/ Bundle Campaigns</t>
        </is>
      </c>
      <c r="C171" s="22" t="inlineStr">
        <is>
          <t>CR</t>
        </is>
      </c>
      <c r="D171" s="22" t="inlineStr">
        <is>
          <t>Backlog</t>
        </is>
      </c>
      <c r="E171" s="22" t="inlineStr">
        <is>
          <t>MA</t>
        </is>
      </c>
      <c r="F171" s="22" t="inlineStr">
        <is>
          <t>DONE</t>
        </is>
      </c>
      <c r="G171" s="22" t="inlineStr">
        <is>
          <t>Medium</t>
        </is>
      </c>
      <c r="H171" s="22" t="n"/>
      <c r="I171" s="23">
        <f>IF($A171="","",IFERROR(IF(ISBLANK(INDEX(SprintPlanning[Sprint],MATCH($A171,SprintPlanning[Requirement ID],0))),"To Plan",INDEX(SprintPlanning[Sprint],MATCH($A171,SprintPlanning[Requirement ID],0))),"To Plan"))</f>
        <v/>
      </c>
      <c r="J171" s="22" t="n">
        <v>5</v>
      </c>
      <c r="K171" s="23">
        <f>IFERROR(IF(ISBLANK(INDEX(Release[Release],MATCH($A171,Release[Requirement ID],0))),"",INDEX(Release[Release],MATCH($A171,Release[Requirement ID],0))),"")</f>
        <v/>
      </c>
      <c r="L171" s="24" t="n">
        <v>46232</v>
      </c>
      <c r="M171" s="22" t="inlineStr">
        <is>
          <t>Created</t>
        </is>
      </c>
      <c r="N171" s="22" t="inlineStr">
        <is>
          <t>DTTP25-34477</t>
        </is>
      </c>
      <c r="O171" s="23">
        <f>IF($N171="","","https://smartship.atlassian.net/browse/"&amp;$N171)</f>
        <v/>
      </c>
      <c r="P171">
        <f>IFERROR(VALUE(MID($A171,5,4)),0)</f>
        <v/>
      </c>
    </row>
    <row r="172" hidden="1" ht="15" customHeight="1">
      <c r="A172" s="21" t="inlineStr">
        <is>
          <t>NEW-0382</t>
        </is>
      </c>
      <c r="B172" s="22" t="inlineStr">
        <is>
          <t>DTTP - MA - Integration between AJO and OBR/Shorex Platform/Catalog [ANALYSIS]_EA</t>
        </is>
      </c>
      <c r="C172" s="22" t="inlineStr">
        <is>
          <t>CR</t>
        </is>
      </c>
      <c r="D172" s="22" t="inlineStr">
        <is>
          <t>PI9</t>
        </is>
      </c>
      <c r="E172" s="22" t="inlineStr">
        <is>
          <t>MA</t>
        </is>
      </c>
      <c r="F172" s="22" t="inlineStr">
        <is>
          <t>DONE</t>
        </is>
      </c>
      <c r="G172" s="22" t="inlineStr">
        <is>
          <t>Medium</t>
        </is>
      </c>
      <c r="H172" s="22" t="n"/>
      <c r="I172" s="23">
        <f>IF($A172="","",IFERROR(IF(ISBLANK(INDEX(SprintPlanning[Sprint],MATCH($A172,SprintPlanning[Requirement ID],0))),"To Plan",INDEX(SprintPlanning[Sprint],MATCH($A172,SprintPlanning[Requirement ID],0))),"To Plan"))</f>
        <v/>
      </c>
      <c r="J172" s="22" t="n"/>
      <c r="K172" s="23">
        <f>IFERROR(IF(ISBLANK(INDEX(Release[Release],MATCH($A172,Release[Requirement ID],0))),"",INDEX(Release[Release],MATCH($A172,Release[Requirement ID],0))),"")</f>
        <v/>
      </c>
      <c r="L172" s="24" t="n">
        <v>46232</v>
      </c>
      <c r="M172" s="22" t="inlineStr">
        <is>
          <t>Created</t>
        </is>
      </c>
      <c r="N172" s="22" t="inlineStr">
        <is>
          <t>CRM2-5703</t>
        </is>
      </c>
      <c r="O172" s="23">
        <f>IF($N172="","","https://smartship.atlassian.net/browse/"&amp;$N172)</f>
        <v/>
      </c>
      <c r="P172">
        <f>IFERROR(VALUE(MID($A172,5,4)),0)</f>
        <v/>
      </c>
    </row>
    <row r="173" hidden="1" ht="15" customHeight="1">
      <c r="A173" s="21" t="inlineStr">
        <is>
          <t>NEW-0099</t>
        </is>
      </c>
      <c r="B173" s="22" t="inlineStr">
        <is>
          <t>Verbal DNC</t>
        </is>
      </c>
      <c r="C173" s="22" t="inlineStr">
        <is>
          <t>CR</t>
        </is>
      </c>
      <c r="D173" s="22" t="inlineStr">
        <is>
          <t>US</t>
        </is>
      </c>
      <c r="E173" s="22" t="inlineStr">
        <is>
          <t>S&amp;S</t>
        </is>
      </c>
      <c r="F173" s="22" t="inlineStr">
        <is>
          <t>DONE</t>
        </is>
      </c>
      <c r="G173" s="22" t="inlineStr">
        <is>
          <t>Medium</t>
        </is>
      </c>
      <c r="H173" s="22" t="n"/>
      <c r="I173" s="23">
        <f>IF($A173="","",IFERROR(IF(ISBLANK(INDEX(SprintPlanning[Sprint],MATCH($A173,SprintPlanning[Requirement ID],0))),"To Plan",INDEX(SprintPlanning[Sprint],MATCH($A173,SprintPlanning[Requirement ID],0))),"To Plan"))</f>
        <v/>
      </c>
      <c r="J173" s="22" t="n"/>
      <c r="K173" s="23">
        <f>IFERROR(IF(ISBLANK(INDEX(Release[Release],MATCH($A173,Release[Requirement ID],0))),"",INDEX(Release[Release],MATCH($A173,Release[Requirement ID],0))),"")</f>
        <v/>
      </c>
      <c r="L173" s="24" t="n">
        <v>46232</v>
      </c>
      <c r="M173" s="22" t="inlineStr">
        <is>
          <t>Created</t>
        </is>
      </c>
      <c r="N173" s="22" t="inlineStr">
        <is>
          <t>MDTTPU-1452</t>
        </is>
      </c>
      <c r="O173" s="23">
        <f>IF($N173="","","https://smartship.atlassian.net/browse/"&amp;$N173)</f>
        <v/>
      </c>
      <c r="P173">
        <f>IFERROR(VALUE(MID($A173,5,4)),0)</f>
        <v/>
      </c>
    </row>
    <row r="174" hidden="1" ht="15" customHeight="1">
      <c r="A174" s="21" t="inlineStr">
        <is>
          <t>NEW-0133</t>
        </is>
      </c>
      <c r="B174" s="22" t="inlineStr">
        <is>
          <t>Error mapping INT 140 - Promo no longer available</t>
        </is>
      </c>
      <c r="C174" s="22" t="inlineStr">
        <is>
          <t>CR</t>
        </is>
      </c>
      <c r="D174" s="22" t="inlineStr">
        <is>
          <t>MyMSC</t>
        </is>
      </c>
      <c r="E174" s="22" t="inlineStr">
        <is>
          <t>B2CW</t>
        </is>
      </c>
      <c r="F174" s="22" t="inlineStr">
        <is>
          <t>DONE</t>
        </is>
      </c>
      <c r="G174" s="22" t="inlineStr">
        <is>
          <t>Medium</t>
        </is>
      </c>
      <c r="H174" s="22" t="n"/>
      <c r="I174" s="23">
        <f>IF($A174="","",IFERROR(IF(ISBLANK(INDEX(SprintPlanning[Sprint],MATCH($A174,SprintPlanning[Requirement ID],0))),"To Plan",INDEX(SprintPlanning[Sprint],MATCH($A174,SprintPlanning[Requirement ID],0))),"To Plan"))</f>
        <v/>
      </c>
      <c r="J174" s="22" t="n">
        <v>3</v>
      </c>
      <c r="K174" s="23">
        <f>IFERROR(IF(ISBLANK(INDEX(Release[Release],MATCH($A174,Release[Requirement ID],0))),"",INDEX(Release[Release],MATCH($A174,Release[Requirement ID],0))),"")</f>
        <v/>
      </c>
      <c r="L174" s="24" t="n">
        <v>46232</v>
      </c>
      <c r="M174" s="22" t="inlineStr">
        <is>
          <t>Created</t>
        </is>
      </c>
      <c r="N174" s="22" t="inlineStr">
        <is>
          <t>DTTP25-31218</t>
        </is>
      </c>
      <c r="O174" s="23">
        <f>IF($N174="","","https://smartship.atlassian.net/browse/"&amp;$N174)</f>
        <v/>
      </c>
      <c r="P174">
        <f>IFERROR(VALUE(MID($A174,5,4)),0)</f>
        <v/>
      </c>
    </row>
    <row r="175" hidden="1" ht="15" customHeight="1">
      <c r="A175" s="21" t="inlineStr">
        <is>
          <t>NEW-0239</t>
        </is>
      </c>
      <c r="B175" s="22" t="inlineStr">
        <is>
          <t>[EAINT] [CR] Missing market code PAPI</t>
        </is>
      </c>
      <c r="C175" s="22" t="inlineStr">
        <is>
          <t>Config</t>
        </is>
      </c>
      <c r="D175" s="22" t="inlineStr">
        <is>
          <t>US</t>
        </is>
      </c>
      <c r="E175" s="22" t="inlineStr">
        <is>
          <t>MA</t>
        </is>
      </c>
      <c r="F175" s="22" t="inlineStr">
        <is>
          <t>DONE</t>
        </is>
      </c>
      <c r="G175" s="22" t="inlineStr">
        <is>
          <t>Medium</t>
        </is>
      </c>
      <c r="H175" s="22" t="n"/>
      <c r="I175" s="23">
        <f>IF($A175="","",IFERROR(IF(ISBLANK(INDEX(SprintPlanning[Sprint],MATCH($A175,SprintPlanning[Requirement ID],0))),"To Plan",INDEX(SprintPlanning[Sprint],MATCH($A175,SprintPlanning[Requirement ID],0))),"To Plan"))</f>
        <v/>
      </c>
      <c r="J175" s="22" t="n">
        <v>3</v>
      </c>
      <c r="K175" s="23">
        <f>IFERROR(IF(ISBLANK(INDEX(Release[Release],MATCH($A175,Release[Requirement ID],0))),"",INDEX(Release[Release],MATCH($A175,Release[Requirement ID],0))),"")</f>
        <v/>
      </c>
      <c r="L175" s="24" t="n">
        <v>46232</v>
      </c>
      <c r="M175" s="22" t="inlineStr">
        <is>
          <t>Created</t>
        </is>
      </c>
      <c r="N175" s="22" t="inlineStr">
        <is>
          <t>MDTTPU-4055</t>
        </is>
      </c>
      <c r="O175" s="23">
        <f>IF($N175="","","https://smartship.atlassian.net/browse/"&amp;$N175)</f>
        <v/>
      </c>
      <c r="P175">
        <f>IFERROR(VALUE(MID($A175,5,4)),0)</f>
        <v/>
      </c>
    </row>
    <row r="176" hidden="1" ht="15" customHeight="1">
      <c r="A176" s="21" t="inlineStr">
        <is>
          <t>NEW-0282</t>
        </is>
      </c>
      <c r="B176" s="22" t="inlineStr">
        <is>
          <t>Light Login Flow for DEM Email</t>
        </is>
      </c>
      <c r="C176" s="22" t="inlineStr">
        <is>
          <t>CR</t>
        </is>
      </c>
      <c r="D176" s="22" t="inlineStr">
        <is>
          <t>MyMSC</t>
        </is>
      </c>
      <c r="E176" s="22" t="inlineStr">
        <is>
          <t>B2CW</t>
        </is>
      </c>
      <c r="F176" s="22" t="inlineStr">
        <is>
          <t>DONE</t>
        </is>
      </c>
      <c r="G176" s="22" t="inlineStr">
        <is>
          <t>Medium</t>
        </is>
      </c>
      <c r="H176" s="22" t="n"/>
      <c r="I176" s="23">
        <f>IF($A176="","",IFERROR(IF(ISBLANK(INDEX(SprintPlanning[Sprint],MATCH($A176,SprintPlanning[Requirement ID],0))),"To Plan",INDEX(SprintPlanning[Sprint],MATCH($A176,SprintPlanning[Requirement ID],0))),"To Plan"))</f>
        <v/>
      </c>
      <c r="J176" s="22" t="n">
        <v>8</v>
      </c>
      <c r="K176" s="23">
        <f>IFERROR(IF(ISBLANK(INDEX(Release[Release],MATCH($A176,Release[Requirement ID],0))),"",INDEX(Release[Release],MATCH($A176,Release[Requirement ID],0))),"")</f>
        <v/>
      </c>
      <c r="L176" s="24" t="n">
        <v>46232</v>
      </c>
      <c r="M176" s="22" t="inlineStr">
        <is>
          <t>Created</t>
        </is>
      </c>
      <c r="N176" s="22" t="inlineStr">
        <is>
          <t>DTTP25-14580</t>
        </is>
      </c>
      <c r="O176" s="23">
        <f>IF($N176="","","https://smartship.atlassian.net/browse/"&amp;$N176)</f>
        <v/>
      </c>
      <c r="P176">
        <f>IFERROR(VALUE(MID($A176,5,4)),0)</f>
        <v/>
      </c>
    </row>
    <row r="177" hidden="1" ht="15" customHeight="1">
      <c r="A177" s="21" t="inlineStr">
        <is>
          <t>NEW-0286</t>
        </is>
      </c>
      <c r="B177" s="22" t="inlineStr">
        <is>
          <t>Error Management - Promotion no longer available – Change to INT 140</t>
        </is>
      </c>
      <c r="C177" s="22" t="inlineStr">
        <is>
          <t>CR</t>
        </is>
      </c>
      <c r="D177" s="22" t="inlineStr">
        <is>
          <t>MyMSC</t>
        </is>
      </c>
      <c r="E177" s="22" t="inlineStr">
        <is>
          <t>B2CW</t>
        </is>
      </c>
      <c r="F177" s="22" t="inlineStr">
        <is>
          <t>DONE</t>
        </is>
      </c>
      <c r="G177" s="22" t="inlineStr">
        <is>
          <t>Medium</t>
        </is>
      </c>
      <c r="H177" s="22" t="n"/>
      <c r="I177" s="23">
        <f>IF($A177="","",IFERROR(IF(ISBLANK(INDEX(SprintPlanning[Sprint],MATCH($A177,SprintPlanning[Requirement ID],0))),"To Plan",INDEX(SprintPlanning[Sprint],MATCH($A177,SprintPlanning[Requirement ID],0))),"To Plan"))</f>
        <v/>
      </c>
      <c r="J177" s="22" t="n">
        <v>3</v>
      </c>
      <c r="K177" s="23">
        <f>IFERROR(IF(ISBLANK(INDEX(Release[Release],MATCH($A177,Release[Requirement ID],0))),"",INDEX(Release[Release],MATCH($A177,Release[Requirement ID],0))),"")</f>
        <v/>
      </c>
      <c r="L177" s="24" t="n">
        <v>46232</v>
      </c>
      <c r="M177" s="22" t="inlineStr">
        <is>
          <t>Created</t>
        </is>
      </c>
      <c r="N177" s="22" t="inlineStr">
        <is>
          <t>DTTP25-31218</t>
        </is>
      </c>
      <c r="O177" s="23">
        <f>IF($N177="","","https://smartship.atlassian.net/browse/"&amp;$N177)</f>
        <v/>
      </c>
      <c r="P177">
        <f>IFERROR(VALUE(MID($A177,5,4)),0)</f>
        <v/>
      </c>
    </row>
    <row r="178" hidden="1" ht="15" customHeight="1">
      <c r="A178" s="21" t="inlineStr">
        <is>
          <t>NEW-0337</t>
        </is>
      </c>
      <c r="B178" s="22" t="inlineStr">
        <is>
          <t>INT024.1 - Changes to accommodate DTS Post Booking</t>
        </is>
      </c>
      <c r="C178" s="22" t="inlineStr">
        <is>
          <t>CR</t>
        </is>
      </c>
      <c r="D178" s="22" t="inlineStr">
        <is>
          <t>Backlog</t>
        </is>
      </c>
      <c r="E178" s="22" t="inlineStr">
        <is>
          <t>MA</t>
        </is>
      </c>
      <c r="F178" s="22" t="inlineStr">
        <is>
          <t>DONE</t>
        </is>
      </c>
      <c r="G178" s="22" t="inlineStr">
        <is>
          <t>Medium</t>
        </is>
      </c>
      <c r="H178" s="22" t="n"/>
      <c r="I178" s="23">
        <f>IF($A178="","",IFERROR(IF(ISBLANK(INDEX(SprintPlanning[Sprint],MATCH($A178,SprintPlanning[Requirement ID],0))),"To Plan",INDEX(SprintPlanning[Sprint],MATCH($A178,SprintPlanning[Requirement ID],0))),"To Plan"))</f>
        <v/>
      </c>
      <c r="J178" s="22" t="n">
        <v>42</v>
      </c>
      <c r="K178" s="23">
        <f>IFERROR(IF(ISBLANK(INDEX(Release[Release],MATCH($A178,Release[Requirement ID],0))),"",INDEX(Release[Release],MATCH($A178,Release[Requirement ID],0))),"")</f>
        <v/>
      </c>
      <c r="L178" s="24" t="n">
        <v>46232</v>
      </c>
      <c r="M178" s="22" t="inlineStr">
        <is>
          <t>Created</t>
        </is>
      </c>
      <c r="N178" s="22" t="inlineStr">
        <is>
          <t>DTTP25-15335</t>
        </is>
      </c>
      <c r="O178" s="23">
        <f>IF($N178="","","https://smartship.atlassian.net/browse/"&amp;$N178)</f>
        <v/>
      </c>
      <c r="P178">
        <f>IFERROR(VALUE(MID($A178,5,4)),0)</f>
        <v/>
      </c>
    </row>
    <row r="179" hidden="1" ht="15" customHeight="1">
      <c r="A179" s="21" t="inlineStr">
        <is>
          <t>NEW-0338</t>
        </is>
      </c>
      <c r="B179" s="26" t="inlineStr">
        <is>
          <t>CDP / DTS Post Booking
MuleSoft Scalability, Performance, Resilience Assessment</t>
        </is>
      </c>
      <c r="C179" s="22" t="inlineStr">
        <is>
          <t>Tech Task</t>
        </is>
      </c>
      <c r="D179" s="22" t="inlineStr">
        <is>
          <t>Backlog</t>
        </is>
      </c>
      <c r="E179" s="22" t="inlineStr">
        <is>
          <t>ALL</t>
        </is>
      </c>
      <c r="F179" s="22" t="inlineStr">
        <is>
          <t>DONE</t>
        </is>
      </c>
      <c r="G179" s="22" t="inlineStr">
        <is>
          <t>Medium</t>
        </is>
      </c>
      <c r="H179" s="22" t="n"/>
      <c r="I179" s="23">
        <f>IF($A179="","",IFERROR(IF(ISBLANK(INDEX(SprintPlanning[Sprint],MATCH($A179,SprintPlanning[Requirement ID],0))),"To Plan",INDEX(SprintPlanning[Sprint],MATCH($A179,SprintPlanning[Requirement ID],0))),"To Plan"))</f>
        <v/>
      </c>
      <c r="J179" s="22" t="n">
        <v>4</v>
      </c>
      <c r="K179" s="23">
        <f>IFERROR(IF(ISBLANK(INDEX(Release[Release],MATCH($A179,Release[Requirement ID],0))),"",INDEX(Release[Release],MATCH($A179,Release[Requirement ID],0))),"")</f>
        <v/>
      </c>
      <c r="L179" s="24" t="n">
        <v>46232</v>
      </c>
      <c r="M179" s="22" t="inlineStr">
        <is>
          <t>Created</t>
        </is>
      </c>
      <c r="N179" s="22" t="inlineStr">
        <is>
          <t>DTTP25-36961</t>
        </is>
      </c>
      <c r="O179" s="23">
        <f>IF($N179="","","https://smartship.atlassian.net/browse/"&amp;$N179)</f>
        <v/>
      </c>
      <c r="P179">
        <f>IFERROR(VALUE(MID($A179,5,4)),0)</f>
        <v/>
      </c>
    </row>
    <row r="180" hidden="1" ht="15" customHeight="1">
      <c r="A180" s="21" t="inlineStr">
        <is>
          <t>NEW-0350</t>
        </is>
      </c>
      <c r="B180" s="22" t="inlineStr">
        <is>
          <t>INT 004.4 - Update to support Klarna payment method</t>
        </is>
      </c>
      <c r="C180" s="22" t="inlineStr">
        <is>
          <t>CR</t>
        </is>
      </c>
      <c r="D180" s="22" t="inlineStr">
        <is>
          <t>Growth</t>
        </is>
      </c>
      <c r="E180" s="22" t="inlineStr">
        <is>
          <t>B2CW</t>
        </is>
      </c>
      <c r="F180" s="22" t="inlineStr">
        <is>
          <t>DONE</t>
        </is>
      </c>
      <c r="G180" s="22" t="inlineStr">
        <is>
          <t>Medium</t>
        </is>
      </c>
      <c r="H180" s="22" t="n"/>
      <c r="I180" s="23">
        <f>IF($A180="","",IFERROR(IF(ISBLANK(INDEX(SprintPlanning[Sprint],MATCH($A180,SprintPlanning[Requirement ID],0))),"To Plan",INDEX(SprintPlanning[Sprint],MATCH($A180,SprintPlanning[Requirement ID],0))),"To Plan"))</f>
        <v/>
      </c>
      <c r="J180" s="22" t="n">
        <v>13</v>
      </c>
      <c r="K180" s="23">
        <f>IFERROR(IF(ISBLANK(INDEX(Release[Release],MATCH($A180,Release[Requirement ID],0))),"",INDEX(Release[Release],MATCH($A180,Release[Requirement ID],0))),"")</f>
        <v/>
      </c>
      <c r="L180" s="24" t="n">
        <v>46232</v>
      </c>
      <c r="M180" s="22" t="inlineStr">
        <is>
          <t>Created</t>
        </is>
      </c>
      <c r="N180" s="22" t="inlineStr">
        <is>
          <t>DTTP25-31069</t>
        </is>
      </c>
      <c r="O180" s="23">
        <f>IF($N180="","","https://smartship.atlassian.net/browse/"&amp;$N180)</f>
        <v/>
      </c>
      <c r="P180">
        <f>IFERROR(VALUE(MID($A180,5,4)),0)</f>
        <v/>
      </c>
    </row>
    <row r="181" hidden="1" ht="15" customHeight="1">
      <c r="A181" s="21" t="inlineStr">
        <is>
          <t>NEW-0351</t>
        </is>
      </c>
      <c r="B181" s="22" t="inlineStr">
        <is>
          <t>Klarna - Itinerary cache - shared access</t>
        </is>
      </c>
      <c r="C181" s="22" t="inlineStr">
        <is>
          <t>CR</t>
        </is>
      </c>
      <c r="D181" s="22" t="inlineStr">
        <is>
          <t>Growth</t>
        </is>
      </c>
      <c r="E181" s="22" t="inlineStr">
        <is>
          <t>B2CW</t>
        </is>
      </c>
      <c r="F181" s="22" t="inlineStr">
        <is>
          <t>DONE</t>
        </is>
      </c>
      <c r="G181" s="22" t="inlineStr">
        <is>
          <t>Medium</t>
        </is>
      </c>
      <c r="H181" s="22" t="n"/>
      <c r="I181" s="23">
        <f>IF($A181="","",IFERROR(IF(ISBLANK(INDEX(SprintPlanning[Sprint],MATCH($A181,SprintPlanning[Requirement ID],0))),"To Plan",INDEX(SprintPlanning[Sprint],MATCH($A181,SprintPlanning[Requirement ID],0))),"To Plan"))</f>
        <v/>
      </c>
      <c r="J181" s="22" t="n">
        <v>5</v>
      </c>
      <c r="K181" s="23">
        <f>IFERROR(IF(ISBLANK(INDEX(Release[Release],MATCH($A181,Release[Requirement ID],0))),"",INDEX(Release[Release],MATCH($A181,Release[Requirement ID],0))),"")</f>
        <v/>
      </c>
      <c r="L181" s="24" t="n">
        <v>46232</v>
      </c>
      <c r="M181" s="22" t="inlineStr">
        <is>
          <t>Created</t>
        </is>
      </c>
      <c r="N181" s="22" t="inlineStr">
        <is>
          <t>DTTP25-32844</t>
        </is>
      </c>
      <c r="O181" s="23">
        <f>IF($N181="","","https://smartship.atlassian.net/browse/"&amp;$N181)</f>
        <v/>
      </c>
      <c r="P181">
        <f>IFERROR(VALUE(MID($A181,5,4)),0)</f>
        <v/>
      </c>
    </row>
    <row r="182" hidden="1" ht="15" customHeight="1">
      <c r="A182" s="27" t="inlineStr">
        <is>
          <t>NEW-0419</t>
        </is>
      </c>
      <c r="B182" s="28" t="inlineStr">
        <is>
          <t>INT004.4 - Enable Klarna Webhook URL (dtt-payment-sapi)</t>
        </is>
      </c>
      <c r="C182" s="28" t="inlineStr">
        <is>
          <t>New</t>
        </is>
      </c>
      <c r="D182" s="28" t="inlineStr">
        <is>
          <t>Growth</t>
        </is>
      </c>
      <c r="E182" s="28" t="inlineStr">
        <is>
          <t>B2CW</t>
        </is>
      </c>
      <c r="F182" s="28" t="inlineStr">
        <is>
          <t>DONE</t>
        </is>
      </c>
      <c r="G182" s="28" t="inlineStr">
        <is>
          <t>Medium</t>
        </is>
      </c>
      <c r="H182" s="28" t="n"/>
      <c r="I182" s="29">
        <f>IF($A182="","",IFERROR(IF(ISBLANK(INDEX(SprintPlanning[Sprint],MATCH($A182,SprintPlanning[Requirement ID],0))),"To Plan",INDEX(SprintPlanning[Sprint],MATCH($A182,SprintPlanning[Requirement ID],0))),"To Plan"))</f>
        <v/>
      </c>
      <c r="J182" s="28" t="n"/>
      <c r="K182" s="29">
        <f>IFERROR(IF(ISBLANK(INDEX(Release[Release],MATCH($A182,Release[Requirement ID],0))),"",INDEX(Release[Release],MATCH($A182,Release[Requirement ID],0))),"")</f>
        <v/>
      </c>
      <c r="L182" s="30" t="n">
        <v>46238</v>
      </c>
      <c r="M182" s="28" t="inlineStr">
        <is>
          <t>Created</t>
        </is>
      </c>
      <c r="N182" s="28" t="inlineStr">
        <is>
          <t>DTTP25-38109</t>
        </is>
      </c>
      <c r="O182" s="29">
        <f>IF($N182="","","https://smartship.atlassian.net/browse/"&amp;$N182)</f>
        <v/>
      </c>
      <c r="P182">
        <f>IFERROR(VALUE(MID($A182,5,4)),0)</f>
        <v/>
      </c>
    </row>
    <row r="183" hidden="1" ht="15" customHeight="1">
      <c r="A183" s="27" t="inlineStr">
        <is>
          <t>NEW-0423</t>
        </is>
      </c>
      <c r="B183" s="28" t="inlineStr">
        <is>
          <t>INT 007 - Update to support Klarna payment method</t>
        </is>
      </c>
      <c r="C183" s="28" t="inlineStr">
        <is>
          <t>CR</t>
        </is>
      </c>
      <c r="D183" s="28" t="inlineStr">
        <is>
          <t>Growth</t>
        </is>
      </c>
      <c r="E183" s="28" t="inlineStr">
        <is>
          <t>B2CW</t>
        </is>
      </c>
      <c r="F183" s="28" t="inlineStr">
        <is>
          <t>DONE</t>
        </is>
      </c>
      <c r="G183" s="28" t="inlineStr">
        <is>
          <t>Medium</t>
        </is>
      </c>
      <c r="H183" s="28" t="n"/>
      <c r="I183" s="29">
        <f>IF($A183="","",IFERROR(IF(ISBLANK(INDEX(SprintPlanning[Sprint],MATCH($A183,SprintPlanning[Requirement ID],0))),"To Plan",INDEX(SprintPlanning[Sprint],MATCH($A183,SprintPlanning[Requirement ID],0))),"To Plan"))</f>
        <v/>
      </c>
      <c r="J183" s="28" t="n">
        <v>3</v>
      </c>
      <c r="K183" s="29">
        <f>IFERROR(IF(ISBLANK(INDEX(Release[Release],MATCH($A183,Release[Requirement ID],0))),"",INDEX(Release[Release],MATCH($A183,Release[Requirement ID],0))),"")</f>
        <v/>
      </c>
      <c r="L183" s="30" t="n">
        <v>46238</v>
      </c>
      <c r="M183" s="28" t="inlineStr">
        <is>
          <t>Created</t>
        </is>
      </c>
      <c r="N183" s="28" t="inlineStr">
        <is>
          <t>DTTP25-31070</t>
        </is>
      </c>
      <c r="O183" s="29">
        <f>IF($N183="","","https://smartship.atlassian.net/browse/"&amp;$N183)</f>
        <v/>
      </c>
      <c r="P183">
        <f>IFERROR(VALUE(MID($A183,5,4)),0)</f>
        <v/>
      </c>
    </row>
    <row r="184" hidden="1" ht="15" customHeight="1">
      <c r="A184" s="27" t="inlineStr">
        <is>
          <t>NEW-0424</t>
        </is>
      </c>
      <c r="B184" s="28" t="inlineStr">
        <is>
          <t>INT100 - BookingProfileOrchestration (New Interface, DTS Post Booking)</t>
        </is>
      </c>
      <c r="C184" s="28" t="inlineStr">
        <is>
          <t>New</t>
        </is>
      </c>
      <c r="D184" s="28" t="inlineStr">
        <is>
          <t>Backlog</t>
        </is>
      </c>
      <c r="E184" s="28" t="inlineStr">
        <is>
          <t>MA</t>
        </is>
      </c>
      <c r="F184" s="28" t="inlineStr">
        <is>
          <t>DONE</t>
        </is>
      </c>
      <c r="G184" s="28" t="inlineStr">
        <is>
          <t>Medium</t>
        </is>
      </c>
      <c r="H184" s="28" t="n"/>
      <c r="I184" s="29">
        <f>IF($A184="","",IFERROR(IF(ISBLANK(INDEX(SprintPlanning[Sprint],MATCH($A184,SprintPlanning[Requirement ID],0))),"To Plan",INDEX(SprintPlanning[Sprint],MATCH($A184,SprintPlanning[Requirement ID],0))),"To Plan"))</f>
        <v/>
      </c>
      <c r="J184" s="28" t="n"/>
      <c r="K184" s="29">
        <f>IFERROR(IF(ISBLANK(INDEX(Release[Release],MATCH($A184,Release[Requirement ID],0))),"",INDEX(Release[Release],MATCH($A184,Release[Requirement ID],0))),"")</f>
        <v/>
      </c>
      <c r="L184" s="30" t="n">
        <v>46239</v>
      </c>
      <c r="M184" s="28" t="inlineStr">
        <is>
          <t>Created</t>
        </is>
      </c>
      <c r="N184" s="28" t="inlineStr">
        <is>
          <t>DTTP25-15383</t>
        </is>
      </c>
      <c r="O184" s="29">
        <f>IF($N184="","","https://smartship.atlassian.net/browse/"&amp;$N184)</f>
        <v/>
      </c>
      <c r="P184">
        <f>IFERROR(VALUE(MID($A184,5,4)),0)</f>
        <v/>
      </c>
    </row>
    <row r="185" hidden="1" ht="15" customHeight="1">
      <c r="A185" s="27" t="inlineStr">
        <is>
          <t>NEW-0425</t>
        </is>
      </c>
      <c r="B185" s="28" t="inlineStr">
        <is>
          <t>INT025 - BookingEventOrchestration (New Interface, DTS Post Booking)</t>
        </is>
      </c>
      <c r="C185" s="28" t="inlineStr">
        <is>
          <t>New</t>
        </is>
      </c>
      <c r="D185" s="28" t="inlineStr">
        <is>
          <t>Backlog</t>
        </is>
      </c>
      <c r="E185" s="28" t="inlineStr">
        <is>
          <t>MA</t>
        </is>
      </c>
      <c r="F185" s="28" t="inlineStr">
        <is>
          <t>DONE</t>
        </is>
      </c>
      <c r="G185" s="28" t="inlineStr">
        <is>
          <t>Medium</t>
        </is>
      </c>
      <c r="H185" s="28" t="n"/>
      <c r="I185" s="29">
        <f>IF($A185="","",IFERROR(IF(ISBLANK(INDEX(SprintPlanning[Sprint],MATCH($A185,SprintPlanning[Requirement ID],0))),"To Plan",INDEX(SprintPlanning[Sprint],MATCH($A185,SprintPlanning[Requirement ID],0))),"To Plan"))</f>
        <v/>
      </c>
      <c r="J185" s="28" t="n"/>
      <c r="K185" s="29">
        <f>IFERROR(IF(ISBLANK(INDEX(Release[Release],MATCH($A185,Release[Requirement ID],0))),"",INDEX(Release[Release],MATCH($A185,Release[Requirement ID],0))),"")</f>
        <v/>
      </c>
      <c r="L185" s="30" t="n">
        <v>46239</v>
      </c>
      <c r="M185" s="28" t="inlineStr">
        <is>
          <t>Created</t>
        </is>
      </c>
      <c r="N185" s="28" t="inlineStr">
        <is>
          <t>DTTP25-15384</t>
        </is>
      </c>
      <c r="O185" s="29">
        <f>IF($N185="","","https://smartship.atlassian.net/browse/"&amp;$N185)</f>
        <v/>
      </c>
      <c r="P185">
        <f>IFERROR(VALUE(MID($A185,5,4)),0)</f>
        <v/>
      </c>
    </row>
    <row r="186" hidden="1" ht="15" customHeight="1">
      <c r="A186" s="21" t="inlineStr">
        <is>
          <t>NEW-0093</t>
        </is>
      </c>
      <c r="B186" s="22" t="inlineStr">
        <is>
          <t>[CR] [EAINT] INT069: Marketing SAPI / CRM EAPI updates to support routing to CDP based on market code</t>
        </is>
      </c>
      <c r="C186" s="22" t="inlineStr">
        <is>
          <t>CR</t>
        </is>
      </c>
      <c r="D186" s="22" t="inlineStr">
        <is>
          <t>US</t>
        </is>
      </c>
      <c r="E186" s="22" t="inlineStr">
        <is>
          <t>MA</t>
        </is>
      </c>
      <c r="F186" s="22" t="inlineStr">
        <is>
          <t>DONE</t>
        </is>
      </c>
      <c r="G186" s="22" t="inlineStr">
        <is>
          <t>Medium</t>
        </is>
      </c>
      <c r="H186" s="22" t="n"/>
      <c r="I186" s="23">
        <f>IF($A186="","",IFERROR(IF(ISBLANK(INDEX(SprintPlanning[Sprint],MATCH($A186,SprintPlanning[Requirement ID],0))),"To Plan",INDEX(SprintPlanning[Sprint],MATCH($A186,SprintPlanning[Requirement ID],0))),"To Plan"))</f>
        <v/>
      </c>
      <c r="J186" s="22" t="n">
        <v>2</v>
      </c>
      <c r="K186" s="23">
        <f>IFERROR(IF(ISBLANK(INDEX(Release[Release],MATCH($A186,Release[Requirement ID],0))),"",INDEX(Release[Release],MATCH($A186,Release[Requirement ID],0))),"")</f>
        <v/>
      </c>
      <c r="L186" s="24" t="n">
        <v>46232</v>
      </c>
      <c r="M186" s="22" t="inlineStr">
        <is>
          <t>Created</t>
        </is>
      </c>
      <c r="N186" s="22" t="inlineStr">
        <is>
          <t>MDTTPU-1248</t>
        </is>
      </c>
      <c r="O186" s="23">
        <f>IF($N186="","","https://smartship.atlassian.net/browse/"&amp;$N186)</f>
        <v/>
      </c>
      <c r="P186">
        <f>IFERROR(VALUE(MID($A186,5,4)),0)</f>
        <v/>
      </c>
    </row>
    <row r="187" hidden="1" ht="15" customHeight="1">
      <c r="A187" s="21" t="inlineStr">
        <is>
          <t>NEW-0094</t>
        </is>
      </c>
      <c r="B187" s="22" t="inlineStr">
        <is>
          <t>[CR] [EAINT] INT077: Dual CDP (US and HQ) Loading with Retry Logic</t>
        </is>
      </c>
      <c r="C187" s="22" t="inlineStr">
        <is>
          <t>CR</t>
        </is>
      </c>
      <c r="D187" s="22" t="inlineStr">
        <is>
          <t>US</t>
        </is>
      </c>
      <c r="E187" s="22" t="inlineStr">
        <is>
          <t>MA</t>
        </is>
      </c>
      <c r="F187" s="22" t="inlineStr">
        <is>
          <t>DONE</t>
        </is>
      </c>
      <c r="G187" s="22" t="inlineStr">
        <is>
          <t>Medium</t>
        </is>
      </c>
      <c r="H187" s="22" t="n"/>
      <c r="I187" s="23">
        <f>IF($A187="","",IFERROR(IF(ISBLANK(INDEX(SprintPlanning[Sprint],MATCH($A187,SprintPlanning[Requirement ID],0))),"To Plan",INDEX(SprintPlanning[Sprint],MATCH($A187,SprintPlanning[Requirement ID],0))),"To Plan"))</f>
        <v/>
      </c>
      <c r="J187" s="22" t="n">
        <v>3</v>
      </c>
      <c r="K187" s="23">
        <f>IFERROR(IF(ISBLANK(INDEX(Release[Release],MATCH($A187,Release[Requirement ID],0))),"",INDEX(Release[Release],MATCH($A187,Release[Requirement ID],0))),"")</f>
        <v/>
      </c>
      <c r="L187" s="24" t="n">
        <v>46232</v>
      </c>
      <c r="M187" s="22" t="inlineStr">
        <is>
          <t>Created</t>
        </is>
      </c>
      <c r="N187" s="22" t="inlineStr">
        <is>
          <t>MDTTPU-1255</t>
        </is>
      </c>
      <c r="O187" s="23">
        <f>IF($N187="","","https://smartship.atlassian.net/browse/"&amp;$N187)</f>
        <v/>
      </c>
      <c r="P187">
        <f>IFERROR(VALUE(MID($A187,5,4)),0)</f>
        <v/>
      </c>
    </row>
    <row r="188" hidden="1" ht="15" customHeight="1">
      <c r="A188" s="21" t="inlineStr">
        <is>
          <t>NEW-0236</t>
        </is>
      </c>
      <c r="B188" s="22" t="inlineStr">
        <is>
          <t>GBP Enablement</t>
        </is>
      </c>
      <c r="C188" s="22" t="inlineStr">
        <is>
          <t>CR</t>
        </is>
      </c>
      <c r="D188" s="22" t="inlineStr">
        <is>
          <t>PP</t>
        </is>
      </c>
      <c r="E188" s="22" t="inlineStr">
        <is>
          <t>B2CW</t>
        </is>
      </c>
      <c r="F188" s="22" t="inlineStr">
        <is>
          <t>DONE</t>
        </is>
      </c>
      <c r="G188" s="22" t="inlineStr">
        <is>
          <t>Medium</t>
        </is>
      </c>
      <c r="H188" s="22" t="n"/>
      <c r="I188" s="23">
        <f>IF($A188="","",IFERROR(IF(ISBLANK(INDEX(SprintPlanning[Sprint],MATCH($A188,SprintPlanning[Requirement ID],0))),"To Plan",INDEX(SprintPlanning[Sprint],MATCH($A188,SprintPlanning[Requirement ID],0))),"To Plan"))</f>
        <v/>
      </c>
      <c r="J188" s="22" t="n">
        <v>2</v>
      </c>
      <c r="K188" s="23">
        <f>IFERROR(IF(ISBLANK(INDEX(Release[Release],MATCH($A188,Release[Requirement ID],0))),"",INDEX(Release[Release],MATCH($A188,Release[Requirement ID],0))),"")</f>
        <v/>
      </c>
      <c r="L188" s="24" t="n">
        <v>46232</v>
      </c>
      <c r="M188" s="22" t="inlineStr">
        <is>
          <t>Created</t>
        </is>
      </c>
      <c r="N188" s="22" t="inlineStr">
        <is>
          <t>FFPP-348</t>
        </is>
      </c>
      <c r="O188" s="23">
        <f>IF($N188="","","https://smartship.atlassian.net/browse/"&amp;$N188)</f>
        <v/>
      </c>
      <c r="P188">
        <f>IFERROR(VALUE(MID($A188,5,4)),0)</f>
        <v/>
      </c>
    </row>
    <row r="189" hidden="1" ht="15" customHeight="1">
      <c r="A189" s="21" t="inlineStr">
        <is>
          <t>NEW-0241</t>
        </is>
      </c>
      <c r="B189" s="22" t="inlineStr">
        <is>
          <t>PVC - INT069 CR</t>
        </is>
      </c>
      <c r="C189" s="22" t="inlineStr">
        <is>
          <t>CR</t>
        </is>
      </c>
      <c r="D189" s="22" t="inlineStr">
        <is>
          <t>US</t>
        </is>
      </c>
      <c r="E189" s="22" t="inlineStr">
        <is>
          <t>S&amp;S</t>
        </is>
      </c>
      <c r="F189" s="22" t="inlineStr">
        <is>
          <t>DONE</t>
        </is>
      </c>
      <c r="G189" s="22" t="inlineStr">
        <is>
          <t>Medium</t>
        </is>
      </c>
      <c r="H189" s="22" t="n"/>
      <c r="I189" s="23">
        <f>IF($A189="","",IFERROR(IF(ISBLANK(INDEX(SprintPlanning[Sprint],MATCH($A189,SprintPlanning[Requirement ID],0))),"To Plan",INDEX(SprintPlanning[Sprint],MATCH($A189,SprintPlanning[Requirement ID],0))),"To Plan"))</f>
        <v/>
      </c>
      <c r="J189" s="22" t="n">
        <v>3</v>
      </c>
      <c r="K189" s="23">
        <f>IFERROR(IF(ISBLANK(INDEX(Release[Release],MATCH($A189,Release[Requirement ID],0))),"",INDEX(Release[Release],MATCH($A189,Release[Requirement ID],0))),"")</f>
        <v/>
      </c>
      <c r="L189" s="24" t="n">
        <v>46232</v>
      </c>
      <c r="M189" s="22" t="inlineStr">
        <is>
          <t>Created</t>
        </is>
      </c>
      <c r="N189" s="22" t="inlineStr">
        <is>
          <t>MDTTPU-1450</t>
        </is>
      </c>
      <c r="O189" s="23">
        <f>IF($N189="","","https://smartship.atlassian.net/browse/"&amp;$N189)</f>
        <v/>
      </c>
      <c r="P189">
        <f>IFERROR(VALUE(MID($A189,5,4)),0)</f>
        <v/>
      </c>
    </row>
    <row r="190" hidden="1" ht="15" customHeight="1">
      <c r="A190" s="21" t="inlineStr">
        <is>
          <t>NEW-0245</t>
        </is>
      </c>
      <c r="B190" s="26" t="inlineStr">
        <is>
          <t>Do not Call INT044, INT014, INT500</t>
        </is>
      </c>
      <c r="C190" s="22" t="inlineStr">
        <is>
          <t>CR</t>
        </is>
      </c>
      <c r="D190" s="22" t="inlineStr">
        <is>
          <t>US</t>
        </is>
      </c>
      <c r="E190" s="22" t="inlineStr">
        <is>
          <t>S&amp;S</t>
        </is>
      </c>
      <c r="F190" s="22" t="inlineStr">
        <is>
          <t>DONE</t>
        </is>
      </c>
      <c r="G190" s="22" t="inlineStr">
        <is>
          <t>Medium</t>
        </is>
      </c>
      <c r="H190" s="22" t="n"/>
      <c r="I190" s="23">
        <f>IF($A190="","",IFERROR(IF(ISBLANK(INDEX(SprintPlanning[Sprint],MATCH($A190,SprintPlanning[Requirement ID],0))),"To Plan",INDEX(SprintPlanning[Sprint],MATCH($A190,SprintPlanning[Requirement ID],0))),"To Plan"))</f>
        <v/>
      </c>
      <c r="J190" s="22" t="n">
        <v>3</v>
      </c>
      <c r="K190" s="23">
        <f>IFERROR(IF(ISBLANK(INDEX(Release[Release],MATCH($A190,Release[Requirement ID],0))),"",INDEX(Release[Release],MATCH($A190,Release[Requirement ID],0))),"")</f>
        <v/>
      </c>
      <c r="L190" s="24" t="n">
        <v>46232</v>
      </c>
      <c r="M190" s="22" t="inlineStr">
        <is>
          <t>Created</t>
        </is>
      </c>
      <c r="N190" s="22" t="inlineStr">
        <is>
          <t>MDTTPU-1452</t>
        </is>
      </c>
      <c r="O190" s="23">
        <f>IF($N190="","","https://smartship.atlassian.net/browse/"&amp;$N190)</f>
        <v/>
      </c>
      <c r="P190">
        <f>IFERROR(VALUE(MID($A190,5,4)),0)</f>
        <v/>
      </c>
    </row>
    <row r="191" hidden="1" ht="15" customHeight="1">
      <c r="A191" s="21" t="inlineStr">
        <is>
          <t>NEW-0285</t>
        </is>
      </c>
      <c r="B191" s="22" t="inlineStr">
        <is>
          <t>Update Excursions node in INT140 request</t>
        </is>
      </c>
      <c r="C191" s="22" t="inlineStr">
        <is>
          <t>CR</t>
        </is>
      </c>
      <c r="D191" s="22" t="inlineStr">
        <is>
          <t>MyMSC</t>
        </is>
      </c>
      <c r="E191" s="22" t="inlineStr">
        <is>
          <t>B2CW</t>
        </is>
      </c>
      <c r="F191" s="22" t="inlineStr">
        <is>
          <t>DONE</t>
        </is>
      </c>
      <c r="G191" s="22" t="inlineStr">
        <is>
          <t>Medium</t>
        </is>
      </c>
      <c r="H191" s="22" t="n"/>
      <c r="I191" s="23">
        <f>IF($A191="","",IFERROR(IF(ISBLANK(INDEX(SprintPlanning[Sprint],MATCH($A191,SprintPlanning[Requirement ID],0))),"To Plan",INDEX(SprintPlanning[Sprint],MATCH($A191,SprintPlanning[Requirement ID],0))),"To Plan"))</f>
        <v/>
      </c>
      <c r="J191" s="22" t="n">
        <v>3</v>
      </c>
      <c r="K191" s="23">
        <f>IFERROR(IF(ISBLANK(INDEX(Release[Release],MATCH($A191,Release[Requirement ID],0))),"",INDEX(Release[Release],MATCH($A191,Release[Requirement ID],0))),"")</f>
        <v/>
      </c>
      <c r="L191" s="24" t="n">
        <v>46232</v>
      </c>
      <c r="M191" s="22" t="inlineStr">
        <is>
          <t>Created</t>
        </is>
      </c>
      <c r="N191" s="22" t="inlineStr">
        <is>
          <t>DTTP25-29370</t>
        </is>
      </c>
      <c r="O191" s="23">
        <f>IF($N191="","","https://smartship.atlassian.net/browse/"&amp;$N191)</f>
        <v/>
      </c>
      <c r="P191">
        <f>IFERROR(VALUE(MID($A191,5,4)),0)</f>
        <v/>
      </c>
    </row>
    <row r="192" hidden="1" ht="15" customHeight="1">
      <c r="A192" s="21" t="inlineStr">
        <is>
          <t>NEW-0330</t>
        </is>
      </c>
      <c r="B192" s="22" t="inlineStr">
        <is>
          <t>Emergent Markets (PL-TR-MT) APIs Configuration - CHAIN1/2, Prod</t>
        </is>
      </c>
      <c r="C192" s="22" t="inlineStr">
        <is>
          <t>Config</t>
        </is>
      </c>
      <c r="D192" s="22" t="inlineStr">
        <is>
          <t>MVP Rollout</t>
        </is>
      </c>
      <c r="E192" s="22" t="inlineStr">
        <is>
          <t>B2CW</t>
        </is>
      </c>
      <c r="F192" s="22" t="inlineStr">
        <is>
          <t>DONE</t>
        </is>
      </c>
      <c r="G192" s="22" t="inlineStr">
        <is>
          <t>Medium</t>
        </is>
      </c>
      <c r="H192" s="22" t="n"/>
      <c r="I192" s="23">
        <f>IF($A192="","",IFERROR(IF(ISBLANK(INDEX(SprintPlanning[Sprint],MATCH($A192,SprintPlanning[Requirement ID],0))),"To Plan",INDEX(SprintPlanning[Sprint],MATCH($A192,SprintPlanning[Requirement ID],0))),"To Plan"))</f>
        <v/>
      </c>
      <c r="J192" s="22" t="n">
        <v>8</v>
      </c>
      <c r="K192" s="23">
        <f>IFERROR(IF(ISBLANK(INDEX(Release[Release],MATCH($A192,Release[Requirement ID],0))),"",INDEX(Release[Release],MATCH($A192,Release[Requirement ID],0))),"")</f>
        <v/>
      </c>
      <c r="L192" s="24" t="n">
        <v>46232</v>
      </c>
      <c r="M192" s="22" t="inlineStr">
        <is>
          <t>Created</t>
        </is>
      </c>
      <c r="N192" s="22" t="inlineStr">
        <is>
          <t>DE-39</t>
        </is>
      </c>
      <c r="O192" s="23">
        <f>IF($N192="","","https://smartship.atlassian.net/browse/"&amp;$N192)</f>
        <v/>
      </c>
      <c r="P192">
        <f>IFERROR(VALUE(MID($A192,5,4)),0)</f>
        <v/>
      </c>
    </row>
    <row r="193" hidden="1" ht="15" customHeight="1">
      <c r="A193" s="21" t="inlineStr">
        <is>
          <t>NEW-0331</t>
        </is>
      </c>
      <c r="B193" s="22" t="inlineStr">
        <is>
          <t>Accessibility Form - "Transfer between checking and boarding gate" new field CR</t>
        </is>
      </c>
      <c r="C193" s="22" t="inlineStr">
        <is>
          <t>CR</t>
        </is>
      </c>
      <c r="D193" s="22" t="inlineStr">
        <is>
          <t>MVP Rollout</t>
        </is>
      </c>
      <c r="E193" s="22" t="inlineStr">
        <is>
          <t>B2CW</t>
        </is>
      </c>
      <c r="F193" s="22" t="inlineStr">
        <is>
          <t>DONE</t>
        </is>
      </c>
      <c r="G193" s="22" t="inlineStr">
        <is>
          <t>Medium</t>
        </is>
      </c>
      <c r="H193" s="22" t="n"/>
      <c r="I193" s="23">
        <f>IF($A193="","",IFERROR(IF(ISBLANK(INDEX(SprintPlanning[Sprint],MATCH($A193,SprintPlanning[Requirement ID],0))),"To Plan",INDEX(SprintPlanning[Sprint],MATCH($A193,SprintPlanning[Requirement ID],0))),"To Plan"))</f>
        <v/>
      </c>
      <c r="J193" s="22" t="n">
        <v>3</v>
      </c>
      <c r="K193" s="23">
        <f>IFERROR(IF(ISBLANK(INDEX(Release[Release],MATCH($A193,Release[Requirement ID],0))),"",INDEX(Release[Release],MATCH($A193,Release[Requirement ID],0))),"")</f>
        <v/>
      </c>
      <c r="L193" s="24" t="n">
        <v>46232</v>
      </c>
      <c r="M193" s="22" t="inlineStr">
        <is>
          <t>Created</t>
        </is>
      </c>
      <c r="N193" s="22" t="inlineStr">
        <is>
          <t>DTTP25-31264</t>
        </is>
      </c>
      <c r="O193" s="23">
        <f>IF($N193="","","https://smartship.atlassian.net/browse/"&amp;$N193)</f>
        <v/>
      </c>
      <c r="P193">
        <f>IFERROR(VALUE(MID($A193,5,4)),0)</f>
        <v/>
      </c>
    </row>
    <row r="194" hidden="1" ht="15" customHeight="1">
      <c r="A194" s="21" t="inlineStr">
        <is>
          <t>NEW-0374</t>
        </is>
      </c>
      <c r="B194" s="22" t="inlineStr">
        <is>
          <t>[Load Test] Prepare new environement for load testing activities</t>
        </is>
      </c>
      <c r="C194" s="22" t="inlineStr">
        <is>
          <t>Tech Task</t>
        </is>
      </c>
      <c r="D194" s="22" t="inlineStr">
        <is>
          <t>Backlog / Tech Enh</t>
        </is>
      </c>
      <c r="E194" s="22" t="inlineStr">
        <is>
          <t>ALL</t>
        </is>
      </c>
      <c r="F194" s="22" t="inlineStr">
        <is>
          <t>DONE</t>
        </is>
      </c>
      <c r="G194" s="22" t="inlineStr">
        <is>
          <t>Medium</t>
        </is>
      </c>
      <c r="H194" s="22" t="n"/>
      <c r="I194" s="23">
        <f>IF($A194="","",IFERROR(IF(ISBLANK(INDEX(SprintPlanning[Sprint],MATCH($A194,SprintPlanning[Requirement ID],0))),"To Plan",INDEX(SprintPlanning[Sprint],MATCH($A194,SprintPlanning[Requirement ID],0))),"To Plan"))</f>
        <v/>
      </c>
      <c r="J194" s="22" t="n">
        <v>21</v>
      </c>
      <c r="K194" s="23">
        <f>IFERROR(IF(ISBLANK(INDEX(Release[Release],MATCH($A194,Release[Requirement ID],0))),"",INDEX(Release[Release],MATCH($A194,Release[Requirement ID],0))),"")</f>
        <v/>
      </c>
      <c r="L194" s="24" t="n">
        <v>46232</v>
      </c>
      <c r="M194" s="22" t="inlineStr">
        <is>
          <t>Created</t>
        </is>
      </c>
      <c r="N194" s="22" t="inlineStr">
        <is>
          <t>DTTP25-32150</t>
        </is>
      </c>
      <c r="O194" s="23">
        <f>IF($N194="","","https://smartship.atlassian.net/browse/"&amp;$N194)</f>
        <v/>
      </c>
      <c r="P194">
        <f>IFERROR(VALUE(MID($A194,5,4)),0)</f>
        <v/>
      </c>
    </row>
    <row r="195" hidden="1" ht="15" customHeight="1">
      <c r="A195" s="21" t="inlineStr">
        <is>
          <t>NEW-0383</t>
        </is>
      </c>
      <c r="B195" s="22" t="inlineStr">
        <is>
          <t>DTTP - MA - B2B2C App Check-in On Demand (MSC Book)_EA</t>
        </is>
      </c>
      <c r="C195" s="22" t="inlineStr">
        <is>
          <t>CR</t>
        </is>
      </c>
      <c r="D195" s="22" t="inlineStr">
        <is>
          <t>PI9</t>
        </is>
      </c>
      <c r="E195" s="22" t="inlineStr">
        <is>
          <t>MA</t>
        </is>
      </c>
      <c r="F195" s="22" t="inlineStr">
        <is>
          <t>DONE</t>
        </is>
      </c>
      <c r="G195" s="22" t="inlineStr">
        <is>
          <t>Medium</t>
        </is>
      </c>
      <c r="H195" s="22" t="n"/>
      <c r="I195" s="23">
        <f>IF($A195="","",IFERROR(IF(ISBLANK(INDEX(SprintPlanning[Sprint],MATCH($A195,SprintPlanning[Requirement ID],0))),"To Plan",INDEX(SprintPlanning[Sprint],MATCH($A195,SprintPlanning[Requirement ID],0))),"To Plan"))</f>
        <v/>
      </c>
      <c r="J195" s="22" t="n">
        <v>8</v>
      </c>
      <c r="K195" s="23">
        <f>IFERROR(IF(ISBLANK(INDEX(Release[Release],MATCH($A195,Release[Requirement ID],0))),"",INDEX(Release[Release],MATCH($A195,Release[Requirement ID],0))),"")</f>
        <v/>
      </c>
      <c r="L195" s="24" t="n">
        <v>46232</v>
      </c>
      <c r="M195" s="22" t="inlineStr">
        <is>
          <t>Created</t>
        </is>
      </c>
      <c r="N195" s="22" t="inlineStr">
        <is>
          <t>EA-1124</t>
        </is>
      </c>
      <c r="O195" s="23">
        <f>IF($N195="","","https://smartship.atlassian.net/browse/"&amp;$N195)</f>
        <v/>
      </c>
      <c r="P195">
        <f>IFERROR(VALUE(MID($A195,5,4)),0)</f>
        <v/>
      </c>
    </row>
    <row r="196" hidden="1" ht="15" customHeight="1">
      <c r="A196" s="21" t="inlineStr">
        <is>
          <t>NEW-0001</t>
        </is>
      </c>
      <c r="B196" s="22" t="inlineStr">
        <is>
          <t>Whatsapp Subscription (Phase 1)</t>
        </is>
      </c>
      <c r="C196" s="22" t="inlineStr">
        <is>
          <t>New</t>
        </is>
      </c>
      <c r="D196" s="22" t="inlineStr">
        <is>
          <t>Backlog</t>
        </is>
      </c>
      <c r="E196" s="22" t="inlineStr">
        <is>
          <t>MA</t>
        </is>
      </c>
      <c r="F196" s="22" t="inlineStr">
        <is>
          <t>NEW</t>
        </is>
      </c>
      <c r="G196" s="22" t="inlineStr">
        <is>
          <t>Medium</t>
        </is>
      </c>
      <c r="H196" s="22" t="inlineStr">
        <is>
          <t>Q3 2026</t>
        </is>
      </c>
      <c r="I196" s="23">
        <f>IF($A196="","",IFERROR(IF(ISBLANK(INDEX(SprintPlanning[Sprint],MATCH($A196,SprintPlanning[Requirement ID],0))),"To Plan",INDEX(SprintPlanning[Sprint],MATCH($A196,SprintPlanning[Requirement ID],0))),"To Plan"))</f>
        <v/>
      </c>
      <c r="J196" s="22" t="n">
        <v>13</v>
      </c>
      <c r="K196" s="23">
        <f>IFERROR(IF(ISBLANK(INDEX(Release[Release],MATCH($A196,Release[Requirement ID],0))),"",INDEX(Release[Release],MATCH($A196,Release[Requirement ID],0))),"")</f>
        <v/>
      </c>
      <c r="L196" s="24" t="n">
        <v>46226</v>
      </c>
      <c r="M196" s="22" t="inlineStr">
        <is>
          <t>Created</t>
        </is>
      </c>
      <c r="N196" s="22" t="inlineStr">
        <is>
          <t>DTTP25-36678</t>
        </is>
      </c>
      <c r="O196" s="23">
        <f>IF($N196="","","https://smartship.atlassian.net/browse/"&amp;$N196)</f>
        <v/>
      </c>
      <c r="P196">
        <f>IFERROR(VALUE(MID($A196,5,4)),0)</f>
        <v/>
      </c>
    </row>
    <row r="197" hidden="1" ht="15" customHeight="1">
      <c r="A197" s="21" t="inlineStr">
        <is>
          <t>NEW-0003</t>
        </is>
      </c>
      <c r="B197" s="22" t="inlineStr">
        <is>
          <t>Friends and Family INT 157</t>
        </is>
      </c>
      <c r="C197" s="22" t="inlineStr">
        <is>
          <t>New</t>
        </is>
      </c>
      <c r="D197" s="22" t="inlineStr">
        <is>
          <t>Backlog</t>
        </is>
      </c>
      <c r="E197" s="22" t="inlineStr">
        <is>
          <t>S&amp;S</t>
        </is>
      </c>
      <c r="F197" s="22" t="inlineStr">
        <is>
          <t>NEW</t>
        </is>
      </c>
      <c r="G197" s="22" t="inlineStr">
        <is>
          <t>Medium</t>
        </is>
      </c>
      <c r="H197" s="22" t="n"/>
      <c r="I197" s="23">
        <f>IF($A197="","",IFERROR(IF(ISBLANK(INDEX(SprintPlanning[Sprint],MATCH($A197,SprintPlanning[Requirement ID],0))),"To Plan",INDEX(SprintPlanning[Sprint],MATCH($A197,SprintPlanning[Requirement ID],0))),"To Plan"))</f>
        <v/>
      </c>
      <c r="J197" s="22" t="n">
        <v>13</v>
      </c>
      <c r="K197" s="23">
        <f>IFERROR(IF(ISBLANK(INDEX(Release[Release],MATCH($A197,Release[Requirement ID],0))),"",INDEX(Release[Release],MATCH($A197,Release[Requirement ID],0))),"")</f>
        <v/>
      </c>
      <c r="L197" s="24" t="n">
        <v>46226</v>
      </c>
      <c r="M197" s="22" t="inlineStr">
        <is>
          <t>Created</t>
        </is>
      </c>
      <c r="N197" s="22" t="inlineStr">
        <is>
          <t>DTTP25-36959</t>
        </is>
      </c>
      <c r="O197" s="23">
        <f>IF($N197="","","https://smartship.atlassian.net/browse/"&amp;$N197)</f>
        <v/>
      </c>
      <c r="P197">
        <f>IFERROR(VALUE(MID($A197,5,4)),0)</f>
        <v/>
      </c>
    </row>
    <row r="198" hidden="1" ht="15" customHeight="1">
      <c r="A198" s="21" t="inlineStr">
        <is>
          <t>NEW-0029</t>
        </is>
      </c>
      <c r="B198" s="22" t="inlineStr">
        <is>
          <t>MYMSC All inc CR remove logic from AEM</t>
        </is>
      </c>
      <c r="C198" s="22" t="inlineStr">
        <is>
          <t>CR</t>
        </is>
      </c>
      <c r="D198" s="22" t="inlineStr">
        <is>
          <t>MyMSC</t>
        </is>
      </c>
      <c r="E198" s="22" t="inlineStr">
        <is>
          <t>B2CW</t>
        </is>
      </c>
      <c r="F198" s="22" t="inlineStr">
        <is>
          <t>NEW</t>
        </is>
      </c>
      <c r="G198" s="22" t="inlineStr">
        <is>
          <t>Medium</t>
        </is>
      </c>
      <c r="H198" s="25" t="n">
        <v>46235</v>
      </c>
      <c r="I198" s="23">
        <f>IF($A198="","",IFERROR(IF(ISBLANK(INDEX(SprintPlanning[Sprint],MATCH($A198,SprintPlanning[Requirement ID],0))),"To Plan",INDEX(SprintPlanning[Sprint],MATCH($A198,SprintPlanning[Requirement ID],0))),"To Plan"))</f>
        <v/>
      </c>
      <c r="J198" s="22" t="n">
        <v>29</v>
      </c>
      <c r="K198" s="23">
        <f>IFERROR(IF(ISBLANK(INDEX(Release[Release],MATCH($A198,Release[Requirement ID],0))),"",INDEX(Release[Release],MATCH($A198,Release[Requirement ID],0))),"")</f>
        <v/>
      </c>
      <c r="L198" s="24" t="n">
        <v>46226</v>
      </c>
      <c r="M198" s="22" t="inlineStr">
        <is>
          <t>Created</t>
        </is>
      </c>
      <c r="N198" s="22" t="inlineStr">
        <is>
          <t>DTTP25-38250</t>
        </is>
      </c>
      <c r="O198" s="23">
        <f>IF($N198="","","https://smartship.atlassian.net/browse/"&amp;$N198)</f>
        <v/>
      </c>
      <c r="P198">
        <f>IFERROR(VALUE(MID($A198,5,4)),0)</f>
        <v/>
      </c>
    </row>
    <row r="199" hidden="1" ht="15" customHeight="1">
      <c r="A199" s="21" t="inlineStr">
        <is>
          <t>NEW-0030</t>
        </is>
      </c>
      <c r="B199" s="22" t="inlineStr">
        <is>
          <t>Handling of additional errors INT 139/ INT 140</t>
        </is>
      </c>
      <c r="C199" s="22" t="inlineStr">
        <is>
          <t>CR</t>
        </is>
      </c>
      <c r="D199" s="22" t="inlineStr">
        <is>
          <t>MyMSC</t>
        </is>
      </c>
      <c r="E199" s="22" t="inlineStr">
        <is>
          <t>B2CW</t>
        </is>
      </c>
      <c r="F199" s="22" t="inlineStr">
        <is>
          <t>NEW</t>
        </is>
      </c>
      <c r="G199" s="22" t="inlineStr">
        <is>
          <t>Medium</t>
        </is>
      </c>
      <c r="H199" s="22" t="n"/>
      <c r="I199" s="23">
        <f>IF($A199="","",IFERROR(IF(ISBLANK(INDEX(SprintPlanning[Sprint],MATCH($A199,SprintPlanning[Requirement ID],0))),"To Plan",INDEX(SprintPlanning[Sprint],MATCH($A199,SprintPlanning[Requirement ID],0))),"To Plan"))</f>
        <v/>
      </c>
      <c r="J199" s="22" t="n">
        <v>8</v>
      </c>
      <c r="K199" s="23">
        <f>IFERROR(IF(ISBLANK(INDEX(Release[Release],MATCH($A199,Release[Requirement ID],0))),"",INDEX(Release[Release],MATCH($A199,Release[Requirement ID],0))),"")</f>
        <v/>
      </c>
      <c r="L199" s="24" t="n">
        <v>46226</v>
      </c>
      <c r="M199" s="22" t="inlineStr">
        <is>
          <t>Created</t>
        </is>
      </c>
      <c r="N199" s="22" t="inlineStr">
        <is>
          <t>DTTP25-40357</t>
        </is>
      </c>
      <c r="O199" s="23">
        <f>IF($N199="","","https://smartship.atlassian.net/browse/"&amp;$N199)</f>
        <v/>
      </c>
      <c r="P199">
        <f>IFERROR(VALUE(MID($A199,5,4)),0)</f>
        <v/>
      </c>
    </row>
    <row r="200" hidden="1" ht="15" customHeight="1">
      <c r="A200" s="21" t="inlineStr">
        <is>
          <t>NEW-0080</t>
        </is>
      </c>
      <c r="B200" s="22" t="inlineStr">
        <is>
          <t>Hypercare</t>
        </is>
      </c>
      <c r="C200" s="22" t="inlineStr">
        <is>
          <t>Tech Task</t>
        </is>
      </c>
      <c r="D200" s="22" t="inlineStr">
        <is>
          <t>US</t>
        </is>
      </c>
      <c r="E200" s="22" t="inlineStr">
        <is>
          <t>ALL</t>
        </is>
      </c>
      <c r="F200" s="22" t="inlineStr">
        <is>
          <t>NEW</t>
        </is>
      </c>
      <c r="G200" s="22" t="inlineStr">
        <is>
          <t>High</t>
        </is>
      </c>
      <c r="H200" s="22" t="n"/>
      <c r="I200" s="23">
        <f>IF($A200="","",IFERROR(IF(ISBLANK(INDEX(SprintPlanning[Sprint],MATCH($A200,SprintPlanning[Requirement ID],0))),"To Plan",INDEX(SprintPlanning[Sprint],MATCH($A200,SprintPlanning[Requirement ID],0))),"To Plan"))</f>
        <v/>
      </c>
      <c r="J200" s="22" t="n"/>
      <c r="K200" s="23">
        <f>IFERROR(IF(ISBLANK(INDEX(Release[Release],MATCH($A200,Release[Requirement ID],0))),"",INDEX(Release[Release],MATCH($A200,Release[Requirement ID],0))),"")</f>
        <v/>
      </c>
      <c r="L200" s="24" t="n">
        <v>46226</v>
      </c>
      <c r="M200" s="22" t="n"/>
      <c r="N200" s="22" t="n"/>
      <c r="O200" s="23">
        <f>IF($N200="","","https://smartship.atlassian.net/browse/"&amp;$N200)</f>
        <v/>
      </c>
      <c r="P200">
        <f>IFERROR(VALUE(MID($A200,5,4)),0)</f>
        <v/>
      </c>
    </row>
    <row r="201" hidden="1" ht="15" customHeight="1">
      <c r="A201" s="21" t="inlineStr">
        <is>
          <t>NEW-0084</t>
        </is>
      </c>
      <c r="B201" s="22" t="inlineStr">
        <is>
          <t>PI11-07 [B2C] Hold Option (Placeholder - MuleSoft should not be involved)</t>
        </is>
      </c>
      <c r="C201" s="22" t="inlineStr">
        <is>
          <t>TBC</t>
        </is>
      </c>
      <c r="D201" s="22" t="inlineStr">
        <is>
          <t>PI11</t>
        </is>
      </c>
      <c r="E201" s="22" t="inlineStr">
        <is>
          <t>B2CW</t>
        </is>
      </c>
      <c r="F201" s="22" t="inlineStr">
        <is>
          <t>NEW</t>
        </is>
      </c>
      <c r="G201" s="22" t="inlineStr">
        <is>
          <t>Medium</t>
        </is>
      </c>
      <c r="H201" s="22" t="n"/>
      <c r="I201" s="23">
        <f>IF($A201="","",IFERROR(IF(ISBLANK(INDEX(SprintPlanning[Sprint],MATCH($A201,SprintPlanning[Requirement ID],0))),"To Plan",INDEX(SprintPlanning[Sprint],MATCH($A201,SprintPlanning[Requirement ID],0))),"To Plan"))</f>
        <v/>
      </c>
      <c r="J201" s="22" t="n"/>
      <c r="K201" s="23">
        <f>IFERROR(IF(ISBLANK(INDEX(Release[Release],MATCH($A201,Release[Requirement ID],0))),"",INDEX(Release[Release],MATCH($A201,Release[Requirement ID],0))),"")</f>
        <v/>
      </c>
      <c r="L201" s="24" t="n">
        <v>46226</v>
      </c>
      <c r="M201" s="22" t="n"/>
      <c r="N201" s="22" t="n"/>
      <c r="O201" s="23">
        <f>IF($N201="","","https://smartship.atlassian.net/browse/"&amp;$N201)</f>
        <v/>
      </c>
      <c r="P201">
        <f>IFERROR(VALUE(MID($A201,5,4)),0)</f>
        <v/>
      </c>
    </row>
    <row r="202" hidden="1" ht="15" customHeight="1">
      <c r="A202" s="21" t="inlineStr">
        <is>
          <t>NEW-0085</t>
        </is>
      </c>
      <c r="B202" s="22" t="inlineStr">
        <is>
          <t>PI11-08 [CDP] [INTP-21] Lead Management - Option event creation in CDP</t>
        </is>
      </c>
      <c r="C202" s="22" t="inlineStr">
        <is>
          <t>CR</t>
        </is>
      </c>
      <c r="D202" s="22" t="inlineStr">
        <is>
          <t>PI11</t>
        </is>
      </c>
      <c r="E202" s="22" t="inlineStr">
        <is>
          <t>MA</t>
        </is>
      </c>
      <c r="F202" s="22" t="inlineStr">
        <is>
          <t>NEW</t>
        </is>
      </c>
      <c r="G202" s="22" t="inlineStr">
        <is>
          <t>Medium</t>
        </is>
      </c>
      <c r="H202" s="22" t="n"/>
      <c r="I202" s="23">
        <f>IF($A202="","",IFERROR(IF(ISBLANK(INDEX(SprintPlanning[Sprint],MATCH($A202,SprintPlanning[Requirement ID],0))),"To Plan",INDEX(SprintPlanning[Sprint],MATCH($A202,SprintPlanning[Requirement ID],0))),"To Plan"))</f>
        <v/>
      </c>
      <c r="J202" s="22" t="n">
        <v>5</v>
      </c>
      <c r="K202" s="23">
        <f>IFERROR(IF(ISBLANK(INDEX(Release[Release],MATCH($A202,Release[Requirement ID],0))),"",INDEX(Release[Release],MATCH($A202,Release[Requirement ID],0))),"")</f>
        <v/>
      </c>
      <c r="L202" s="24" t="n">
        <v>46226</v>
      </c>
      <c r="M202" s="22" t="inlineStr">
        <is>
          <t>Created</t>
        </is>
      </c>
      <c r="N202" s="22" t="inlineStr">
        <is>
          <t>DTTP25-41937</t>
        </is>
      </c>
      <c r="O202" s="23">
        <f>IF($N202="","","https://smartship.atlassian.net/browse/"&amp;$N202)</f>
        <v/>
      </c>
      <c r="P202">
        <f>IFERROR(VALUE(MID($A202,5,4)),0)</f>
        <v/>
      </c>
    </row>
    <row r="203" hidden="1" ht="15" customHeight="1">
      <c r="A203" s="21" t="inlineStr">
        <is>
          <t>NEW-0086</t>
        </is>
      </c>
      <c r="B203" s="22" t="inlineStr">
        <is>
          <t>PI11-11 [CRM] [EA-1008] DTTP - Lead Management - FCC new outbound sources</t>
        </is>
      </c>
      <c r="C203" s="22" t="inlineStr">
        <is>
          <t>CR</t>
        </is>
      </c>
      <c r="D203" s="22" t="inlineStr">
        <is>
          <t>PI11</t>
        </is>
      </c>
      <c r="E203" s="22" t="inlineStr">
        <is>
          <t>MA</t>
        </is>
      </c>
      <c r="F203" s="22" t="inlineStr">
        <is>
          <t>NEW</t>
        </is>
      </c>
      <c r="G203" s="22" t="inlineStr">
        <is>
          <t>Medium</t>
        </is>
      </c>
      <c r="H203" s="22" t="n"/>
      <c r="I203" s="23">
        <f>IF($A203="","",IFERROR(IF(ISBLANK(INDEX(SprintPlanning[Sprint],MATCH($A203,SprintPlanning[Requirement ID],0))),"To Plan",INDEX(SprintPlanning[Sprint],MATCH($A203,SprintPlanning[Requirement ID],0))),"To Plan"))</f>
        <v/>
      </c>
      <c r="J203" s="22" t="n">
        <v>8</v>
      </c>
      <c r="K203" s="23">
        <f>IFERROR(IF(ISBLANK(INDEX(Release[Release],MATCH($A203,Release[Requirement ID],0))),"",INDEX(Release[Release],MATCH($A203,Release[Requirement ID],0))),"")</f>
        <v/>
      </c>
      <c r="L203" s="24" t="n">
        <v>46226</v>
      </c>
      <c r="M203" s="22" t="inlineStr">
        <is>
          <t>Created</t>
        </is>
      </c>
      <c r="N203" s="22" t="inlineStr">
        <is>
          <t>DTTP25-41939</t>
        </is>
      </c>
      <c r="O203" s="23">
        <f>IF($N203="","","https://smartship.atlassian.net/browse/"&amp;$N203)</f>
        <v/>
      </c>
      <c r="P203">
        <f>IFERROR(VALUE(MID($A203,5,4)),0)</f>
        <v/>
      </c>
    </row>
    <row r="204" hidden="1" ht="15" customHeight="1">
      <c r="A204" s="21" t="inlineStr">
        <is>
          <t>NEW-0087</t>
        </is>
      </c>
      <c r="B204" s="22" t="inlineStr">
        <is>
          <t>PI11-12 [CDP/CRM] CRM2-11097 / [INTP-20] Lead Management - IRL Outbound Sources Activation &amp; Form Creation</t>
        </is>
      </c>
      <c r="C204" s="22" t="inlineStr">
        <is>
          <t>CR</t>
        </is>
      </c>
      <c r="D204" s="22" t="inlineStr">
        <is>
          <t>PI11</t>
        </is>
      </c>
      <c r="E204" s="22" t="inlineStr">
        <is>
          <t>MA</t>
        </is>
      </c>
      <c r="F204" s="22" t="inlineStr">
        <is>
          <t>NEW</t>
        </is>
      </c>
      <c r="G204" s="22" t="inlineStr">
        <is>
          <t>Medium</t>
        </is>
      </c>
      <c r="H204" s="22" t="n"/>
      <c r="I204" s="23">
        <f>IF($A204="","",IFERROR(IF(ISBLANK(INDEX(SprintPlanning[Sprint],MATCH($A204,SprintPlanning[Requirement ID],0))),"To Plan",INDEX(SprintPlanning[Sprint],MATCH($A204,SprintPlanning[Requirement ID],0))),"To Plan"))</f>
        <v/>
      </c>
      <c r="J204" s="22" t="n">
        <v>5</v>
      </c>
      <c r="K204" s="23">
        <f>IFERROR(IF(ISBLANK(INDEX(Release[Release],MATCH($A204,Release[Requirement ID],0))),"",INDEX(Release[Release],MATCH($A204,Release[Requirement ID],0))),"")</f>
        <v/>
      </c>
      <c r="L204" s="24" t="n">
        <v>46226</v>
      </c>
      <c r="M204" s="22" t="inlineStr">
        <is>
          <t>Created</t>
        </is>
      </c>
      <c r="N204" s="22" t="inlineStr">
        <is>
          <t>DTTP25-41940</t>
        </is>
      </c>
      <c r="O204" s="23">
        <f>IF($N204="","","https://smartship.atlassian.net/browse/"&amp;$N204)</f>
        <v/>
      </c>
      <c r="P204">
        <f>IFERROR(VALUE(MID($A204,5,4)),0)</f>
        <v/>
      </c>
    </row>
    <row r="205" hidden="1" ht="15" customHeight="1">
      <c r="A205" s="21" t="inlineStr">
        <is>
          <t>NEW-0316</t>
        </is>
      </c>
      <c r="B205" s="22" t="inlineStr">
        <is>
          <t>INT139 / INT140 - speciality restaurants CR to handle dining inventory errors</t>
        </is>
      </c>
      <c r="C205" s="22" t="inlineStr">
        <is>
          <t>CR</t>
        </is>
      </c>
      <c r="D205" s="22" t="inlineStr">
        <is>
          <t>MyMSC</t>
        </is>
      </c>
      <c r="E205" s="22" t="inlineStr">
        <is>
          <t>B2CW</t>
        </is>
      </c>
      <c r="F205" s="22" t="inlineStr">
        <is>
          <t>NEW</t>
        </is>
      </c>
      <c r="G205" s="22" t="inlineStr">
        <is>
          <t>Medium</t>
        </is>
      </c>
      <c r="H205" s="22" t="n"/>
      <c r="I205" s="23">
        <f>IF($A205="","",IFERROR(IF(ISBLANK(INDEX(SprintPlanning[Sprint],MATCH($A205,SprintPlanning[Requirement ID],0))),"To Plan",INDEX(SprintPlanning[Sprint],MATCH($A205,SprintPlanning[Requirement ID],0))),"To Plan"))</f>
        <v/>
      </c>
      <c r="J205" s="22" t="n">
        <v>8</v>
      </c>
      <c r="K205" s="23">
        <f>IFERROR(IF(ISBLANK(INDEX(Release[Release],MATCH($A205,Release[Requirement ID],0))),"",INDEX(Release[Release],MATCH($A205,Release[Requirement ID],0))),"")</f>
        <v/>
      </c>
      <c r="L205" s="24" t="n">
        <v>46232</v>
      </c>
      <c r="M205" s="22" t="inlineStr">
        <is>
          <t>Created</t>
        </is>
      </c>
      <c r="N205" s="22" t="inlineStr">
        <is>
          <t>DTTP25-40356</t>
        </is>
      </c>
      <c r="O205" s="23">
        <f>IF($N205="","","https://smartship.atlassian.net/browse/"&amp;$N205)</f>
        <v/>
      </c>
      <c r="P205">
        <f>IFERROR(VALUE(MID($A205,5,4)),0)</f>
        <v/>
      </c>
    </row>
    <row r="206" hidden="1" ht="23.25" customHeight="1">
      <c r="A206" s="21" t="inlineStr">
        <is>
          <t>NEW-0064</t>
        </is>
      </c>
      <c r="B206" s="22" t="inlineStr">
        <is>
          <t>ZAF Rollout - Market Configurations in CHAIN1 &amp; CHAIN2</t>
        </is>
      </c>
      <c r="C206" s="22" t="inlineStr">
        <is>
          <t>Config</t>
        </is>
      </c>
      <c r="D206" s="22" t="inlineStr">
        <is>
          <t>MVP Rollout</t>
        </is>
      </c>
      <c r="E206" s="22" t="inlineStr">
        <is>
          <t>B2CW</t>
        </is>
      </c>
      <c r="F206" s="22" t="inlineStr">
        <is>
          <t>NEW</t>
        </is>
      </c>
      <c r="G206" s="22" t="inlineStr">
        <is>
          <t>Medium</t>
        </is>
      </c>
      <c r="H206" s="22" t="n"/>
      <c r="I206" s="23">
        <f>IF($A206="","",IFERROR(IF(ISBLANK(INDEX(SprintPlanning[Sprint],MATCH($A206,SprintPlanning[Requirement ID],0))),"To Plan",INDEX(SprintPlanning[Sprint],MATCH($A206,SprintPlanning[Requirement ID],0))),"To Plan"))</f>
        <v/>
      </c>
      <c r="J206" s="22" t="n">
        <v>8</v>
      </c>
      <c r="K206" s="23">
        <f>IFERROR(IF(ISBLANK(INDEX(Release[Release],MATCH($A206,Release[Requirement ID],0))),"",INDEX(Release[Release],MATCH($A206,Release[Requirement ID],0))),"")</f>
        <v/>
      </c>
      <c r="L206" s="24" t="n">
        <v>46226</v>
      </c>
      <c r="M206" s="22" t="inlineStr">
        <is>
          <t>Created</t>
        </is>
      </c>
      <c r="N206" s="22" t="inlineStr">
        <is>
          <t>DTTP25-41351</t>
        </is>
      </c>
      <c r="O206" s="23">
        <f>IF($N206="","","https://smartship.atlassian.net/browse/"&amp;$N206)</f>
        <v/>
      </c>
      <c r="P206">
        <f>IFERROR(VALUE(MID($A206,5,4)),0)</f>
        <v/>
      </c>
    </row>
    <row r="207" hidden="1" ht="15" customHeight="1">
      <c r="A207" s="21" t="inlineStr">
        <is>
          <t>NEW-0065</t>
        </is>
      </c>
      <c r="B207" s="22" t="inlineStr">
        <is>
          <t>ZAFRollout - Market Configurations in Production</t>
        </is>
      </c>
      <c r="C207" s="22" t="inlineStr">
        <is>
          <t>Config</t>
        </is>
      </c>
      <c r="D207" s="22" t="inlineStr">
        <is>
          <t>MVP Rollout</t>
        </is>
      </c>
      <c r="E207" s="22" t="inlineStr">
        <is>
          <t>B2CW</t>
        </is>
      </c>
      <c r="F207" s="22" t="inlineStr">
        <is>
          <t>NEW</t>
        </is>
      </c>
      <c r="G207" s="22" t="inlineStr">
        <is>
          <t>Medium</t>
        </is>
      </c>
      <c r="H207" s="22" t="n"/>
      <c r="I207" s="23">
        <f>IF($A207="","",IFERROR(IF(ISBLANK(INDEX(SprintPlanning[Sprint],MATCH($A207,SprintPlanning[Requirement ID],0))),"To Plan",INDEX(SprintPlanning[Sprint],MATCH($A207,SprintPlanning[Requirement ID],0))),"To Plan"))</f>
        <v/>
      </c>
      <c r="J207" s="22" t="n">
        <v>8</v>
      </c>
      <c r="K207" s="23">
        <f>IFERROR(IF(ISBLANK(INDEX(Release[Release],MATCH($A207,Release[Requirement ID],0))),"",INDEX(Release[Release],MATCH($A207,Release[Requirement ID],0))),"")</f>
        <v/>
      </c>
      <c r="L207" s="24" t="n">
        <v>46226</v>
      </c>
      <c r="M207" s="22" t="inlineStr">
        <is>
          <t>Created</t>
        </is>
      </c>
      <c r="N207" s="22" t="inlineStr">
        <is>
          <t>DTTP25-41351</t>
        </is>
      </c>
      <c r="O207" s="23">
        <f>IF($N207="","","https://smartship.atlassian.net/browse/"&amp;$N207)</f>
        <v/>
      </c>
      <c r="P207">
        <f>IFERROR(VALUE(MID($A207,5,4)),0)</f>
        <v/>
      </c>
    </row>
    <row r="208" hidden="1" ht="15" customHeight="1">
      <c r="A208" s="21" t="inlineStr">
        <is>
          <t>NEW-0066</t>
        </is>
      </c>
      <c r="B208" s="22" t="inlineStr">
        <is>
          <t>PI11-03 [B2C] Flight Enhancement - DTTP25-38915</t>
        </is>
      </c>
      <c r="C208" s="22" t="inlineStr">
        <is>
          <t>CR</t>
        </is>
      </c>
      <c r="D208" s="22" t="inlineStr">
        <is>
          <t>PI11</t>
        </is>
      </c>
      <c r="E208" s="22" t="inlineStr">
        <is>
          <t>B2CW</t>
        </is>
      </c>
      <c r="F208" s="22" t="inlineStr">
        <is>
          <t>NEW</t>
        </is>
      </c>
      <c r="G208" s="22" t="inlineStr">
        <is>
          <t>Medium</t>
        </is>
      </c>
      <c r="H208" s="22" t="n"/>
      <c r="I208" s="23">
        <f>IF($A208="","",IFERROR(IF(ISBLANK(INDEX(SprintPlanning[Sprint],MATCH($A208,SprintPlanning[Requirement ID],0))),"To Plan",INDEX(SprintPlanning[Sprint],MATCH($A208,SprintPlanning[Requirement ID],0))),"To Plan"))</f>
        <v/>
      </c>
      <c r="J208" s="22" t="n">
        <v>5</v>
      </c>
      <c r="K208" s="23">
        <f>IFERROR(IF(ISBLANK(INDEX(Release[Release],MATCH($A208,Release[Requirement ID],0))),"",INDEX(Release[Release],MATCH($A208,Release[Requirement ID],0))),"")</f>
        <v/>
      </c>
      <c r="L208" s="24" t="n">
        <v>46226</v>
      </c>
      <c r="M208" s="22" t="inlineStr">
        <is>
          <t>Created</t>
        </is>
      </c>
      <c r="N208" s="22" t="inlineStr">
        <is>
          <t>DTTP25-41930</t>
        </is>
      </c>
      <c r="O208" s="23">
        <f>IF($N208="","","https://smartship.atlassian.net/browse/"&amp;$N208)</f>
        <v/>
      </c>
      <c r="P208">
        <f>IFERROR(VALUE(MID($A208,5,4)),0)</f>
        <v/>
      </c>
    </row>
    <row r="209" hidden="1" ht="15" customHeight="1">
      <c r="A209" s="21" t="inlineStr">
        <is>
          <t>NEW-0067</t>
        </is>
      </c>
      <c r="B209" s="22" t="inlineStr">
        <is>
          <t>PI11-14 [CRM] [EA-1722] CRM Dependency - Lead Management - Price Description info in CDP</t>
        </is>
      </c>
      <c r="C209" s="22" t="inlineStr">
        <is>
          <t>CR</t>
        </is>
      </c>
      <c r="D209" s="22" t="inlineStr">
        <is>
          <t>PI11</t>
        </is>
      </c>
      <c r="E209" s="22" t="inlineStr">
        <is>
          <t>MA</t>
        </is>
      </c>
      <c r="F209" s="22" t="inlineStr">
        <is>
          <t>NEW</t>
        </is>
      </c>
      <c r="G209" s="22" t="inlineStr">
        <is>
          <t>Medium</t>
        </is>
      </c>
      <c r="H209" s="22" t="n"/>
      <c r="I209" s="23">
        <f>IF($A209="","",IFERROR(IF(ISBLANK(INDEX(SprintPlanning[Sprint],MATCH($A209,SprintPlanning[Requirement ID],0))),"To Plan",INDEX(SprintPlanning[Sprint],MATCH($A209,SprintPlanning[Requirement ID],0))),"To Plan"))</f>
        <v/>
      </c>
      <c r="J209" s="22" t="n">
        <v>8</v>
      </c>
      <c r="K209" s="23">
        <f>IFERROR(IF(ISBLANK(INDEX(Release[Release],MATCH($A209,Release[Requirement ID],0))),"",INDEX(Release[Release],MATCH($A209,Release[Requirement ID],0))),"")</f>
        <v/>
      </c>
      <c r="L209" s="24" t="n">
        <v>46226</v>
      </c>
      <c r="M209" s="22" t="inlineStr">
        <is>
          <t>Created</t>
        </is>
      </c>
      <c r="N209" s="22" t="inlineStr">
        <is>
          <t>DTTP25-41931</t>
        </is>
      </c>
      <c r="O209" s="23">
        <f>IF($N209="","","https://smartship.atlassian.net/browse/"&amp;$N209)</f>
        <v/>
      </c>
      <c r="P209">
        <f>IFERROR(VALUE(MID($A209,5,4)),0)</f>
        <v/>
      </c>
    </row>
    <row r="210" hidden="1" ht="15" customHeight="1">
      <c r="A210" s="21" t="inlineStr">
        <is>
          <t>NEW-0072</t>
        </is>
      </c>
      <c r="B210" s="22" t="inlineStr">
        <is>
          <t>PI11-04 [B2C] Post Cruise Complaint Form Part 2 (Multiple Attachment) - DTTP25-38913</t>
        </is>
      </c>
      <c r="C210" s="22" t="inlineStr">
        <is>
          <t>CR</t>
        </is>
      </c>
      <c r="D210" s="22" t="inlineStr">
        <is>
          <t>PI11</t>
        </is>
      </c>
      <c r="E210" s="22" t="inlineStr">
        <is>
          <t>B2CW</t>
        </is>
      </c>
      <c r="F210" s="22" t="inlineStr">
        <is>
          <t>NEW</t>
        </is>
      </c>
      <c r="G210" s="22" t="inlineStr">
        <is>
          <t>Medium</t>
        </is>
      </c>
      <c r="H210" s="22" t="n"/>
      <c r="I210" s="23">
        <f>IF($A210="","",IFERROR(IF(ISBLANK(INDEX(SprintPlanning[Sprint],MATCH($A210,SprintPlanning[Requirement ID],0))),"To Plan",INDEX(SprintPlanning[Sprint],MATCH($A210,SprintPlanning[Requirement ID],0))),"To Plan"))</f>
        <v/>
      </c>
      <c r="J210" s="22" t="n">
        <v>21</v>
      </c>
      <c r="K210" s="23">
        <f>IFERROR(IF(ISBLANK(INDEX(Release[Release],MATCH($A210,Release[Requirement ID],0))),"",INDEX(Release[Release],MATCH($A210,Release[Requirement ID],0))),"")</f>
        <v/>
      </c>
      <c r="L210" s="24" t="n">
        <v>46226</v>
      </c>
      <c r="M210" s="22" t="inlineStr">
        <is>
          <t>Created</t>
        </is>
      </c>
      <c r="N210" s="22" t="inlineStr">
        <is>
          <t>DTTP25-41932</t>
        </is>
      </c>
      <c r="O210" s="23">
        <f>IF($N210="","","https://smartship.atlassian.net/browse/"&amp;$N210)</f>
        <v/>
      </c>
      <c r="P210">
        <f>IFERROR(VALUE(MID($A210,5,4)),0)</f>
        <v/>
      </c>
    </row>
    <row r="211" hidden="1" ht="15" customHeight="1">
      <c r="A211" s="21" t="inlineStr">
        <is>
          <t>NEW-0073</t>
        </is>
      </c>
      <c r="B211" s="22" t="inlineStr">
        <is>
          <t>PI11-05 [B2C] Accessibility Form - DTTP25-38914</t>
        </is>
      </c>
      <c r="C211" s="22" t="inlineStr">
        <is>
          <t>CR</t>
        </is>
      </c>
      <c r="D211" s="22" t="inlineStr">
        <is>
          <t>PI11</t>
        </is>
      </c>
      <c r="E211" s="22" t="inlineStr">
        <is>
          <t>B2CW</t>
        </is>
      </c>
      <c r="F211" s="22" t="inlineStr">
        <is>
          <t>NEW</t>
        </is>
      </c>
      <c r="G211" s="22" t="inlineStr">
        <is>
          <t>Medium</t>
        </is>
      </c>
      <c r="H211" s="22" t="n"/>
      <c r="I211" s="23">
        <f>IF($A211="","",IFERROR(IF(ISBLANK(INDEX(SprintPlanning[Sprint],MATCH($A211,SprintPlanning[Requirement ID],0))),"To Plan",INDEX(SprintPlanning[Sprint],MATCH($A211,SprintPlanning[Requirement ID],0))),"To Plan"))</f>
        <v/>
      </c>
      <c r="J211" s="22" t="n"/>
      <c r="K211" s="23">
        <f>IFERROR(IF(ISBLANK(INDEX(Release[Release],MATCH($A211,Release[Requirement ID],0))),"",INDEX(Release[Release],MATCH($A211,Release[Requirement ID],0))),"")</f>
        <v/>
      </c>
      <c r="L211" s="24" t="n">
        <v>46226</v>
      </c>
      <c r="M211" s="22" t="inlineStr">
        <is>
          <t>Created</t>
        </is>
      </c>
      <c r="N211" s="22" t="inlineStr">
        <is>
          <t>DTTP25-41933</t>
        </is>
      </c>
      <c r="O211" s="23">
        <f>IF($N211="","","https://smartship.atlassian.net/browse/"&amp;$N211)</f>
        <v/>
      </c>
      <c r="P211">
        <f>IFERROR(VALUE(MID($A211,5,4)),0)</f>
        <v/>
      </c>
    </row>
    <row r="212" hidden="1" ht="15" customHeight="1">
      <c r="A212" s="21" t="inlineStr">
        <is>
          <t>NEW-0074</t>
        </is>
      </c>
      <c r="B212" s="22" t="inlineStr">
        <is>
          <t>PI11-06 [B2C] Cabin Position - DTTP25-40042</t>
        </is>
      </c>
      <c r="C212" s="22" t="inlineStr">
        <is>
          <t>CR</t>
        </is>
      </c>
      <c r="D212" s="22" t="inlineStr">
        <is>
          <t>PI11</t>
        </is>
      </c>
      <c r="E212" s="22" t="inlineStr">
        <is>
          <t>B2CW</t>
        </is>
      </c>
      <c r="F212" s="22" t="inlineStr">
        <is>
          <t>NEW</t>
        </is>
      </c>
      <c r="G212" s="22" t="inlineStr">
        <is>
          <t>Medium</t>
        </is>
      </c>
      <c r="H212" s="22" t="n"/>
      <c r="I212" s="23">
        <f>IF($A212="","",IFERROR(IF(ISBLANK(INDEX(SprintPlanning[Sprint],MATCH($A212,SprintPlanning[Requirement ID],0))),"To Plan",INDEX(SprintPlanning[Sprint],MATCH($A212,SprintPlanning[Requirement ID],0))),"To Plan"))</f>
        <v/>
      </c>
      <c r="J212" s="22" t="n">
        <v>5</v>
      </c>
      <c r="K212" s="23">
        <f>IFERROR(IF(ISBLANK(INDEX(Release[Release],MATCH($A212,Release[Requirement ID],0))),"",INDEX(Release[Release],MATCH($A212,Release[Requirement ID],0))),"")</f>
        <v/>
      </c>
      <c r="L212" s="24" t="n">
        <v>46226</v>
      </c>
      <c r="M212" s="22" t="inlineStr">
        <is>
          <t>Created</t>
        </is>
      </c>
      <c r="N212" s="22" t="inlineStr">
        <is>
          <t>DTTP25-41934</t>
        </is>
      </c>
      <c r="O212" s="23">
        <f>IF($N212="","","https://smartship.atlassian.net/browse/"&amp;$N212)</f>
        <v/>
      </c>
      <c r="P212">
        <f>IFERROR(VALUE(MID($A212,5,4)),0)</f>
        <v/>
      </c>
    </row>
    <row r="213" hidden="1" ht="15" customHeight="1">
      <c r="A213" s="21" t="inlineStr">
        <is>
          <t>NEW-0075</t>
        </is>
      </c>
      <c r="B213" s="22" t="inlineStr">
        <is>
          <t>PI11-13 [CRM] [INTP-25] CRM Dependency - Marketing Automation - Calculated fields Booking B2B/B2C</t>
        </is>
      </c>
      <c r="C213" s="22" t="inlineStr">
        <is>
          <t>CR</t>
        </is>
      </c>
      <c r="D213" s="22" t="inlineStr">
        <is>
          <t>PI11</t>
        </is>
      </c>
      <c r="E213" s="22" t="inlineStr">
        <is>
          <t>MA</t>
        </is>
      </c>
      <c r="F213" s="22" t="inlineStr">
        <is>
          <t>NEW</t>
        </is>
      </c>
      <c r="G213" s="22" t="inlineStr">
        <is>
          <t>Medium</t>
        </is>
      </c>
      <c r="H213" s="22" t="n"/>
      <c r="I213" s="23">
        <f>IF($A213="","",IFERROR(IF(ISBLANK(INDEX(SprintPlanning[Sprint],MATCH($A213,SprintPlanning[Requirement ID],0))),"To Plan",INDEX(SprintPlanning[Sprint],MATCH($A213,SprintPlanning[Requirement ID],0))),"To Plan"))</f>
        <v/>
      </c>
      <c r="J213" s="22" t="n">
        <v>13</v>
      </c>
      <c r="K213" s="23">
        <f>IFERROR(IF(ISBLANK(INDEX(Release[Release],MATCH($A213,Release[Requirement ID],0))),"",INDEX(Release[Release],MATCH($A213,Release[Requirement ID],0))),"")</f>
        <v/>
      </c>
      <c r="L213" s="24" t="n">
        <v>46226</v>
      </c>
      <c r="M213" s="22" t="inlineStr">
        <is>
          <t>Created</t>
        </is>
      </c>
      <c r="N213" s="22" t="inlineStr">
        <is>
          <t>DTTP25-41935</t>
        </is>
      </c>
      <c r="O213" s="23">
        <f>IF($N213="","","https://smartship.atlassian.net/browse/"&amp;$N213)</f>
        <v/>
      </c>
      <c r="P213">
        <f>IFERROR(VALUE(MID($A213,5,4)),0)</f>
        <v/>
      </c>
    </row>
    <row r="214" hidden="1" ht="15" customHeight="1">
      <c r="A214" s="21" t="inlineStr">
        <is>
          <t>NEW-0076</t>
        </is>
      </c>
      <c r="B214" s="22" t="inlineStr">
        <is>
          <t>PI11-15 [CRM] [EA-1662] CRM Dependency - Lead Management - Hold option additional event fields in CDP</t>
        </is>
      </c>
      <c r="C214" s="22" t="inlineStr">
        <is>
          <t>CR</t>
        </is>
      </c>
      <c r="D214" s="22" t="inlineStr">
        <is>
          <t>PI11</t>
        </is>
      </c>
      <c r="E214" s="22" t="inlineStr">
        <is>
          <t>MA</t>
        </is>
      </c>
      <c r="F214" s="22" t="inlineStr">
        <is>
          <t>NEW</t>
        </is>
      </c>
      <c r="G214" s="22" t="inlineStr">
        <is>
          <t>Medium</t>
        </is>
      </c>
      <c r="H214" s="22" t="n"/>
      <c r="I214" s="23">
        <f>IF($A214="","",IFERROR(IF(ISBLANK(INDEX(SprintPlanning[Sprint],MATCH($A214,SprintPlanning[Requirement ID],0))),"To Plan",INDEX(SprintPlanning[Sprint],MATCH($A214,SprintPlanning[Requirement ID],0))),"To Plan"))</f>
        <v/>
      </c>
      <c r="J214" s="22" t="n">
        <v>13</v>
      </c>
      <c r="K214" s="23">
        <f>IFERROR(IF(ISBLANK(INDEX(Release[Release],MATCH($A214,Release[Requirement ID],0))),"",INDEX(Release[Release],MATCH($A214,Release[Requirement ID],0))),"")</f>
        <v/>
      </c>
      <c r="L214" s="24" t="n">
        <v>46226</v>
      </c>
      <c r="M214" s="22" t="inlineStr">
        <is>
          <t>Created</t>
        </is>
      </c>
      <c r="N214" s="22" t="inlineStr">
        <is>
          <t>DTTP25-41936</t>
        </is>
      </c>
      <c r="O214" s="23">
        <f>IF($N214="","","https://smartship.atlassian.net/browse/"&amp;$N214)</f>
        <v/>
      </c>
      <c r="P214">
        <f>IFERROR(VALUE(MID($A214,5,4)),0)</f>
        <v/>
      </c>
    </row>
    <row r="215" hidden="1" ht="15" customHeight="1">
      <c r="A215" s="21" t="inlineStr">
        <is>
          <t>NEW-0077</t>
        </is>
      </c>
      <c r="B215" s="22" t="inlineStr">
        <is>
          <t>Nordics SWE, DEN, NOR, FIN Rollout - Market Configurations in CHAIN1 &amp; CHAIN2</t>
        </is>
      </c>
      <c r="C215" s="22" t="inlineStr">
        <is>
          <t>Config</t>
        </is>
      </c>
      <c r="D215" s="22" t="inlineStr">
        <is>
          <t>MVP Rollout</t>
        </is>
      </c>
      <c r="E215" s="22" t="inlineStr">
        <is>
          <t>B2CW</t>
        </is>
      </c>
      <c r="F215" s="22" t="inlineStr">
        <is>
          <t>NEW</t>
        </is>
      </c>
      <c r="G215" s="22" t="inlineStr">
        <is>
          <t>Medium</t>
        </is>
      </c>
      <c r="H215" s="22" t="n"/>
      <c r="I215" s="23">
        <f>IF($A215="","",IFERROR(IF(ISBLANK(INDEX(SprintPlanning[Sprint],MATCH($A215,SprintPlanning[Requirement ID],0))),"To Plan",INDEX(SprintPlanning[Sprint],MATCH($A215,SprintPlanning[Requirement ID],0))),"To Plan"))</f>
        <v/>
      </c>
      <c r="J215" s="22" t="n">
        <v>8</v>
      </c>
      <c r="K215" s="23">
        <f>IFERROR(IF(ISBLANK(INDEX(Release[Release],MATCH($A215,Release[Requirement ID],0))),"",INDEX(Release[Release],MATCH($A215,Release[Requirement ID],0))),"")</f>
        <v/>
      </c>
      <c r="L215" s="24" t="n">
        <v>46226</v>
      </c>
      <c r="M215" s="22" t="inlineStr">
        <is>
          <t>Created</t>
        </is>
      </c>
      <c r="N215" s="22" t="inlineStr">
        <is>
          <t>DTTP25-37831</t>
        </is>
      </c>
      <c r="O215" s="23">
        <f>IF($N215="","","https://smartship.atlassian.net/browse/"&amp;$N215)</f>
        <v/>
      </c>
      <c r="P215">
        <f>IFERROR(VALUE(MID($A215,5,4)),0)</f>
        <v/>
      </c>
    </row>
    <row r="216" hidden="1" ht="15" customHeight="1">
      <c r="A216" s="21" t="inlineStr">
        <is>
          <t>NEW-0078</t>
        </is>
      </c>
      <c r="B216" s="22" t="inlineStr">
        <is>
          <t>Nordics SWE, DEN, NOR, FIN Rollout - Market Configurations in Production</t>
        </is>
      </c>
      <c r="C216" s="22" t="inlineStr">
        <is>
          <t>Config</t>
        </is>
      </c>
      <c r="D216" s="22" t="inlineStr">
        <is>
          <t>MVP Rollout</t>
        </is>
      </c>
      <c r="E216" s="22" t="inlineStr">
        <is>
          <t>B2CW</t>
        </is>
      </c>
      <c r="F216" s="22" t="inlineStr">
        <is>
          <t>NEW</t>
        </is>
      </c>
      <c r="G216" s="22" t="inlineStr">
        <is>
          <t>Medium</t>
        </is>
      </c>
      <c r="H216" s="22" t="n"/>
      <c r="I216" s="23">
        <f>IF($A216="","",IFERROR(IF(ISBLANK(INDEX(SprintPlanning[Sprint],MATCH($A216,SprintPlanning[Requirement ID],0))),"To Plan",INDEX(SprintPlanning[Sprint],MATCH($A216,SprintPlanning[Requirement ID],0))),"To Plan"))</f>
        <v/>
      </c>
      <c r="J216" s="22" t="n">
        <v>8</v>
      </c>
      <c r="K216" s="23">
        <f>IFERROR(IF(ISBLANK(INDEX(Release[Release],MATCH($A216,Release[Requirement ID],0))),"",INDEX(Release[Release],MATCH($A216,Release[Requirement ID],0))),"")</f>
        <v/>
      </c>
      <c r="L216" s="24" t="n">
        <v>46226</v>
      </c>
      <c r="M216" s="22" t="inlineStr">
        <is>
          <t>Created</t>
        </is>
      </c>
      <c r="N216" s="22" t="inlineStr">
        <is>
          <t>DTTP25-37831</t>
        </is>
      </c>
      <c r="O216" s="23">
        <f>IF($N216="","","https://smartship.atlassian.net/browse/"&amp;$N216)</f>
        <v/>
      </c>
      <c r="P216">
        <f>IFERROR(VALUE(MID($A216,5,4)),0)</f>
        <v/>
      </c>
    </row>
    <row r="217" hidden="1" ht="15" customHeight="1">
      <c r="A217" s="27" t="inlineStr">
        <is>
          <t>NEW-0409</t>
        </is>
      </c>
      <c r="B217" s="28" t="inlineStr">
        <is>
          <t>US Growth - B2CW Payment billing data/ US Release ACS Check - Part 2 (Wiring the new fields to Datatrans in INT007, INT140, INT146)</t>
        </is>
      </c>
      <c r="C217" s="28" t="inlineStr">
        <is>
          <t>CR</t>
        </is>
      </c>
      <c r="D217" s="28" t="inlineStr">
        <is>
          <t>Growth</t>
        </is>
      </c>
      <c r="E217" s="28" t="inlineStr">
        <is>
          <t>B2CW</t>
        </is>
      </c>
      <c r="F217" s="28" t="inlineStr">
        <is>
          <t>ON HOLD</t>
        </is>
      </c>
      <c r="G217" s="28" t="inlineStr">
        <is>
          <t>High</t>
        </is>
      </c>
      <c r="H217" s="28" t="inlineStr">
        <is>
          <t>Q3 2026</t>
        </is>
      </c>
      <c r="I217" s="29">
        <f>IF($A217="","",IFERROR(IF(ISBLANK(INDEX(SprintPlanning[Sprint],MATCH($A217,SprintPlanning[Requirement ID],0))),"To Plan",INDEX(SprintPlanning[Sprint],MATCH($A217,SprintPlanning[Requirement ID],0))),"To Plan"))</f>
        <v/>
      </c>
      <c r="J217" s="28" t="n">
        <v>13</v>
      </c>
      <c r="K217" s="29">
        <f>IFERROR(IF(ISBLANK(INDEX(Release[Release],MATCH($A217,Release[Requirement ID],0))),"",INDEX(Release[Release],MATCH($A217,Release[Requirement ID],0))),"")</f>
        <v/>
      </c>
      <c r="L217" s="30" t="n">
        <v>46237</v>
      </c>
      <c r="M217" s="28" t="inlineStr">
        <is>
          <t>Created</t>
        </is>
      </c>
      <c r="N217" s="28" t="inlineStr">
        <is>
          <t>MDTTPU-15253</t>
        </is>
      </c>
      <c r="O217" s="29">
        <f>IF($N217="","","https://smartship.atlassian.net/browse/"&amp;$N217)</f>
        <v/>
      </c>
      <c r="P217">
        <f>IFERROR(VALUE(MID($A217,5,4)),0)</f>
        <v/>
      </c>
    </row>
    <row r="218" hidden="1" ht="15" customHeight="1">
      <c r="A218" s="27" t="inlineStr">
        <is>
          <t>NEW-0410</t>
        </is>
      </c>
      <c r="B218" s="28" t="inlineStr">
        <is>
          <t>US Growth - M4M Payment billing data/ US Release ACS Check (Adding the fields in M4M transaction init)</t>
        </is>
      </c>
      <c r="C218" s="28" t="inlineStr">
        <is>
          <t>CR</t>
        </is>
      </c>
      <c r="D218" s="28" t="inlineStr">
        <is>
          <t>Growth</t>
        </is>
      </c>
      <c r="E218" s="28" t="inlineStr">
        <is>
          <t>B2CW</t>
        </is>
      </c>
      <c r="F218" s="28" t="inlineStr">
        <is>
          <t>ON HOLD</t>
        </is>
      </c>
      <c r="G218" s="28" t="inlineStr">
        <is>
          <t>High</t>
        </is>
      </c>
      <c r="H218" s="28" t="inlineStr">
        <is>
          <t>Q3 2026</t>
        </is>
      </c>
      <c r="I218" s="29">
        <f>IF($A218="","",IFERROR(IF(ISBLANK(INDEX(SprintPlanning[Sprint],MATCH($A218,SprintPlanning[Requirement ID],0))),"To Plan",INDEX(SprintPlanning[Sprint],MATCH($A218,SprintPlanning[Requirement ID],0))),"To Plan"))</f>
        <v/>
      </c>
      <c r="J218" s="28" t="n">
        <v>8</v>
      </c>
      <c r="K218" s="29">
        <f>IFERROR(IF(ISBLANK(INDEX(Release[Release],MATCH($A218,Release[Requirement ID],0))),"",INDEX(Release[Release],MATCH($A218,Release[Requirement ID],0))),"")</f>
        <v/>
      </c>
      <c r="L218" s="30" t="n">
        <v>46237</v>
      </c>
      <c r="M218" s="28" t="inlineStr">
        <is>
          <t>Created</t>
        </is>
      </c>
      <c r="N218" s="28" t="inlineStr">
        <is>
          <t>MDTTPU-15254</t>
        </is>
      </c>
      <c r="O218" s="29">
        <f>IF($N218="","","https://smartship.atlassian.net/browse/"&amp;$N218)</f>
        <v/>
      </c>
      <c r="P218">
        <f>IFERROR(VALUE(MID($A218,5,4)),0)</f>
        <v/>
      </c>
    </row>
    <row r="219" hidden="1" ht="15" customHeight="1">
      <c r="A219" s="21" t="inlineStr">
        <is>
          <t>NEW-0057</t>
        </is>
      </c>
      <c r="B219" s="22" t="inlineStr">
        <is>
          <t>API Prod Configurations - Attentive / Webforms</t>
        </is>
      </c>
      <c r="C219" s="22" t="inlineStr">
        <is>
          <t>Config</t>
        </is>
      </c>
      <c r="D219" s="22" t="inlineStr">
        <is>
          <t>US</t>
        </is>
      </c>
      <c r="E219" s="22" t="inlineStr">
        <is>
          <t>B2CW</t>
        </is>
      </c>
      <c r="F219" s="22" t="inlineStr">
        <is>
          <t>NEW</t>
        </is>
      </c>
      <c r="G219" s="22" t="inlineStr">
        <is>
          <t>High</t>
        </is>
      </c>
      <c r="H219" s="22" t="n"/>
      <c r="I219" s="23">
        <f>IF($A219="","",IFERROR(IF(ISBLANK(INDEX(SprintPlanning[Sprint],MATCH($A219,SprintPlanning[Requirement ID],0))),"To Plan",INDEX(SprintPlanning[Sprint],MATCH($A219,SprintPlanning[Requirement ID],0))),"To Plan"))</f>
        <v/>
      </c>
      <c r="J219" s="22" t="n">
        <v>8</v>
      </c>
      <c r="K219" s="23">
        <f>IFERROR(IF(ISBLANK(INDEX(Release[Release],MATCH($A219,Release[Requirement ID],0))),"",INDEX(Release[Release],MATCH($A219,Release[Requirement ID],0))),"")</f>
        <v/>
      </c>
      <c r="L219" s="24" t="n">
        <v>46226</v>
      </c>
      <c r="M219" s="22" t="inlineStr">
        <is>
          <t>Created</t>
        </is>
      </c>
      <c r="N219" s="22" t="inlineStr">
        <is>
          <t>MDTTPU-14019</t>
        </is>
      </c>
      <c r="O219" s="23">
        <f>IF($N219="","","https://smartship.atlassian.net/browse/"&amp;$N219)</f>
        <v/>
      </c>
      <c r="P219">
        <f>IFERROR(VALUE(MID($A219,5,4)),0)</f>
        <v/>
      </c>
    </row>
    <row r="220" hidden="1" ht="15" customHeight="1">
      <c r="A220" s="21" t="inlineStr">
        <is>
          <t>NEW-0058</t>
        </is>
      </c>
      <c r="B220" s="22" t="inlineStr">
        <is>
          <t>CR - Attentive Error Scenarios INT 175</t>
        </is>
      </c>
      <c r="C220" s="31" t="inlineStr">
        <is>
          <t>CR</t>
        </is>
      </c>
      <c r="D220" s="31" t="inlineStr">
        <is>
          <t>US</t>
        </is>
      </c>
      <c r="E220" s="31" t="inlineStr">
        <is>
          <t>MA</t>
        </is>
      </c>
      <c r="F220" s="31" t="inlineStr">
        <is>
          <t>NEW</t>
        </is>
      </c>
      <c r="G220" s="31" t="inlineStr">
        <is>
          <t>Medium</t>
        </is>
      </c>
      <c r="H220" s="31" t="n"/>
      <c r="I220" s="23">
        <f>IF($A220="","",IFERROR(IF(ISBLANK(INDEX(SprintPlanning[Sprint],MATCH($A220,SprintPlanning[Requirement ID],0))),"To Plan",INDEX(SprintPlanning[Sprint],MATCH($A220,SprintPlanning[Requirement ID],0))),"To Plan"))</f>
        <v/>
      </c>
      <c r="J220" s="31" t="n">
        <v>5</v>
      </c>
      <c r="K220" s="32">
        <f>IFERROR(IF(ISBLANK(INDEX(Release[Release],MATCH($A220,Release[Requirement ID],0))),"",INDEX(Release[Release],MATCH($A220,Release[Requirement ID],0))),"")</f>
        <v/>
      </c>
      <c r="L220" s="24" t="n">
        <v>46226</v>
      </c>
      <c r="M220" s="31" t="inlineStr">
        <is>
          <t>Created</t>
        </is>
      </c>
      <c r="N220" s="31" t="inlineStr">
        <is>
          <t>MDTTPU-13413</t>
        </is>
      </c>
      <c r="O220" s="32">
        <f>IF($N220="","","https://smartship.atlassian.net/browse/"&amp;$N220)</f>
        <v/>
      </c>
      <c r="P220">
        <f>IFERROR(VALUE(MID($A220,5,4)),0)</f>
        <v/>
      </c>
    </row>
    <row r="221" hidden="1" ht="15" customHeight="1">
      <c r="A221" s="33" t="inlineStr">
        <is>
          <t>NEW-0060</t>
        </is>
      </c>
      <c r="B221" s="31" t="inlineStr">
        <is>
          <t>US Configuration myMSC - Production</t>
        </is>
      </c>
      <c r="C221" s="31" t="inlineStr">
        <is>
          <t>Config</t>
        </is>
      </c>
      <c r="D221" s="31" t="inlineStr">
        <is>
          <t>US</t>
        </is>
      </c>
      <c r="E221" s="31" t="inlineStr">
        <is>
          <t>B2CW</t>
        </is>
      </c>
      <c r="F221" s="31" t="inlineStr">
        <is>
          <t>NEW</t>
        </is>
      </c>
      <c r="G221" s="31" t="inlineStr">
        <is>
          <t>High</t>
        </is>
      </c>
      <c r="H221" s="31" t="n"/>
      <c r="I221" s="32">
        <f>IF($A221="","",IFERROR(IF(ISBLANK(INDEX(SprintPlanning[Sprint],MATCH($A221,SprintPlanning[Requirement ID],0))),"To Plan",INDEX(SprintPlanning[Sprint],MATCH($A221,SprintPlanning[Requirement ID],0))),"To Plan"))</f>
        <v/>
      </c>
      <c r="J221" s="31" t="n">
        <v>8</v>
      </c>
      <c r="K221" s="32">
        <f>IFERROR(IF(ISBLANK(INDEX(Release[Release],MATCH($A221,Release[Requirement ID],0))),"",INDEX(Release[Release],MATCH($A221,Release[Requirement ID],0))),"")</f>
        <v/>
      </c>
      <c r="L221" s="34" t="n">
        <v>46226</v>
      </c>
      <c r="M221" s="31" t="inlineStr">
        <is>
          <t>Created</t>
        </is>
      </c>
      <c r="N221" s="31" t="inlineStr">
        <is>
          <t>MDTTPU-14018</t>
        </is>
      </c>
      <c r="O221" s="32">
        <f>IF($N221="","","https://smartship.atlassian.net/browse/"&amp;$N221)</f>
        <v/>
      </c>
      <c r="P221">
        <f>IFERROR(VALUE(MID($A221,5,4)),0)</f>
        <v/>
      </c>
    </row>
    <row r="222" hidden="1" ht="15" customHeight="1">
      <c r="A222" s="33" t="inlineStr">
        <is>
          <t>NEW-0061</t>
        </is>
      </c>
      <c r="B222" s="31" t="inlineStr">
        <is>
          <t>Load Test + Performance Enhancements - Part 2</t>
        </is>
      </c>
      <c r="C222" s="31" t="inlineStr">
        <is>
          <t>Tech Task</t>
        </is>
      </c>
      <c r="D222" s="31" t="inlineStr">
        <is>
          <t>US</t>
        </is>
      </c>
      <c r="E222" s="31" t="inlineStr">
        <is>
          <t>ALL</t>
        </is>
      </c>
      <c r="F222" s="31" t="inlineStr">
        <is>
          <t>NEW</t>
        </is>
      </c>
      <c r="G222" s="31" t="inlineStr">
        <is>
          <t>High</t>
        </is>
      </c>
      <c r="H222" s="31" t="n"/>
      <c r="I222" s="32">
        <f>IF($A222="","",IFERROR(IF(ISBLANK(INDEX(SprintPlanning[Sprint],MATCH($A222,SprintPlanning[Requirement ID],0))),"To Plan",INDEX(SprintPlanning[Sprint],MATCH($A222,SprintPlanning[Requirement ID],0))),"To Plan"))</f>
        <v/>
      </c>
      <c r="J222" s="31" t="n">
        <v>21</v>
      </c>
      <c r="K222" s="32">
        <f>IFERROR(IF(ISBLANK(INDEX(Release[Release],MATCH($A222,Release[Requirement ID],0))),"",INDEX(Release[Release],MATCH($A222,Release[Requirement ID],0))),"")</f>
        <v/>
      </c>
      <c r="L222" s="34" t="n">
        <v>46226</v>
      </c>
      <c r="M222" s="31" t="inlineStr">
        <is>
          <t>Created</t>
        </is>
      </c>
      <c r="N222" s="31" t="inlineStr">
        <is>
          <t>MDTTPU-15260</t>
        </is>
      </c>
      <c r="O222" s="32">
        <f>IF($N222="","","https://smartship.atlassian.net/browse/"&amp;$N222)</f>
        <v/>
      </c>
      <c r="P222">
        <f>IFERROR(VALUE(MID($A222,5,4)),0)</f>
        <v/>
      </c>
    </row>
    <row r="223" hidden="1" ht="15" customHeight="1">
      <c r="A223" s="33" t="inlineStr">
        <is>
          <t>NEW-0071</t>
        </is>
      </c>
      <c r="B223" s="31" t="inlineStr">
        <is>
          <t>E2E Ticket Support - FAT and Canary Tests</t>
        </is>
      </c>
      <c r="C223" s="31" t="inlineStr">
        <is>
          <t>Tech Task</t>
        </is>
      </c>
      <c r="D223" s="31" t="inlineStr">
        <is>
          <t>US</t>
        </is>
      </c>
      <c r="E223" s="31" t="inlineStr">
        <is>
          <t>ALL</t>
        </is>
      </c>
      <c r="F223" s="31" t="inlineStr">
        <is>
          <t>NEW</t>
        </is>
      </c>
      <c r="G223" s="31" t="inlineStr">
        <is>
          <t>High</t>
        </is>
      </c>
      <c r="H223" s="31" t="n"/>
      <c r="I223" s="32">
        <f>IF($A223="","",IFERROR(IF(ISBLANK(INDEX(SprintPlanning[Sprint],MATCH($A223,SprintPlanning[Requirement ID],0))),"To Plan",INDEX(SprintPlanning[Sprint],MATCH($A223,SprintPlanning[Requirement ID],0))),"To Plan"))</f>
        <v/>
      </c>
      <c r="J223" s="31" t="n">
        <v>13</v>
      </c>
      <c r="K223" s="32">
        <f>IFERROR(IF(ISBLANK(INDEX(Release[Release],MATCH($A223,Release[Requirement ID],0))),"",INDEX(Release[Release],MATCH($A223,Release[Requirement ID],0))),"")</f>
        <v/>
      </c>
      <c r="L223" s="34" t="n">
        <v>46226</v>
      </c>
      <c r="M223" s="31" t="inlineStr">
        <is>
          <t>Created</t>
        </is>
      </c>
      <c r="N223" s="31" t="inlineStr">
        <is>
          <t>DTTP25-41779</t>
        </is>
      </c>
      <c r="O223" s="32">
        <f>IF($N223="","","https://smartship.atlassian.net/browse/"&amp;$N223)</f>
        <v/>
      </c>
      <c r="P223">
        <f>IFERROR(VALUE(MID($A223,5,4)),0)</f>
        <v/>
      </c>
    </row>
    <row r="224" hidden="1" ht="15" customHeight="1">
      <c r="A224" s="33" t="inlineStr">
        <is>
          <t>NEW-0275</t>
        </is>
      </c>
      <c r="B224" s="31" t="inlineStr">
        <is>
          <t>[EINT] [Tech Task] INT172 INT174 - Attentive Error Scenarios</t>
        </is>
      </c>
      <c r="C224" s="31" t="inlineStr">
        <is>
          <t>Tech Task</t>
        </is>
      </c>
      <c r="D224" s="31" t="inlineStr">
        <is>
          <t>US</t>
        </is>
      </c>
      <c r="E224" s="31" t="inlineStr">
        <is>
          <t>MA</t>
        </is>
      </c>
      <c r="F224" s="31" t="inlineStr">
        <is>
          <t>IN PROGRESS</t>
        </is>
      </c>
      <c r="G224" s="31" t="inlineStr">
        <is>
          <t>Medium</t>
        </is>
      </c>
      <c r="H224" s="31" t="n"/>
      <c r="I224" s="32">
        <f>IF($A224="","",IFERROR(IF(ISBLANK(INDEX(SprintPlanning[Sprint],MATCH($A224,SprintPlanning[Requirement ID],0))),"To Plan",INDEX(SprintPlanning[Sprint],MATCH($A224,SprintPlanning[Requirement ID],0))),"To Plan"))</f>
        <v/>
      </c>
      <c r="J224" s="31" t="n">
        <v>5</v>
      </c>
      <c r="K224" s="32">
        <f>IFERROR(IF(ISBLANK(INDEX(Release[Release],MATCH($A224,Release[Requirement ID],0))),"",INDEX(Release[Release],MATCH($A224,Release[Requirement ID],0))),"")</f>
        <v/>
      </c>
      <c r="L224" s="34" t="n">
        <v>46232</v>
      </c>
      <c r="M224" s="31" t="inlineStr">
        <is>
          <t>Created</t>
        </is>
      </c>
      <c r="N224" s="31" t="inlineStr">
        <is>
          <t>MDTTPU-13796</t>
        </is>
      </c>
      <c r="O224" s="32">
        <f>IF($N224="","","https://smartship.atlassian.net/browse/"&amp;$N224)</f>
        <v/>
      </c>
      <c r="P224">
        <f>IFERROR(VALUE(MID($A224,5,4)),0)</f>
        <v/>
      </c>
    </row>
    <row r="225" hidden="1" ht="15" customHeight="1">
      <c r="A225" s="33" t="inlineStr">
        <is>
          <t>NEW-0368</t>
        </is>
      </c>
      <c r="B225" s="31" t="inlineStr">
        <is>
          <t>MyMSC US | [INT112][INT137][INT140][INT146][INT153][INT154][INT188] Add per-country/language MyMSC campaign config check to skip optional marketing automation calls</t>
        </is>
      </c>
      <c r="C225" s="31" t="inlineStr">
        <is>
          <t>CR</t>
        </is>
      </c>
      <c r="D225" s="31" t="inlineStr">
        <is>
          <t>Growth</t>
        </is>
      </c>
      <c r="E225" s="31" t="inlineStr">
        <is>
          <t>MA</t>
        </is>
      </c>
      <c r="F225" s="31" t="inlineStr">
        <is>
          <t>NEW</t>
        </is>
      </c>
      <c r="G225" s="31" t="inlineStr">
        <is>
          <t>High</t>
        </is>
      </c>
      <c r="H225" s="31" t="n"/>
      <c r="I225" s="32">
        <f>IF($A225="","",IFERROR(IF(ISBLANK(INDEX(SprintPlanning[Sprint],MATCH($A225,SprintPlanning[Requirement ID],0))),"To Plan",INDEX(SprintPlanning[Sprint],MATCH($A225,SprintPlanning[Requirement ID],0))),"To Plan"))</f>
        <v/>
      </c>
      <c r="J225" s="31" t="n">
        <v>8</v>
      </c>
      <c r="K225" s="32">
        <f>IFERROR(IF(ISBLANK(INDEX(Release[Release],MATCH($A225,Release[Requirement ID],0))),"",INDEX(Release[Release],MATCH($A225,Release[Requirement ID],0))),"")</f>
        <v/>
      </c>
      <c r="L225" s="34" t="n">
        <v>46232</v>
      </c>
      <c r="M225" s="31" t="inlineStr">
        <is>
          <t>Created</t>
        </is>
      </c>
      <c r="N225" s="31" t="inlineStr">
        <is>
          <t>MDTTPU-14929</t>
        </is>
      </c>
      <c r="O225" s="32">
        <f>IF($N225="","","https://smartship.atlassian.net/browse/"&amp;$N225)</f>
        <v/>
      </c>
      <c r="P225">
        <f>IFERROR(VALUE(MID($A225,5,4)),0)</f>
        <v/>
      </c>
    </row>
    <row r="226" hidden="1" ht="23.25" customHeight="1">
      <c r="A226" s="33" t="inlineStr">
        <is>
          <t>NEW-0389</t>
        </is>
      </c>
      <c r="B226" s="31" t="inlineStr">
        <is>
          <t>[DTTP] Implementation of Online Post-Cruise Complaint Form – Salesforce Integration_EA</t>
        </is>
      </c>
      <c r="C226" s="31" t="inlineStr">
        <is>
          <t>CR</t>
        </is>
      </c>
      <c r="D226" s="31" t="inlineStr">
        <is>
          <t>PI10</t>
        </is>
      </c>
      <c r="E226" s="31" t="inlineStr">
        <is>
          <t>B2CW</t>
        </is>
      </c>
      <c r="F226" s="31" t="inlineStr">
        <is>
          <t>NEW</t>
        </is>
      </c>
      <c r="G226" s="31" t="inlineStr">
        <is>
          <t>Medium</t>
        </is>
      </c>
      <c r="H226" s="31" t="n"/>
      <c r="I226" s="32">
        <f>IF($A226="","",IFERROR(IF(ISBLANK(INDEX(SprintPlanning[Sprint],MATCH($A226,SprintPlanning[Requirement ID],0))),"To Plan",INDEX(SprintPlanning[Sprint],MATCH($A226,SprintPlanning[Requirement ID],0))),"To Plan"))</f>
        <v/>
      </c>
      <c r="J226" s="31" t="n">
        <v>8</v>
      </c>
      <c r="K226" s="32">
        <f>IFERROR(IF(ISBLANK(INDEX(Release[Release],MATCH($A226,Release[Requirement ID],0))),"",INDEX(Release[Release],MATCH($A226,Release[Requirement ID],0))),"")</f>
        <v/>
      </c>
      <c r="L226" s="34" t="n">
        <v>46232</v>
      </c>
      <c r="M226" s="31" t="inlineStr">
        <is>
          <t>Created</t>
        </is>
      </c>
      <c r="N226" s="31" t="inlineStr">
        <is>
          <t>DTTP25-40322</t>
        </is>
      </c>
      <c r="O226" s="32">
        <f>IF($N226="","","https://smartship.atlassian.net/browse/"&amp;$N226)</f>
        <v/>
      </c>
      <c r="P226">
        <f>IFERROR(VALUE(MID($A226,5,4)),0)</f>
        <v/>
      </c>
    </row>
    <row r="227" hidden="1" ht="15" customHeight="1">
      <c r="A227" s="35" t="inlineStr">
        <is>
          <t>NEW-0408</t>
        </is>
      </c>
      <c r="B227" s="36" t="inlineStr">
        <is>
          <t>US Growth - B2CW Payment billing data/ US Release ACS Check - Part 1 (Adding the new fields to INT007, INT140, INT146)</t>
        </is>
      </c>
      <c r="C227" s="36" t="inlineStr">
        <is>
          <t>CR</t>
        </is>
      </c>
      <c r="D227" s="36" t="inlineStr">
        <is>
          <t>Growth</t>
        </is>
      </c>
      <c r="E227" s="36" t="inlineStr">
        <is>
          <t>B2CW</t>
        </is>
      </c>
      <c r="F227" s="36" t="inlineStr">
        <is>
          <t>ON HOLD</t>
        </is>
      </c>
      <c r="G227" s="36" t="inlineStr">
        <is>
          <t>High</t>
        </is>
      </c>
      <c r="H227" s="36" t="inlineStr">
        <is>
          <t>Q3 2026</t>
        </is>
      </c>
      <c r="I227">
        <f>IF($A227="","",IFERROR(IF(ISBLANK(INDEX(SprintPlanning[Sprint],MATCH($A227,SprintPlanning[Requirement ID],0))),"To Plan",INDEX(SprintPlanning[Sprint],MATCH($A227,SprintPlanning[Requirement ID],0))),"To Plan"))</f>
        <v/>
      </c>
      <c r="J227" s="36" t="n">
        <v>5</v>
      </c>
      <c r="K227">
        <f>IFERROR(IF(ISBLANK(INDEX(Release[Release],MATCH($A227,Release[Requirement ID],0))),"",INDEX(Release[Release],MATCH($A227,Release[Requirement ID],0))),"")</f>
        <v/>
      </c>
      <c r="L227" s="37" t="n">
        <v>46237</v>
      </c>
      <c r="M227" s="36" t="inlineStr">
        <is>
          <t>Created</t>
        </is>
      </c>
      <c r="N227" s="36" t="inlineStr">
        <is>
          <t>MDTTPU-15252</t>
        </is>
      </c>
      <c r="O227">
        <f>IF($N227="","","https://smartship.atlassian.net/browse/"&amp;$N227)</f>
        <v/>
      </c>
      <c r="P227">
        <f>IFERROR(VALUE(MID($A227,5,4)),0)</f>
        <v/>
      </c>
    </row>
    <row r="228" hidden="1" ht="15" customHeight="1">
      <c r="A228" s="35" t="inlineStr">
        <is>
          <t>NEW-0411</t>
        </is>
      </c>
      <c r="B228" s="36" t="inlineStr">
        <is>
          <t>Load Test Perf - Support &amp; Analysis</t>
        </is>
      </c>
      <c r="C228" s="36" t="inlineStr">
        <is>
          <t>Tech Task</t>
        </is>
      </c>
      <c r="D228" s="36" t="inlineStr">
        <is>
          <t>US</t>
        </is>
      </c>
      <c r="E228" s="36" t="inlineStr">
        <is>
          <t>ALL</t>
        </is>
      </c>
      <c r="F228" s="36" t="inlineStr">
        <is>
          <t>NEW</t>
        </is>
      </c>
      <c r="G228" s="36" t="inlineStr">
        <is>
          <t>High</t>
        </is>
      </c>
      <c r="H228" s="36" t="n"/>
      <c r="I228">
        <f>IF($A228="","",IFERROR(IF(ISBLANK(INDEX(SprintPlanning[Sprint],MATCH($A228,SprintPlanning[Requirement ID],0))),"To Plan",INDEX(SprintPlanning[Sprint],MATCH($A228,SprintPlanning[Requirement ID],0))),"To Plan"))</f>
        <v/>
      </c>
      <c r="J228" s="36" t="n">
        <v>21</v>
      </c>
      <c r="K228">
        <f>IFERROR(IF(ISBLANK(INDEX(Release[Release],MATCH($A228,Release[Requirement ID],0))),"",INDEX(Release[Release],MATCH($A228,Release[Requirement ID],0))),"")</f>
        <v/>
      </c>
      <c r="L228" s="37" t="n">
        <v>46237</v>
      </c>
      <c r="M228" s="36" t="inlineStr">
        <is>
          <t>Created</t>
        </is>
      </c>
      <c r="N228" s="36" t="inlineStr">
        <is>
          <t>MDTTPU-15252</t>
        </is>
      </c>
      <c r="O228">
        <f>IF($N228="","","https://smartship.atlassian.net/browse/"&amp;$N228)</f>
        <v/>
      </c>
      <c r="P228">
        <f>IFERROR(VALUE(MID($A228,5,4)),0)</f>
        <v/>
      </c>
    </row>
    <row r="229" hidden="1" ht="15" customHeight="1">
      <c r="A229" s="35" t="inlineStr">
        <is>
          <t>NEW-0412</t>
        </is>
      </c>
      <c r="B229" s="36" t="inlineStr">
        <is>
          <t>US 0.1 Release Preparation - Aug 24</t>
        </is>
      </c>
      <c r="C229" s="36" t="inlineStr">
        <is>
          <t>Tech Task</t>
        </is>
      </c>
      <c r="D229" s="36" t="inlineStr">
        <is>
          <t>Cross</t>
        </is>
      </c>
      <c r="E229" s="36" t="inlineStr">
        <is>
          <t>ALL</t>
        </is>
      </c>
      <c r="F229" s="36" t="inlineStr">
        <is>
          <t>NEW</t>
        </is>
      </c>
      <c r="G229" s="36" t="inlineStr">
        <is>
          <t>High</t>
        </is>
      </c>
      <c r="H229" s="36" t="n"/>
      <c r="I229">
        <f>IF($A229="","",IFERROR(IF(ISBLANK(INDEX(SprintPlanning[Sprint],MATCH($A229,SprintPlanning[Requirement ID],0))),"To Plan",INDEX(SprintPlanning[Sprint],MATCH($A229,SprintPlanning[Requirement ID],0))),"To Plan"))</f>
        <v/>
      </c>
      <c r="J229" s="36" t="n">
        <v>13</v>
      </c>
      <c r="K229">
        <f>IFERROR(IF(ISBLANK(INDEX(Release[Release],MATCH($A229,Release[Requirement ID],0))),"",INDEX(Release[Release],MATCH($A229,Release[Requirement ID],0))),"")</f>
        <v/>
      </c>
      <c r="L229" s="37" t="n">
        <v>46237</v>
      </c>
      <c r="M229" s="36" t="inlineStr">
        <is>
          <t>Created</t>
        </is>
      </c>
      <c r="N229" s="36" t="inlineStr">
        <is>
          <t>MDTTPU-15262</t>
        </is>
      </c>
      <c r="O229">
        <f>IF($N229="","","https://smartship.atlassian.net/browse/"&amp;$N229)</f>
        <v/>
      </c>
      <c r="P229">
        <f>IFERROR(VALUE(MID($A229,5,4)),0)</f>
        <v/>
      </c>
    </row>
    <row r="230" hidden="1" ht="15" customHeight="1">
      <c r="A230" s="33" t="inlineStr">
        <is>
          <t>NEW-0090</t>
        </is>
      </c>
      <c r="B230" s="31" t="inlineStr">
        <is>
          <t>API Configurations for US market</t>
        </is>
      </c>
      <c r="C230" s="31" t="inlineStr">
        <is>
          <t>Config</t>
        </is>
      </c>
      <c r="D230" s="31" t="inlineStr">
        <is>
          <t>US</t>
        </is>
      </c>
      <c r="E230" s="31" t="inlineStr">
        <is>
          <t>ALL</t>
        </is>
      </c>
      <c r="F230" s="31" t="inlineStr">
        <is>
          <t>DONE</t>
        </is>
      </c>
      <c r="G230" s="31" t="inlineStr">
        <is>
          <t>Medium</t>
        </is>
      </c>
      <c r="H230" s="31" t="n"/>
      <c r="I230" s="32">
        <f>IF($A230="","",IFERROR(IF(ISBLANK(INDEX(SprintPlanning[Sprint],MATCH($A230,SprintPlanning[Requirement ID],0))),"To Plan",INDEX(SprintPlanning[Sprint],MATCH($A230,SprintPlanning[Requirement ID],0))),"To Plan"))</f>
        <v/>
      </c>
      <c r="J230" s="31" t="n">
        <v>8</v>
      </c>
      <c r="K230" s="32">
        <f>IFERROR(IF(ISBLANK(INDEX(Release[Release],MATCH($A230,Release[Requirement ID],0))),"",INDEX(Release[Release],MATCH($A230,Release[Requirement ID],0))),"")</f>
        <v/>
      </c>
      <c r="L230" s="34" t="n">
        <v>46232</v>
      </c>
      <c r="M230" s="31" t="inlineStr">
        <is>
          <t>Created</t>
        </is>
      </c>
      <c r="N230" s="31" t="inlineStr">
        <is>
          <t>MDTTPU-1291</t>
        </is>
      </c>
      <c r="O230" s="32">
        <f>IF($N230="","","https://smartship.atlassian.net/browse/"&amp;$N230)</f>
        <v/>
      </c>
      <c r="P230">
        <f>IFERROR(VALUE(MID($A230,5,4)),0)</f>
        <v/>
      </c>
    </row>
    <row r="231" hidden="1" ht="15" customHeight="1">
      <c r="A231" s="33" t="inlineStr">
        <is>
          <t>NEW-0235</t>
        </is>
      </c>
      <c r="B231" s="31" t="inlineStr">
        <is>
          <t>Phase 1 Payment Auth CR</t>
        </is>
      </c>
      <c r="C231" s="31" t="inlineStr">
        <is>
          <t>CR</t>
        </is>
      </c>
      <c r="D231" s="31" t="inlineStr">
        <is>
          <t>PP</t>
        </is>
      </c>
      <c r="E231" s="31" t="inlineStr">
        <is>
          <t>B2CW</t>
        </is>
      </c>
      <c r="F231" s="31" t="inlineStr">
        <is>
          <t>DONE</t>
        </is>
      </c>
      <c r="G231" s="31" t="inlineStr">
        <is>
          <t>Medium</t>
        </is>
      </c>
      <c r="H231" s="31" t="n"/>
      <c r="I231" s="32">
        <f>IF($A231="","",IFERROR(IF(ISBLANK(INDEX(SprintPlanning[Sprint],MATCH($A231,SprintPlanning[Requirement ID],0))),"To Plan",INDEX(SprintPlanning[Sprint],MATCH($A231,SprintPlanning[Requirement ID],0))),"To Plan"))</f>
        <v/>
      </c>
      <c r="J231" s="31" t="n">
        <v>21</v>
      </c>
      <c r="K231" s="32">
        <f>IFERROR(IF(ISBLANK(INDEX(Release[Release],MATCH($A231,Release[Requirement ID],0))),"",INDEX(Release[Release],MATCH($A231,Release[Requirement ID],0))),"")</f>
        <v/>
      </c>
      <c r="L231" s="34" t="n">
        <v>46232</v>
      </c>
      <c r="M231" s="31" t="inlineStr">
        <is>
          <t>Created</t>
        </is>
      </c>
      <c r="N231" s="31" t="inlineStr">
        <is>
          <t>FFPP-337</t>
        </is>
      </c>
      <c r="O231" s="32">
        <f>IF($N231="","","https://smartship.atlassian.net/browse/"&amp;$N231)</f>
        <v/>
      </c>
      <c r="P231">
        <f>IFERROR(VALUE(MID($A231,5,4)),0)</f>
        <v/>
      </c>
    </row>
    <row r="232" hidden="1" ht="15" customHeight="1">
      <c r="A232" s="33" t="inlineStr">
        <is>
          <t>NEW-0237</t>
        </is>
      </c>
      <c r="B232" s="31" t="inlineStr">
        <is>
          <t>US configurations  - Chain 1 / Chain 2</t>
        </is>
      </c>
      <c r="C232" s="31" t="inlineStr">
        <is>
          <t>Config</t>
        </is>
      </c>
      <c r="D232" s="31" t="inlineStr">
        <is>
          <t>US</t>
        </is>
      </c>
      <c r="E232" s="31" t="inlineStr">
        <is>
          <t>B2CW</t>
        </is>
      </c>
      <c r="F232" s="31" t="inlineStr">
        <is>
          <t>DONE</t>
        </is>
      </c>
      <c r="G232" s="31" t="inlineStr">
        <is>
          <t>Medium</t>
        </is>
      </c>
      <c r="H232" s="31" t="n"/>
      <c r="I232" s="32">
        <f>IF($A232="","",IFERROR(IF(ISBLANK(INDEX(SprintPlanning[Sprint],MATCH($A232,SprintPlanning[Requirement ID],0))),"To Plan",INDEX(SprintPlanning[Sprint],MATCH($A232,SprintPlanning[Requirement ID],0))),"To Plan"))</f>
        <v/>
      </c>
      <c r="J232" s="31" t="n">
        <v>8</v>
      </c>
      <c r="K232" s="32">
        <f>IFERROR(IF(ISBLANK(INDEX(Release[Release],MATCH($A232,Release[Requirement ID],0))),"",INDEX(Release[Release],MATCH($A232,Release[Requirement ID],0))),"")</f>
        <v/>
      </c>
      <c r="L232" s="34" t="n">
        <v>46232</v>
      </c>
      <c r="M232" s="31" t="inlineStr">
        <is>
          <t>Created</t>
        </is>
      </c>
      <c r="N232" s="31" t="inlineStr">
        <is>
          <t>MDTTPU-1291</t>
        </is>
      </c>
      <c r="O232" s="32">
        <f>IF($N232="","","https://smartship.atlassian.net/browse/"&amp;$N232)</f>
        <v/>
      </c>
      <c r="P232">
        <f>IFERROR(VALUE(MID($A232,5,4)),0)</f>
        <v/>
      </c>
    </row>
    <row r="233" hidden="1" ht="15" customHeight="1">
      <c r="A233" s="33" t="inlineStr">
        <is>
          <t>NEW-0238</t>
        </is>
      </c>
      <c r="B233" s="31" t="inlineStr">
        <is>
          <t>CDP Sandbox Support for US</t>
        </is>
      </c>
      <c r="C233" s="31" t="inlineStr">
        <is>
          <t>Config</t>
        </is>
      </c>
      <c r="D233" s="31" t="inlineStr">
        <is>
          <t>US</t>
        </is>
      </c>
      <c r="E233" s="31" t="inlineStr">
        <is>
          <t>MA</t>
        </is>
      </c>
      <c r="F233" s="31" t="inlineStr">
        <is>
          <t>DONE</t>
        </is>
      </c>
      <c r="G233" s="31" t="inlineStr">
        <is>
          <t>Medium</t>
        </is>
      </c>
      <c r="H233" s="31" t="n"/>
      <c r="I233" s="32">
        <f>IF($A233="","",IFERROR(IF(ISBLANK(INDEX(SprintPlanning[Sprint],MATCH($A233,SprintPlanning[Requirement ID],0))),"To Plan",INDEX(SprintPlanning[Sprint],MATCH($A233,SprintPlanning[Requirement ID],0))),"To Plan"))</f>
        <v/>
      </c>
      <c r="J233" s="31" t="n">
        <v>3</v>
      </c>
      <c r="K233" s="32">
        <f>IFERROR(IF(ISBLANK(INDEX(Release[Release],MATCH($A233,Release[Requirement ID],0))),"",INDEX(Release[Release],MATCH($A233,Release[Requirement ID],0))),"")</f>
        <v/>
      </c>
      <c r="L233" s="34" t="n">
        <v>46232</v>
      </c>
      <c r="M233" s="31" t="inlineStr">
        <is>
          <t>Created</t>
        </is>
      </c>
      <c r="N233" s="31" t="inlineStr">
        <is>
          <t>MDTTPU-1285</t>
        </is>
      </c>
      <c r="O233" s="32">
        <f>IF($N233="","","https://smartship.atlassian.net/browse/"&amp;$N233)</f>
        <v/>
      </c>
      <c r="P233">
        <f>IFERROR(VALUE(MID($A233,5,4)),0)</f>
        <v/>
      </c>
    </row>
    <row r="234" hidden="1" ht="15" customHeight="1">
      <c r="A234" s="33" t="inlineStr">
        <is>
          <t>NEW-0329</t>
        </is>
      </c>
      <c r="B234" s="31" t="inlineStr">
        <is>
          <t>LATAM Configurations - Chain1 / Chain 2 / Prod</t>
        </is>
      </c>
      <c r="C234" s="31" t="inlineStr">
        <is>
          <t>Config</t>
        </is>
      </c>
      <c r="D234" s="31" t="inlineStr">
        <is>
          <t>MVP Rollout</t>
        </is>
      </c>
      <c r="E234" s="31" t="inlineStr">
        <is>
          <t>B2CW</t>
        </is>
      </c>
      <c r="F234" s="31" t="inlineStr">
        <is>
          <t>DONE</t>
        </is>
      </c>
      <c r="G234" s="31" t="inlineStr">
        <is>
          <t>Medium</t>
        </is>
      </c>
      <c r="H234" s="31" t="n"/>
      <c r="I234" s="32">
        <f>IF($A234="","",IFERROR(IF(ISBLANK(INDEX(SprintPlanning[Sprint],MATCH($A234,SprintPlanning[Requirement ID],0))),"To Plan",INDEX(SprintPlanning[Sprint],MATCH($A234,SprintPlanning[Requirement ID],0))),"To Plan"))</f>
        <v/>
      </c>
      <c r="J234" s="31" t="n">
        <v>7</v>
      </c>
      <c r="K234" s="32">
        <f>IFERROR(IF(ISBLANK(INDEX(Release[Release],MATCH($A234,Release[Requirement ID],0))),"",INDEX(Release[Release],MATCH($A234,Release[Requirement ID],0))),"")</f>
        <v/>
      </c>
      <c r="L234" s="34" t="n">
        <v>46232</v>
      </c>
      <c r="M234" s="31" t="inlineStr">
        <is>
          <t>Created</t>
        </is>
      </c>
      <c r="N234" s="31" t="inlineStr">
        <is>
          <t>DTTP25-25776</t>
        </is>
      </c>
      <c r="O234" s="32">
        <f>IF($N234="","","https://smartship.atlassian.net/browse/"&amp;$N234)</f>
        <v/>
      </c>
      <c r="P234">
        <f>IFERROR(VALUE(MID($A234,5,4)),0)</f>
        <v/>
      </c>
    </row>
    <row r="235" hidden="1" ht="15" customHeight="1">
      <c r="A235" s="33" t="inlineStr">
        <is>
          <t>NEW-0336</t>
        </is>
      </c>
      <c r="B235" s="31" t="inlineStr">
        <is>
          <t>Consent Management</t>
        </is>
      </c>
      <c r="C235" s="31" t="inlineStr">
        <is>
          <t>CR</t>
        </is>
      </c>
      <c r="D235" s="31" t="inlineStr">
        <is>
          <t>Backlog</t>
        </is>
      </c>
      <c r="E235" s="31" t="inlineStr">
        <is>
          <t>B2CW</t>
        </is>
      </c>
      <c r="F235" s="31" t="inlineStr">
        <is>
          <t>DONE</t>
        </is>
      </c>
      <c r="G235" s="31" t="inlineStr">
        <is>
          <t>Medium</t>
        </is>
      </c>
      <c r="H235" s="31" t="n"/>
      <c r="I235" s="32">
        <f>IF($A235="","",IFERROR(IF(ISBLANK(INDEX(SprintPlanning[Sprint],MATCH($A235,SprintPlanning[Requirement ID],0))),"To Plan",INDEX(SprintPlanning[Sprint],MATCH($A235,SprintPlanning[Requirement ID],0))),"To Plan"))</f>
        <v/>
      </c>
      <c r="J235" s="31" t="n">
        <v>23</v>
      </c>
      <c r="K235" s="32">
        <f>IFERROR(IF(ISBLANK(INDEX(Release[Release],MATCH($A235,Release[Requirement ID],0))),"",INDEX(Release[Release],MATCH($A235,Release[Requirement ID],0))),"")</f>
        <v/>
      </c>
      <c r="L235" s="34" t="n">
        <v>46232</v>
      </c>
      <c r="M235" s="31" t="inlineStr">
        <is>
          <t>Created</t>
        </is>
      </c>
      <c r="N235" s="31" t="inlineStr">
        <is>
          <t>DTTP25-28557</t>
        </is>
      </c>
      <c r="O235" s="32">
        <f>IF($N235="","","https://smartship.atlassian.net/browse/"&amp;$N235)</f>
        <v/>
      </c>
      <c r="P235">
        <f>IFERROR(VALUE(MID($A235,5,4)),0)</f>
        <v/>
      </c>
    </row>
    <row r="236" hidden="1" ht="15" customHeight="1">
      <c r="A236" s="33" t="inlineStr">
        <is>
          <t>NEW-0372</t>
        </is>
      </c>
      <c r="B236" s="31" t="inlineStr">
        <is>
          <t>Booking Funnel - Market Segregation</t>
        </is>
      </c>
      <c r="C236" s="31" t="inlineStr">
        <is>
          <t>Tech Task</t>
        </is>
      </c>
      <c r="D236" s="31" t="inlineStr">
        <is>
          <t>Backlog / Tech Enh</t>
        </is>
      </c>
      <c r="E236" s="31" t="inlineStr">
        <is>
          <t>ALL</t>
        </is>
      </c>
      <c r="F236" s="31" t="inlineStr">
        <is>
          <t>DONE</t>
        </is>
      </c>
      <c r="G236" s="31" t="inlineStr">
        <is>
          <t>Medium</t>
        </is>
      </c>
      <c r="H236" s="31" t="n"/>
      <c r="I236" s="32">
        <f>IF($A236="","",IFERROR(IF(ISBLANK(INDEX(SprintPlanning[Sprint],MATCH($A236,SprintPlanning[Requirement ID],0))),"To Plan",INDEX(SprintPlanning[Sprint],MATCH($A236,SprintPlanning[Requirement ID],0))),"To Plan"))</f>
        <v/>
      </c>
      <c r="J236" s="31" t="n">
        <v>16</v>
      </c>
      <c r="K236" s="32">
        <f>IFERROR(IF(ISBLANK(INDEX(Release[Release],MATCH($A236,Release[Requirement ID],0))),"",INDEX(Release[Release],MATCH($A236,Release[Requirement ID],0))),"")</f>
        <v/>
      </c>
      <c r="L236" s="34" t="n">
        <v>46232</v>
      </c>
      <c r="M236" s="31" t="inlineStr">
        <is>
          <t>Created</t>
        </is>
      </c>
      <c r="N236" s="31" t="inlineStr">
        <is>
          <t>DTTP25-27361</t>
        </is>
      </c>
      <c r="O236" s="32">
        <f>IF($N236="","","https://smartship.atlassian.net/browse/"&amp;$N236)</f>
        <v/>
      </c>
      <c r="P236">
        <f>IFERROR(VALUE(MID($A236,5,4)),0)</f>
        <v/>
      </c>
    </row>
    <row r="237" hidden="1" ht="15" customHeight="1">
      <c r="A237" s="33" t="inlineStr">
        <is>
          <t>NEW-0379</t>
        </is>
      </c>
      <c r="B237" s="31" t="inlineStr">
        <is>
          <t>Attentive Marketo CR</t>
        </is>
      </c>
      <c r="C237" s="31" t="inlineStr">
        <is>
          <t>CR</t>
        </is>
      </c>
      <c r="D237" s="31" t="inlineStr">
        <is>
          <t>PI9</t>
        </is>
      </c>
      <c r="E237" s="31" t="inlineStr">
        <is>
          <t>MA</t>
        </is>
      </c>
      <c r="F237" s="31" t="inlineStr">
        <is>
          <t>DONE</t>
        </is>
      </c>
      <c r="G237" s="31" t="inlineStr">
        <is>
          <t>Medium</t>
        </is>
      </c>
      <c r="H237" s="31" t="n"/>
      <c r="I237" s="32">
        <f>IF($A237="","",IFERROR(IF(ISBLANK(INDEX(SprintPlanning[Sprint],MATCH($A237,SprintPlanning[Requirement ID],0))),"To Plan",INDEX(SprintPlanning[Sprint],MATCH($A237,SprintPlanning[Requirement ID],0))),"To Plan"))</f>
        <v/>
      </c>
      <c r="J237" s="31" t="n">
        <v>8</v>
      </c>
      <c r="K237" s="32">
        <f>IFERROR(IF(ISBLANK(INDEX(Release[Release],MATCH($A237,Release[Requirement ID],0))),"",INDEX(Release[Release],MATCH($A237,Release[Requirement ID],0))),"")</f>
        <v/>
      </c>
      <c r="L237" s="34" t="n">
        <v>46232</v>
      </c>
      <c r="M237" s="31" t="inlineStr">
        <is>
          <t>Created</t>
        </is>
      </c>
      <c r="N237" s="31" t="inlineStr">
        <is>
          <t>EA-1097</t>
        </is>
      </c>
      <c r="O237" s="32">
        <f>IF($N237="","","https://smartship.atlassian.net/browse/"&amp;$N237)</f>
        <v/>
      </c>
      <c r="P237">
        <f>IFERROR(VALUE(MID($A237,5,4)),0)</f>
        <v/>
      </c>
    </row>
    <row r="238" hidden="1" ht="15" customHeight="1">
      <c r="A238" s="33" t="inlineStr">
        <is>
          <t>NEW-0381</t>
        </is>
      </c>
      <c r="B238" s="31" t="inlineStr">
        <is>
          <t>ALT Text - Enhancement</t>
        </is>
      </c>
      <c r="C238" s="31" t="inlineStr">
        <is>
          <t>CR</t>
        </is>
      </c>
      <c r="D238" s="31" t="inlineStr">
        <is>
          <t>PI9</t>
        </is>
      </c>
      <c r="E238" s="31" t="inlineStr">
        <is>
          <t>B2CW</t>
        </is>
      </c>
      <c r="F238" s="31" t="inlineStr">
        <is>
          <t>DONE</t>
        </is>
      </c>
      <c r="G238" s="31" t="inlineStr">
        <is>
          <t>Medium</t>
        </is>
      </c>
      <c r="H238" s="31" t="n"/>
      <c r="I238" s="32">
        <f>IF($A238="","",IFERROR(IF(ISBLANK(INDEX(SprintPlanning[Sprint],MATCH($A238,SprintPlanning[Requirement ID],0))),"To Plan",INDEX(SprintPlanning[Sprint],MATCH($A238,SprintPlanning[Requirement ID],0))),"To Plan"))</f>
        <v/>
      </c>
      <c r="J238" s="31" t="n">
        <v>2</v>
      </c>
      <c r="K238" s="32">
        <f>IFERROR(IF(ISBLANK(INDEX(Release[Release],MATCH($A238,Release[Requirement ID],0))),"",INDEX(Release[Release],MATCH($A238,Release[Requirement ID],0))),"")</f>
        <v/>
      </c>
      <c r="L238" s="34" t="n">
        <v>46232</v>
      </c>
      <c r="M238" s="31" t="inlineStr">
        <is>
          <t>Created</t>
        </is>
      </c>
      <c r="N238" s="31" t="inlineStr">
        <is>
          <t>EA-1154</t>
        </is>
      </c>
      <c r="O238" s="32">
        <f>IF($N238="","","https://smartship.atlassian.net/browse/"&amp;$N238)</f>
        <v/>
      </c>
      <c r="P238">
        <f>IFERROR(VALUE(MID($A238,5,4)),0)</f>
        <v/>
      </c>
    </row>
    <row r="239" hidden="1" ht="15" customHeight="1">
      <c r="A239" s="33" t="inlineStr">
        <is>
          <t>NEW-0391</t>
        </is>
      </c>
      <c r="B239" s="31" t="inlineStr">
        <is>
          <t>Rosetta Stone</t>
        </is>
      </c>
      <c r="C239" s="31" t="inlineStr">
        <is>
          <t>New</t>
        </is>
      </c>
      <c r="D239" s="31" t="inlineStr">
        <is>
          <t>HR</t>
        </is>
      </c>
      <c r="E239" s="31" t="inlineStr">
        <is>
          <t>ALL</t>
        </is>
      </c>
      <c r="F239" s="31" t="inlineStr">
        <is>
          <t>DONE</t>
        </is>
      </c>
      <c r="G239" s="31" t="inlineStr">
        <is>
          <t>Medium</t>
        </is>
      </c>
      <c r="H239" s="31" t="inlineStr">
        <is>
          <t>Q1 2026</t>
        </is>
      </c>
      <c r="I239" s="32">
        <f>IF($A239="","",IFERROR(IF(ISBLANK(INDEX(SprintPlanning[Sprint],MATCH($A239,SprintPlanning[Requirement ID],0))),"To Plan",INDEX(SprintPlanning[Sprint],MATCH($A239,SprintPlanning[Requirement ID],0))),"To Plan"))</f>
        <v/>
      </c>
      <c r="J239" s="31" t="n">
        <v>8</v>
      </c>
      <c r="K239" s="32">
        <f>IFERROR(IF(ISBLANK(INDEX(Release[Release],MATCH($A239,Release[Requirement ID],0))),"",INDEX(Release[Release],MATCH($A239,Release[Requirement ID],0))),"")</f>
        <v/>
      </c>
      <c r="L239" s="34" t="n">
        <v>46232</v>
      </c>
      <c r="M239" s="31" t="inlineStr">
        <is>
          <t>Created</t>
        </is>
      </c>
      <c r="N239" s="31" t="inlineStr">
        <is>
          <t>EA-1130</t>
        </is>
      </c>
      <c r="O239" s="32">
        <f>IF($N239="","","https://smartship.atlassian.net/browse/"&amp;$N239)</f>
        <v/>
      </c>
      <c r="P239">
        <f>IFERROR(VALUE(MID($A239,5,4)),0)</f>
        <v/>
      </c>
    </row>
    <row r="240" hidden="1" ht="15" customHeight="1">
      <c r="A240" s="35" t="inlineStr">
        <is>
          <t>NEW-0426</t>
        </is>
      </c>
      <c r="B240" s="36" t="inlineStr">
        <is>
          <t>INT182 - Add onboard price and exclusive discount flag</t>
        </is>
      </c>
      <c r="C240" s="36" t="inlineStr">
        <is>
          <t>CR</t>
        </is>
      </c>
      <c r="D240" s="36" t="inlineStr">
        <is>
          <t>PI10</t>
        </is>
      </c>
      <c r="E240" s="36" t="inlineStr">
        <is>
          <t>M4M</t>
        </is>
      </c>
      <c r="F240" s="36" t="inlineStr">
        <is>
          <t>DONE</t>
        </is>
      </c>
      <c r="G240" s="36" t="inlineStr">
        <is>
          <t>High</t>
        </is>
      </c>
      <c r="H240" s="36" t="n"/>
      <c r="I240">
        <f>IF($A240="","",IFERROR(IF(ISBLANK(INDEX(SprintPlanning[Sprint],MATCH($A240,SprintPlanning[Requirement ID],0))),"To Plan",INDEX(SprintPlanning[Sprint],MATCH($A240,SprintPlanning[Requirement ID],0))),"To Plan"))</f>
        <v/>
      </c>
      <c r="J240" s="36" t="n">
        <v>3</v>
      </c>
      <c r="K240">
        <f>IFERROR(IF(ISBLANK(INDEX(Release[Release],MATCH($A240,Release[Requirement ID],0))),"",INDEX(Release[Release],MATCH($A240,Release[Requirement ID],0))),"")</f>
        <v/>
      </c>
      <c r="L240" s="37" t="n">
        <v>46239</v>
      </c>
      <c r="M240" s="36" t="inlineStr">
        <is>
          <t>Created</t>
        </is>
      </c>
      <c r="N240" s="36" t="inlineStr">
        <is>
          <t>EA-1774</t>
        </is>
      </c>
      <c r="O240">
        <f>IF($N240="","","https://smartship.atlassian.net/browse/"&amp;$N240)</f>
        <v/>
      </c>
      <c r="P240">
        <f>IFERROR(VALUE(MID($A240,5,4)),0)</f>
        <v/>
      </c>
    </row>
    <row r="241" hidden="1" ht="15" customHeight="1">
      <c r="A241" s="35" t="inlineStr">
        <is>
          <t>NEW-0427</t>
        </is>
      </c>
      <c r="B241" s="36" t="inlineStr">
        <is>
          <t>INT181 - Add OBS category type</t>
        </is>
      </c>
      <c r="C241" s="36" t="inlineStr">
        <is>
          <t>CR</t>
        </is>
      </c>
      <c r="D241" s="36" t="inlineStr">
        <is>
          <t>PI10</t>
        </is>
      </c>
      <c r="E241" s="36" t="inlineStr">
        <is>
          <t>M4M</t>
        </is>
      </c>
      <c r="F241" s="36" t="inlineStr">
        <is>
          <t>DONE</t>
        </is>
      </c>
      <c r="G241" s="36" t="inlineStr">
        <is>
          <t>High</t>
        </is>
      </c>
      <c r="H241" s="36" t="n"/>
      <c r="I241">
        <f>IF($A241="","",IFERROR(IF(ISBLANK(INDEX(SprintPlanning[Sprint],MATCH($A241,SprintPlanning[Requirement ID],0))),"To Plan",INDEX(SprintPlanning[Sprint],MATCH($A241,SprintPlanning[Requirement ID],0))),"To Plan"))</f>
        <v/>
      </c>
      <c r="J241" s="36" t="n">
        <v>3</v>
      </c>
      <c r="K241">
        <f>IFERROR(IF(ISBLANK(INDEX(Release[Release],MATCH($A241,Release[Requirement ID],0))),"",INDEX(Release[Release],MATCH($A241,Release[Requirement ID],0))),"")</f>
        <v/>
      </c>
      <c r="L241" s="37" t="n">
        <v>46239</v>
      </c>
      <c r="M241" s="36" t="inlineStr">
        <is>
          <t>Created</t>
        </is>
      </c>
      <c r="N241" s="36" t="inlineStr">
        <is>
          <t>EA-1775</t>
        </is>
      </c>
      <c r="O241">
        <f>IF($N241="","","https://smartship.atlassian.net/browse/"&amp;$N241)</f>
        <v/>
      </c>
      <c r="P241">
        <f>IFERROR(VALUE(MID($A241,5,4)),0)</f>
        <v/>
      </c>
    </row>
    <row r="242" hidden="1" ht="15" customHeight="1">
      <c r="A242" s="35" t="inlineStr">
        <is>
          <t>NEW-0428</t>
        </is>
      </c>
      <c r="B242" s="36" t="inlineStr">
        <is>
          <t>INT181/INT183 - Add linked item code</t>
        </is>
      </c>
      <c r="C242" s="36" t="inlineStr">
        <is>
          <t>CR</t>
        </is>
      </c>
      <c r="D242" s="36" t="inlineStr">
        <is>
          <t>PI10</t>
        </is>
      </c>
      <c r="E242" s="36" t="inlineStr">
        <is>
          <t>M4M</t>
        </is>
      </c>
      <c r="F242" s="36" t="inlineStr">
        <is>
          <t>DONE</t>
        </is>
      </c>
      <c r="G242" s="36" t="inlineStr">
        <is>
          <t>High</t>
        </is>
      </c>
      <c r="H242" s="36" t="n"/>
      <c r="I242">
        <f>IF($A242="","",IFERROR(IF(ISBLANK(INDEX(SprintPlanning[Sprint],MATCH($A242,SprintPlanning[Requirement ID],0))),"To Plan",INDEX(SprintPlanning[Sprint],MATCH($A242,SprintPlanning[Requirement ID],0))),"To Plan"))</f>
        <v/>
      </c>
      <c r="J242" s="36" t="n">
        <v>3</v>
      </c>
      <c r="K242">
        <f>IFERROR(IF(ISBLANK(INDEX(Release[Release],MATCH($A242,Release[Requirement ID],0))),"",INDEX(Release[Release],MATCH($A242,Release[Requirement ID],0))),"")</f>
        <v/>
      </c>
      <c r="L242" s="37" t="n">
        <v>46239</v>
      </c>
      <c r="M242" s="36" t="inlineStr">
        <is>
          <t>Created</t>
        </is>
      </c>
      <c r="N242" s="36" t="inlineStr">
        <is>
          <t>EA-1773</t>
        </is>
      </c>
      <c r="O242">
        <f>IF($N242="","","https://smartship.atlassian.net/browse/"&amp;$N242)</f>
        <v/>
      </c>
      <c r="P242">
        <f>IFERROR(VALUE(MID($A242,5,4)),0)</f>
        <v/>
      </c>
    </row>
    <row r="243" hidden="1" ht="15" customHeight="1">
      <c r="A243" s="35">
        <f>IF(B243="","","NEW-"&amp;TEXT(MAX($P$2:$P242)+1,"0000"))</f>
        <v/>
      </c>
      <c r="B243" s="36" t="n"/>
      <c r="C243" s="36" t="n"/>
      <c r="D243" s="36" t="n"/>
      <c r="E243" s="36" t="n"/>
      <c r="F243" s="36" t="n"/>
      <c r="G243" s="36" t="n"/>
      <c r="H243" s="36" t="n"/>
      <c r="I243">
        <f>IF($A243="","",IFERROR(IF(ISBLANK(INDEX(SprintPlanning[Sprint],MATCH($A243,SprintPlanning[Requirement ID],0))),"To Plan",INDEX(SprintPlanning[Sprint],MATCH($A243,SprintPlanning[Requirement ID],0))),"To Plan"))</f>
        <v/>
      </c>
      <c r="J243" s="36" t="n"/>
      <c r="K243">
        <f>IFERROR(IF(ISBLANK(INDEX(Release[Release],MATCH($A243,Release[Requirement ID],0))),"",INDEX(Release[Release],MATCH($A243,Release[Requirement ID],0))),"")</f>
        <v/>
      </c>
      <c r="L243" s="36" t="n"/>
      <c r="M243" s="36" t="n"/>
      <c r="N243" s="36" t="n"/>
      <c r="O243">
        <f>IF($N243="","","https://smartship.atlassian.net/browse/"&amp;$N243)</f>
        <v/>
      </c>
      <c r="P243">
        <f>IFERROR(VALUE(MID($A243,5,4)),0)</f>
        <v/>
      </c>
    </row>
    <row r="244" hidden="1" ht="15" customHeight="1">
      <c r="A244" s="35">
        <f>IF(B244="","","NEW-"&amp;TEXT(MAX($P$2:$P243)+1,"0000"))</f>
        <v/>
      </c>
      <c r="B244" s="36" t="n"/>
      <c r="C244" s="36" t="n"/>
      <c r="D244" s="36" t="n"/>
      <c r="E244" s="36" t="n"/>
      <c r="F244" s="36" t="n"/>
      <c r="G244" s="36" t="n"/>
      <c r="H244" s="36" t="n"/>
      <c r="I244">
        <f>IF($A244="","",IFERROR(IF(ISBLANK(INDEX(SprintPlanning[Sprint],MATCH($A244,SprintPlanning[Requirement ID],0))),"To Plan",INDEX(SprintPlanning[Sprint],MATCH($A244,SprintPlanning[Requirement ID],0))),"To Plan"))</f>
        <v/>
      </c>
      <c r="J244" s="36" t="n"/>
      <c r="K244">
        <f>IFERROR(IF(ISBLANK(INDEX(Release[Release],MATCH($A244,Release[Requirement ID],0))),"",INDEX(Release[Release],MATCH($A244,Release[Requirement ID],0))),"")</f>
        <v/>
      </c>
      <c r="L244" s="36" t="n"/>
      <c r="M244" s="36" t="n"/>
      <c r="N244" s="36" t="n"/>
      <c r="O244">
        <f>IF($N244="","","https://smartship.atlassian.net/browse/"&amp;$N244)</f>
        <v/>
      </c>
      <c r="P244">
        <f>IFERROR(VALUE(MID($A244,5,4)),0)</f>
        <v/>
      </c>
    </row>
    <row r="245" hidden="1" ht="15" customHeight="1">
      <c r="A245" s="35">
        <f>IF(B245="","","NEW-"&amp;TEXT(MAX($P$2:$P244)+1,"0000"))</f>
        <v/>
      </c>
      <c r="B245" s="36" t="n"/>
      <c r="C245" s="36" t="n"/>
      <c r="D245" s="36" t="n"/>
      <c r="E245" s="36" t="n"/>
      <c r="F245" s="36" t="n"/>
      <c r="G245" s="36" t="n"/>
      <c r="H245" s="36" t="n"/>
      <c r="I245">
        <f>IF($A245="","",IFERROR(IF(ISBLANK(INDEX(SprintPlanning[Sprint],MATCH($A245,SprintPlanning[Requirement ID],0))),"To Plan",INDEX(SprintPlanning[Sprint],MATCH($A245,SprintPlanning[Requirement ID],0))),"To Plan"))</f>
        <v/>
      </c>
      <c r="J245" s="36" t="n"/>
      <c r="K245">
        <f>IFERROR(IF(ISBLANK(INDEX(Release[Release],MATCH($A245,Release[Requirement ID],0))),"",INDEX(Release[Release],MATCH($A245,Release[Requirement ID],0))),"")</f>
        <v/>
      </c>
      <c r="L245" s="36" t="n"/>
      <c r="M245" s="36" t="n"/>
      <c r="N245" s="36" t="n"/>
      <c r="O245">
        <f>IF($N245="","","https://smartship.atlassian.net/browse/"&amp;$N245)</f>
        <v/>
      </c>
      <c r="P245">
        <f>IFERROR(VALUE(MID($A245,5,4)),0)</f>
        <v/>
      </c>
    </row>
    <row r="246" hidden="1" ht="15" customHeight="1">
      <c r="A246" s="35">
        <f>IF(B246="","","NEW-"&amp;TEXT(MAX($P$2:$P245)+1,"0000"))</f>
        <v/>
      </c>
      <c r="B246" s="36" t="n"/>
      <c r="C246" s="36" t="n"/>
      <c r="D246" s="36" t="n"/>
      <c r="E246" s="36" t="n"/>
      <c r="F246" s="36" t="n"/>
      <c r="G246" s="36" t="n"/>
      <c r="H246" s="36" t="n"/>
      <c r="I246">
        <f>IF($A246="","",IFERROR(IF(ISBLANK(INDEX(SprintPlanning[Sprint],MATCH($A246,SprintPlanning[Requirement ID],0))),"To Plan",INDEX(SprintPlanning[Sprint],MATCH($A246,SprintPlanning[Requirement ID],0))),"To Plan"))</f>
        <v/>
      </c>
      <c r="J246" s="36" t="n"/>
      <c r="K246">
        <f>IFERROR(IF(ISBLANK(INDEX(Release[Release],MATCH($A246,Release[Requirement ID],0))),"",INDEX(Release[Release],MATCH($A246,Release[Requirement ID],0))),"")</f>
        <v/>
      </c>
      <c r="L246" s="36" t="n"/>
      <c r="M246" s="36" t="n"/>
      <c r="N246" s="36" t="n"/>
      <c r="O246">
        <f>IF($N246="","","https://smartship.atlassian.net/browse/"&amp;$N246)</f>
        <v/>
      </c>
      <c r="P246">
        <f>IFERROR(VALUE(MID($A246,5,4)),0)</f>
        <v/>
      </c>
    </row>
    <row r="247" hidden="1" ht="15" customHeight="1">
      <c r="A247" s="35">
        <f>IF(B247="","","NEW-"&amp;TEXT(MAX($P$2:$P246)+1,"0000"))</f>
        <v/>
      </c>
      <c r="B247" s="36" t="n"/>
      <c r="C247" s="36" t="n"/>
      <c r="D247" s="36" t="n"/>
      <c r="E247" s="36" t="n"/>
      <c r="F247" s="36" t="n"/>
      <c r="G247" s="36" t="n"/>
      <c r="H247" s="36" t="n"/>
      <c r="I247">
        <f>IF($A247="","",IFERROR(IF(ISBLANK(INDEX(SprintPlanning[Sprint],MATCH($A247,SprintPlanning[Requirement ID],0))),"To Plan",INDEX(SprintPlanning[Sprint],MATCH($A247,SprintPlanning[Requirement ID],0))),"To Plan"))</f>
        <v/>
      </c>
      <c r="J247" s="36" t="n"/>
      <c r="K247">
        <f>IFERROR(IF(ISBLANK(INDEX(Release[Release],MATCH($A247,Release[Requirement ID],0))),"",INDEX(Release[Release],MATCH($A247,Release[Requirement ID],0))),"")</f>
        <v/>
      </c>
      <c r="L247" s="36" t="n"/>
      <c r="M247" s="36" t="n"/>
      <c r="N247" s="36" t="n"/>
      <c r="O247">
        <f>IF($N247="","","https://smartship.atlassian.net/browse/"&amp;$N247)</f>
        <v/>
      </c>
      <c r="P247">
        <f>IFERROR(VALUE(MID($A247,5,4)),0)</f>
        <v/>
      </c>
    </row>
    <row r="248" hidden="1" ht="15" customHeight="1">
      <c r="A248" s="35">
        <f>IF(B248="","","NEW-"&amp;TEXT(MAX($P$2:$P247)+1,"0000"))</f>
        <v/>
      </c>
      <c r="B248" s="36" t="n"/>
      <c r="C248" s="36" t="n"/>
      <c r="D248" s="36" t="n"/>
      <c r="E248" s="36" t="n"/>
      <c r="F248" s="36" t="n"/>
      <c r="G248" s="36" t="n"/>
      <c r="H248" s="36" t="n"/>
      <c r="I248">
        <f>IF($A248="","",IFERROR(IF(ISBLANK(INDEX(SprintPlanning[Sprint],MATCH($A248,SprintPlanning[Requirement ID],0))),"To Plan",INDEX(SprintPlanning[Sprint],MATCH($A248,SprintPlanning[Requirement ID],0))),"To Plan"))</f>
        <v/>
      </c>
      <c r="J248" s="36" t="n"/>
      <c r="K248">
        <f>IFERROR(IF(ISBLANK(INDEX(Release[Release],MATCH($A248,Release[Requirement ID],0))),"",INDEX(Release[Release],MATCH($A248,Release[Requirement ID],0))),"")</f>
        <v/>
      </c>
      <c r="L248" s="36" t="n"/>
      <c r="M248" s="36" t="n"/>
      <c r="N248" s="36" t="n"/>
      <c r="O248">
        <f>IF($N248="","","https://smartship.atlassian.net/browse/"&amp;$N248)</f>
        <v/>
      </c>
      <c r="P248">
        <f>IFERROR(VALUE(MID($A248,5,4)),0)</f>
        <v/>
      </c>
    </row>
    <row r="249" hidden="1" ht="15" customHeight="1">
      <c r="A249" s="35">
        <f>IF(B249="","","NEW-"&amp;TEXT(MAX($P$2:$P248)+1,"0000"))</f>
        <v/>
      </c>
      <c r="B249" s="36" t="n"/>
      <c r="C249" s="36" t="n"/>
      <c r="D249" s="36" t="n"/>
      <c r="E249" s="36" t="n"/>
      <c r="F249" s="36" t="n"/>
      <c r="G249" s="36" t="n"/>
      <c r="H249" s="36" t="n"/>
      <c r="I249">
        <f>IF($A249="","",IFERROR(IF(ISBLANK(INDEX(SprintPlanning[Sprint],MATCH($A249,SprintPlanning[Requirement ID],0))),"To Plan",INDEX(SprintPlanning[Sprint],MATCH($A249,SprintPlanning[Requirement ID],0))),"To Plan"))</f>
        <v/>
      </c>
      <c r="J249" s="36" t="n"/>
      <c r="K249">
        <f>IFERROR(IF(ISBLANK(INDEX(Release[Release],MATCH($A249,Release[Requirement ID],0))),"",INDEX(Release[Release],MATCH($A249,Release[Requirement ID],0))),"")</f>
        <v/>
      </c>
      <c r="L249" s="36" t="n"/>
      <c r="M249" s="36" t="n"/>
      <c r="N249" s="36" t="n"/>
      <c r="O249">
        <f>IF($N249="","","https://smartship.atlassian.net/browse/"&amp;$N249)</f>
        <v/>
      </c>
      <c r="P249">
        <f>IFERROR(VALUE(MID($A249,5,4)),0)</f>
        <v/>
      </c>
    </row>
    <row r="250" hidden="1" ht="15" customHeight="1">
      <c r="A250" s="35">
        <f>IF(B250="","","NEW-"&amp;TEXT(MAX($P$2:$P249)+1,"0000"))</f>
        <v/>
      </c>
      <c r="B250" s="36" t="n"/>
      <c r="C250" s="36" t="n"/>
      <c r="D250" s="36" t="n"/>
      <c r="E250" s="36" t="n"/>
      <c r="F250" s="36" t="n"/>
      <c r="G250" s="36" t="n"/>
      <c r="H250" s="36" t="n"/>
      <c r="I250">
        <f>IF($A250="","",IFERROR(IF(ISBLANK(INDEX(SprintPlanning[Sprint],MATCH($A250,SprintPlanning[Requirement ID],0))),"To Plan",INDEX(SprintPlanning[Sprint],MATCH($A250,SprintPlanning[Requirement ID],0))),"To Plan"))</f>
        <v/>
      </c>
      <c r="J250" s="36" t="n"/>
      <c r="K250">
        <f>IFERROR(IF(ISBLANK(INDEX(Release[Release],MATCH($A250,Release[Requirement ID],0))),"",INDEX(Release[Release],MATCH($A250,Release[Requirement ID],0))),"")</f>
        <v/>
      </c>
      <c r="L250" s="36" t="n"/>
      <c r="M250" s="36" t="n"/>
      <c r="N250" s="36" t="n"/>
      <c r="O250">
        <f>IF($N250="","","https://smartship.atlassian.net/browse/"&amp;$N250)</f>
        <v/>
      </c>
      <c r="P250">
        <f>IFERROR(VALUE(MID($A250,5,4)),0)</f>
        <v/>
      </c>
    </row>
    <row r="251" hidden="1" ht="15" customHeight="1">
      <c r="A251" s="35">
        <f>IF(B251="","","NEW-"&amp;TEXT(MAX($P$2:$P250)+1,"0000"))</f>
        <v/>
      </c>
      <c r="B251" s="36" t="n"/>
      <c r="C251" s="36" t="n"/>
      <c r="D251" s="36" t="n"/>
      <c r="E251" s="36" t="n"/>
      <c r="F251" s="36" t="n"/>
      <c r="G251" s="36" t="n"/>
      <c r="H251" s="36" t="n"/>
      <c r="I251">
        <f>IF($A251="","",IFERROR(IF(ISBLANK(INDEX(SprintPlanning[Sprint],MATCH($A251,SprintPlanning[Requirement ID],0))),"To Plan",INDEX(SprintPlanning[Sprint],MATCH($A251,SprintPlanning[Requirement ID],0))),"To Plan"))</f>
        <v/>
      </c>
      <c r="J251" s="36" t="n"/>
      <c r="K251">
        <f>IFERROR(IF(ISBLANK(INDEX(Release[Release],MATCH($A251,Release[Requirement ID],0))),"",INDEX(Release[Release],MATCH($A251,Release[Requirement ID],0))),"")</f>
        <v/>
      </c>
      <c r="L251" s="36" t="n"/>
      <c r="M251" s="36" t="n"/>
      <c r="N251" s="36" t="n"/>
      <c r="O251">
        <f>IF($N251="","","https://smartship.atlassian.net/browse/"&amp;$N251)</f>
        <v/>
      </c>
      <c r="P251">
        <f>IFERROR(VALUE(MID($A251,5,4)),0)</f>
        <v/>
      </c>
    </row>
    <row r="252" hidden="1" ht="15" customHeight="1">
      <c r="A252" s="35">
        <f>IF(B252="","","NEW-"&amp;TEXT(MAX($P$2:$P251)+1,"0000"))</f>
        <v/>
      </c>
      <c r="B252" s="36" t="n"/>
      <c r="C252" s="36" t="n"/>
      <c r="D252" s="36" t="n"/>
      <c r="E252" s="36" t="n"/>
      <c r="F252" s="36" t="n"/>
      <c r="G252" s="36" t="n"/>
      <c r="H252" s="36" t="n"/>
      <c r="I252">
        <f>IF($A252="","",IFERROR(IF(ISBLANK(INDEX(SprintPlanning[Sprint],MATCH($A252,SprintPlanning[Requirement ID],0))),"To Plan",INDEX(SprintPlanning[Sprint],MATCH($A252,SprintPlanning[Requirement ID],0))),"To Plan"))</f>
        <v/>
      </c>
      <c r="J252" s="36" t="n"/>
      <c r="K252">
        <f>IFERROR(IF(ISBLANK(INDEX(Release[Release],MATCH($A252,Release[Requirement ID],0))),"",INDEX(Release[Release],MATCH($A252,Release[Requirement ID],0))),"")</f>
        <v/>
      </c>
      <c r="L252" s="36" t="n"/>
      <c r="M252" s="36" t="n"/>
      <c r="N252" s="36" t="n"/>
      <c r="O252">
        <f>IF($N252="","","https://smartship.atlassian.net/browse/"&amp;$N252)</f>
        <v/>
      </c>
      <c r="P252">
        <f>IFERROR(VALUE(MID($A252,5,4)),0)</f>
        <v/>
      </c>
    </row>
    <row r="253" hidden="1" ht="15" customHeight="1">
      <c r="A253" s="35">
        <f>IF(B253="","","NEW-"&amp;TEXT(MAX($P$2:$P252)+1,"0000"))</f>
        <v/>
      </c>
      <c r="B253" s="36" t="n"/>
      <c r="C253" s="36" t="n"/>
      <c r="D253" s="36" t="n"/>
      <c r="E253" s="36" t="n"/>
      <c r="F253" s="36" t="n"/>
      <c r="G253" s="36" t="n"/>
      <c r="H253" s="36" t="n"/>
      <c r="I253">
        <f>IF($A253="","",IFERROR(IF(ISBLANK(INDEX(SprintPlanning[Sprint],MATCH($A253,SprintPlanning[Requirement ID],0))),"To Plan",INDEX(SprintPlanning[Sprint],MATCH($A253,SprintPlanning[Requirement ID],0))),"To Plan"))</f>
        <v/>
      </c>
      <c r="J253" s="36" t="n"/>
      <c r="K253">
        <f>IFERROR(IF(ISBLANK(INDEX(Release[Release],MATCH($A253,Release[Requirement ID],0))),"",INDEX(Release[Release],MATCH($A253,Release[Requirement ID],0))),"")</f>
        <v/>
      </c>
      <c r="L253" s="36" t="n"/>
      <c r="M253" s="36" t="n"/>
      <c r="N253" s="36" t="n"/>
      <c r="O253">
        <f>IF($N253="","","https://smartship.atlassian.net/browse/"&amp;$N253)</f>
        <v/>
      </c>
      <c r="P253">
        <f>IFERROR(VALUE(MID($A253,5,4)),0)</f>
        <v/>
      </c>
    </row>
    <row r="254" hidden="1" ht="15" customHeight="1">
      <c r="A254" s="35">
        <f>IF(B254="","","NEW-"&amp;TEXT(MAX($P$2:$P253)+1,"0000"))</f>
        <v/>
      </c>
      <c r="B254" s="36" t="n"/>
      <c r="C254" s="36" t="n"/>
      <c r="D254" s="36" t="n"/>
      <c r="E254" s="36" t="n"/>
      <c r="F254" s="36" t="n"/>
      <c r="G254" s="36" t="n"/>
      <c r="H254" s="36" t="n"/>
      <c r="I254">
        <f>IF($A254="","",IFERROR(IF(ISBLANK(INDEX(SprintPlanning[Sprint],MATCH($A254,SprintPlanning[Requirement ID],0))),"To Plan",INDEX(SprintPlanning[Sprint],MATCH($A254,SprintPlanning[Requirement ID],0))),"To Plan"))</f>
        <v/>
      </c>
      <c r="J254" s="36" t="n"/>
      <c r="K254">
        <f>IFERROR(IF(ISBLANK(INDEX(Release[Release],MATCH($A254,Release[Requirement ID],0))),"",INDEX(Release[Release],MATCH($A254,Release[Requirement ID],0))),"")</f>
        <v/>
      </c>
      <c r="L254" s="36" t="n"/>
      <c r="M254" s="36" t="n"/>
      <c r="N254" s="36" t="n"/>
      <c r="O254">
        <f>IF($N254="","","https://smartship.atlassian.net/browse/"&amp;$N254)</f>
        <v/>
      </c>
      <c r="P254">
        <f>IFERROR(VALUE(MID($A254,5,4)),0)</f>
        <v/>
      </c>
    </row>
    <row r="255" hidden="1" ht="15" customHeight="1">
      <c r="A255" s="35">
        <f>IF(B255="","","NEW-"&amp;TEXT(MAX($P$2:$P254)+1,"0000"))</f>
        <v/>
      </c>
      <c r="B255" s="36" t="n"/>
      <c r="C255" s="36" t="n"/>
      <c r="D255" s="36" t="n"/>
      <c r="E255" s="36" t="n"/>
      <c r="F255" s="36" t="n"/>
      <c r="G255" s="36" t="n"/>
      <c r="H255" s="36" t="n"/>
      <c r="I255">
        <f>IF($A255="","",IFERROR(IF(ISBLANK(INDEX(SprintPlanning[Sprint],MATCH($A255,SprintPlanning[Requirement ID],0))),"To Plan",INDEX(SprintPlanning[Sprint],MATCH($A255,SprintPlanning[Requirement ID],0))),"To Plan"))</f>
        <v/>
      </c>
      <c r="J255" s="36" t="n"/>
      <c r="K255">
        <f>IFERROR(IF(ISBLANK(INDEX(Release[Release],MATCH($A255,Release[Requirement ID],0))),"",INDEX(Release[Release],MATCH($A255,Release[Requirement ID],0))),"")</f>
        <v/>
      </c>
      <c r="L255" s="36" t="n"/>
      <c r="M255" s="36" t="n"/>
      <c r="N255" s="36" t="n"/>
      <c r="O255">
        <f>IF($N255="","","https://smartship.atlassian.net/browse/"&amp;$N255)</f>
        <v/>
      </c>
      <c r="P255">
        <f>IFERROR(VALUE(MID($A255,5,4)),0)</f>
        <v/>
      </c>
    </row>
    <row r="256" hidden="1" ht="15" customHeight="1">
      <c r="A256" s="35">
        <f>IF(B256="","","NEW-"&amp;TEXT(MAX($P$2:$P255)+1,"0000"))</f>
        <v/>
      </c>
      <c r="B256" s="36" t="n"/>
      <c r="C256" s="36" t="n"/>
      <c r="D256" s="36" t="n"/>
      <c r="E256" s="36" t="n"/>
      <c r="F256" s="36" t="n"/>
      <c r="G256" s="36" t="n"/>
      <c r="H256" s="36" t="n"/>
      <c r="I256">
        <f>IF($A256="","",IFERROR(IF(ISBLANK(INDEX(SprintPlanning[Sprint],MATCH($A256,SprintPlanning[Requirement ID],0))),"To Plan",INDEX(SprintPlanning[Sprint],MATCH($A256,SprintPlanning[Requirement ID],0))),"To Plan"))</f>
        <v/>
      </c>
      <c r="J256" s="36" t="n"/>
      <c r="K256">
        <f>IFERROR(IF(ISBLANK(INDEX(Release[Release],MATCH($A256,Release[Requirement ID],0))),"",INDEX(Release[Release],MATCH($A256,Release[Requirement ID],0))),"")</f>
        <v/>
      </c>
      <c r="L256" s="36" t="n"/>
      <c r="M256" s="36" t="n"/>
      <c r="N256" s="36" t="n"/>
      <c r="O256">
        <f>IF($N256="","","https://smartship.atlassian.net/browse/"&amp;$N256)</f>
        <v/>
      </c>
      <c r="P256">
        <f>IFERROR(VALUE(MID($A256,5,4)),0)</f>
        <v/>
      </c>
    </row>
    <row r="257" hidden="1" ht="15" customHeight="1">
      <c r="A257" s="35">
        <f>IF(B257="","","NEW-"&amp;TEXT(MAX($P$2:$P256)+1,"0000"))</f>
        <v/>
      </c>
      <c r="B257" s="36" t="n"/>
      <c r="C257" s="36" t="n"/>
      <c r="D257" s="36" t="n"/>
      <c r="E257" s="36" t="n"/>
      <c r="F257" s="36" t="n"/>
      <c r="G257" s="36" t="n"/>
      <c r="H257" s="36" t="n"/>
      <c r="I257">
        <f>IF($A257="","",IFERROR(IF(ISBLANK(INDEX(SprintPlanning[Sprint],MATCH($A257,SprintPlanning[Requirement ID],0))),"To Plan",INDEX(SprintPlanning[Sprint],MATCH($A257,SprintPlanning[Requirement ID],0))),"To Plan"))</f>
        <v/>
      </c>
      <c r="J257" s="36" t="n"/>
      <c r="K257">
        <f>IFERROR(IF(ISBLANK(INDEX(Release[Release],MATCH($A257,Release[Requirement ID],0))),"",INDEX(Release[Release],MATCH($A257,Release[Requirement ID],0))),"")</f>
        <v/>
      </c>
      <c r="L257" s="36" t="n"/>
      <c r="M257" s="36" t="n"/>
      <c r="N257" s="36" t="n"/>
      <c r="O257">
        <f>IF($N257="","","https://smartship.atlassian.net/browse/"&amp;$N257)</f>
        <v/>
      </c>
      <c r="P257">
        <f>IFERROR(VALUE(MID($A257,5,4)),0)</f>
        <v/>
      </c>
    </row>
    <row r="258" hidden="1" ht="15" customHeight="1">
      <c r="A258" s="35">
        <f>IF(B258="","","NEW-"&amp;TEXT(MAX($P$2:$P257)+1,"0000"))</f>
        <v/>
      </c>
      <c r="B258" s="36" t="n"/>
      <c r="C258" s="36" t="n"/>
      <c r="D258" s="36" t="n"/>
      <c r="E258" s="36" t="n"/>
      <c r="F258" s="36" t="n"/>
      <c r="G258" s="36" t="n"/>
      <c r="H258" s="36" t="n"/>
      <c r="I258">
        <f>IF($A258="","",IFERROR(IF(ISBLANK(INDEX(SprintPlanning[Sprint],MATCH($A258,SprintPlanning[Requirement ID],0))),"To Plan",INDEX(SprintPlanning[Sprint],MATCH($A258,SprintPlanning[Requirement ID],0))),"To Plan"))</f>
        <v/>
      </c>
      <c r="J258" s="36" t="n"/>
      <c r="K258">
        <f>IFERROR(IF(ISBLANK(INDEX(Release[Release],MATCH($A258,Release[Requirement ID],0))),"",INDEX(Release[Release],MATCH($A258,Release[Requirement ID],0))),"")</f>
        <v/>
      </c>
      <c r="L258" s="36" t="n"/>
      <c r="M258" s="36" t="n"/>
      <c r="N258" s="36" t="n"/>
      <c r="O258">
        <f>IF($N258="","","https://smartship.atlassian.net/browse/"&amp;$N258)</f>
        <v/>
      </c>
      <c r="P258">
        <f>IFERROR(VALUE(MID($A258,5,4)),0)</f>
        <v/>
      </c>
    </row>
    <row r="259" hidden="1" ht="15" customHeight="1">
      <c r="A259" s="35">
        <f>IF(B259="","","NEW-"&amp;TEXT(MAX($P$2:$P258)+1,"0000"))</f>
        <v/>
      </c>
      <c r="B259" s="36" t="n"/>
      <c r="C259" s="36" t="n"/>
      <c r="D259" s="36" t="n"/>
      <c r="E259" s="36" t="n"/>
      <c r="F259" s="36" t="n"/>
      <c r="G259" s="36" t="n"/>
      <c r="H259" s="36" t="n"/>
      <c r="I259">
        <f>IF($A259="","",IFERROR(IF(ISBLANK(INDEX(SprintPlanning[Sprint],MATCH($A259,SprintPlanning[Requirement ID],0))),"To Plan",INDEX(SprintPlanning[Sprint],MATCH($A259,SprintPlanning[Requirement ID],0))),"To Plan"))</f>
        <v/>
      </c>
      <c r="J259" s="36" t="n"/>
      <c r="K259">
        <f>IFERROR(IF(ISBLANK(INDEX(Release[Release],MATCH($A259,Release[Requirement ID],0))),"",INDEX(Release[Release],MATCH($A259,Release[Requirement ID],0))),"")</f>
        <v/>
      </c>
      <c r="L259" s="36" t="n"/>
      <c r="M259" s="36" t="n"/>
      <c r="N259" s="36" t="n"/>
      <c r="O259">
        <f>IF($N259="","","https://smartship.atlassian.net/browse/"&amp;$N259)</f>
        <v/>
      </c>
      <c r="P259">
        <f>IFERROR(VALUE(MID($A259,5,4)),0)</f>
        <v/>
      </c>
    </row>
    <row r="260" hidden="1" ht="15" customHeight="1">
      <c r="A260" s="35">
        <f>IF(B260="","","NEW-"&amp;TEXT(MAX($P$2:$P259)+1,"0000"))</f>
        <v/>
      </c>
      <c r="B260" s="36" t="n"/>
      <c r="C260" s="36" t="n"/>
      <c r="D260" s="36" t="n"/>
      <c r="E260" s="36" t="n"/>
      <c r="F260" s="36" t="n"/>
      <c r="G260" s="36" t="n"/>
      <c r="H260" s="36" t="n"/>
      <c r="I260">
        <f>IF($A260="","",IFERROR(IF(ISBLANK(INDEX(SprintPlanning[Sprint],MATCH($A260,SprintPlanning[Requirement ID],0))),"To Plan",INDEX(SprintPlanning[Sprint],MATCH($A260,SprintPlanning[Requirement ID],0))),"To Plan"))</f>
        <v/>
      </c>
      <c r="J260" s="36" t="n"/>
      <c r="K260">
        <f>IFERROR(IF(ISBLANK(INDEX(Release[Release],MATCH($A260,Release[Requirement ID],0))),"",INDEX(Release[Release],MATCH($A260,Release[Requirement ID],0))),"")</f>
        <v/>
      </c>
      <c r="L260" s="36" t="n"/>
      <c r="M260" s="36" t="n"/>
      <c r="N260" s="36" t="n"/>
      <c r="O260">
        <f>IF($N260="","","https://smartship.atlassian.net/browse/"&amp;$N260)</f>
        <v/>
      </c>
      <c r="P260">
        <f>IFERROR(VALUE(MID($A260,5,4)),0)</f>
        <v/>
      </c>
    </row>
    <row r="261" hidden="1" ht="15" customHeight="1">
      <c r="A261" s="35">
        <f>IF(B261="","","NEW-"&amp;TEXT(MAX($P$2:$P260)+1,"0000"))</f>
        <v/>
      </c>
      <c r="B261" s="36" t="n"/>
      <c r="C261" s="36" t="n"/>
      <c r="D261" s="36" t="n"/>
      <c r="E261" s="36" t="n"/>
      <c r="F261" s="36" t="n"/>
      <c r="G261" s="36" t="n"/>
      <c r="H261" s="36" t="n"/>
      <c r="I261">
        <f>IF($A261="","",IFERROR(IF(ISBLANK(INDEX(SprintPlanning[Sprint],MATCH($A261,SprintPlanning[Requirement ID],0))),"To Plan",INDEX(SprintPlanning[Sprint],MATCH($A261,SprintPlanning[Requirement ID],0))),"To Plan"))</f>
        <v/>
      </c>
      <c r="J261" s="36" t="n"/>
      <c r="K261">
        <f>IFERROR(IF(ISBLANK(INDEX(Release[Release],MATCH($A261,Release[Requirement ID],0))),"",INDEX(Release[Release],MATCH($A261,Release[Requirement ID],0))),"")</f>
        <v/>
      </c>
      <c r="L261" s="36" t="n"/>
      <c r="M261" s="36" t="n"/>
      <c r="N261" s="36" t="n"/>
      <c r="O261">
        <f>IF($N261="","","https://smartship.atlassian.net/browse/"&amp;$N261)</f>
        <v/>
      </c>
      <c r="P261">
        <f>IFERROR(VALUE(MID($A261,5,4)),0)</f>
        <v/>
      </c>
    </row>
    <row r="262" hidden="1" ht="15" customHeight="1">
      <c r="A262" s="35">
        <f>IF(B262="","","NEW-"&amp;TEXT(MAX($P$2:$P261)+1,"0000"))</f>
        <v/>
      </c>
      <c r="B262" s="36" t="n"/>
      <c r="C262" s="36" t="n"/>
      <c r="D262" s="36" t="n"/>
      <c r="E262" s="36" t="n"/>
      <c r="F262" s="36" t="n"/>
      <c r="G262" s="36" t="n"/>
      <c r="H262" s="36" t="n"/>
      <c r="I262">
        <f>IF($A262="","",IFERROR(IF(ISBLANK(INDEX(SprintPlanning[Sprint],MATCH($A262,SprintPlanning[Requirement ID],0))),"To Plan",INDEX(SprintPlanning[Sprint],MATCH($A262,SprintPlanning[Requirement ID],0))),"To Plan"))</f>
        <v/>
      </c>
      <c r="J262" s="36" t="n"/>
      <c r="K262">
        <f>IFERROR(IF(ISBLANK(INDEX(Release[Release],MATCH($A262,Release[Requirement ID],0))),"",INDEX(Release[Release],MATCH($A262,Release[Requirement ID],0))),"")</f>
        <v/>
      </c>
      <c r="L262" s="36" t="n"/>
      <c r="M262" s="36" t="n"/>
      <c r="N262" s="36" t="n"/>
      <c r="O262">
        <f>IF($N262="","","https://smartship.atlassian.net/browse/"&amp;$N262)</f>
        <v/>
      </c>
      <c r="P262">
        <f>IFERROR(VALUE(MID($A262,5,4)),0)</f>
        <v/>
      </c>
    </row>
    <row r="263" hidden="1" ht="15" customHeight="1">
      <c r="A263" s="35">
        <f>IF(B263="","","NEW-"&amp;TEXT(MAX($P$2:$P262)+1,"0000"))</f>
        <v/>
      </c>
      <c r="B263" s="36" t="n"/>
      <c r="C263" s="36" t="n"/>
      <c r="D263" s="36" t="n"/>
      <c r="E263" s="36" t="n"/>
      <c r="F263" s="36" t="n"/>
      <c r="G263" s="36" t="n"/>
      <c r="H263" s="36" t="n"/>
      <c r="I263">
        <f>IF($A263="","",IFERROR(IF(ISBLANK(INDEX(SprintPlanning[Sprint],MATCH($A263,SprintPlanning[Requirement ID],0))),"To Plan",INDEX(SprintPlanning[Sprint],MATCH($A263,SprintPlanning[Requirement ID],0))),"To Plan"))</f>
        <v/>
      </c>
      <c r="J263" s="36" t="n"/>
      <c r="K263">
        <f>IFERROR(IF(ISBLANK(INDEX(Release[Release],MATCH($A263,Release[Requirement ID],0))),"",INDEX(Release[Release],MATCH($A263,Release[Requirement ID],0))),"")</f>
        <v/>
      </c>
      <c r="L263" s="36" t="n"/>
      <c r="M263" s="36" t="n"/>
      <c r="N263" s="36" t="n"/>
      <c r="O263">
        <f>IF($N263="","","https://smartship.atlassian.net/browse/"&amp;$N263)</f>
        <v/>
      </c>
      <c r="P263">
        <f>IFERROR(VALUE(MID($A263,5,4)),0)</f>
        <v/>
      </c>
    </row>
    <row r="264" hidden="1" ht="15" customHeight="1">
      <c r="A264" s="35">
        <f>IF(B264="","","NEW-"&amp;TEXT(MAX($P$2:$P263)+1,"0000"))</f>
        <v/>
      </c>
      <c r="B264" s="36" t="n"/>
      <c r="C264" s="36" t="n"/>
      <c r="D264" s="36" t="n"/>
      <c r="E264" s="36" t="n"/>
      <c r="F264" s="36" t="n"/>
      <c r="G264" s="36" t="n"/>
      <c r="H264" s="36" t="n"/>
      <c r="I264">
        <f>IF($A264="","",IFERROR(IF(ISBLANK(INDEX(SprintPlanning[Sprint],MATCH($A264,SprintPlanning[Requirement ID],0))),"To Plan",INDEX(SprintPlanning[Sprint],MATCH($A264,SprintPlanning[Requirement ID],0))),"To Plan"))</f>
        <v/>
      </c>
      <c r="J264" s="36" t="n"/>
      <c r="K264">
        <f>IFERROR(IF(ISBLANK(INDEX(Release[Release],MATCH($A264,Release[Requirement ID],0))),"",INDEX(Release[Release],MATCH($A264,Release[Requirement ID],0))),"")</f>
        <v/>
      </c>
      <c r="L264" s="36" t="n"/>
      <c r="M264" s="36" t="n"/>
      <c r="N264" s="36" t="n"/>
      <c r="O264">
        <f>IF($N264="","","https://smartship.atlassian.net/browse/"&amp;$N264)</f>
        <v/>
      </c>
      <c r="P264">
        <f>IFERROR(VALUE(MID($A264,5,4)),0)</f>
        <v/>
      </c>
    </row>
    <row r="265" hidden="1" ht="15" customHeight="1">
      <c r="A265" s="35">
        <f>IF(B265="","","NEW-"&amp;TEXT(MAX($P$2:$P264)+1,"0000"))</f>
        <v/>
      </c>
      <c r="B265" s="36" t="n"/>
      <c r="C265" s="36" t="n"/>
      <c r="D265" s="36" t="n"/>
      <c r="E265" s="36" t="n"/>
      <c r="F265" s="36" t="n"/>
      <c r="G265" s="36" t="n"/>
      <c r="H265" s="36" t="n"/>
      <c r="I265">
        <f>IF($A265="","",IFERROR(IF(ISBLANK(INDEX(SprintPlanning[Sprint],MATCH($A265,SprintPlanning[Requirement ID],0))),"To Plan",INDEX(SprintPlanning[Sprint],MATCH($A265,SprintPlanning[Requirement ID],0))),"To Plan"))</f>
        <v/>
      </c>
      <c r="J265" s="36" t="n"/>
      <c r="K265">
        <f>IFERROR(IF(ISBLANK(INDEX(Release[Release],MATCH($A265,Release[Requirement ID],0))),"",INDEX(Release[Release],MATCH($A265,Release[Requirement ID],0))),"")</f>
        <v/>
      </c>
      <c r="L265" s="36" t="n"/>
      <c r="M265" s="36" t="n"/>
      <c r="N265" s="36" t="n"/>
      <c r="O265">
        <f>IF($N265="","","https://smartship.atlassian.net/browse/"&amp;$N265)</f>
        <v/>
      </c>
      <c r="P265">
        <f>IFERROR(VALUE(MID($A265,5,4)),0)</f>
        <v/>
      </c>
    </row>
    <row r="266" hidden="1" ht="15" customHeight="1">
      <c r="A266" s="35">
        <f>IF(B266="","","NEW-"&amp;TEXT(MAX($P$2:$P265)+1,"0000"))</f>
        <v/>
      </c>
      <c r="B266" s="36" t="n"/>
      <c r="C266" s="36" t="n"/>
      <c r="D266" s="36" t="n"/>
      <c r="E266" s="36" t="n"/>
      <c r="F266" s="36" t="n"/>
      <c r="G266" s="36" t="n"/>
      <c r="H266" s="36" t="n"/>
      <c r="I266">
        <f>IF($A266="","",IFERROR(IF(ISBLANK(INDEX(SprintPlanning[Sprint],MATCH($A266,SprintPlanning[Requirement ID],0))),"To Plan",INDEX(SprintPlanning[Sprint],MATCH($A266,SprintPlanning[Requirement ID],0))),"To Plan"))</f>
        <v/>
      </c>
      <c r="J266" s="36" t="n"/>
      <c r="K266">
        <f>IFERROR(IF(ISBLANK(INDEX(Release[Release],MATCH($A266,Release[Requirement ID],0))),"",INDEX(Release[Release],MATCH($A266,Release[Requirement ID],0))),"")</f>
        <v/>
      </c>
      <c r="L266" s="36" t="n"/>
      <c r="M266" s="36" t="n"/>
      <c r="N266" s="36" t="n"/>
      <c r="O266">
        <f>IF($N266="","","https://smartship.atlassian.net/browse/"&amp;$N266)</f>
        <v/>
      </c>
      <c r="P266">
        <f>IFERROR(VALUE(MID($A266,5,4)),0)</f>
        <v/>
      </c>
    </row>
    <row r="267" hidden="1" ht="15" customHeight="1">
      <c r="A267" s="35">
        <f>IF(B267="","","NEW-"&amp;TEXT(MAX($P$2:$P266)+1,"0000"))</f>
        <v/>
      </c>
      <c r="B267" s="36" t="n"/>
      <c r="C267" s="36" t="n"/>
      <c r="D267" s="36" t="n"/>
      <c r="E267" s="36" t="n"/>
      <c r="F267" s="36" t="n"/>
      <c r="G267" s="36" t="n"/>
      <c r="H267" s="36" t="n"/>
      <c r="I267">
        <f>IF($A267="","",IFERROR(IF(ISBLANK(INDEX(SprintPlanning[Sprint],MATCH($A267,SprintPlanning[Requirement ID],0))),"To Plan",INDEX(SprintPlanning[Sprint],MATCH($A267,SprintPlanning[Requirement ID],0))),"To Plan"))</f>
        <v/>
      </c>
      <c r="J267" s="36" t="n"/>
      <c r="K267">
        <f>IFERROR(IF(ISBLANK(INDEX(Release[Release],MATCH($A267,Release[Requirement ID],0))),"",INDEX(Release[Release],MATCH($A267,Release[Requirement ID],0))),"")</f>
        <v/>
      </c>
      <c r="L267" s="36" t="n"/>
      <c r="M267" s="36" t="n"/>
      <c r="N267" s="36" t="n"/>
      <c r="O267">
        <f>IF($N267="","","https://smartship.atlassian.net/browse/"&amp;$N267)</f>
        <v/>
      </c>
      <c r="P267">
        <f>IFERROR(VALUE(MID($A267,5,4)),0)</f>
        <v/>
      </c>
    </row>
    <row r="268" hidden="1" ht="15" customHeight="1">
      <c r="A268" s="35">
        <f>IF(B268="","","NEW-"&amp;TEXT(MAX($P$2:$P267)+1,"0000"))</f>
        <v/>
      </c>
      <c r="B268" s="36" t="n"/>
      <c r="C268" s="36" t="n"/>
      <c r="D268" s="36" t="n"/>
      <c r="E268" s="36" t="n"/>
      <c r="F268" s="36" t="n"/>
      <c r="G268" s="36" t="n"/>
      <c r="H268" s="36" t="n"/>
      <c r="I268">
        <f>IF($A268="","",IFERROR(IF(ISBLANK(INDEX(SprintPlanning[Sprint],MATCH($A268,SprintPlanning[Requirement ID],0))),"To Plan",INDEX(SprintPlanning[Sprint],MATCH($A268,SprintPlanning[Requirement ID],0))),"To Plan"))</f>
        <v/>
      </c>
      <c r="J268" s="36" t="n"/>
      <c r="K268">
        <f>IFERROR(IF(ISBLANK(INDEX(Release[Release],MATCH($A268,Release[Requirement ID],0))),"",INDEX(Release[Release],MATCH($A268,Release[Requirement ID],0))),"")</f>
        <v/>
      </c>
      <c r="L268" s="36" t="n"/>
      <c r="M268" s="36" t="n"/>
      <c r="N268" s="36" t="n"/>
      <c r="O268">
        <f>IF($N268="","","https://smartship.atlassian.net/browse/"&amp;$N268)</f>
        <v/>
      </c>
      <c r="P268">
        <f>IFERROR(VALUE(MID($A268,5,4)),0)</f>
        <v/>
      </c>
    </row>
    <row r="269" hidden="1" ht="15" customHeight="1">
      <c r="A269" s="35">
        <f>IF(B269="","","NEW-"&amp;TEXT(MAX($P$2:$P268)+1,"0000"))</f>
        <v/>
      </c>
      <c r="B269" s="36" t="n"/>
      <c r="C269" s="36" t="n"/>
      <c r="D269" s="36" t="n"/>
      <c r="E269" s="36" t="n"/>
      <c r="F269" s="36" t="n"/>
      <c r="G269" s="36" t="n"/>
      <c r="H269" s="36" t="n"/>
      <c r="I269">
        <f>IF($A269="","",IFERROR(IF(ISBLANK(INDEX(SprintPlanning[Sprint],MATCH($A269,SprintPlanning[Requirement ID],0))),"To Plan",INDEX(SprintPlanning[Sprint],MATCH($A269,SprintPlanning[Requirement ID],0))),"To Plan"))</f>
        <v/>
      </c>
      <c r="J269" s="36" t="n"/>
      <c r="K269">
        <f>IFERROR(IF(ISBLANK(INDEX(Release[Release],MATCH($A269,Release[Requirement ID],0))),"",INDEX(Release[Release],MATCH($A269,Release[Requirement ID],0))),"")</f>
        <v/>
      </c>
      <c r="L269" s="36" t="n"/>
      <c r="M269" s="36" t="n"/>
      <c r="N269" s="36" t="n"/>
      <c r="O269">
        <f>IF($N269="","","https://smartship.atlassian.net/browse/"&amp;$N269)</f>
        <v/>
      </c>
      <c r="P269">
        <f>IFERROR(VALUE(MID($A269,5,4)),0)</f>
        <v/>
      </c>
    </row>
    <row r="270" hidden="1" ht="15" customHeight="1">
      <c r="A270" s="35">
        <f>IF(B270="","","NEW-"&amp;TEXT(MAX($P$2:$P269)+1,"0000"))</f>
        <v/>
      </c>
      <c r="B270" s="36" t="n"/>
      <c r="C270" s="36" t="n"/>
      <c r="D270" s="36" t="n"/>
      <c r="E270" s="36" t="n"/>
      <c r="F270" s="36" t="n"/>
      <c r="G270" s="36" t="n"/>
      <c r="H270" s="36" t="n"/>
      <c r="I270">
        <f>IF($A270="","",IFERROR(IF(ISBLANK(INDEX(SprintPlanning[Sprint],MATCH($A270,SprintPlanning[Requirement ID],0))),"To Plan",INDEX(SprintPlanning[Sprint],MATCH($A270,SprintPlanning[Requirement ID],0))),"To Plan"))</f>
        <v/>
      </c>
      <c r="J270" s="36" t="n"/>
      <c r="K270">
        <f>IFERROR(IF(ISBLANK(INDEX(Release[Release],MATCH($A270,Release[Requirement ID],0))),"",INDEX(Release[Release],MATCH($A270,Release[Requirement ID],0))),"")</f>
        <v/>
      </c>
      <c r="L270" s="36" t="n"/>
      <c r="M270" s="36" t="n"/>
      <c r="N270" s="36" t="n"/>
      <c r="O270">
        <f>IF($N270="","","https://smartship.atlassian.net/browse/"&amp;$N270)</f>
        <v/>
      </c>
      <c r="P270">
        <f>IFERROR(VALUE(MID($A270,5,4)),0)</f>
        <v/>
      </c>
    </row>
    <row r="271" hidden="1" ht="15" customHeight="1">
      <c r="A271" s="35">
        <f>IF(B271="","","NEW-"&amp;TEXT(MAX($P$2:$P270)+1,"0000"))</f>
        <v/>
      </c>
      <c r="B271" s="36" t="n"/>
      <c r="C271" s="36" t="n"/>
      <c r="D271" s="36" t="n"/>
      <c r="E271" s="36" t="n"/>
      <c r="F271" s="36" t="n"/>
      <c r="G271" s="36" t="n"/>
      <c r="H271" s="36" t="n"/>
      <c r="I271">
        <f>IF($A271="","",IFERROR(IF(ISBLANK(INDEX(SprintPlanning[Sprint],MATCH($A271,SprintPlanning[Requirement ID],0))),"To Plan",INDEX(SprintPlanning[Sprint],MATCH($A271,SprintPlanning[Requirement ID],0))),"To Plan"))</f>
        <v/>
      </c>
      <c r="J271" s="36" t="n"/>
      <c r="K271">
        <f>IFERROR(IF(ISBLANK(INDEX(Release[Release],MATCH($A271,Release[Requirement ID],0))),"",INDEX(Release[Release],MATCH($A271,Release[Requirement ID],0))),"")</f>
        <v/>
      </c>
      <c r="L271" s="36" t="n"/>
      <c r="M271" s="36" t="n"/>
      <c r="N271" s="36" t="n"/>
      <c r="O271">
        <f>IF($N271="","","https://smartship.atlassian.net/browse/"&amp;$N271)</f>
        <v/>
      </c>
      <c r="P271">
        <f>IFERROR(VALUE(MID($A271,5,4)),0)</f>
        <v/>
      </c>
    </row>
    <row r="272" hidden="1" ht="15" customHeight="1">
      <c r="A272" s="35">
        <f>IF(B272="","","NEW-"&amp;TEXT(MAX($P$2:$P271)+1,"0000"))</f>
        <v/>
      </c>
      <c r="B272" s="36" t="n"/>
      <c r="C272" s="36" t="n"/>
      <c r="D272" s="36" t="n"/>
      <c r="E272" s="36" t="n"/>
      <c r="F272" s="36" t="n"/>
      <c r="G272" s="36" t="n"/>
      <c r="H272" s="36" t="n"/>
      <c r="I272">
        <f>IF($A272="","",IFERROR(IF(ISBLANK(INDEX(SprintPlanning[Sprint],MATCH($A272,SprintPlanning[Requirement ID],0))),"To Plan",INDEX(SprintPlanning[Sprint],MATCH($A272,SprintPlanning[Requirement ID],0))),"To Plan"))</f>
        <v/>
      </c>
      <c r="J272" s="36" t="n"/>
      <c r="K272">
        <f>IFERROR(IF(ISBLANK(INDEX(Release[Release],MATCH($A272,Release[Requirement ID],0))),"",INDEX(Release[Release],MATCH($A272,Release[Requirement ID],0))),"")</f>
        <v/>
      </c>
      <c r="L272" s="36" t="n"/>
      <c r="M272" s="36" t="n"/>
      <c r="N272" s="36" t="n"/>
      <c r="O272">
        <f>IF($N272="","","https://smartship.atlassian.net/browse/"&amp;$N272)</f>
        <v/>
      </c>
      <c r="P272">
        <f>IFERROR(VALUE(MID($A272,5,4)),0)</f>
        <v/>
      </c>
    </row>
    <row r="273" hidden="1" ht="15" customHeight="1">
      <c r="A273" s="35">
        <f>IF(B273="","","NEW-"&amp;TEXT(MAX($P$2:$P272)+1,"0000"))</f>
        <v/>
      </c>
      <c r="B273" s="36" t="n"/>
      <c r="C273" s="36" t="n"/>
      <c r="D273" s="36" t="n"/>
      <c r="E273" s="36" t="n"/>
      <c r="F273" s="36" t="n"/>
      <c r="G273" s="36" t="n"/>
      <c r="H273" s="36" t="n"/>
      <c r="I273">
        <f>IF($A273="","",IFERROR(IF(ISBLANK(INDEX(SprintPlanning[Sprint],MATCH($A273,SprintPlanning[Requirement ID],0))),"To Plan",INDEX(SprintPlanning[Sprint],MATCH($A273,SprintPlanning[Requirement ID],0))),"To Plan"))</f>
        <v/>
      </c>
      <c r="J273" s="36" t="n"/>
      <c r="K273">
        <f>IFERROR(IF(ISBLANK(INDEX(Release[Release],MATCH($A273,Release[Requirement ID],0))),"",INDEX(Release[Release],MATCH($A273,Release[Requirement ID],0))),"")</f>
        <v/>
      </c>
      <c r="L273" s="36" t="n"/>
      <c r="M273" s="36" t="n"/>
      <c r="N273" s="36" t="n"/>
      <c r="O273">
        <f>IF($N273="","","https://smartship.atlassian.net/browse/"&amp;$N273)</f>
        <v/>
      </c>
      <c r="P273">
        <f>IFERROR(VALUE(MID($A273,5,4)),0)</f>
        <v/>
      </c>
    </row>
    <row r="274" hidden="1" ht="15" customHeight="1">
      <c r="A274" s="35">
        <f>IF(B274="","","NEW-"&amp;TEXT(MAX($P$2:$P273)+1,"0000"))</f>
        <v/>
      </c>
      <c r="B274" s="36" t="n"/>
      <c r="C274" s="36" t="n"/>
      <c r="D274" s="36" t="n"/>
      <c r="E274" s="36" t="n"/>
      <c r="F274" s="36" t="n"/>
      <c r="G274" s="36" t="n"/>
      <c r="H274" s="36" t="n"/>
      <c r="I274">
        <f>IF($A274="","",IFERROR(IF(ISBLANK(INDEX(SprintPlanning[Sprint],MATCH($A274,SprintPlanning[Requirement ID],0))),"To Plan",INDEX(SprintPlanning[Sprint],MATCH($A274,SprintPlanning[Requirement ID],0))),"To Plan"))</f>
        <v/>
      </c>
      <c r="J274" s="36" t="n"/>
      <c r="K274">
        <f>IFERROR(IF(ISBLANK(INDEX(Release[Release],MATCH($A274,Release[Requirement ID],0))),"",INDEX(Release[Release],MATCH($A274,Release[Requirement ID],0))),"")</f>
        <v/>
      </c>
      <c r="L274" s="36" t="n"/>
      <c r="M274" s="36" t="n"/>
      <c r="N274" s="36" t="n"/>
      <c r="O274">
        <f>IF($N274="","","https://smartship.atlassian.net/browse/"&amp;$N274)</f>
        <v/>
      </c>
      <c r="P274">
        <f>IFERROR(VALUE(MID($A274,5,4)),0)</f>
        <v/>
      </c>
    </row>
    <row r="275" hidden="1" ht="15" customHeight="1">
      <c r="A275" s="35">
        <f>IF(B275="","","NEW-"&amp;TEXT(MAX($P$2:$P274)+1,"0000"))</f>
        <v/>
      </c>
      <c r="B275" s="36" t="n"/>
      <c r="C275" s="36" t="n"/>
      <c r="D275" s="36" t="n"/>
      <c r="E275" s="36" t="n"/>
      <c r="F275" s="36" t="n"/>
      <c r="G275" s="36" t="n"/>
      <c r="H275" s="36" t="n"/>
      <c r="I275">
        <f>IF($A275="","",IFERROR(IF(ISBLANK(INDEX(SprintPlanning[Sprint],MATCH($A275,SprintPlanning[Requirement ID],0))),"To Plan",INDEX(SprintPlanning[Sprint],MATCH($A275,SprintPlanning[Requirement ID],0))),"To Plan"))</f>
        <v/>
      </c>
      <c r="J275" s="36" t="n"/>
      <c r="K275">
        <f>IFERROR(IF(ISBLANK(INDEX(Release[Release],MATCH($A275,Release[Requirement ID],0))),"",INDEX(Release[Release],MATCH($A275,Release[Requirement ID],0))),"")</f>
        <v/>
      </c>
      <c r="L275" s="36" t="n"/>
      <c r="M275" s="36" t="n"/>
      <c r="N275" s="36" t="n"/>
      <c r="O275">
        <f>IF($N275="","","https://smartship.atlassian.net/browse/"&amp;$N275)</f>
        <v/>
      </c>
      <c r="P275">
        <f>IFERROR(VALUE(MID($A275,5,4)),0)</f>
        <v/>
      </c>
    </row>
    <row r="276" hidden="1" ht="15" customHeight="1">
      <c r="A276" s="35">
        <f>IF(B276="","","NEW-"&amp;TEXT(MAX($P$2:$P275)+1,"0000"))</f>
        <v/>
      </c>
      <c r="B276" s="36" t="n"/>
      <c r="C276" s="36" t="n"/>
      <c r="D276" s="36" t="n"/>
      <c r="E276" s="36" t="n"/>
      <c r="F276" s="36" t="n"/>
      <c r="G276" s="36" t="n"/>
      <c r="H276" s="36" t="n"/>
      <c r="I276">
        <f>IF($A276="","",IFERROR(IF(ISBLANK(INDEX(SprintPlanning[Sprint],MATCH($A276,SprintPlanning[Requirement ID],0))),"To Plan",INDEX(SprintPlanning[Sprint],MATCH($A276,SprintPlanning[Requirement ID],0))),"To Plan"))</f>
        <v/>
      </c>
      <c r="J276" s="36" t="n"/>
      <c r="K276">
        <f>IFERROR(IF(ISBLANK(INDEX(Release[Release],MATCH($A276,Release[Requirement ID],0))),"",INDEX(Release[Release],MATCH($A276,Release[Requirement ID],0))),"")</f>
        <v/>
      </c>
      <c r="L276" s="36" t="n"/>
      <c r="M276" s="36" t="n"/>
      <c r="N276" s="36" t="n"/>
      <c r="O276">
        <f>IF($N276="","","https://smartship.atlassian.net/browse/"&amp;$N276)</f>
        <v/>
      </c>
      <c r="P276">
        <f>IFERROR(VALUE(MID($A276,5,4)),0)</f>
        <v/>
      </c>
    </row>
    <row r="277" hidden="1" ht="15" customHeight="1">
      <c r="A277" s="35">
        <f>IF(B277="","","NEW-"&amp;TEXT(MAX($P$2:$P276)+1,"0000"))</f>
        <v/>
      </c>
      <c r="B277" s="36" t="n"/>
      <c r="C277" s="36" t="n"/>
      <c r="D277" s="36" t="n"/>
      <c r="E277" s="36" t="n"/>
      <c r="F277" s="36" t="n"/>
      <c r="G277" s="36" t="n"/>
      <c r="H277" s="36" t="n"/>
      <c r="I277">
        <f>IF($A277="","",IFERROR(IF(ISBLANK(INDEX(SprintPlanning[Sprint],MATCH($A277,SprintPlanning[Requirement ID],0))),"To Plan",INDEX(SprintPlanning[Sprint],MATCH($A277,SprintPlanning[Requirement ID],0))),"To Plan"))</f>
        <v/>
      </c>
      <c r="J277" s="36" t="n"/>
      <c r="K277">
        <f>IFERROR(IF(ISBLANK(INDEX(Release[Release],MATCH($A277,Release[Requirement ID],0))),"",INDEX(Release[Release],MATCH($A277,Release[Requirement ID],0))),"")</f>
        <v/>
      </c>
      <c r="L277" s="36" t="n"/>
      <c r="M277" s="36" t="n"/>
      <c r="N277" s="36" t="n"/>
      <c r="O277">
        <f>IF($N277="","","https://smartship.atlassian.net/browse/"&amp;$N277)</f>
        <v/>
      </c>
      <c r="P277">
        <f>IFERROR(VALUE(MID($A277,5,4)),0)</f>
        <v/>
      </c>
    </row>
    <row r="278" hidden="1" ht="15" customHeight="1">
      <c r="A278" s="35">
        <f>IF(B278="","","NEW-"&amp;TEXT(MAX($P$2:$P277)+1,"0000"))</f>
        <v/>
      </c>
      <c r="B278" s="36" t="n"/>
      <c r="C278" s="36" t="n"/>
      <c r="D278" s="36" t="n"/>
      <c r="E278" s="36" t="n"/>
      <c r="F278" s="36" t="n"/>
      <c r="G278" s="36" t="n"/>
      <c r="H278" s="36" t="n"/>
      <c r="I278">
        <f>IF($A278="","",IFERROR(IF(ISBLANK(INDEX(SprintPlanning[Sprint],MATCH($A278,SprintPlanning[Requirement ID],0))),"To Plan",INDEX(SprintPlanning[Sprint],MATCH($A278,SprintPlanning[Requirement ID],0))),"To Plan"))</f>
        <v/>
      </c>
      <c r="J278" s="36" t="n"/>
      <c r="K278">
        <f>IFERROR(IF(ISBLANK(INDEX(Release[Release],MATCH($A278,Release[Requirement ID],0))),"",INDEX(Release[Release],MATCH($A278,Release[Requirement ID],0))),"")</f>
        <v/>
      </c>
      <c r="L278" s="36" t="n"/>
      <c r="M278" s="36" t="n"/>
      <c r="N278" s="36" t="n"/>
      <c r="O278">
        <f>IF($N278="","","https://smartship.atlassian.net/browse/"&amp;$N278)</f>
        <v/>
      </c>
      <c r="P278">
        <f>IFERROR(VALUE(MID($A278,5,4)),0)</f>
        <v/>
      </c>
    </row>
    <row r="279" hidden="1" ht="15" customHeight="1">
      <c r="A279" s="35">
        <f>IF(B279="","","NEW-"&amp;TEXT(MAX($P$2:$P278)+1,"0000"))</f>
        <v/>
      </c>
      <c r="B279" s="36" t="n"/>
      <c r="C279" s="36" t="n"/>
      <c r="D279" s="36" t="n"/>
      <c r="E279" s="36" t="n"/>
      <c r="F279" s="36" t="n"/>
      <c r="G279" s="36" t="n"/>
      <c r="H279" s="36" t="n"/>
      <c r="I279">
        <f>IF($A279="","",IFERROR(IF(ISBLANK(INDEX(SprintPlanning[Sprint],MATCH($A279,SprintPlanning[Requirement ID],0))),"To Plan",INDEX(SprintPlanning[Sprint],MATCH($A279,SprintPlanning[Requirement ID],0))),"To Plan"))</f>
        <v/>
      </c>
      <c r="J279" s="36" t="n"/>
      <c r="K279">
        <f>IFERROR(IF(ISBLANK(INDEX(Release[Release],MATCH($A279,Release[Requirement ID],0))),"",INDEX(Release[Release],MATCH($A279,Release[Requirement ID],0))),"")</f>
        <v/>
      </c>
      <c r="L279" s="36" t="n"/>
      <c r="M279" s="36" t="n"/>
      <c r="N279" s="36" t="n"/>
      <c r="O279">
        <f>IF($N279="","","https://smartship.atlassian.net/browse/"&amp;$N279)</f>
        <v/>
      </c>
      <c r="P279">
        <f>IFERROR(VALUE(MID($A279,5,4)),0)</f>
        <v/>
      </c>
    </row>
    <row r="280" hidden="1" ht="15" customHeight="1">
      <c r="A280" s="35">
        <f>IF(B280="","","NEW-"&amp;TEXT(MAX($P$2:$P279)+1,"0000"))</f>
        <v/>
      </c>
      <c r="B280" s="36" t="n"/>
      <c r="C280" s="36" t="n"/>
      <c r="D280" s="36" t="n"/>
      <c r="E280" s="36" t="n"/>
      <c r="F280" s="36" t="n"/>
      <c r="G280" s="36" t="n"/>
      <c r="H280" s="36" t="n"/>
      <c r="I280">
        <f>IF($A280="","",IFERROR(IF(ISBLANK(INDEX(SprintPlanning[Sprint],MATCH($A280,SprintPlanning[Requirement ID],0))),"To Plan",INDEX(SprintPlanning[Sprint],MATCH($A280,SprintPlanning[Requirement ID],0))),"To Plan"))</f>
        <v/>
      </c>
      <c r="J280" s="36" t="n"/>
      <c r="K280">
        <f>IFERROR(IF(ISBLANK(INDEX(Release[Release],MATCH($A280,Release[Requirement ID],0))),"",INDEX(Release[Release],MATCH($A280,Release[Requirement ID],0))),"")</f>
        <v/>
      </c>
      <c r="L280" s="36" t="n"/>
      <c r="M280" s="36" t="n"/>
      <c r="N280" s="36" t="n"/>
      <c r="O280">
        <f>IF($N280="","","https://smartship.atlassian.net/browse/"&amp;$N280)</f>
        <v/>
      </c>
      <c r="P280">
        <f>IFERROR(VALUE(MID($A280,5,4)),0)</f>
        <v/>
      </c>
    </row>
    <row r="281" hidden="1" ht="15" customHeight="1">
      <c r="A281" s="35">
        <f>IF(B281="","","NEW-"&amp;TEXT(MAX($P$2:$P280)+1,"0000"))</f>
        <v/>
      </c>
      <c r="B281" s="36" t="n"/>
      <c r="C281" s="36" t="n"/>
      <c r="D281" s="36" t="n"/>
      <c r="E281" s="36" t="n"/>
      <c r="F281" s="36" t="n"/>
      <c r="G281" s="36" t="n"/>
      <c r="H281" s="36" t="n"/>
      <c r="I281">
        <f>IF($A281="","",IFERROR(IF(ISBLANK(INDEX(SprintPlanning[Sprint],MATCH($A281,SprintPlanning[Requirement ID],0))),"To Plan",INDEX(SprintPlanning[Sprint],MATCH($A281,SprintPlanning[Requirement ID],0))),"To Plan"))</f>
        <v/>
      </c>
      <c r="J281" s="36" t="n"/>
      <c r="K281">
        <f>IFERROR(IF(ISBLANK(INDEX(Release[Release],MATCH($A281,Release[Requirement ID],0))),"",INDEX(Release[Release],MATCH($A281,Release[Requirement ID],0))),"")</f>
        <v/>
      </c>
      <c r="L281" s="36" t="n"/>
      <c r="M281" s="36" t="n"/>
      <c r="N281" s="36" t="n"/>
      <c r="O281">
        <f>IF($N281="","","https://smartship.atlassian.net/browse/"&amp;$N281)</f>
        <v/>
      </c>
      <c r="P281">
        <f>IFERROR(VALUE(MID($A281,5,4)),0)</f>
        <v/>
      </c>
    </row>
    <row r="282" hidden="1" ht="15" customHeight="1">
      <c r="A282" s="35">
        <f>IF(B282="","","NEW-"&amp;TEXT(MAX($P$2:$P281)+1,"0000"))</f>
        <v/>
      </c>
      <c r="B282" s="36" t="n"/>
      <c r="C282" s="36" t="n"/>
      <c r="D282" s="36" t="n"/>
      <c r="E282" s="36" t="n"/>
      <c r="F282" s="36" t="n"/>
      <c r="G282" s="36" t="n"/>
      <c r="H282" s="36" t="n"/>
      <c r="I282">
        <f>IF($A282="","",IFERROR(IF(ISBLANK(INDEX(SprintPlanning[Sprint],MATCH($A282,SprintPlanning[Requirement ID],0))),"To Plan",INDEX(SprintPlanning[Sprint],MATCH($A282,SprintPlanning[Requirement ID],0))),"To Plan"))</f>
        <v/>
      </c>
      <c r="J282" s="36" t="n"/>
      <c r="K282">
        <f>IFERROR(IF(ISBLANK(INDEX(Release[Release],MATCH($A282,Release[Requirement ID],0))),"",INDEX(Release[Release],MATCH($A282,Release[Requirement ID],0))),"")</f>
        <v/>
      </c>
      <c r="L282" s="36" t="n"/>
      <c r="M282" s="36" t="n"/>
      <c r="N282" s="36" t="n"/>
      <c r="O282">
        <f>IF($N282="","","https://smartship.atlassian.net/browse/"&amp;$N282)</f>
        <v/>
      </c>
      <c r="P282">
        <f>IFERROR(VALUE(MID($A282,5,4)),0)</f>
        <v/>
      </c>
    </row>
    <row r="283" hidden="1" ht="15" customHeight="1">
      <c r="A283" s="35">
        <f>IF(B283="","","NEW-"&amp;TEXT(MAX($P$2:$P282)+1,"0000"))</f>
        <v/>
      </c>
      <c r="B283" s="36" t="n"/>
      <c r="C283" s="36" t="n"/>
      <c r="D283" s="36" t="n"/>
      <c r="E283" s="36" t="n"/>
      <c r="F283" s="36" t="n"/>
      <c r="G283" s="36" t="n"/>
      <c r="H283" s="36" t="n"/>
      <c r="I283">
        <f>IF($A283="","",IFERROR(IF(ISBLANK(INDEX(SprintPlanning[Sprint],MATCH($A283,SprintPlanning[Requirement ID],0))),"To Plan",INDEX(SprintPlanning[Sprint],MATCH($A283,SprintPlanning[Requirement ID],0))),"To Plan"))</f>
        <v/>
      </c>
      <c r="J283" s="36" t="n"/>
      <c r="K283">
        <f>IFERROR(IF(ISBLANK(INDEX(Release[Release],MATCH($A283,Release[Requirement ID],0))),"",INDEX(Release[Release],MATCH($A283,Release[Requirement ID],0))),"")</f>
        <v/>
      </c>
      <c r="L283" s="36" t="n"/>
      <c r="M283" s="36" t="n"/>
      <c r="N283" s="36" t="n"/>
      <c r="O283">
        <f>IF($N283="","","https://smartship.atlassian.net/browse/"&amp;$N283)</f>
        <v/>
      </c>
      <c r="P283">
        <f>IFERROR(VALUE(MID($A283,5,4)),0)</f>
        <v/>
      </c>
    </row>
    <row r="284" hidden="1" ht="15" customHeight="1">
      <c r="A284" s="35">
        <f>IF(B284="","","NEW-"&amp;TEXT(MAX($P$2:$P283)+1,"0000"))</f>
        <v/>
      </c>
      <c r="B284" s="36" t="n"/>
      <c r="C284" s="36" t="n"/>
      <c r="D284" s="36" t="n"/>
      <c r="E284" s="36" t="n"/>
      <c r="F284" s="36" t="n"/>
      <c r="G284" s="36" t="n"/>
      <c r="H284" s="36" t="n"/>
      <c r="I284">
        <f>IF($A284="","",IFERROR(IF(ISBLANK(INDEX(SprintPlanning[Sprint],MATCH($A284,SprintPlanning[Requirement ID],0))),"To Plan",INDEX(SprintPlanning[Sprint],MATCH($A284,SprintPlanning[Requirement ID],0))),"To Plan"))</f>
        <v/>
      </c>
      <c r="J284" s="36" t="n"/>
      <c r="K284">
        <f>IFERROR(IF(ISBLANK(INDEX(Release[Release],MATCH($A284,Release[Requirement ID],0))),"",INDEX(Release[Release],MATCH($A284,Release[Requirement ID],0))),"")</f>
        <v/>
      </c>
      <c r="L284" s="36" t="n"/>
      <c r="M284" s="36" t="n"/>
      <c r="N284" s="36" t="n"/>
      <c r="O284">
        <f>IF($N284="","","https://smartship.atlassian.net/browse/"&amp;$N284)</f>
        <v/>
      </c>
      <c r="P284">
        <f>IFERROR(VALUE(MID($A284,5,4)),0)</f>
        <v/>
      </c>
    </row>
    <row r="285" hidden="1" ht="15" customHeight="1">
      <c r="A285" s="35">
        <f>IF(B285="","","NEW-"&amp;TEXT(MAX($P$2:$P284)+1,"0000"))</f>
        <v/>
      </c>
      <c r="B285" s="36" t="n"/>
      <c r="C285" s="36" t="n"/>
      <c r="D285" s="36" t="n"/>
      <c r="E285" s="36" t="n"/>
      <c r="F285" s="36" t="n"/>
      <c r="G285" s="36" t="n"/>
      <c r="H285" s="36" t="n"/>
      <c r="I285">
        <f>IF($A285="","",IFERROR(IF(ISBLANK(INDEX(SprintPlanning[Sprint],MATCH($A285,SprintPlanning[Requirement ID],0))),"To Plan",INDEX(SprintPlanning[Sprint],MATCH($A285,SprintPlanning[Requirement ID],0))),"To Plan"))</f>
        <v/>
      </c>
      <c r="J285" s="36" t="n"/>
      <c r="K285">
        <f>IFERROR(IF(ISBLANK(INDEX(Release[Release],MATCH($A285,Release[Requirement ID],0))),"",INDEX(Release[Release],MATCH($A285,Release[Requirement ID],0))),"")</f>
        <v/>
      </c>
      <c r="L285" s="36" t="n"/>
      <c r="M285" s="36" t="n"/>
      <c r="N285" s="36" t="n"/>
      <c r="O285">
        <f>IF($N285="","","https://smartship.atlassian.net/browse/"&amp;$N285)</f>
        <v/>
      </c>
      <c r="P285">
        <f>IFERROR(VALUE(MID($A285,5,4)),0)</f>
        <v/>
      </c>
    </row>
    <row r="286" hidden="1" ht="15" customHeight="1">
      <c r="A286" s="35">
        <f>IF(B286="","","NEW-"&amp;TEXT(MAX($P$2:$P285)+1,"0000"))</f>
        <v/>
      </c>
      <c r="B286" s="36" t="n"/>
      <c r="C286" s="36" t="n"/>
      <c r="D286" s="36" t="n"/>
      <c r="E286" s="36" t="n"/>
      <c r="F286" s="36" t="n"/>
      <c r="G286" s="36" t="n"/>
      <c r="H286" s="36" t="n"/>
      <c r="I286">
        <f>IF($A286="","",IFERROR(IF(ISBLANK(INDEX(SprintPlanning[Sprint],MATCH($A286,SprintPlanning[Requirement ID],0))),"To Plan",INDEX(SprintPlanning[Sprint],MATCH($A286,SprintPlanning[Requirement ID],0))),"To Plan"))</f>
        <v/>
      </c>
      <c r="J286" s="36" t="n"/>
      <c r="K286">
        <f>IFERROR(IF(ISBLANK(INDEX(Release[Release],MATCH($A286,Release[Requirement ID],0))),"",INDEX(Release[Release],MATCH($A286,Release[Requirement ID],0))),"")</f>
        <v/>
      </c>
      <c r="L286" s="36" t="n"/>
      <c r="M286" s="36" t="n"/>
      <c r="N286" s="36" t="n"/>
      <c r="O286">
        <f>IF($N286="","","https://smartship.atlassian.net/browse/"&amp;$N286)</f>
        <v/>
      </c>
      <c r="P286">
        <f>IFERROR(VALUE(MID($A286,5,4)),0)</f>
        <v/>
      </c>
    </row>
    <row r="287" hidden="1" ht="15" customHeight="1">
      <c r="A287" s="35">
        <f>IF(B287="","","NEW-"&amp;TEXT(MAX($P$2:$P286)+1,"0000"))</f>
        <v/>
      </c>
      <c r="B287" s="36" t="n"/>
      <c r="C287" s="36" t="n"/>
      <c r="D287" s="36" t="n"/>
      <c r="E287" s="36" t="n"/>
      <c r="F287" s="36" t="n"/>
      <c r="G287" s="36" t="n"/>
      <c r="H287" s="36" t="n"/>
      <c r="I287">
        <f>IF($A287="","",IFERROR(IF(ISBLANK(INDEX(SprintPlanning[Sprint],MATCH($A287,SprintPlanning[Requirement ID],0))),"To Plan",INDEX(SprintPlanning[Sprint],MATCH($A287,SprintPlanning[Requirement ID],0))),"To Plan"))</f>
        <v/>
      </c>
      <c r="J287" s="36" t="n"/>
      <c r="K287">
        <f>IFERROR(IF(ISBLANK(INDEX(Release[Release],MATCH($A287,Release[Requirement ID],0))),"",INDEX(Release[Release],MATCH($A287,Release[Requirement ID],0))),"")</f>
        <v/>
      </c>
      <c r="L287" s="36" t="n"/>
      <c r="M287" s="36" t="n"/>
      <c r="N287" s="36" t="n"/>
      <c r="O287">
        <f>IF($N287="","","https://smartship.atlassian.net/browse/"&amp;$N287)</f>
        <v/>
      </c>
      <c r="P287">
        <f>IFERROR(VALUE(MID($A287,5,4)),0)</f>
        <v/>
      </c>
    </row>
    <row r="288" hidden="1" ht="15" customHeight="1">
      <c r="A288" s="35">
        <f>IF(B288="","","NEW-"&amp;TEXT(MAX($P$2:$P287)+1,"0000"))</f>
        <v/>
      </c>
      <c r="B288" s="36" t="n"/>
      <c r="C288" s="36" t="n"/>
      <c r="D288" s="36" t="n"/>
      <c r="E288" s="36" t="n"/>
      <c r="F288" s="36" t="n"/>
      <c r="G288" s="36" t="n"/>
      <c r="H288" s="36" t="n"/>
      <c r="I288">
        <f>IF($A288="","",IFERROR(IF(ISBLANK(INDEX(SprintPlanning[Sprint],MATCH($A288,SprintPlanning[Requirement ID],0))),"To Plan",INDEX(SprintPlanning[Sprint],MATCH($A288,SprintPlanning[Requirement ID],0))),"To Plan"))</f>
        <v/>
      </c>
      <c r="J288" s="36" t="n"/>
      <c r="K288">
        <f>IFERROR(IF(ISBLANK(INDEX(Release[Release],MATCH($A288,Release[Requirement ID],0))),"",INDEX(Release[Release],MATCH($A288,Release[Requirement ID],0))),"")</f>
        <v/>
      </c>
      <c r="L288" s="36" t="n"/>
      <c r="M288" s="36" t="n"/>
      <c r="N288" s="36" t="n"/>
      <c r="O288">
        <f>IF($N288="","","https://smartship.atlassian.net/browse/"&amp;$N288)</f>
        <v/>
      </c>
      <c r="P288">
        <f>IFERROR(VALUE(MID($A288,5,4)),0)</f>
        <v/>
      </c>
    </row>
    <row r="289" hidden="1" ht="15" customHeight="1">
      <c r="A289" s="35">
        <f>IF(B289="","","NEW-"&amp;TEXT(MAX($P$2:$P288)+1,"0000"))</f>
        <v/>
      </c>
      <c r="B289" s="36" t="n"/>
      <c r="C289" s="36" t="n"/>
      <c r="D289" s="36" t="n"/>
      <c r="E289" s="36" t="n"/>
      <c r="F289" s="36" t="n"/>
      <c r="G289" s="36" t="n"/>
      <c r="H289" s="36" t="n"/>
      <c r="I289">
        <f>IF($A289="","",IFERROR(IF(ISBLANK(INDEX(SprintPlanning[Sprint],MATCH($A289,SprintPlanning[Requirement ID],0))),"To Plan",INDEX(SprintPlanning[Sprint],MATCH($A289,SprintPlanning[Requirement ID],0))),"To Plan"))</f>
        <v/>
      </c>
      <c r="J289" s="36" t="n"/>
      <c r="K289">
        <f>IFERROR(IF(ISBLANK(INDEX(Release[Release],MATCH($A289,Release[Requirement ID],0))),"",INDEX(Release[Release],MATCH($A289,Release[Requirement ID],0))),"")</f>
        <v/>
      </c>
      <c r="L289" s="36" t="n"/>
      <c r="M289" s="36" t="n"/>
      <c r="N289" s="36" t="n"/>
      <c r="O289">
        <f>IF($N289="","","https://smartship.atlassian.net/browse/"&amp;$N289)</f>
        <v/>
      </c>
      <c r="P289">
        <f>IFERROR(VALUE(MID($A289,5,4)),0)</f>
        <v/>
      </c>
    </row>
    <row r="290" hidden="1" ht="15" customHeight="1">
      <c r="A290" s="35">
        <f>IF(B290="","","NEW-"&amp;TEXT(MAX($P$2:$P289)+1,"0000"))</f>
        <v/>
      </c>
      <c r="B290" s="36" t="n"/>
      <c r="C290" s="36" t="n"/>
      <c r="D290" s="36" t="n"/>
      <c r="E290" s="36" t="n"/>
      <c r="F290" s="36" t="n"/>
      <c r="G290" s="36" t="n"/>
      <c r="H290" s="36" t="n"/>
      <c r="I290">
        <f>IF($A290="","",IFERROR(IF(ISBLANK(INDEX(SprintPlanning[Sprint],MATCH($A290,SprintPlanning[Requirement ID],0))),"To Plan",INDEX(SprintPlanning[Sprint],MATCH($A290,SprintPlanning[Requirement ID],0))),"To Plan"))</f>
        <v/>
      </c>
      <c r="J290" s="36" t="n"/>
      <c r="K290">
        <f>IFERROR(IF(ISBLANK(INDEX(Release[Release],MATCH($A290,Release[Requirement ID],0))),"",INDEX(Release[Release],MATCH($A290,Release[Requirement ID],0))),"")</f>
        <v/>
      </c>
      <c r="L290" s="36" t="n"/>
      <c r="M290" s="36" t="n"/>
      <c r="N290" s="36" t="n"/>
      <c r="O290">
        <f>IF($N290="","","https://smartship.atlassian.net/browse/"&amp;$N290)</f>
        <v/>
      </c>
      <c r="P290">
        <f>IFERROR(VALUE(MID($A290,5,4)),0)</f>
        <v/>
      </c>
    </row>
    <row r="291" hidden="1" ht="15" customHeight="1">
      <c r="A291" s="35">
        <f>IF(B291="","","NEW-"&amp;TEXT(MAX($P$2:$P290)+1,"0000"))</f>
        <v/>
      </c>
      <c r="B291" s="36" t="n"/>
      <c r="C291" s="36" t="n"/>
      <c r="D291" s="36" t="n"/>
      <c r="E291" s="36" t="n"/>
      <c r="F291" s="36" t="n"/>
      <c r="G291" s="36" t="n"/>
      <c r="H291" s="36" t="n"/>
      <c r="I291">
        <f>IF($A291="","",IFERROR(IF(ISBLANK(INDEX(SprintPlanning[Sprint],MATCH($A291,SprintPlanning[Requirement ID],0))),"To Plan",INDEX(SprintPlanning[Sprint],MATCH($A291,SprintPlanning[Requirement ID],0))),"To Plan"))</f>
        <v/>
      </c>
      <c r="J291" s="36" t="n"/>
      <c r="K291">
        <f>IFERROR(IF(ISBLANK(INDEX(Release[Release],MATCH($A291,Release[Requirement ID],0))),"",INDEX(Release[Release],MATCH($A291,Release[Requirement ID],0))),"")</f>
        <v/>
      </c>
      <c r="L291" s="36" t="n"/>
      <c r="M291" s="36" t="n"/>
      <c r="N291" s="36" t="n"/>
      <c r="O291">
        <f>IF($N291="","","https://smartship.atlassian.net/browse/"&amp;$N291)</f>
        <v/>
      </c>
      <c r="P291">
        <f>IFERROR(VALUE(MID($A291,5,4)),0)</f>
        <v/>
      </c>
    </row>
    <row r="292" hidden="1" ht="15" customHeight="1">
      <c r="A292" s="35">
        <f>IF(B292="","","NEW-"&amp;TEXT(MAX($P$2:$P291)+1,"0000"))</f>
        <v/>
      </c>
      <c r="B292" s="36" t="n"/>
      <c r="C292" s="36" t="n"/>
      <c r="D292" s="36" t="n"/>
      <c r="E292" s="36" t="n"/>
      <c r="F292" s="36" t="n"/>
      <c r="G292" s="36" t="n"/>
      <c r="H292" s="36" t="n"/>
      <c r="I292">
        <f>IF($A292="","",IFERROR(IF(ISBLANK(INDEX(SprintPlanning[Sprint],MATCH($A292,SprintPlanning[Requirement ID],0))),"To Plan",INDEX(SprintPlanning[Sprint],MATCH($A292,SprintPlanning[Requirement ID],0))),"To Plan"))</f>
        <v/>
      </c>
      <c r="J292" s="36" t="n"/>
      <c r="K292">
        <f>IFERROR(IF(ISBLANK(INDEX(Release[Release],MATCH($A292,Release[Requirement ID],0))),"",INDEX(Release[Release],MATCH($A292,Release[Requirement ID],0))),"")</f>
        <v/>
      </c>
      <c r="L292" s="36" t="n"/>
      <c r="M292" s="36" t="n"/>
      <c r="N292" s="36" t="n"/>
      <c r="O292">
        <f>IF($N292="","","https://smartship.atlassian.net/browse/"&amp;$N292)</f>
        <v/>
      </c>
      <c r="P292">
        <f>IFERROR(VALUE(MID($A292,5,4)),0)</f>
        <v/>
      </c>
    </row>
    <row r="293" hidden="1" ht="15" customHeight="1">
      <c r="A293" s="35">
        <f>IF(B293="","","NEW-"&amp;TEXT(MAX($P$2:$P292)+1,"0000"))</f>
        <v/>
      </c>
      <c r="B293" s="36" t="n"/>
      <c r="C293" s="36" t="n"/>
      <c r="D293" s="36" t="n"/>
      <c r="E293" s="36" t="n"/>
      <c r="F293" s="36" t="n"/>
      <c r="G293" s="36" t="n"/>
      <c r="H293" s="36" t="n"/>
      <c r="I293">
        <f>IF($A293="","",IFERROR(IF(ISBLANK(INDEX(SprintPlanning[Sprint],MATCH($A293,SprintPlanning[Requirement ID],0))),"To Plan",INDEX(SprintPlanning[Sprint],MATCH($A293,SprintPlanning[Requirement ID],0))),"To Plan"))</f>
        <v/>
      </c>
      <c r="J293" s="36" t="n"/>
      <c r="K293">
        <f>IFERROR(IF(ISBLANK(INDEX(Release[Release],MATCH($A293,Release[Requirement ID],0))),"",INDEX(Release[Release],MATCH($A293,Release[Requirement ID],0))),"")</f>
        <v/>
      </c>
      <c r="L293" s="36" t="n"/>
      <c r="M293" s="36" t="n"/>
      <c r="N293" s="36" t="n"/>
      <c r="O293">
        <f>IF($N293="","","https://smartship.atlassian.net/browse/"&amp;$N293)</f>
        <v/>
      </c>
      <c r="P293">
        <f>IFERROR(VALUE(MID($A293,5,4)),0)</f>
        <v/>
      </c>
    </row>
    <row r="294" hidden="1" ht="15" customHeight="1">
      <c r="A294" s="35">
        <f>IF(B294="","","NEW-"&amp;TEXT(MAX($P$2:$P293)+1,"0000"))</f>
        <v/>
      </c>
      <c r="B294" s="36" t="n"/>
      <c r="C294" s="36" t="n"/>
      <c r="D294" s="36" t="n"/>
      <c r="E294" s="36" t="n"/>
      <c r="F294" s="36" t="n"/>
      <c r="G294" s="36" t="n"/>
      <c r="H294" s="36" t="n"/>
      <c r="I294">
        <f>IF($A294="","",IFERROR(IF(ISBLANK(INDEX(SprintPlanning[Sprint],MATCH($A294,SprintPlanning[Requirement ID],0))),"To Plan",INDEX(SprintPlanning[Sprint],MATCH($A294,SprintPlanning[Requirement ID],0))),"To Plan"))</f>
        <v/>
      </c>
      <c r="J294" s="36" t="n"/>
      <c r="K294">
        <f>IFERROR(IF(ISBLANK(INDEX(Release[Release],MATCH($A294,Release[Requirement ID],0))),"",INDEX(Release[Release],MATCH($A294,Release[Requirement ID],0))),"")</f>
        <v/>
      </c>
      <c r="L294" s="36" t="n"/>
      <c r="M294" s="36" t="n"/>
      <c r="N294" s="36" t="n"/>
      <c r="O294">
        <f>IF($N294="","","https://smartship.atlassian.net/browse/"&amp;$N294)</f>
        <v/>
      </c>
      <c r="P294">
        <f>IFERROR(VALUE(MID($A294,5,4)),0)</f>
        <v/>
      </c>
    </row>
    <row r="295" hidden="1" ht="15" customHeight="1">
      <c r="A295" s="35">
        <f>IF(B295="","","NEW-"&amp;TEXT(MAX($P$2:$P294)+1,"0000"))</f>
        <v/>
      </c>
      <c r="B295" s="36" t="n"/>
      <c r="C295" s="36" t="n"/>
      <c r="D295" s="36" t="n"/>
      <c r="E295" s="36" t="n"/>
      <c r="F295" s="36" t="n"/>
      <c r="G295" s="36" t="n"/>
      <c r="H295" s="36" t="n"/>
      <c r="I295">
        <f>IF($A295="","",IFERROR(IF(ISBLANK(INDEX(SprintPlanning[Sprint],MATCH($A295,SprintPlanning[Requirement ID],0))),"To Plan",INDEX(SprintPlanning[Sprint],MATCH($A295,SprintPlanning[Requirement ID],0))),"To Plan"))</f>
        <v/>
      </c>
      <c r="J295" s="36" t="n"/>
      <c r="K295">
        <f>IFERROR(IF(ISBLANK(INDEX(Release[Release],MATCH($A295,Release[Requirement ID],0))),"",INDEX(Release[Release],MATCH($A295,Release[Requirement ID],0))),"")</f>
        <v/>
      </c>
      <c r="L295" s="36" t="n"/>
      <c r="M295" s="36" t="n"/>
      <c r="N295" s="36" t="n"/>
      <c r="O295">
        <f>IF($N295="","","https://smartship.atlassian.net/browse/"&amp;$N295)</f>
        <v/>
      </c>
      <c r="P295">
        <f>IFERROR(VALUE(MID($A295,5,4)),0)</f>
        <v/>
      </c>
    </row>
    <row r="296" hidden="1" ht="15" customHeight="1">
      <c r="A296" s="35">
        <f>IF(B296="","","NEW-"&amp;TEXT(MAX($P$2:$P295)+1,"0000"))</f>
        <v/>
      </c>
      <c r="B296" s="36" t="n"/>
      <c r="C296" s="36" t="n"/>
      <c r="D296" s="36" t="n"/>
      <c r="E296" s="36" t="n"/>
      <c r="F296" s="36" t="n"/>
      <c r="G296" s="36" t="n"/>
      <c r="H296" s="36" t="n"/>
      <c r="I296">
        <f>IF($A296="","",IFERROR(IF(ISBLANK(INDEX(SprintPlanning[Sprint],MATCH($A296,SprintPlanning[Requirement ID],0))),"To Plan",INDEX(SprintPlanning[Sprint],MATCH($A296,SprintPlanning[Requirement ID],0))),"To Plan"))</f>
        <v/>
      </c>
      <c r="J296" s="36" t="n"/>
      <c r="K296">
        <f>IFERROR(IF(ISBLANK(INDEX(Release[Release],MATCH($A296,Release[Requirement ID],0))),"",INDEX(Release[Release],MATCH($A296,Release[Requirement ID],0))),"")</f>
        <v/>
      </c>
      <c r="L296" s="36" t="n"/>
      <c r="M296" s="36" t="n"/>
      <c r="N296" s="36" t="n"/>
      <c r="O296">
        <f>IF($N296="","","https://smartship.atlassian.net/browse/"&amp;$N296)</f>
        <v/>
      </c>
      <c r="P296">
        <f>IFERROR(VALUE(MID($A296,5,4)),0)</f>
        <v/>
      </c>
    </row>
    <row r="297" hidden="1" ht="15" customHeight="1">
      <c r="A297" s="35">
        <f>IF(B297="","","NEW-"&amp;TEXT(MAX($P$2:$P296)+1,"0000"))</f>
        <v/>
      </c>
      <c r="B297" s="36" t="n"/>
      <c r="C297" s="36" t="n"/>
      <c r="D297" s="36" t="n"/>
      <c r="E297" s="36" t="n"/>
      <c r="F297" s="36" t="n"/>
      <c r="G297" s="36" t="n"/>
      <c r="H297" s="36" t="n"/>
      <c r="I297">
        <f>IF($A297="","",IFERROR(IF(ISBLANK(INDEX(SprintPlanning[Sprint],MATCH($A297,SprintPlanning[Requirement ID],0))),"To Plan",INDEX(SprintPlanning[Sprint],MATCH($A297,SprintPlanning[Requirement ID],0))),"To Plan"))</f>
        <v/>
      </c>
      <c r="J297" s="36" t="n"/>
      <c r="K297">
        <f>IFERROR(IF(ISBLANK(INDEX(Release[Release],MATCH($A297,Release[Requirement ID],0))),"",INDEX(Release[Release],MATCH($A297,Release[Requirement ID],0))),"")</f>
        <v/>
      </c>
      <c r="L297" s="36" t="n"/>
      <c r="M297" s="36" t="n"/>
      <c r="N297" s="36" t="n"/>
      <c r="O297">
        <f>IF($N297="","","https://smartship.atlassian.net/browse/"&amp;$N297)</f>
        <v/>
      </c>
      <c r="P297">
        <f>IFERROR(VALUE(MID($A297,5,4)),0)</f>
        <v/>
      </c>
    </row>
    <row r="298" hidden="1" ht="15" customHeight="1">
      <c r="A298" s="35">
        <f>IF(B298="","","NEW-"&amp;TEXT(MAX($P$2:$P297)+1,"0000"))</f>
        <v/>
      </c>
      <c r="B298" s="36" t="n"/>
      <c r="C298" s="36" t="n"/>
      <c r="D298" s="36" t="n"/>
      <c r="E298" s="36" t="n"/>
      <c r="F298" s="36" t="n"/>
      <c r="G298" s="36" t="n"/>
      <c r="H298" s="36" t="n"/>
      <c r="I298">
        <f>IF($A298="","",IFERROR(IF(ISBLANK(INDEX(SprintPlanning[Sprint],MATCH($A298,SprintPlanning[Requirement ID],0))),"To Plan",INDEX(SprintPlanning[Sprint],MATCH($A298,SprintPlanning[Requirement ID],0))),"To Plan"))</f>
        <v/>
      </c>
      <c r="J298" s="36" t="n"/>
      <c r="K298">
        <f>IFERROR(IF(ISBLANK(INDEX(Release[Release],MATCH($A298,Release[Requirement ID],0))),"",INDEX(Release[Release],MATCH($A298,Release[Requirement ID],0))),"")</f>
        <v/>
      </c>
      <c r="L298" s="36" t="n"/>
      <c r="M298" s="36" t="n"/>
      <c r="N298" s="36" t="n"/>
      <c r="O298">
        <f>IF($N298="","","https://smartship.atlassian.net/browse/"&amp;$N298)</f>
        <v/>
      </c>
      <c r="P298">
        <f>IFERROR(VALUE(MID($A298,5,4)),0)</f>
        <v/>
      </c>
    </row>
    <row r="299" hidden="1" ht="15" customHeight="1">
      <c r="A299" s="35">
        <f>IF(B299="","","NEW-"&amp;TEXT(MAX($P$2:$P298)+1,"0000"))</f>
        <v/>
      </c>
      <c r="B299" s="36" t="n"/>
      <c r="C299" s="36" t="n"/>
      <c r="D299" s="36" t="n"/>
      <c r="E299" s="36" t="n"/>
      <c r="F299" s="36" t="n"/>
      <c r="G299" s="36" t="n"/>
      <c r="H299" s="36" t="n"/>
      <c r="I299">
        <f>IF($A299="","",IFERROR(IF(ISBLANK(INDEX(SprintPlanning[Sprint],MATCH($A299,SprintPlanning[Requirement ID],0))),"To Plan",INDEX(SprintPlanning[Sprint],MATCH($A299,SprintPlanning[Requirement ID],0))),"To Plan"))</f>
        <v/>
      </c>
      <c r="J299" s="36" t="n"/>
      <c r="K299">
        <f>IFERROR(IF(ISBLANK(INDEX(Release[Release],MATCH($A299,Release[Requirement ID],0))),"",INDEX(Release[Release],MATCH($A299,Release[Requirement ID],0))),"")</f>
        <v/>
      </c>
      <c r="L299" s="36" t="n"/>
      <c r="M299" s="36" t="n"/>
      <c r="N299" s="36" t="n"/>
      <c r="O299">
        <f>IF($N299="","","https://smartship.atlassian.net/browse/"&amp;$N299)</f>
        <v/>
      </c>
      <c r="P299">
        <f>IFERROR(VALUE(MID($A299,5,4)),0)</f>
        <v/>
      </c>
    </row>
    <row r="300" hidden="1" ht="15" customHeight="1">
      <c r="A300" s="35">
        <f>IF(B300="","","NEW-"&amp;TEXT(MAX($P$2:$P299)+1,"0000"))</f>
        <v/>
      </c>
      <c r="B300" s="36" t="n"/>
      <c r="C300" s="36" t="n"/>
      <c r="D300" s="36" t="n"/>
      <c r="E300" s="36" t="n"/>
      <c r="F300" s="36" t="n"/>
      <c r="G300" s="36" t="n"/>
      <c r="H300" s="36" t="n"/>
      <c r="I300">
        <f>IF($A300="","",IFERROR(IF(ISBLANK(INDEX(SprintPlanning[Sprint],MATCH($A300,SprintPlanning[Requirement ID],0))),"To Plan",INDEX(SprintPlanning[Sprint],MATCH($A300,SprintPlanning[Requirement ID],0))),"To Plan"))</f>
        <v/>
      </c>
      <c r="J300" s="36" t="n"/>
      <c r="K300">
        <f>IFERROR(IF(ISBLANK(INDEX(Release[Release],MATCH($A300,Release[Requirement ID],0))),"",INDEX(Release[Release],MATCH($A300,Release[Requirement ID],0))),"")</f>
        <v/>
      </c>
      <c r="L300" s="36" t="n"/>
      <c r="M300" s="36" t="n"/>
      <c r="N300" s="36" t="n"/>
      <c r="O300">
        <f>IF($N300="","","https://smartship.atlassian.net/browse/"&amp;$N300)</f>
        <v/>
      </c>
      <c r="P300">
        <f>IFERROR(VALUE(MID($A300,5,4)),0)</f>
        <v/>
      </c>
    </row>
    <row r="301" hidden="1" ht="15" customHeight="1">
      <c r="A301" s="35">
        <f>IF(B301="","","NEW-"&amp;TEXT(MAX($P$2:$P300)+1,"0000"))</f>
        <v/>
      </c>
      <c r="B301" s="36" t="n"/>
      <c r="C301" s="36" t="n"/>
      <c r="D301" s="36" t="n"/>
      <c r="E301" s="36" t="n"/>
      <c r="F301" s="36" t="n"/>
      <c r="G301" s="36" t="n"/>
      <c r="H301" s="36" t="n"/>
      <c r="I301">
        <f>IF($A301="","",IFERROR(IF(ISBLANK(INDEX(SprintPlanning[Sprint],MATCH($A301,SprintPlanning[Requirement ID],0))),"To Plan",INDEX(SprintPlanning[Sprint],MATCH($A301,SprintPlanning[Requirement ID],0))),"To Plan"))</f>
        <v/>
      </c>
      <c r="J301" s="36" t="n"/>
      <c r="K301">
        <f>IFERROR(IF(ISBLANK(INDEX(Release[Release],MATCH($A301,Release[Requirement ID],0))),"",INDEX(Release[Release],MATCH($A301,Release[Requirement ID],0))),"")</f>
        <v/>
      </c>
      <c r="L301" s="36" t="n"/>
      <c r="M301" s="36" t="n"/>
      <c r="N301" s="36" t="n"/>
      <c r="O301">
        <f>IF($N301="","","https://smartship.atlassian.net/browse/"&amp;$N301)</f>
        <v/>
      </c>
      <c r="P301">
        <f>IFERROR(VALUE(MID($A301,5,4)),0)</f>
        <v/>
      </c>
    </row>
    <row r="302" hidden="1" ht="15" customHeight="1">
      <c r="A302" s="35">
        <f>IF(B302="","","NEW-"&amp;TEXT(MAX($P$2:$P301)+1,"0000"))</f>
        <v/>
      </c>
      <c r="B302" s="36" t="n"/>
      <c r="C302" s="36" t="n"/>
      <c r="D302" s="36" t="n"/>
      <c r="E302" s="36" t="n"/>
      <c r="F302" s="36" t="n"/>
      <c r="G302" s="36" t="n"/>
      <c r="H302" s="36" t="n"/>
      <c r="I302">
        <f>IF($A302="","",IFERROR(IF(ISBLANK(INDEX(SprintPlanning[Sprint],MATCH($A302,SprintPlanning[Requirement ID],0))),"To Plan",INDEX(SprintPlanning[Sprint],MATCH($A302,SprintPlanning[Requirement ID],0))),"To Plan"))</f>
        <v/>
      </c>
      <c r="J302" s="36" t="n"/>
      <c r="K302">
        <f>IFERROR(IF(ISBLANK(INDEX(Release[Release],MATCH($A302,Release[Requirement ID],0))),"",INDEX(Release[Release],MATCH($A302,Release[Requirement ID],0))),"")</f>
        <v/>
      </c>
      <c r="L302" s="36" t="n"/>
      <c r="M302" s="36" t="n"/>
      <c r="N302" s="36" t="n"/>
      <c r="O302">
        <f>IF($N302="","","https://smartship.atlassian.net/browse/"&amp;$N302)</f>
        <v/>
      </c>
      <c r="P302">
        <f>IFERROR(VALUE(MID($A302,5,4)),0)</f>
        <v/>
      </c>
    </row>
    <row r="303" hidden="1" ht="15" customHeight="1">
      <c r="A303" s="35">
        <f>IF(B303="","","NEW-"&amp;TEXT(MAX($P$2:$P302)+1,"0000"))</f>
        <v/>
      </c>
      <c r="B303" s="36" t="n"/>
      <c r="C303" s="36" t="n"/>
      <c r="D303" s="36" t="n"/>
      <c r="E303" s="36" t="n"/>
      <c r="F303" s="36" t="n"/>
      <c r="G303" s="36" t="n"/>
      <c r="H303" s="36" t="n"/>
      <c r="I303">
        <f>IF($A303="","",IFERROR(IF(ISBLANK(INDEX(SprintPlanning[Sprint],MATCH($A303,SprintPlanning[Requirement ID],0))),"To Plan",INDEX(SprintPlanning[Sprint],MATCH($A303,SprintPlanning[Requirement ID],0))),"To Plan"))</f>
        <v/>
      </c>
      <c r="J303" s="36" t="n"/>
      <c r="K303">
        <f>IFERROR(IF(ISBLANK(INDEX(Release[Release],MATCH($A303,Release[Requirement ID],0))),"",INDEX(Release[Release],MATCH($A303,Release[Requirement ID],0))),"")</f>
        <v/>
      </c>
      <c r="L303" s="36" t="n"/>
      <c r="M303" s="36" t="n"/>
      <c r="N303" s="36" t="n"/>
      <c r="O303">
        <f>IF($N303="","","https://smartship.atlassian.net/browse/"&amp;$N303)</f>
        <v/>
      </c>
      <c r="P303">
        <f>IFERROR(VALUE(MID($A303,5,4)),0)</f>
        <v/>
      </c>
    </row>
    <row r="304" hidden="1" ht="15" customHeight="1">
      <c r="A304" s="35">
        <f>IF(B304="","","NEW-"&amp;TEXT(MAX($P$2:$P303)+1,"0000"))</f>
        <v/>
      </c>
      <c r="B304" s="36" t="n"/>
      <c r="C304" s="36" t="n"/>
      <c r="D304" s="36" t="n"/>
      <c r="E304" s="36" t="n"/>
      <c r="F304" s="36" t="n"/>
      <c r="G304" s="36" t="n"/>
      <c r="H304" s="36" t="n"/>
      <c r="I304">
        <f>IF($A304="","",IFERROR(IF(ISBLANK(INDEX(SprintPlanning[Sprint],MATCH($A304,SprintPlanning[Requirement ID],0))),"To Plan",INDEX(SprintPlanning[Sprint],MATCH($A304,SprintPlanning[Requirement ID],0))),"To Plan"))</f>
        <v/>
      </c>
      <c r="J304" s="36" t="n"/>
      <c r="K304">
        <f>IFERROR(IF(ISBLANK(INDEX(Release[Release],MATCH($A304,Release[Requirement ID],0))),"",INDEX(Release[Release],MATCH($A304,Release[Requirement ID],0))),"")</f>
        <v/>
      </c>
      <c r="L304" s="36" t="n"/>
      <c r="M304" s="36" t="n"/>
      <c r="N304" s="36" t="n"/>
      <c r="O304">
        <f>IF($N304="","","https://smartship.atlassian.net/browse/"&amp;$N304)</f>
        <v/>
      </c>
      <c r="P304">
        <f>IFERROR(VALUE(MID($A304,5,4)),0)</f>
        <v/>
      </c>
    </row>
    <row r="305" hidden="1" ht="15" customHeight="1">
      <c r="A305" s="35">
        <f>IF(B305="","","NEW-"&amp;TEXT(MAX($P$2:$P304)+1,"0000"))</f>
        <v/>
      </c>
      <c r="B305" s="36" t="n"/>
      <c r="C305" s="36" t="n"/>
      <c r="D305" s="36" t="n"/>
      <c r="E305" s="36" t="n"/>
      <c r="F305" s="36" t="n"/>
      <c r="G305" s="36" t="n"/>
      <c r="H305" s="36" t="n"/>
      <c r="I305">
        <f>IF($A305="","",IFERROR(IF(ISBLANK(INDEX(SprintPlanning[Sprint],MATCH($A305,SprintPlanning[Requirement ID],0))),"To Plan",INDEX(SprintPlanning[Sprint],MATCH($A305,SprintPlanning[Requirement ID],0))),"To Plan"))</f>
        <v/>
      </c>
      <c r="J305" s="36" t="n"/>
      <c r="K305">
        <f>IFERROR(IF(ISBLANK(INDEX(Release[Release],MATCH($A305,Release[Requirement ID],0))),"",INDEX(Release[Release],MATCH($A305,Release[Requirement ID],0))),"")</f>
        <v/>
      </c>
      <c r="L305" s="36" t="n"/>
      <c r="M305" s="36" t="n"/>
      <c r="N305" s="36" t="n"/>
      <c r="O305">
        <f>IF($N305="","","https://smartship.atlassian.net/browse/"&amp;$N305)</f>
        <v/>
      </c>
      <c r="P305">
        <f>IFERROR(VALUE(MID($A305,5,4)),0)</f>
        <v/>
      </c>
    </row>
    <row r="306" hidden="1" ht="15" customHeight="1">
      <c r="A306" s="35">
        <f>IF(B306="","","NEW-"&amp;TEXT(MAX($P$2:$P305)+1,"0000"))</f>
        <v/>
      </c>
      <c r="B306" s="36" t="n"/>
      <c r="C306" s="36" t="n"/>
      <c r="D306" s="36" t="n"/>
      <c r="E306" s="36" t="n"/>
      <c r="F306" s="36" t="n"/>
      <c r="G306" s="36" t="n"/>
      <c r="H306" s="36" t="n"/>
      <c r="I306">
        <f>IF($A306="","",IFERROR(IF(ISBLANK(INDEX(SprintPlanning[Sprint],MATCH($A306,SprintPlanning[Requirement ID],0))),"To Plan",INDEX(SprintPlanning[Sprint],MATCH($A306,SprintPlanning[Requirement ID],0))),"To Plan"))</f>
        <v/>
      </c>
      <c r="J306" s="36" t="n"/>
      <c r="K306">
        <f>IFERROR(IF(ISBLANK(INDEX(Release[Release],MATCH($A306,Release[Requirement ID],0))),"",INDEX(Release[Release],MATCH($A306,Release[Requirement ID],0))),"")</f>
        <v/>
      </c>
      <c r="L306" s="36" t="n"/>
      <c r="M306" s="36" t="n"/>
      <c r="N306" s="36" t="n"/>
      <c r="O306">
        <f>IF($N306="","","https://smartship.atlassian.net/browse/"&amp;$N306)</f>
        <v/>
      </c>
      <c r="P306">
        <f>IFERROR(VALUE(MID($A306,5,4)),0)</f>
        <v/>
      </c>
    </row>
    <row r="307" hidden="1" ht="15" customHeight="1">
      <c r="A307" s="35">
        <f>IF(B307="","","NEW-"&amp;TEXT(MAX($P$2:$P306)+1,"0000"))</f>
        <v/>
      </c>
      <c r="B307" s="36" t="n"/>
      <c r="C307" s="36" t="n"/>
      <c r="D307" s="36" t="n"/>
      <c r="E307" s="36" t="n"/>
      <c r="F307" s="36" t="n"/>
      <c r="G307" s="36" t="n"/>
      <c r="H307" s="36" t="n"/>
      <c r="I307">
        <f>IF($A307="","",IFERROR(IF(ISBLANK(INDEX(SprintPlanning[Sprint],MATCH($A307,SprintPlanning[Requirement ID],0))),"To Plan",INDEX(SprintPlanning[Sprint],MATCH($A307,SprintPlanning[Requirement ID],0))),"To Plan"))</f>
        <v/>
      </c>
      <c r="J307" s="36" t="n"/>
      <c r="K307">
        <f>IFERROR(IF(ISBLANK(INDEX(Release[Release],MATCH($A307,Release[Requirement ID],0))),"",INDEX(Release[Release],MATCH($A307,Release[Requirement ID],0))),"")</f>
        <v/>
      </c>
      <c r="L307" s="36" t="n"/>
      <c r="M307" s="36" t="n"/>
      <c r="N307" s="36" t="n"/>
      <c r="O307">
        <f>IF($N307="","","https://smartship.atlassian.net/browse/"&amp;$N307)</f>
        <v/>
      </c>
      <c r="P307">
        <f>IFERROR(VALUE(MID($A307,5,4)),0)</f>
        <v/>
      </c>
    </row>
    <row r="308" hidden="1" ht="15" customHeight="1">
      <c r="A308" s="35">
        <f>IF(B308="","","NEW-"&amp;TEXT(MAX($P$2:$P307)+1,"0000"))</f>
        <v/>
      </c>
      <c r="B308" s="36" t="n"/>
      <c r="C308" s="36" t="n"/>
      <c r="D308" s="36" t="n"/>
      <c r="E308" s="36" t="n"/>
      <c r="F308" s="36" t="n"/>
      <c r="G308" s="36" t="n"/>
      <c r="H308" s="36" t="n"/>
      <c r="I308">
        <f>IF($A308="","",IFERROR(IF(ISBLANK(INDEX(SprintPlanning[Sprint],MATCH($A308,SprintPlanning[Requirement ID],0))),"To Plan",INDEX(SprintPlanning[Sprint],MATCH($A308,SprintPlanning[Requirement ID],0))),"To Plan"))</f>
        <v/>
      </c>
      <c r="J308" s="36" t="n"/>
      <c r="K308">
        <f>IFERROR(IF(ISBLANK(INDEX(Release[Release],MATCH($A308,Release[Requirement ID],0))),"",INDEX(Release[Release],MATCH($A308,Release[Requirement ID],0))),"")</f>
        <v/>
      </c>
      <c r="L308" s="36" t="n"/>
      <c r="M308" s="36" t="n"/>
      <c r="N308" s="36" t="n"/>
      <c r="O308">
        <f>IF($N308="","","https://smartship.atlassian.net/browse/"&amp;$N308)</f>
        <v/>
      </c>
      <c r="P308">
        <f>IFERROR(VALUE(MID($A308,5,4)),0)</f>
        <v/>
      </c>
    </row>
    <row r="309" hidden="1" ht="15" customHeight="1">
      <c r="A309" s="35">
        <f>IF(B309="","","NEW-"&amp;TEXT(MAX($P$2:$P308)+1,"0000"))</f>
        <v/>
      </c>
      <c r="B309" s="36" t="n"/>
      <c r="C309" s="36" t="n"/>
      <c r="D309" s="36" t="n"/>
      <c r="E309" s="36" t="n"/>
      <c r="F309" s="36" t="n"/>
      <c r="G309" s="36" t="n"/>
      <c r="H309" s="36" t="n"/>
      <c r="I309">
        <f>IF($A309="","",IFERROR(IF(ISBLANK(INDEX(SprintPlanning[Sprint],MATCH($A309,SprintPlanning[Requirement ID],0))),"To Plan",INDEX(SprintPlanning[Sprint],MATCH($A309,SprintPlanning[Requirement ID],0))),"To Plan"))</f>
        <v/>
      </c>
      <c r="J309" s="36" t="n"/>
      <c r="K309">
        <f>IFERROR(IF(ISBLANK(INDEX(Release[Release],MATCH($A309,Release[Requirement ID],0))),"",INDEX(Release[Release],MATCH($A309,Release[Requirement ID],0))),"")</f>
        <v/>
      </c>
      <c r="L309" s="36" t="n"/>
      <c r="M309" s="36" t="n"/>
      <c r="N309" s="36" t="n"/>
      <c r="O309">
        <f>IF($N309="","","https://smartship.atlassian.net/browse/"&amp;$N309)</f>
        <v/>
      </c>
      <c r="P309">
        <f>IFERROR(VALUE(MID($A309,5,4)),0)</f>
        <v/>
      </c>
    </row>
    <row r="310" hidden="1" ht="15" customHeight="1">
      <c r="A310" s="35">
        <f>IF(B310="","","NEW-"&amp;TEXT(MAX($P$2:$P309)+1,"0000"))</f>
        <v/>
      </c>
      <c r="B310" s="36" t="n"/>
      <c r="C310" s="36" t="n"/>
      <c r="D310" s="36" t="n"/>
      <c r="E310" s="36" t="n"/>
      <c r="F310" s="36" t="n"/>
      <c r="G310" s="36" t="n"/>
      <c r="H310" s="36" t="n"/>
      <c r="I310">
        <f>IF($A310="","",IFERROR(IF(ISBLANK(INDEX(SprintPlanning[Sprint],MATCH($A310,SprintPlanning[Requirement ID],0))),"To Plan",INDEX(SprintPlanning[Sprint],MATCH($A310,SprintPlanning[Requirement ID],0))),"To Plan"))</f>
        <v/>
      </c>
      <c r="J310" s="36" t="n"/>
      <c r="K310">
        <f>IFERROR(IF(ISBLANK(INDEX(Release[Release],MATCH($A310,Release[Requirement ID],0))),"",INDEX(Release[Release],MATCH($A310,Release[Requirement ID],0))),"")</f>
        <v/>
      </c>
      <c r="L310" s="36" t="n"/>
      <c r="M310" s="36" t="n"/>
      <c r="N310" s="36" t="n"/>
      <c r="O310">
        <f>IF($N310="","","https://smartship.atlassian.net/browse/"&amp;$N310)</f>
        <v/>
      </c>
      <c r="P310">
        <f>IFERROR(VALUE(MID($A310,5,4)),0)</f>
        <v/>
      </c>
    </row>
    <row r="311" hidden="1" ht="15" customHeight="1">
      <c r="A311" s="35">
        <f>IF(B311="","","NEW-"&amp;TEXT(MAX($P$2:$P310)+1,"0000"))</f>
        <v/>
      </c>
      <c r="B311" s="36" t="n"/>
      <c r="C311" s="36" t="n"/>
      <c r="D311" s="36" t="n"/>
      <c r="E311" s="36" t="n"/>
      <c r="F311" s="36" t="n"/>
      <c r="G311" s="36" t="n"/>
      <c r="H311" s="36" t="n"/>
      <c r="I311">
        <f>IF($A311="","",IFERROR(IF(ISBLANK(INDEX(SprintPlanning[Sprint],MATCH($A311,SprintPlanning[Requirement ID],0))),"To Plan",INDEX(SprintPlanning[Sprint],MATCH($A311,SprintPlanning[Requirement ID],0))),"To Plan"))</f>
        <v/>
      </c>
      <c r="J311" s="36" t="n"/>
      <c r="K311">
        <f>IFERROR(IF(ISBLANK(INDEX(Release[Release],MATCH($A311,Release[Requirement ID],0))),"",INDEX(Release[Release],MATCH($A311,Release[Requirement ID],0))),"")</f>
        <v/>
      </c>
      <c r="L311" s="36" t="n"/>
      <c r="M311" s="36" t="n"/>
      <c r="N311" s="36" t="n"/>
      <c r="O311">
        <f>IF($N311="","","https://smartship.atlassian.net/browse/"&amp;$N311)</f>
        <v/>
      </c>
      <c r="P311">
        <f>IFERROR(VALUE(MID($A311,5,4)),0)</f>
        <v/>
      </c>
    </row>
    <row r="312" hidden="1" ht="15" customHeight="1">
      <c r="A312" s="35">
        <f>IF(B312="","","NEW-"&amp;TEXT(MAX($P$2:$P311)+1,"0000"))</f>
        <v/>
      </c>
      <c r="B312" s="36" t="n"/>
      <c r="C312" s="36" t="n"/>
      <c r="D312" s="36" t="n"/>
      <c r="E312" s="36" t="n"/>
      <c r="F312" s="36" t="n"/>
      <c r="G312" s="36" t="n"/>
      <c r="H312" s="36" t="n"/>
      <c r="I312">
        <f>IF($A312="","",IFERROR(IF(ISBLANK(INDEX(SprintPlanning[Sprint],MATCH($A312,SprintPlanning[Requirement ID],0))),"To Plan",INDEX(SprintPlanning[Sprint],MATCH($A312,SprintPlanning[Requirement ID],0))),"To Plan"))</f>
        <v/>
      </c>
      <c r="J312" s="36" t="n"/>
      <c r="K312">
        <f>IFERROR(IF(ISBLANK(INDEX(Release[Release],MATCH($A312,Release[Requirement ID],0))),"",INDEX(Release[Release],MATCH($A312,Release[Requirement ID],0))),"")</f>
        <v/>
      </c>
      <c r="L312" s="36" t="n"/>
      <c r="M312" s="36" t="n"/>
      <c r="N312" s="36" t="n"/>
      <c r="O312">
        <f>IF($N312="","","https://smartship.atlassian.net/browse/"&amp;$N312)</f>
        <v/>
      </c>
      <c r="P312">
        <f>IFERROR(VALUE(MID($A312,5,4)),0)</f>
        <v/>
      </c>
    </row>
    <row r="313" hidden="1" ht="15" customHeight="1">
      <c r="A313" s="35">
        <f>IF(B313="","","NEW-"&amp;TEXT(MAX($P$2:$P312)+1,"0000"))</f>
        <v/>
      </c>
      <c r="B313" s="36" t="n"/>
      <c r="C313" s="36" t="n"/>
      <c r="D313" s="36" t="n"/>
      <c r="E313" s="36" t="n"/>
      <c r="F313" s="36" t="n"/>
      <c r="G313" s="36" t="n"/>
      <c r="H313" s="36" t="n"/>
      <c r="I313">
        <f>IF($A313="","",IFERROR(IF(ISBLANK(INDEX(SprintPlanning[Sprint],MATCH($A313,SprintPlanning[Requirement ID],0))),"To Plan",INDEX(SprintPlanning[Sprint],MATCH($A313,SprintPlanning[Requirement ID],0))),"To Plan"))</f>
        <v/>
      </c>
      <c r="J313" s="36" t="n"/>
      <c r="K313">
        <f>IFERROR(IF(ISBLANK(INDEX(Release[Release],MATCH($A313,Release[Requirement ID],0))),"",INDEX(Release[Release],MATCH($A313,Release[Requirement ID],0))),"")</f>
        <v/>
      </c>
      <c r="L313" s="36" t="n"/>
      <c r="M313" s="36" t="n"/>
      <c r="N313" s="36" t="n"/>
      <c r="O313">
        <f>IF($N313="","","https://smartship.atlassian.net/browse/"&amp;$N313)</f>
        <v/>
      </c>
      <c r="P313">
        <f>IFERROR(VALUE(MID($A313,5,4)),0)</f>
        <v/>
      </c>
    </row>
    <row r="314" hidden="1" ht="15" customHeight="1">
      <c r="A314" s="35">
        <f>IF(B314="","","NEW-"&amp;TEXT(MAX($P$2:$P313)+1,"0000"))</f>
        <v/>
      </c>
      <c r="B314" s="36" t="n"/>
      <c r="C314" s="36" t="n"/>
      <c r="D314" s="36" t="n"/>
      <c r="E314" s="36" t="n"/>
      <c r="F314" s="36" t="n"/>
      <c r="G314" s="36" t="n"/>
      <c r="H314" s="36" t="n"/>
      <c r="I314">
        <f>IF($A314="","",IFERROR(IF(ISBLANK(INDEX(SprintPlanning[Sprint],MATCH($A314,SprintPlanning[Requirement ID],0))),"To Plan",INDEX(SprintPlanning[Sprint],MATCH($A314,SprintPlanning[Requirement ID],0))),"To Plan"))</f>
        <v/>
      </c>
      <c r="J314" s="36" t="n"/>
      <c r="K314">
        <f>IFERROR(IF(ISBLANK(INDEX(Release[Release],MATCH($A314,Release[Requirement ID],0))),"",INDEX(Release[Release],MATCH($A314,Release[Requirement ID],0))),"")</f>
        <v/>
      </c>
      <c r="L314" s="36" t="n"/>
      <c r="M314" s="36" t="n"/>
      <c r="N314" s="36" t="n"/>
      <c r="O314">
        <f>IF($N314="","","https://smartship.atlassian.net/browse/"&amp;$N314)</f>
        <v/>
      </c>
      <c r="P314">
        <f>IFERROR(VALUE(MID($A314,5,4)),0)</f>
        <v/>
      </c>
    </row>
    <row r="315" hidden="1" ht="15" customHeight="1">
      <c r="A315" s="35">
        <f>IF(B315="","","NEW-"&amp;TEXT(MAX($P$2:$P314)+1,"0000"))</f>
        <v/>
      </c>
      <c r="B315" s="36" t="n"/>
      <c r="C315" s="36" t="n"/>
      <c r="D315" s="36" t="n"/>
      <c r="E315" s="36" t="n"/>
      <c r="F315" s="36" t="n"/>
      <c r="G315" s="36" t="n"/>
      <c r="H315" s="36" t="n"/>
      <c r="I315">
        <f>IF($A315="","",IFERROR(IF(ISBLANK(INDEX(SprintPlanning[Sprint],MATCH($A315,SprintPlanning[Requirement ID],0))),"To Plan",INDEX(SprintPlanning[Sprint],MATCH($A315,SprintPlanning[Requirement ID],0))),"To Plan"))</f>
        <v/>
      </c>
      <c r="J315" s="36" t="n"/>
      <c r="K315">
        <f>IFERROR(IF(ISBLANK(INDEX(Release[Release],MATCH($A315,Release[Requirement ID],0))),"",INDEX(Release[Release],MATCH($A315,Release[Requirement ID],0))),"")</f>
        <v/>
      </c>
      <c r="L315" s="36" t="n"/>
      <c r="M315" s="36" t="n"/>
      <c r="N315" s="36" t="n"/>
      <c r="O315">
        <f>IF($N315="","","https://smartship.atlassian.net/browse/"&amp;$N315)</f>
        <v/>
      </c>
      <c r="P315">
        <f>IFERROR(VALUE(MID($A315,5,4)),0)</f>
        <v/>
      </c>
    </row>
    <row r="316" hidden="1" ht="15" customHeight="1">
      <c r="A316" s="35">
        <f>IF(B316="","","NEW-"&amp;TEXT(MAX($P$2:$P315)+1,"0000"))</f>
        <v/>
      </c>
      <c r="B316" s="36" t="n"/>
      <c r="C316" s="36" t="n"/>
      <c r="D316" s="36" t="n"/>
      <c r="E316" s="36" t="n"/>
      <c r="F316" s="36" t="n"/>
      <c r="G316" s="36" t="n"/>
      <c r="H316" s="36" t="n"/>
      <c r="I316">
        <f>IF($A316="","",IFERROR(IF(ISBLANK(INDEX(SprintPlanning[Sprint],MATCH($A316,SprintPlanning[Requirement ID],0))),"To Plan",INDEX(SprintPlanning[Sprint],MATCH($A316,SprintPlanning[Requirement ID],0))),"To Plan"))</f>
        <v/>
      </c>
      <c r="J316" s="36" t="n"/>
      <c r="K316">
        <f>IFERROR(IF(ISBLANK(INDEX(Release[Release],MATCH($A316,Release[Requirement ID],0))),"",INDEX(Release[Release],MATCH($A316,Release[Requirement ID],0))),"")</f>
        <v/>
      </c>
      <c r="L316" s="36" t="n"/>
      <c r="M316" s="36" t="n"/>
      <c r="N316" s="36" t="n"/>
      <c r="O316">
        <f>IF($N316="","","https://smartship.atlassian.net/browse/"&amp;$N316)</f>
        <v/>
      </c>
      <c r="P316">
        <f>IFERROR(VALUE(MID($A316,5,4)),0)</f>
        <v/>
      </c>
    </row>
    <row r="317" hidden="1" ht="15" customHeight="1">
      <c r="A317" s="35">
        <f>IF(B317="","","NEW-"&amp;TEXT(MAX($P$2:$P316)+1,"0000"))</f>
        <v/>
      </c>
      <c r="B317" s="36" t="n"/>
      <c r="C317" s="36" t="n"/>
      <c r="D317" s="36" t="n"/>
      <c r="E317" s="36" t="n"/>
      <c r="F317" s="36" t="n"/>
      <c r="G317" s="36" t="n"/>
      <c r="H317" s="36" t="n"/>
      <c r="I317">
        <f>IF($A317="","",IFERROR(IF(ISBLANK(INDEX(SprintPlanning[Sprint],MATCH($A317,SprintPlanning[Requirement ID],0))),"To Plan",INDEX(SprintPlanning[Sprint],MATCH($A317,SprintPlanning[Requirement ID],0))),"To Plan"))</f>
        <v/>
      </c>
      <c r="J317" s="36" t="n"/>
      <c r="K317">
        <f>IFERROR(IF(ISBLANK(INDEX(Release[Release],MATCH($A317,Release[Requirement ID],0))),"",INDEX(Release[Release],MATCH($A317,Release[Requirement ID],0))),"")</f>
        <v/>
      </c>
      <c r="L317" s="36" t="n"/>
      <c r="M317" s="36" t="n"/>
      <c r="N317" s="36" t="n"/>
      <c r="O317">
        <f>IF($N317="","","https://smartship.atlassian.net/browse/"&amp;$N317)</f>
        <v/>
      </c>
      <c r="P317">
        <f>IFERROR(VALUE(MID($A317,5,4)),0)</f>
        <v/>
      </c>
    </row>
    <row r="318" hidden="1" ht="15" customHeight="1">
      <c r="A318" s="35">
        <f>IF(B318="","","NEW-"&amp;TEXT(MAX($P$2:$P317)+1,"0000"))</f>
        <v/>
      </c>
      <c r="B318" s="36" t="n"/>
      <c r="C318" s="36" t="n"/>
      <c r="D318" s="36" t="n"/>
      <c r="E318" s="36" t="n"/>
      <c r="F318" s="36" t="n"/>
      <c r="G318" s="36" t="n"/>
      <c r="H318" s="36" t="n"/>
      <c r="I318">
        <f>IF($A318="","",IFERROR(IF(ISBLANK(INDEX(SprintPlanning[Sprint],MATCH($A318,SprintPlanning[Requirement ID],0))),"To Plan",INDEX(SprintPlanning[Sprint],MATCH($A318,SprintPlanning[Requirement ID],0))),"To Plan"))</f>
        <v/>
      </c>
      <c r="J318" s="36" t="n"/>
      <c r="K318">
        <f>IFERROR(IF(ISBLANK(INDEX(Release[Release],MATCH($A318,Release[Requirement ID],0))),"",INDEX(Release[Release],MATCH($A318,Release[Requirement ID],0))),"")</f>
        <v/>
      </c>
      <c r="L318" s="36" t="n"/>
      <c r="M318" s="36" t="n"/>
      <c r="N318" s="36" t="n"/>
      <c r="O318">
        <f>IF($N318="","","https://smartship.atlassian.net/browse/"&amp;$N318)</f>
        <v/>
      </c>
      <c r="P318">
        <f>IFERROR(VALUE(MID($A318,5,4)),0)</f>
        <v/>
      </c>
    </row>
    <row r="319" hidden="1" ht="15" customHeight="1">
      <c r="A319" s="35">
        <f>IF(B319="","","NEW-"&amp;TEXT(MAX($P$2:$P318)+1,"0000"))</f>
        <v/>
      </c>
      <c r="B319" s="36" t="n"/>
      <c r="C319" s="36" t="n"/>
      <c r="D319" s="36" t="n"/>
      <c r="E319" s="36" t="n"/>
      <c r="F319" s="36" t="n"/>
      <c r="G319" s="36" t="n"/>
      <c r="H319" s="36" t="n"/>
      <c r="I319">
        <f>IF($A319="","",IFERROR(IF(ISBLANK(INDEX(SprintPlanning[Sprint],MATCH($A319,SprintPlanning[Requirement ID],0))),"To Plan",INDEX(SprintPlanning[Sprint],MATCH($A319,SprintPlanning[Requirement ID],0))),"To Plan"))</f>
        <v/>
      </c>
      <c r="J319" s="36" t="n"/>
      <c r="K319">
        <f>IFERROR(IF(ISBLANK(INDEX(Release[Release],MATCH($A319,Release[Requirement ID],0))),"",INDEX(Release[Release],MATCH($A319,Release[Requirement ID],0))),"")</f>
        <v/>
      </c>
      <c r="L319" s="36" t="n"/>
      <c r="M319" s="36" t="n"/>
      <c r="N319" s="36" t="n"/>
      <c r="O319">
        <f>IF($N319="","","https://smartship.atlassian.net/browse/"&amp;$N319)</f>
        <v/>
      </c>
      <c r="P319">
        <f>IFERROR(VALUE(MID($A319,5,4)),0)</f>
        <v/>
      </c>
    </row>
    <row r="320" hidden="1" ht="15" customHeight="1">
      <c r="A320" s="35">
        <f>IF(B320="","","NEW-"&amp;TEXT(MAX($P$2:$P319)+1,"0000"))</f>
        <v/>
      </c>
      <c r="B320" s="36" t="n"/>
      <c r="C320" s="36" t="n"/>
      <c r="D320" s="36" t="n"/>
      <c r="E320" s="36" t="n"/>
      <c r="F320" s="36" t="n"/>
      <c r="G320" s="36" t="n"/>
      <c r="H320" s="36" t="n"/>
      <c r="I320">
        <f>IF($A320="","",IFERROR(IF(ISBLANK(INDEX(SprintPlanning[Sprint],MATCH($A320,SprintPlanning[Requirement ID],0))),"To Plan",INDEX(SprintPlanning[Sprint],MATCH($A320,SprintPlanning[Requirement ID],0))),"To Plan"))</f>
        <v/>
      </c>
      <c r="J320" s="36" t="n"/>
      <c r="K320">
        <f>IFERROR(IF(ISBLANK(INDEX(Release[Release],MATCH($A320,Release[Requirement ID],0))),"",INDEX(Release[Release],MATCH($A320,Release[Requirement ID],0))),"")</f>
        <v/>
      </c>
      <c r="L320" s="36" t="n"/>
      <c r="M320" s="36" t="n"/>
      <c r="N320" s="36" t="n"/>
      <c r="O320">
        <f>IF($N320="","","https://smartship.atlassian.net/browse/"&amp;$N320)</f>
        <v/>
      </c>
      <c r="P320">
        <f>IFERROR(VALUE(MID($A320,5,4)),0)</f>
        <v/>
      </c>
    </row>
    <row r="321" hidden="1" ht="15" customHeight="1">
      <c r="A321" s="35">
        <f>IF(B321="","","NEW-"&amp;TEXT(MAX($P$2:$P320)+1,"0000"))</f>
        <v/>
      </c>
      <c r="B321" s="36" t="n"/>
      <c r="C321" s="36" t="n"/>
      <c r="D321" s="36" t="n"/>
      <c r="E321" s="36" t="n"/>
      <c r="F321" s="36" t="n"/>
      <c r="G321" s="36" t="n"/>
      <c r="H321" s="36" t="n"/>
      <c r="I321">
        <f>IF($A321="","",IFERROR(IF(ISBLANK(INDEX(SprintPlanning[Sprint],MATCH($A321,SprintPlanning[Requirement ID],0))),"To Plan",INDEX(SprintPlanning[Sprint],MATCH($A321,SprintPlanning[Requirement ID],0))),"To Plan"))</f>
        <v/>
      </c>
      <c r="J321" s="36" t="n"/>
      <c r="K321">
        <f>IFERROR(IF(ISBLANK(INDEX(Release[Release],MATCH($A321,Release[Requirement ID],0))),"",INDEX(Release[Release],MATCH($A321,Release[Requirement ID],0))),"")</f>
        <v/>
      </c>
      <c r="L321" s="36" t="n"/>
      <c r="M321" s="36" t="n"/>
      <c r="N321" s="36" t="n"/>
      <c r="O321">
        <f>IF($N321="","","https://smartship.atlassian.net/browse/"&amp;$N321)</f>
        <v/>
      </c>
      <c r="P321">
        <f>IFERROR(VALUE(MID($A321,5,4)),0)</f>
        <v/>
      </c>
    </row>
    <row r="322" hidden="1" ht="15" customHeight="1">
      <c r="A322" s="35">
        <f>IF(B322="","","NEW-"&amp;TEXT(MAX($P$2:$P321)+1,"0000"))</f>
        <v/>
      </c>
      <c r="B322" s="36" t="n"/>
      <c r="C322" s="36" t="n"/>
      <c r="D322" s="36" t="n"/>
      <c r="E322" s="36" t="n"/>
      <c r="F322" s="36" t="n"/>
      <c r="G322" s="36" t="n"/>
      <c r="H322" s="36" t="n"/>
      <c r="I322">
        <f>IF($A322="","",IFERROR(IF(ISBLANK(INDEX(SprintPlanning[Sprint],MATCH($A322,SprintPlanning[Requirement ID],0))),"To Plan",INDEX(SprintPlanning[Sprint],MATCH($A322,SprintPlanning[Requirement ID],0))),"To Plan"))</f>
        <v/>
      </c>
      <c r="J322" s="36" t="n"/>
      <c r="K322">
        <f>IFERROR(IF(ISBLANK(INDEX(Release[Release],MATCH($A322,Release[Requirement ID],0))),"",INDEX(Release[Release],MATCH($A322,Release[Requirement ID],0))),"")</f>
        <v/>
      </c>
      <c r="L322" s="36" t="n"/>
      <c r="M322" s="36" t="n"/>
      <c r="N322" s="36" t="n"/>
      <c r="O322">
        <f>IF($N322="","","https://smartship.atlassian.net/browse/"&amp;$N322)</f>
        <v/>
      </c>
      <c r="P322">
        <f>IFERROR(VALUE(MID($A322,5,4)),0)</f>
        <v/>
      </c>
    </row>
    <row r="323" hidden="1" ht="15" customHeight="1">
      <c r="A323" s="35">
        <f>IF(B323="","","NEW-"&amp;TEXT(MAX($P$2:$P322)+1,"0000"))</f>
        <v/>
      </c>
      <c r="B323" s="36" t="n"/>
      <c r="C323" s="36" t="n"/>
      <c r="D323" s="36" t="n"/>
      <c r="E323" s="36" t="n"/>
      <c r="F323" s="36" t="n"/>
      <c r="G323" s="36" t="n"/>
      <c r="H323" s="36" t="n"/>
      <c r="I323">
        <f>IF($A323="","",IFERROR(IF(ISBLANK(INDEX(SprintPlanning[Sprint],MATCH($A323,SprintPlanning[Requirement ID],0))),"To Plan",INDEX(SprintPlanning[Sprint],MATCH($A323,SprintPlanning[Requirement ID],0))),"To Plan"))</f>
        <v/>
      </c>
      <c r="J323" s="36" t="n"/>
      <c r="K323">
        <f>IFERROR(IF(ISBLANK(INDEX(Release[Release],MATCH($A323,Release[Requirement ID],0))),"",INDEX(Release[Release],MATCH($A323,Release[Requirement ID],0))),"")</f>
        <v/>
      </c>
      <c r="L323" s="36" t="n"/>
      <c r="M323" s="36" t="n"/>
      <c r="N323" s="36" t="n"/>
      <c r="O323">
        <f>IF($N323="","","https://smartship.atlassian.net/browse/"&amp;$N323)</f>
        <v/>
      </c>
      <c r="P323">
        <f>IFERROR(VALUE(MID($A323,5,4)),0)</f>
        <v/>
      </c>
    </row>
    <row r="324" hidden="1" ht="15" customHeight="1">
      <c r="A324" s="35">
        <f>IF(B324="","","NEW-"&amp;TEXT(MAX($P$2:$P323)+1,"0000"))</f>
        <v/>
      </c>
      <c r="B324" s="36" t="n"/>
      <c r="C324" s="36" t="n"/>
      <c r="D324" s="36" t="n"/>
      <c r="E324" s="36" t="n"/>
      <c r="F324" s="36" t="n"/>
      <c r="G324" s="36" t="n"/>
      <c r="H324" s="36" t="n"/>
      <c r="I324">
        <f>IF($A324="","",IFERROR(IF(ISBLANK(INDEX(SprintPlanning[Sprint],MATCH($A324,SprintPlanning[Requirement ID],0))),"To Plan",INDEX(SprintPlanning[Sprint],MATCH($A324,SprintPlanning[Requirement ID],0))),"To Plan"))</f>
        <v/>
      </c>
      <c r="J324" s="36" t="n"/>
      <c r="K324">
        <f>IFERROR(IF(ISBLANK(INDEX(Release[Release],MATCH($A324,Release[Requirement ID],0))),"",INDEX(Release[Release],MATCH($A324,Release[Requirement ID],0))),"")</f>
        <v/>
      </c>
      <c r="L324" s="36" t="n"/>
      <c r="M324" s="36" t="n"/>
      <c r="N324" s="36" t="n"/>
      <c r="O324">
        <f>IF($N324="","","https://smartship.atlassian.net/browse/"&amp;$N324)</f>
        <v/>
      </c>
      <c r="P324">
        <f>IFERROR(VALUE(MID($A324,5,4)),0)</f>
        <v/>
      </c>
    </row>
    <row r="325" hidden="1" ht="15" customHeight="1">
      <c r="A325" s="35">
        <f>IF(B325="","","NEW-"&amp;TEXT(MAX($P$2:$P324)+1,"0000"))</f>
        <v/>
      </c>
      <c r="B325" s="36" t="n"/>
      <c r="C325" s="36" t="n"/>
      <c r="D325" s="36" t="n"/>
      <c r="E325" s="36" t="n"/>
      <c r="F325" s="36" t="n"/>
      <c r="G325" s="36" t="n"/>
      <c r="H325" s="36" t="n"/>
      <c r="I325">
        <f>IF($A325="","",IFERROR(IF(ISBLANK(INDEX(SprintPlanning[Sprint],MATCH($A325,SprintPlanning[Requirement ID],0))),"To Plan",INDEX(SprintPlanning[Sprint],MATCH($A325,SprintPlanning[Requirement ID],0))),"To Plan"))</f>
        <v/>
      </c>
      <c r="J325" s="36" t="n"/>
      <c r="K325">
        <f>IFERROR(IF(ISBLANK(INDEX(Release[Release],MATCH($A325,Release[Requirement ID],0))),"",INDEX(Release[Release],MATCH($A325,Release[Requirement ID],0))),"")</f>
        <v/>
      </c>
      <c r="L325" s="36" t="n"/>
      <c r="M325" s="36" t="n"/>
      <c r="N325" s="36" t="n"/>
      <c r="O325">
        <f>IF($N325="","","https://smartship.atlassian.net/browse/"&amp;$N325)</f>
        <v/>
      </c>
      <c r="P325">
        <f>IFERROR(VALUE(MID($A325,5,4)),0)</f>
        <v/>
      </c>
    </row>
    <row r="326" hidden="1" ht="15" customHeight="1">
      <c r="A326" s="35">
        <f>IF(B326="","","NEW-"&amp;TEXT(MAX($P$2:$P325)+1,"0000"))</f>
        <v/>
      </c>
      <c r="B326" s="36" t="n"/>
      <c r="C326" s="36" t="n"/>
      <c r="D326" s="36" t="n"/>
      <c r="E326" s="36" t="n"/>
      <c r="F326" s="36" t="n"/>
      <c r="G326" s="36" t="n"/>
      <c r="H326" s="36" t="n"/>
      <c r="I326">
        <f>IF($A326="","",IFERROR(IF(ISBLANK(INDEX(SprintPlanning[Sprint],MATCH($A326,SprintPlanning[Requirement ID],0))),"To Plan",INDEX(SprintPlanning[Sprint],MATCH($A326,SprintPlanning[Requirement ID],0))),"To Plan"))</f>
        <v/>
      </c>
      <c r="J326" s="36" t="n"/>
      <c r="K326">
        <f>IFERROR(IF(ISBLANK(INDEX(Release[Release],MATCH($A326,Release[Requirement ID],0))),"",INDEX(Release[Release],MATCH($A326,Release[Requirement ID],0))),"")</f>
        <v/>
      </c>
      <c r="L326" s="36" t="n"/>
      <c r="M326" s="36" t="n"/>
      <c r="N326" s="36" t="n"/>
      <c r="O326">
        <f>IF($N326="","","https://smartship.atlassian.net/browse/"&amp;$N326)</f>
        <v/>
      </c>
      <c r="P326">
        <f>IFERROR(VALUE(MID($A326,5,4)),0)</f>
        <v/>
      </c>
    </row>
    <row r="327" hidden="1" ht="15" customHeight="1">
      <c r="A327" s="35">
        <f>IF(B327="","","NEW-"&amp;TEXT(MAX($P$2:$P326)+1,"0000"))</f>
        <v/>
      </c>
      <c r="B327" s="36" t="n"/>
      <c r="C327" s="36" t="n"/>
      <c r="D327" s="36" t="n"/>
      <c r="E327" s="36" t="n"/>
      <c r="F327" s="36" t="n"/>
      <c r="G327" s="36" t="n"/>
      <c r="H327" s="36" t="n"/>
      <c r="I327">
        <f>IF($A327="","",IFERROR(IF(ISBLANK(INDEX(SprintPlanning[Sprint],MATCH($A327,SprintPlanning[Requirement ID],0))),"To Plan",INDEX(SprintPlanning[Sprint],MATCH($A327,SprintPlanning[Requirement ID],0))),"To Plan"))</f>
        <v/>
      </c>
      <c r="J327" s="36" t="n"/>
      <c r="K327">
        <f>IFERROR(IF(ISBLANK(INDEX(Release[Release],MATCH($A327,Release[Requirement ID],0))),"",INDEX(Release[Release],MATCH($A327,Release[Requirement ID],0))),"")</f>
        <v/>
      </c>
      <c r="L327" s="36" t="n"/>
      <c r="M327" s="36" t="n"/>
      <c r="N327" s="36" t="n"/>
      <c r="O327">
        <f>IF($N327="","","https://smartship.atlassian.net/browse/"&amp;$N327)</f>
        <v/>
      </c>
      <c r="P327">
        <f>IFERROR(VALUE(MID($A327,5,4)),0)</f>
        <v/>
      </c>
    </row>
    <row r="328" hidden="1" ht="15" customHeight="1">
      <c r="A328" s="35">
        <f>IF(B328="","","NEW-"&amp;TEXT(MAX($P$2:$P327)+1,"0000"))</f>
        <v/>
      </c>
      <c r="B328" s="36" t="n"/>
      <c r="C328" s="36" t="n"/>
      <c r="D328" s="36" t="n"/>
      <c r="E328" s="36" t="n"/>
      <c r="F328" s="36" t="n"/>
      <c r="G328" s="36" t="n"/>
      <c r="H328" s="36" t="n"/>
      <c r="I328">
        <f>IF($A328="","",IFERROR(IF(ISBLANK(INDEX(SprintPlanning[Sprint],MATCH($A328,SprintPlanning[Requirement ID],0))),"To Plan",INDEX(SprintPlanning[Sprint],MATCH($A328,SprintPlanning[Requirement ID],0))),"To Plan"))</f>
        <v/>
      </c>
      <c r="J328" s="36" t="n"/>
      <c r="K328">
        <f>IFERROR(IF(ISBLANK(INDEX(Release[Release],MATCH($A328,Release[Requirement ID],0))),"",INDEX(Release[Release],MATCH($A328,Release[Requirement ID],0))),"")</f>
        <v/>
      </c>
      <c r="L328" s="36" t="n"/>
      <c r="M328" s="36" t="n"/>
      <c r="N328" s="36" t="n"/>
      <c r="O328">
        <f>IF($N328="","","https://smartship.atlassian.net/browse/"&amp;$N328)</f>
        <v/>
      </c>
      <c r="P328">
        <f>IFERROR(VALUE(MID($A328,5,4)),0)</f>
        <v/>
      </c>
    </row>
    <row r="329" hidden="1" ht="15" customHeight="1">
      <c r="A329" s="35">
        <f>IF(B329="","","NEW-"&amp;TEXT(MAX($P$2:$P328)+1,"0000"))</f>
        <v/>
      </c>
      <c r="B329" s="36" t="n"/>
      <c r="C329" s="36" t="n"/>
      <c r="D329" s="36" t="n"/>
      <c r="E329" s="36" t="n"/>
      <c r="F329" s="36" t="n"/>
      <c r="G329" s="36" t="n"/>
      <c r="H329" s="36" t="n"/>
      <c r="I329">
        <f>IF($A329="","",IFERROR(IF(ISBLANK(INDEX(SprintPlanning[Sprint],MATCH($A329,SprintPlanning[Requirement ID],0))),"To Plan",INDEX(SprintPlanning[Sprint],MATCH($A329,SprintPlanning[Requirement ID],0))),"To Plan"))</f>
        <v/>
      </c>
      <c r="J329" s="36" t="n"/>
      <c r="K329">
        <f>IFERROR(IF(ISBLANK(INDEX(Release[Release],MATCH($A329,Release[Requirement ID],0))),"",INDEX(Release[Release],MATCH($A329,Release[Requirement ID],0))),"")</f>
        <v/>
      </c>
      <c r="L329" s="36" t="n"/>
      <c r="M329" s="36" t="n"/>
      <c r="N329" s="36" t="n"/>
      <c r="O329">
        <f>IF($N329="","","https://smartship.atlassian.net/browse/"&amp;$N329)</f>
        <v/>
      </c>
      <c r="P329">
        <f>IFERROR(VALUE(MID($A329,5,4)),0)</f>
        <v/>
      </c>
    </row>
    <row r="330" hidden="1" ht="15" customHeight="1">
      <c r="A330" s="35">
        <f>IF(B330="","","NEW-"&amp;TEXT(MAX($P$2:$P329)+1,"0000"))</f>
        <v/>
      </c>
      <c r="B330" s="36" t="n"/>
      <c r="C330" s="36" t="n"/>
      <c r="D330" s="36" t="n"/>
      <c r="E330" s="36" t="n"/>
      <c r="F330" s="36" t="n"/>
      <c r="G330" s="36" t="n"/>
      <c r="H330" s="36" t="n"/>
      <c r="I330">
        <f>IF($A330="","",IFERROR(IF(ISBLANK(INDEX(SprintPlanning[Sprint],MATCH($A330,SprintPlanning[Requirement ID],0))),"To Plan",INDEX(SprintPlanning[Sprint],MATCH($A330,SprintPlanning[Requirement ID],0))),"To Plan"))</f>
        <v/>
      </c>
      <c r="J330" s="36" t="n"/>
      <c r="K330">
        <f>IFERROR(IF(ISBLANK(INDEX(Release[Release],MATCH($A330,Release[Requirement ID],0))),"",INDEX(Release[Release],MATCH($A330,Release[Requirement ID],0))),"")</f>
        <v/>
      </c>
      <c r="L330" s="36" t="n"/>
      <c r="M330" s="36" t="n"/>
      <c r="N330" s="36" t="n"/>
      <c r="O330">
        <f>IF($N330="","","https://smartship.atlassian.net/browse/"&amp;$N330)</f>
        <v/>
      </c>
      <c r="P330">
        <f>IFERROR(VALUE(MID($A330,5,4)),0)</f>
        <v/>
      </c>
    </row>
    <row r="331" hidden="1" ht="15" customHeight="1">
      <c r="A331" s="35">
        <f>IF(B331="","","NEW-"&amp;TEXT(MAX($P$2:$P330)+1,"0000"))</f>
        <v/>
      </c>
      <c r="B331" s="36" t="n"/>
      <c r="C331" s="36" t="n"/>
      <c r="D331" s="36" t="n"/>
      <c r="E331" s="36" t="n"/>
      <c r="F331" s="36" t="n"/>
      <c r="G331" s="36" t="n"/>
      <c r="H331" s="36" t="n"/>
      <c r="I331">
        <f>IF($A331="","",IFERROR(IF(ISBLANK(INDEX(SprintPlanning[Sprint],MATCH($A331,SprintPlanning[Requirement ID],0))),"To Plan",INDEX(SprintPlanning[Sprint],MATCH($A331,SprintPlanning[Requirement ID],0))),"To Plan"))</f>
        <v/>
      </c>
      <c r="J331" s="36" t="n"/>
      <c r="K331">
        <f>IFERROR(IF(ISBLANK(INDEX(Release[Release],MATCH($A331,Release[Requirement ID],0))),"",INDEX(Release[Release],MATCH($A331,Release[Requirement ID],0))),"")</f>
        <v/>
      </c>
      <c r="L331" s="36" t="n"/>
      <c r="M331" s="36" t="n"/>
      <c r="N331" s="36" t="n"/>
      <c r="O331">
        <f>IF($N331="","","https://smartship.atlassian.net/browse/"&amp;$N331)</f>
        <v/>
      </c>
      <c r="P331">
        <f>IFERROR(VALUE(MID($A331,5,4)),0)</f>
        <v/>
      </c>
    </row>
    <row r="332" hidden="1" ht="15" customHeight="1">
      <c r="A332" s="35">
        <f>IF(B332="","","NEW-"&amp;TEXT(MAX($P$2:$P331)+1,"0000"))</f>
        <v/>
      </c>
      <c r="B332" s="36" t="n"/>
      <c r="C332" s="36" t="n"/>
      <c r="D332" s="36" t="n"/>
      <c r="E332" s="36" t="n"/>
      <c r="F332" s="36" t="n"/>
      <c r="G332" s="36" t="n"/>
      <c r="H332" s="36" t="n"/>
      <c r="I332">
        <f>IF($A332="","",IFERROR(IF(ISBLANK(INDEX(SprintPlanning[Sprint],MATCH($A332,SprintPlanning[Requirement ID],0))),"To Plan",INDEX(SprintPlanning[Sprint],MATCH($A332,SprintPlanning[Requirement ID],0))),"To Plan"))</f>
        <v/>
      </c>
      <c r="J332" s="36" t="n"/>
      <c r="K332">
        <f>IFERROR(IF(ISBLANK(INDEX(Release[Release],MATCH($A332,Release[Requirement ID],0))),"",INDEX(Release[Release],MATCH($A332,Release[Requirement ID],0))),"")</f>
        <v/>
      </c>
      <c r="L332" s="36" t="n"/>
      <c r="M332" s="36" t="n"/>
      <c r="N332" s="36" t="n"/>
      <c r="O332">
        <f>IF($N332="","","https://smartship.atlassian.net/browse/"&amp;$N332)</f>
        <v/>
      </c>
      <c r="P332">
        <f>IFERROR(VALUE(MID($A332,5,4)),0)</f>
        <v/>
      </c>
    </row>
    <row r="333" hidden="1" ht="15" customHeight="1">
      <c r="A333" s="35">
        <f>IF(B333="","","NEW-"&amp;TEXT(MAX($P$2:$P332)+1,"0000"))</f>
        <v/>
      </c>
      <c r="B333" s="36" t="n"/>
      <c r="C333" s="36" t="n"/>
      <c r="D333" s="36" t="n"/>
      <c r="E333" s="36" t="n"/>
      <c r="F333" s="36" t="n"/>
      <c r="G333" s="36" t="n"/>
      <c r="H333" s="36" t="n"/>
      <c r="I333">
        <f>IF($A333="","",IFERROR(IF(ISBLANK(INDEX(SprintPlanning[Sprint],MATCH($A333,SprintPlanning[Requirement ID],0))),"To Plan",INDEX(SprintPlanning[Sprint],MATCH($A333,SprintPlanning[Requirement ID],0))),"To Plan"))</f>
        <v/>
      </c>
      <c r="J333" s="36" t="n"/>
      <c r="K333">
        <f>IFERROR(IF(ISBLANK(INDEX(Release[Release],MATCH($A333,Release[Requirement ID],0))),"",INDEX(Release[Release],MATCH($A333,Release[Requirement ID],0))),"")</f>
        <v/>
      </c>
      <c r="L333" s="36" t="n"/>
      <c r="M333" s="36" t="n"/>
      <c r="N333" s="36" t="n"/>
      <c r="O333">
        <f>IF($N333="","","https://smartship.atlassian.net/browse/"&amp;$N333)</f>
        <v/>
      </c>
      <c r="P333">
        <f>IFERROR(VALUE(MID($A333,5,4)),0)</f>
        <v/>
      </c>
    </row>
    <row r="334" hidden="1" ht="15" customHeight="1">
      <c r="A334" s="35">
        <f>IF(B334="","","NEW-"&amp;TEXT(MAX($P$2:$P333)+1,"0000"))</f>
        <v/>
      </c>
      <c r="B334" s="36" t="n"/>
      <c r="C334" s="36" t="n"/>
      <c r="D334" s="36" t="n"/>
      <c r="E334" s="36" t="n"/>
      <c r="F334" s="36" t="n"/>
      <c r="G334" s="36" t="n"/>
      <c r="H334" s="36" t="n"/>
      <c r="I334">
        <f>IF($A334="","",IFERROR(IF(ISBLANK(INDEX(SprintPlanning[Sprint],MATCH($A334,SprintPlanning[Requirement ID],0))),"To Plan",INDEX(SprintPlanning[Sprint],MATCH($A334,SprintPlanning[Requirement ID],0))),"To Plan"))</f>
        <v/>
      </c>
      <c r="J334" s="36" t="n"/>
      <c r="K334">
        <f>IFERROR(IF(ISBLANK(INDEX(Release[Release],MATCH($A334,Release[Requirement ID],0))),"",INDEX(Release[Release],MATCH($A334,Release[Requirement ID],0))),"")</f>
        <v/>
      </c>
      <c r="L334" s="36" t="n"/>
      <c r="M334" s="36" t="n"/>
      <c r="N334" s="36" t="n"/>
      <c r="O334">
        <f>IF($N334="","","https://smartship.atlassian.net/browse/"&amp;$N334)</f>
        <v/>
      </c>
      <c r="P334">
        <f>IFERROR(VALUE(MID($A334,5,4)),0)</f>
        <v/>
      </c>
    </row>
    <row r="335" hidden="1" ht="15" customHeight="1">
      <c r="A335" s="35">
        <f>IF(B335="","","NEW-"&amp;TEXT(MAX($P$2:$P334)+1,"0000"))</f>
        <v/>
      </c>
      <c r="B335" s="36" t="n"/>
      <c r="C335" s="36" t="n"/>
      <c r="D335" s="36" t="n"/>
      <c r="E335" s="36" t="n"/>
      <c r="F335" s="36" t="n"/>
      <c r="G335" s="36" t="n"/>
      <c r="H335" s="36" t="n"/>
      <c r="I335">
        <f>IF($A335="","",IFERROR(IF(ISBLANK(INDEX(SprintPlanning[Sprint],MATCH($A335,SprintPlanning[Requirement ID],0))),"To Plan",INDEX(SprintPlanning[Sprint],MATCH($A335,SprintPlanning[Requirement ID],0))),"To Plan"))</f>
        <v/>
      </c>
      <c r="J335" s="36" t="n"/>
      <c r="K335">
        <f>IFERROR(IF(ISBLANK(INDEX(Release[Release],MATCH($A335,Release[Requirement ID],0))),"",INDEX(Release[Release],MATCH($A335,Release[Requirement ID],0))),"")</f>
        <v/>
      </c>
      <c r="L335" s="36" t="n"/>
      <c r="M335" s="36" t="n"/>
      <c r="N335" s="36" t="n"/>
      <c r="O335">
        <f>IF($N335="","","https://smartship.atlassian.net/browse/"&amp;$N335)</f>
        <v/>
      </c>
      <c r="P335">
        <f>IFERROR(VALUE(MID($A335,5,4)),0)</f>
        <v/>
      </c>
    </row>
    <row r="336" hidden="1" ht="15" customHeight="1">
      <c r="A336" s="35">
        <f>IF(B336="","","NEW-"&amp;TEXT(MAX($P$2:$P335)+1,"0000"))</f>
        <v/>
      </c>
      <c r="B336" s="36" t="n"/>
      <c r="C336" s="36" t="n"/>
      <c r="D336" s="36" t="n"/>
      <c r="E336" s="36" t="n"/>
      <c r="F336" s="36" t="n"/>
      <c r="G336" s="36" t="n"/>
      <c r="H336" s="36" t="n"/>
      <c r="I336">
        <f>IF($A336="","",IFERROR(IF(ISBLANK(INDEX(SprintPlanning[Sprint],MATCH($A336,SprintPlanning[Requirement ID],0))),"To Plan",INDEX(SprintPlanning[Sprint],MATCH($A336,SprintPlanning[Requirement ID],0))),"To Plan"))</f>
        <v/>
      </c>
      <c r="J336" s="36" t="n"/>
      <c r="K336">
        <f>IFERROR(IF(ISBLANK(INDEX(Release[Release],MATCH($A336,Release[Requirement ID],0))),"",INDEX(Release[Release],MATCH($A336,Release[Requirement ID],0))),"")</f>
        <v/>
      </c>
      <c r="L336" s="36" t="n"/>
      <c r="M336" s="36" t="n"/>
      <c r="N336" s="36" t="n"/>
      <c r="O336">
        <f>IF($N336="","","https://smartship.atlassian.net/browse/"&amp;$N336)</f>
        <v/>
      </c>
      <c r="P336">
        <f>IFERROR(VALUE(MID($A336,5,4)),0)</f>
        <v/>
      </c>
    </row>
    <row r="337" hidden="1" ht="15" customHeight="1">
      <c r="A337" s="35">
        <f>IF(B337="","","NEW-"&amp;TEXT(MAX($P$2:$P336)+1,"0000"))</f>
        <v/>
      </c>
      <c r="B337" s="36" t="n"/>
      <c r="C337" s="36" t="n"/>
      <c r="D337" s="36" t="n"/>
      <c r="E337" s="36" t="n"/>
      <c r="F337" s="36" t="n"/>
      <c r="G337" s="36" t="n"/>
      <c r="H337" s="36" t="n"/>
      <c r="I337">
        <f>IF($A337="","",IFERROR(IF(ISBLANK(INDEX(SprintPlanning[Sprint],MATCH($A337,SprintPlanning[Requirement ID],0))),"To Plan",INDEX(SprintPlanning[Sprint],MATCH($A337,SprintPlanning[Requirement ID],0))),"To Plan"))</f>
        <v/>
      </c>
      <c r="J337" s="36" t="n"/>
      <c r="K337">
        <f>IFERROR(IF(ISBLANK(INDEX(Release[Release],MATCH($A337,Release[Requirement ID],0))),"",INDEX(Release[Release],MATCH($A337,Release[Requirement ID],0))),"")</f>
        <v/>
      </c>
      <c r="L337" s="36" t="n"/>
      <c r="M337" s="36" t="n"/>
      <c r="N337" s="36" t="n"/>
      <c r="O337">
        <f>IF($N337="","","https://smartship.atlassian.net/browse/"&amp;$N337)</f>
        <v/>
      </c>
      <c r="P337">
        <f>IFERROR(VALUE(MID($A337,5,4)),0)</f>
        <v/>
      </c>
    </row>
    <row r="338" hidden="1" ht="15" customHeight="1">
      <c r="A338" s="35">
        <f>IF(B338="","","NEW-"&amp;TEXT(MAX($P$2:$P337)+1,"0000"))</f>
        <v/>
      </c>
      <c r="B338" s="36" t="n"/>
      <c r="C338" s="36" t="n"/>
      <c r="D338" s="36" t="n"/>
      <c r="E338" s="36" t="n"/>
      <c r="F338" s="36" t="n"/>
      <c r="G338" s="36" t="n"/>
      <c r="H338" s="36" t="n"/>
      <c r="I338">
        <f>IF($A338="","",IFERROR(IF(ISBLANK(INDEX(SprintPlanning[Sprint],MATCH($A338,SprintPlanning[Requirement ID],0))),"To Plan",INDEX(SprintPlanning[Sprint],MATCH($A338,SprintPlanning[Requirement ID],0))),"To Plan"))</f>
        <v/>
      </c>
      <c r="J338" s="36" t="n"/>
      <c r="K338">
        <f>IFERROR(IF(ISBLANK(INDEX(Release[Release],MATCH($A338,Release[Requirement ID],0))),"",INDEX(Release[Release],MATCH($A338,Release[Requirement ID],0))),"")</f>
        <v/>
      </c>
      <c r="L338" s="36" t="n"/>
      <c r="M338" s="36" t="n"/>
      <c r="N338" s="36" t="n"/>
      <c r="O338">
        <f>IF($N338="","","https://smartship.atlassian.net/browse/"&amp;$N338)</f>
        <v/>
      </c>
      <c r="P338">
        <f>IFERROR(VALUE(MID($A338,5,4)),0)</f>
        <v/>
      </c>
    </row>
    <row r="339" hidden="1" ht="15" customHeight="1">
      <c r="A339" s="35">
        <f>IF(B339="","","NEW-"&amp;TEXT(MAX($P$2:$P338)+1,"0000"))</f>
        <v/>
      </c>
      <c r="B339" s="36" t="n"/>
      <c r="C339" s="36" t="n"/>
      <c r="D339" s="36" t="n"/>
      <c r="E339" s="36" t="n"/>
      <c r="F339" s="36" t="n"/>
      <c r="G339" s="36" t="n"/>
      <c r="H339" s="36" t="n"/>
      <c r="I339">
        <f>IF($A339="","",IFERROR(IF(ISBLANK(INDEX(SprintPlanning[Sprint],MATCH($A339,SprintPlanning[Requirement ID],0))),"To Plan",INDEX(SprintPlanning[Sprint],MATCH($A339,SprintPlanning[Requirement ID],0))),"To Plan"))</f>
        <v/>
      </c>
      <c r="J339" s="36" t="n"/>
      <c r="K339">
        <f>IFERROR(IF(ISBLANK(INDEX(Release[Release],MATCH($A339,Release[Requirement ID],0))),"",INDEX(Release[Release],MATCH($A339,Release[Requirement ID],0))),"")</f>
        <v/>
      </c>
      <c r="L339" s="36" t="n"/>
      <c r="M339" s="36" t="n"/>
      <c r="N339" s="36" t="n"/>
      <c r="O339">
        <f>IF($N339="","","https://smartship.atlassian.net/browse/"&amp;$N339)</f>
        <v/>
      </c>
      <c r="P339">
        <f>IFERROR(VALUE(MID($A339,5,4)),0)</f>
        <v/>
      </c>
    </row>
    <row r="340" hidden="1" ht="15" customHeight="1">
      <c r="A340" s="35">
        <f>IF(B340="","","NEW-"&amp;TEXT(MAX($P$2:$P339)+1,"0000"))</f>
        <v/>
      </c>
      <c r="B340" s="36" t="n"/>
      <c r="C340" s="36" t="n"/>
      <c r="D340" s="36" t="n"/>
      <c r="E340" s="36" t="n"/>
      <c r="F340" s="36" t="n"/>
      <c r="G340" s="36" t="n"/>
      <c r="H340" s="36" t="n"/>
      <c r="I340">
        <f>IF($A340="","",IFERROR(IF(ISBLANK(INDEX(SprintPlanning[Sprint],MATCH($A340,SprintPlanning[Requirement ID],0))),"To Plan",INDEX(SprintPlanning[Sprint],MATCH($A340,SprintPlanning[Requirement ID],0))),"To Plan"))</f>
        <v/>
      </c>
      <c r="J340" s="36" t="n"/>
      <c r="K340">
        <f>IFERROR(IF(ISBLANK(INDEX(Release[Release],MATCH($A340,Release[Requirement ID],0))),"",INDEX(Release[Release],MATCH($A340,Release[Requirement ID],0))),"")</f>
        <v/>
      </c>
      <c r="L340" s="36" t="n"/>
      <c r="M340" s="36" t="n"/>
      <c r="N340" s="36" t="n"/>
      <c r="O340">
        <f>IF($N340="","","https://smartship.atlassian.net/browse/"&amp;$N340)</f>
        <v/>
      </c>
      <c r="P340">
        <f>IFERROR(VALUE(MID($A340,5,4)),0)</f>
        <v/>
      </c>
    </row>
    <row r="341" hidden="1" ht="15" customHeight="1">
      <c r="A341" s="35">
        <f>IF(B341="","","NEW-"&amp;TEXT(MAX($P$2:$P340)+1,"0000"))</f>
        <v/>
      </c>
      <c r="B341" s="36" t="n"/>
      <c r="C341" s="36" t="n"/>
      <c r="D341" s="36" t="n"/>
      <c r="E341" s="36" t="n"/>
      <c r="F341" s="36" t="n"/>
      <c r="G341" s="36" t="n"/>
      <c r="H341" s="36" t="n"/>
      <c r="I341">
        <f>IF($A341="","",IFERROR(IF(ISBLANK(INDEX(SprintPlanning[Sprint],MATCH($A341,SprintPlanning[Requirement ID],0))),"To Plan",INDEX(SprintPlanning[Sprint],MATCH($A341,SprintPlanning[Requirement ID],0))),"To Plan"))</f>
        <v/>
      </c>
      <c r="J341" s="36" t="n"/>
      <c r="K341">
        <f>IFERROR(IF(ISBLANK(INDEX(Release[Release],MATCH($A341,Release[Requirement ID],0))),"",INDEX(Release[Release],MATCH($A341,Release[Requirement ID],0))),"")</f>
        <v/>
      </c>
      <c r="L341" s="36" t="n"/>
      <c r="M341" s="36" t="n"/>
      <c r="N341" s="36" t="n"/>
      <c r="O341">
        <f>IF($N341="","","https://smartship.atlassian.net/browse/"&amp;$N341)</f>
        <v/>
      </c>
      <c r="P341">
        <f>IFERROR(VALUE(MID($A341,5,4)),0)</f>
        <v/>
      </c>
    </row>
    <row r="342" hidden="1" ht="15" customHeight="1">
      <c r="A342" s="35">
        <f>IF(B342="","","NEW-"&amp;TEXT(MAX($P$2:$P341)+1,"0000"))</f>
        <v/>
      </c>
      <c r="B342" s="36" t="n"/>
      <c r="C342" s="36" t="n"/>
      <c r="D342" s="36" t="n"/>
      <c r="E342" s="36" t="n"/>
      <c r="F342" s="36" t="n"/>
      <c r="G342" s="36" t="n"/>
      <c r="H342" s="36" t="n"/>
      <c r="I342">
        <f>IF($A342="","",IFERROR(IF(ISBLANK(INDEX(SprintPlanning[Sprint],MATCH($A342,SprintPlanning[Requirement ID],0))),"To Plan",INDEX(SprintPlanning[Sprint],MATCH($A342,SprintPlanning[Requirement ID],0))),"To Plan"))</f>
        <v/>
      </c>
      <c r="J342" s="36" t="n"/>
      <c r="K342">
        <f>IFERROR(IF(ISBLANK(INDEX(Release[Release],MATCH($A342,Release[Requirement ID],0))),"",INDEX(Release[Release],MATCH($A342,Release[Requirement ID],0))),"")</f>
        <v/>
      </c>
      <c r="L342" s="36" t="n"/>
      <c r="M342" s="36" t="n"/>
      <c r="N342" s="36" t="n"/>
      <c r="O342">
        <f>IF($N342="","","https://smartship.atlassian.net/browse/"&amp;$N342)</f>
        <v/>
      </c>
      <c r="P342">
        <f>IFERROR(VALUE(MID($A342,5,4)),0)</f>
        <v/>
      </c>
    </row>
    <row r="343" hidden="1" ht="15" customHeight="1">
      <c r="A343" s="35">
        <f>IF(B343="","","NEW-"&amp;TEXT(MAX($P$2:$P342)+1,"0000"))</f>
        <v/>
      </c>
      <c r="B343" s="36" t="n"/>
      <c r="C343" s="36" t="n"/>
      <c r="D343" s="36" t="n"/>
      <c r="E343" s="36" t="n"/>
      <c r="F343" s="36" t="n"/>
      <c r="G343" s="36" t="n"/>
      <c r="H343" s="36" t="n"/>
      <c r="I343">
        <f>IF($A343="","",IFERROR(IF(ISBLANK(INDEX(SprintPlanning[Sprint],MATCH($A343,SprintPlanning[Requirement ID],0))),"To Plan",INDEX(SprintPlanning[Sprint],MATCH($A343,SprintPlanning[Requirement ID],0))),"To Plan"))</f>
        <v/>
      </c>
      <c r="J343" s="36" t="n"/>
      <c r="K343">
        <f>IFERROR(IF(ISBLANK(INDEX(Release[Release],MATCH($A343,Release[Requirement ID],0))),"",INDEX(Release[Release],MATCH($A343,Release[Requirement ID],0))),"")</f>
        <v/>
      </c>
      <c r="L343" s="36" t="n"/>
      <c r="M343" s="36" t="n"/>
      <c r="N343" s="36" t="n"/>
      <c r="O343">
        <f>IF($N343="","","https://smartship.atlassian.net/browse/"&amp;$N343)</f>
        <v/>
      </c>
      <c r="P343">
        <f>IFERROR(VALUE(MID($A343,5,4)),0)</f>
        <v/>
      </c>
    </row>
    <row r="344" hidden="1" ht="15" customHeight="1">
      <c r="A344" s="35">
        <f>IF(B344="","","NEW-"&amp;TEXT(MAX($P$2:$P343)+1,"0000"))</f>
        <v/>
      </c>
      <c r="B344" s="36" t="n"/>
      <c r="C344" s="36" t="n"/>
      <c r="D344" s="36" t="n"/>
      <c r="E344" s="36" t="n"/>
      <c r="F344" s="36" t="n"/>
      <c r="G344" s="36" t="n"/>
      <c r="H344" s="36" t="n"/>
      <c r="I344">
        <f>IF($A344="","",IFERROR(IF(ISBLANK(INDEX(SprintPlanning[Sprint],MATCH($A344,SprintPlanning[Requirement ID],0))),"To Plan",INDEX(SprintPlanning[Sprint],MATCH($A344,SprintPlanning[Requirement ID],0))),"To Plan"))</f>
        <v/>
      </c>
      <c r="J344" s="36" t="n"/>
      <c r="K344">
        <f>IFERROR(IF(ISBLANK(INDEX(Release[Release],MATCH($A344,Release[Requirement ID],0))),"",INDEX(Release[Release],MATCH($A344,Release[Requirement ID],0))),"")</f>
        <v/>
      </c>
      <c r="L344" s="36" t="n"/>
      <c r="M344" s="36" t="n"/>
      <c r="N344" s="36" t="n"/>
      <c r="O344">
        <f>IF($N344="","","https://smartship.atlassian.net/browse/"&amp;$N344)</f>
        <v/>
      </c>
      <c r="P344">
        <f>IFERROR(VALUE(MID($A344,5,4)),0)</f>
        <v/>
      </c>
    </row>
    <row r="345" hidden="1" ht="15" customHeight="1">
      <c r="A345" s="35">
        <f>IF(B345="","","NEW-"&amp;TEXT(MAX($P$2:$P344)+1,"0000"))</f>
        <v/>
      </c>
      <c r="B345" s="36" t="n"/>
      <c r="C345" s="36" t="n"/>
      <c r="D345" s="36" t="n"/>
      <c r="E345" s="36" t="n"/>
      <c r="F345" s="36" t="n"/>
      <c r="G345" s="36" t="n"/>
      <c r="H345" s="36" t="n"/>
      <c r="I345">
        <f>IF($A345="","",IFERROR(IF(ISBLANK(INDEX(SprintPlanning[Sprint],MATCH($A345,SprintPlanning[Requirement ID],0))),"To Plan",INDEX(SprintPlanning[Sprint],MATCH($A345,SprintPlanning[Requirement ID],0))),"To Plan"))</f>
        <v/>
      </c>
      <c r="J345" s="36" t="n"/>
      <c r="K345">
        <f>IFERROR(IF(ISBLANK(INDEX(Release[Release],MATCH($A345,Release[Requirement ID],0))),"",INDEX(Release[Release],MATCH($A345,Release[Requirement ID],0))),"")</f>
        <v/>
      </c>
      <c r="L345" s="36" t="n"/>
      <c r="M345" s="36" t="n"/>
      <c r="N345" s="36" t="n"/>
      <c r="O345">
        <f>IF($N345="","","https://smartship.atlassian.net/browse/"&amp;$N345)</f>
        <v/>
      </c>
      <c r="P345">
        <f>IFERROR(VALUE(MID($A345,5,4)),0)</f>
        <v/>
      </c>
    </row>
    <row r="346" hidden="1" ht="15" customHeight="1">
      <c r="A346" s="35">
        <f>IF(B346="","","NEW-"&amp;TEXT(MAX($P$2:$P345)+1,"0000"))</f>
        <v/>
      </c>
      <c r="B346" s="36" t="n"/>
      <c r="C346" s="36" t="n"/>
      <c r="D346" s="36" t="n"/>
      <c r="E346" s="36" t="n"/>
      <c r="F346" s="36" t="n"/>
      <c r="G346" s="36" t="n"/>
      <c r="H346" s="36" t="n"/>
      <c r="I346">
        <f>IF($A346="","",IFERROR(IF(ISBLANK(INDEX(SprintPlanning[Sprint],MATCH($A346,SprintPlanning[Requirement ID],0))),"To Plan",INDEX(SprintPlanning[Sprint],MATCH($A346,SprintPlanning[Requirement ID],0))),"To Plan"))</f>
        <v/>
      </c>
      <c r="J346" s="36" t="n"/>
      <c r="K346">
        <f>IFERROR(IF(ISBLANK(INDEX(Release[Release],MATCH($A346,Release[Requirement ID],0))),"",INDEX(Release[Release],MATCH($A346,Release[Requirement ID],0))),"")</f>
        <v/>
      </c>
      <c r="L346" s="36" t="n"/>
      <c r="M346" s="36" t="n"/>
      <c r="N346" s="36" t="n"/>
      <c r="O346">
        <f>IF($N346="","","https://smartship.atlassian.net/browse/"&amp;$N346)</f>
        <v/>
      </c>
      <c r="P346">
        <f>IFERROR(VALUE(MID($A346,5,4)),0)</f>
        <v/>
      </c>
    </row>
    <row r="347" hidden="1" ht="15" customHeight="1">
      <c r="A347" s="35">
        <f>IF(B347="","","NEW-"&amp;TEXT(MAX($P$2:$P346)+1,"0000"))</f>
        <v/>
      </c>
      <c r="B347" s="36" t="n"/>
      <c r="C347" s="36" t="n"/>
      <c r="D347" s="36" t="n"/>
      <c r="E347" s="36" t="n"/>
      <c r="F347" s="36" t="n"/>
      <c r="G347" s="36" t="n"/>
      <c r="H347" s="36" t="n"/>
      <c r="I347">
        <f>IF($A347="","",IFERROR(IF(ISBLANK(INDEX(SprintPlanning[Sprint],MATCH($A347,SprintPlanning[Requirement ID],0))),"To Plan",INDEX(SprintPlanning[Sprint],MATCH($A347,SprintPlanning[Requirement ID],0))),"To Plan"))</f>
        <v/>
      </c>
      <c r="J347" s="36" t="n"/>
      <c r="K347">
        <f>IFERROR(IF(ISBLANK(INDEX(Release[Release],MATCH($A347,Release[Requirement ID],0))),"",INDEX(Release[Release],MATCH($A347,Release[Requirement ID],0))),"")</f>
        <v/>
      </c>
      <c r="L347" s="36" t="n"/>
      <c r="M347" s="36" t="n"/>
      <c r="N347" s="36" t="n"/>
      <c r="O347">
        <f>IF($N347="","","https://smartship.atlassian.net/browse/"&amp;$N347)</f>
        <v/>
      </c>
      <c r="P347">
        <f>IFERROR(VALUE(MID($A347,5,4)),0)</f>
        <v/>
      </c>
    </row>
    <row r="348" hidden="1" ht="15" customHeight="1">
      <c r="A348" s="35">
        <f>IF(B348="","","NEW-"&amp;TEXT(MAX($P$2:$P347)+1,"0000"))</f>
        <v/>
      </c>
      <c r="B348" s="36" t="n"/>
      <c r="C348" s="36" t="n"/>
      <c r="D348" s="36" t="n"/>
      <c r="E348" s="36" t="n"/>
      <c r="F348" s="36" t="n"/>
      <c r="G348" s="36" t="n"/>
      <c r="H348" s="36" t="n"/>
      <c r="I348">
        <f>IF($A348="","",IFERROR(IF(ISBLANK(INDEX(SprintPlanning[Sprint],MATCH($A348,SprintPlanning[Requirement ID],0))),"To Plan",INDEX(SprintPlanning[Sprint],MATCH($A348,SprintPlanning[Requirement ID],0))),"To Plan"))</f>
        <v/>
      </c>
      <c r="J348" s="36" t="n"/>
      <c r="K348">
        <f>IFERROR(IF(ISBLANK(INDEX(Release[Release],MATCH($A348,Release[Requirement ID],0))),"",INDEX(Release[Release],MATCH($A348,Release[Requirement ID],0))),"")</f>
        <v/>
      </c>
      <c r="L348" s="36" t="n"/>
      <c r="M348" s="36" t="n"/>
      <c r="N348" s="36" t="n"/>
      <c r="O348">
        <f>IF($N348="","","https://smartship.atlassian.net/browse/"&amp;$N348)</f>
        <v/>
      </c>
      <c r="P348">
        <f>IFERROR(VALUE(MID($A348,5,4)),0)</f>
        <v/>
      </c>
    </row>
    <row r="349" hidden="1" ht="15" customHeight="1">
      <c r="A349" s="35">
        <f>IF(B349="","","NEW-"&amp;TEXT(MAX($P$2:$P348)+1,"0000"))</f>
        <v/>
      </c>
      <c r="B349" s="36" t="n"/>
      <c r="C349" s="36" t="n"/>
      <c r="D349" s="36" t="n"/>
      <c r="E349" s="36" t="n"/>
      <c r="F349" s="36" t="n"/>
      <c r="G349" s="36" t="n"/>
      <c r="H349" s="36" t="n"/>
      <c r="I349">
        <f>IF($A349="","",IFERROR(IF(ISBLANK(INDEX(SprintPlanning[Sprint],MATCH($A349,SprintPlanning[Requirement ID],0))),"To Plan",INDEX(SprintPlanning[Sprint],MATCH($A349,SprintPlanning[Requirement ID],0))),"To Plan"))</f>
        <v/>
      </c>
      <c r="J349" s="36" t="n"/>
      <c r="K349">
        <f>IFERROR(IF(ISBLANK(INDEX(Release[Release],MATCH($A349,Release[Requirement ID],0))),"",INDEX(Release[Release],MATCH($A349,Release[Requirement ID],0))),"")</f>
        <v/>
      </c>
      <c r="L349" s="36" t="n"/>
      <c r="M349" s="36" t="n"/>
      <c r="N349" s="36" t="n"/>
      <c r="O349">
        <f>IF($N349="","","https://smartship.atlassian.net/browse/"&amp;$N349)</f>
        <v/>
      </c>
      <c r="P349">
        <f>IFERROR(VALUE(MID($A349,5,4)),0)</f>
        <v/>
      </c>
    </row>
    <row r="350" hidden="1" ht="15" customHeight="1">
      <c r="A350" s="35">
        <f>IF(B350="","","NEW-"&amp;TEXT(MAX($P$2:$P349)+1,"0000"))</f>
        <v/>
      </c>
      <c r="B350" s="36" t="n"/>
      <c r="C350" s="36" t="n"/>
      <c r="D350" s="36" t="n"/>
      <c r="E350" s="36" t="n"/>
      <c r="F350" s="36" t="n"/>
      <c r="G350" s="36" t="n"/>
      <c r="H350" s="36" t="n"/>
      <c r="I350">
        <f>IF($A350="","",IFERROR(IF(ISBLANK(INDEX(SprintPlanning[Sprint],MATCH($A350,SprintPlanning[Requirement ID],0))),"To Plan",INDEX(SprintPlanning[Sprint],MATCH($A350,SprintPlanning[Requirement ID],0))),"To Plan"))</f>
        <v/>
      </c>
      <c r="J350" s="36" t="n"/>
      <c r="K350">
        <f>IFERROR(IF(ISBLANK(INDEX(Release[Release],MATCH($A350,Release[Requirement ID],0))),"",INDEX(Release[Release],MATCH($A350,Release[Requirement ID],0))),"")</f>
        <v/>
      </c>
      <c r="L350" s="36" t="n"/>
      <c r="M350" s="36" t="n"/>
      <c r="N350" s="36" t="n"/>
      <c r="O350">
        <f>IF($N350="","","https://smartship.atlassian.net/browse/"&amp;$N350)</f>
        <v/>
      </c>
      <c r="P350">
        <f>IFERROR(VALUE(MID($A350,5,4)),0)</f>
        <v/>
      </c>
    </row>
    <row r="351" hidden="1" ht="15" customHeight="1">
      <c r="A351" s="35">
        <f>IF(B351="","","NEW-"&amp;TEXT(MAX($P$2:$P350)+1,"0000"))</f>
        <v/>
      </c>
      <c r="B351" s="36" t="n"/>
      <c r="C351" s="36" t="n"/>
      <c r="D351" s="36" t="n"/>
      <c r="E351" s="36" t="n"/>
      <c r="F351" s="36" t="n"/>
      <c r="G351" s="36" t="n"/>
      <c r="H351" s="36" t="n"/>
      <c r="I351">
        <f>IF($A351="","",IFERROR(IF(ISBLANK(INDEX(SprintPlanning[Sprint],MATCH($A351,SprintPlanning[Requirement ID],0))),"To Plan",INDEX(SprintPlanning[Sprint],MATCH($A351,SprintPlanning[Requirement ID],0))),"To Plan"))</f>
        <v/>
      </c>
      <c r="J351" s="36" t="n"/>
      <c r="K351">
        <f>IFERROR(IF(ISBLANK(INDEX(Release[Release],MATCH($A351,Release[Requirement ID],0))),"",INDEX(Release[Release],MATCH($A351,Release[Requirement ID],0))),"")</f>
        <v/>
      </c>
      <c r="L351" s="36" t="n"/>
      <c r="M351" s="36" t="n"/>
      <c r="N351" s="36" t="n"/>
      <c r="O351">
        <f>IF($N351="","","https://smartship.atlassian.net/browse/"&amp;$N351)</f>
        <v/>
      </c>
      <c r="P351">
        <f>IFERROR(VALUE(MID($A351,5,4)),0)</f>
        <v/>
      </c>
    </row>
    <row r="352" hidden="1" ht="15" customHeight="1">
      <c r="A352" s="35">
        <f>IF(B352="","","NEW-"&amp;TEXT(MAX($P$2:$P351)+1,"0000"))</f>
        <v/>
      </c>
      <c r="B352" s="36" t="n"/>
      <c r="C352" s="36" t="n"/>
      <c r="D352" s="36" t="n"/>
      <c r="E352" s="36" t="n"/>
      <c r="F352" s="36" t="n"/>
      <c r="G352" s="36" t="n"/>
      <c r="H352" s="36" t="n"/>
      <c r="I352">
        <f>IF($A352="","",IFERROR(IF(ISBLANK(INDEX(SprintPlanning[Sprint],MATCH($A352,SprintPlanning[Requirement ID],0))),"To Plan",INDEX(SprintPlanning[Sprint],MATCH($A352,SprintPlanning[Requirement ID],0))),"To Plan"))</f>
        <v/>
      </c>
      <c r="J352" s="36" t="n"/>
      <c r="K352">
        <f>IFERROR(IF(ISBLANK(INDEX(Release[Release],MATCH($A352,Release[Requirement ID],0))),"",INDEX(Release[Release],MATCH($A352,Release[Requirement ID],0))),"")</f>
        <v/>
      </c>
      <c r="L352" s="36" t="n"/>
      <c r="M352" s="36" t="n"/>
      <c r="N352" s="36" t="n"/>
      <c r="O352">
        <f>IF($N352="","","https://smartship.atlassian.net/browse/"&amp;$N352)</f>
        <v/>
      </c>
      <c r="P352">
        <f>IFERROR(VALUE(MID($A352,5,4)),0)</f>
        <v/>
      </c>
    </row>
    <row r="353" hidden="1" ht="15" customHeight="1">
      <c r="A353" s="35">
        <f>IF(B353="","","NEW-"&amp;TEXT(MAX($P$2:$P352)+1,"0000"))</f>
        <v/>
      </c>
      <c r="B353" s="36" t="n"/>
      <c r="C353" s="36" t="n"/>
      <c r="D353" s="36" t="n"/>
      <c r="E353" s="36" t="n"/>
      <c r="F353" s="36" t="n"/>
      <c r="G353" s="36" t="n"/>
      <c r="H353" s="36" t="n"/>
      <c r="I353">
        <f>IF($A353="","",IFERROR(IF(ISBLANK(INDEX(SprintPlanning[Sprint],MATCH($A353,SprintPlanning[Requirement ID],0))),"To Plan",INDEX(SprintPlanning[Sprint],MATCH($A353,SprintPlanning[Requirement ID],0))),"To Plan"))</f>
        <v/>
      </c>
      <c r="J353" s="36" t="n"/>
      <c r="K353">
        <f>IFERROR(IF(ISBLANK(INDEX(Release[Release],MATCH($A353,Release[Requirement ID],0))),"",INDEX(Release[Release],MATCH($A353,Release[Requirement ID],0))),"")</f>
        <v/>
      </c>
      <c r="L353" s="36" t="n"/>
      <c r="M353" s="36" t="n"/>
      <c r="N353" s="36" t="n"/>
      <c r="O353">
        <f>IF($N353="","","https://smartship.atlassian.net/browse/"&amp;$N353)</f>
        <v/>
      </c>
      <c r="P353">
        <f>IFERROR(VALUE(MID($A353,5,4)),0)</f>
        <v/>
      </c>
    </row>
    <row r="354" hidden="1" ht="15" customHeight="1">
      <c r="A354" s="35">
        <f>IF(B354="","","NEW-"&amp;TEXT(MAX($P$2:$P353)+1,"0000"))</f>
        <v/>
      </c>
      <c r="B354" s="36" t="n"/>
      <c r="C354" s="36" t="n"/>
      <c r="D354" s="36" t="n"/>
      <c r="E354" s="36" t="n"/>
      <c r="F354" s="36" t="n"/>
      <c r="G354" s="36" t="n"/>
      <c r="H354" s="36" t="n"/>
      <c r="I354">
        <f>IF($A354="","",IFERROR(IF(ISBLANK(INDEX(SprintPlanning[Sprint],MATCH($A354,SprintPlanning[Requirement ID],0))),"To Plan",INDEX(SprintPlanning[Sprint],MATCH($A354,SprintPlanning[Requirement ID],0))),"To Plan"))</f>
        <v/>
      </c>
      <c r="J354" s="36" t="n"/>
      <c r="K354">
        <f>IFERROR(IF(ISBLANK(INDEX(Release[Release],MATCH($A354,Release[Requirement ID],0))),"",INDEX(Release[Release],MATCH($A354,Release[Requirement ID],0))),"")</f>
        <v/>
      </c>
      <c r="L354" s="36" t="n"/>
      <c r="M354" s="36" t="n"/>
      <c r="N354" s="36" t="n"/>
      <c r="O354">
        <f>IF($N354="","","https://smartship.atlassian.net/browse/"&amp;$N354)</f>
        <v/>
      </c>
      <c r="P354">
        <f>IFERROR(VALUE(MID($A354,5,4)),0)</f>
        <v/>
      </c>
    </row>
    <row r="355" hidden="1" ht="15" customHeight="1">
      <c r="A355" s="35">
        <f>IF(B355="","","NEW-"&amp;TEXT(MAX($P$2:$P354)+1,"0000"))</f>
        <v/>
      </c>
      <c r="B355" s="36" t="n"/>
      <c r="C355" s="36" t="n"/>
      <c r="D355" s="36" t="n"/>
      <c r="E355" s="36" t="n"/>
      <c r="F355" s="36" t="n"/>
      <c r="G355" s="36" t="n"/>
      <c r="H355" s="36" t="n"/>
      <c r="I355">
        <f>IF($A355="","",IFERROR(IF(ISBLANK(INDEX(SprintPlanning[Sprint],MATCH($A355,SprintPlanning[Requirement ID],0))),"To Plan",INDEX(SprintPlanning[Sprint],MATCH($A355,SprintPlanning[Requirement ID],0))),"To Plan"))</f>
        <v/>
      </c>
      <c r="J355" s="36" t="n"/>
      <c r="K355">
        <f>IFERROR(IF(ISBLANK(INDEX(Release[Release],MATCH($A355,Release[Requirement ID],0))),"",INDEX(Release[Release],MATCH($A355,Release[Requirement ID],0))),"")</f>
        <v/>
      </c>
      <c r="L355" s="36" t="n"/>
      <c r="M355" s="36" t="n"/>
      <c r="N355" s="36" t="n"/>
      <c r="O355">
        <f>IF($N355="","","https://smartship.atlassian.net/browse/"&amp;$N355)</f>
        <v/>
      </c>
      <c r="P355">
        <f>IFERROR(VALUE(MID($A355,5,4)),0)</f>
        <v/>
      </c>
    </row>
    <row r="356" hidden="1" ht="15" customHeight="1">
      <c r="A356" s="35">
        <f>IF(B356="","","NEW-"&amp;TEXT(MAX($P$2:$P355)+1,"0000"))</f>
        <v/>
      </c>
      <c r="B356" s="36" t="n"/>
      <c r="C356" s="36" t="n"/>
      <c r="D356" s="36" t="n"/>
      <c r="E356" s="36" t="n"/>
      <c r="F356" s="36" t="n"/>
      <c r="G356" s="36" t="n"/>
      <c r="H356" s="36" t="n"/>
      <c r="I356">
        <f>IF($A356="","",IFERROR(IF(ISBLANK(INDEX(SprintPlanning[Sprint],MATCH($A356,SprintPlanning[Requirement ID],0))),"To Plan",INDEX(SprintPlanning[Sprint],MATCH($A356,SprintPlanning[Requirement ID],0))),"To Plan"))</f>
        <v/>
      </c>
      <c r="J356" s="36" t="n"/>
      <c r="K356">
        <f>IFERROR(IF(ISBLANK(INDEX(Release[Release],MATCH($A356,Release[Requirement ID],0))),"",INDEX(Release[Release],MATCH($A356,Release[Requirement ID],0))),"")</f>
        <v/>
      </c>
      <c r="L356" s="36" t="n"/>
      <c r="M356" s="36" t="n"/>
      <c r="N356" s="36" t="n"/>
      <c r="O356">
        <f>IF($N356="","","https://smartship.atlassian.net/browse/"&amp;$N356)</f>
        <v/>
      </c>
      <c r="P356">
        <f>IFERROR(VALUE(MID($A356,5,4)),0)</f>
        <v/>
      </c>
    </row>
    <row r="357" hidden="1" ht="15" customHeight="1">
      <c r="A357" s="35">
        <f>IF(B357="","","NEW-"&amp;TEXT(MAX($P$2:$P356)+1,"0000"))</f>
        <v/>
      </c>
      <c r="B357" s="36" t="n"/>
      <c r="C357" s="36" t="n"/>
      <c r="D357" s="36" t="n"/>
      <c r="E357" s="36" t="n"/>
      <c r="F357" s="36" t="n"/>
      <c r="G357" s="36" t="n"/>
      <c r="H357" s="36" t="n"/>
      <c r="I357">
        <f>IF($A357="","",IFERROR(IF(ISBLANK(INDEX(SprintPlanning[Sprint],MATCH($A357,SprintPlanning[Requirement ID],0))),"To Plan",INDEX(SprintPlanning[Sprint],MATCH($A357,SprintPlanning[Requirement ID],0))),"To Plan"))</f>
        <v/>
      </c>
      <c r="J357" s="36" t="n"/>
      <c r="K357">
        <f>IFERROR(IF(ISBLANK(INDEX(Release[Release],MATCH($A357,Release[Requirement ID],0))),"",INDEX(Release[Release],MATCH($A357,Release[Requirement ID],0))),"")</f>
        <v/>
      </c>
      <c r="L357" s="36" t="n"/>
      <c r="M357" s="36" t="n"/>
      <c r="N357" s="36" t="n"/>
      <c r="O357">
        <f>IF($N357="","","https://smartship.atlassian.net/browse/"&amp;$N357)</f>
        <v/>
      </c>
      <c r="P357">
        <f>IFERROR(VALUE(MID($A357,5,4)),0)</f>
        <v/>
      </c>
    </row>
    <row r="358" hidden="1" ht="15" customHeight="1">
      <c r="A358" s="35">
        <f>IF(B358="","","NEW-"&amp;TEXT(MAX($P$2:$P357)+1,"0000"))</f>
        <v/>
      </c>
      <c r="B358" s="36" t="n"/>
      <c r="C358" s="36" t="n"/>
      <c r="D358" s="36" t="n"/>
      <c r="E358" s="36" t="n"/>
      <c r="F358" s="36" t="n"/>
      <c r="G358" s="36" t="n"/>
      <c r="H358" s="36" t="n"/>
      <c r="I358">
        <f>IF($A358="","",IFERROR(IF(ISBLANK(INDEX(SprintPlanning[Sprint],MATCH($A358,SprintPlanning[Requirement ID],0))),"To Plan",INDEX(SprintPlanning[Sprint],MATCH($A358,SprintPlanning[Requirement ID],0))),"To Plan"))</f>
        <v/>
      </c>
      <c r="J358" s="36" t="n"/>
      <c r="K358">
        <f>IFERROR(IF(ISBLANK(INDEX(Release[Release],MATCH($A358,Release[Requirement ID],0))),"",INDEX(Release[Release],MATCH($A358,Release[Requirement ID],0))),"")</f>
        <v/>
      </c>
      <c r="L358" s="36" t="n"/>
      <c r="M358" s="36" t="n"/>
      <c r="N358" s="36" t="n"/>
      <c r="O358">
        <f>IF($N358="","","https://smartship.atlassian.net/browse/"&amp;$N358)</f>
        <v/>
      </c>
      <c r="P358">
        <f>IFERROR(VALUE(MID($A358,5,4)),0)</f>
        <v/>
      </c>
    </row>
    <row r="359" hidden="1" ht="15" customHeight="1">
      <c r="A359" s="35">
        <f>IF(B359="","","NEW-"&amp;TEXT(MAX($P$2:$P358)+1,"0000"))</f>
        <v/>
      </c>
      <c r="B359" s="36" t="n"/>
      <c r="C359" s="36" t="n"/>
      <c r="D359" s="36" t="n"/>
      <c r="E359" s="36" t="n"/>
      <c r="F359" s="36" t="n"/>
      <c r="G359" s="36" t="n"/>
      <c r="H359" s="36" t="n"/>
      <c r="I359">
        <f>IF($A359="","",IFERROR(IF(ISBLANK(INDEX(SprintPlanning[Sprint],MATCH($A359,SprintPlanning[Requirement ID],0))),"To Plan",INDEX(SprintPlanning[Sprint],MATCH($A359,SprintPlanning[Requirement ID],0))),"To Plan"))</f>
        <v/>
      </c>
      <c r="J359" s="36" t="n"/>
      <c r="K359">
        <f>IFERROR(IF(ISBLANK(INDEX(Release[Release],MATCH($A359,Release[Requirement ID],0))),"",INDEX(Release[Release],MATCH($A359,Release[Requirement ID],0))),"")</f>
        <v/>
      </c>
      <c r="L359" s="36" t="n"/>
      <c r="M359" s="36" t="n"/>
      <c r="N359" s="36" t="n"/>
      <c r="O359">
        <f>IF($N359="","","https://smartship.atlassian.net/browse/"&amp;$N359)</f>
        <v/>
      </c>
      <c r="P359">
        <f>IFERROR(VALUE(MID($A359,5,4)),0)</f>
        <v/>
      </c>
    </row>
    <row r="360" hidden="1" ht="15" customHeight="1">
      <c r="A360" s="35">
        <f>IF(B360="","","NEW-"&amp;TEXT(MAX($P$2:$P359)+1,"0000"))</f>
        <v/>
      </c>
      <c r="B360" s="36" t="n"/>
      <c r="C360" s="36" t="n"/>
      <c r="D360" s="36" t="n"/>
      <c r="E360" s="36" t="n"/>
      <c r="F360" s="36" t="n"/>
      <c r="G360" s="36" t="n"/>
      <c r="H360" s="36" t="n"/>
      <c r="I360">
        <f>IF($A360="","",IFERROR(IF(ISBLANK(INDEX(SprintPlanning[Sprint],MATCH($A360,SprintPlanning[Requirement ID],0))),"To Plan",INDEX(SprintPlanning[Sprint],MATCH($A360,SprintPlanning[Requirement ID],0))),"To Plan"))</f>
        <v/>
      </c>
      <c r="J360" s="36" t="n"/>
      <c r="K360">
        <f>IFERROR(IF(ISBLANK(INDEX(Release[Release],MATCH($A360,Release[Requirement ID],0))),"",INDEX(Release[Release],MATCH($A360,Release[Requirement ID],0))),"")</f>
        <v/>
      </c>
      <c r="L360" s="36" t="n"/>
      <c r="M360" s="36" t="n"/>
      <c r="N360" s="36" t="n"/>
      <c r="O360">
        <f>IF($N360="","","https://smartship.atlassian.net/browse/"&amp;$N360)</f>
        <v/>
      </c>
      <c r="P360">
        <f>IFERROR(VALUE(MID($A360,5,4)),0)</f>
        <v/>
      </c>
    </row>
    <row r="361" hidden="1" ht="15" customHeight="1">
      <c r="A361" s="35">
        <f>IF(B361="","","NEW-"&amp;TEXT(MAX($P$2:$P360)+1,"0000"))</f>
        <v/>
      </c>
      <c r="B361" s="36" t="n"/>
      <c r="C361" s="36" t="n"/>
      <c r="D361" s="36" t="n"/>
      <c r="E361" s="36" t="n"/>
      <c r="F361" s="36" t="n"/>
      <c r="G361" s="36" t="n"/>
      <c r="H361" s="36" t="n"/>
      <c r="I361">
        <f>IF($A361="","",IFERROR(IF(ISBLANK(INDEX(SprintPlanning[Sprint],MATCH($A361,SprintPlanning[Requirement ID],0))),"To Plan",INDEX(SprintPlanning[Sprint],MATCH($A361,SprintPlanning[Requirement ID],0))),"To Plan"))</f>
        <v/>
      </c>
      <c r="J361" s="36" t="n"/>
      <c r="K361">
        <f>IFERROR(IF(ISBLANK(INDEX(Release[Release],MATCH($A361,Release[Requirement ID],0))),"",INDEX(Release[Release],MATCH($A361,Release[Requirement ID],0))),"")</f>
        <v/>
      </c>
      <c r="L361" s="36" t="n"/>
      <c r="M361" s="36" t="n"/>
      <c r="N361" s="36" t="n"/>
      <c r="O361">
        <f>IF($N361="","","https://smartship.atlassian.net/browse/"&amp;$N361)</f>
        <v/>
      </c>
      <c r="P361">
        <f>IFERROR(VALUE(MID($A361,5,4)),0)</f>
        <v/>
      </c>
    </row>
    <row r="362" hidden="1" ht="15" customHeight="1">
      <c r="A362" s="35">
        <f>IF(B362="","","NEW-"&amp;TEXT(MAX($P$2:$P361)+1,"0000"))</f>
        <v/>
      </c>
      <c r="B362" s="36" t="n"/>
      <c r="C362" s="36" t="n"/>
      <c r="D362" s="36" t="n"/>
      <c r="E362" s="36" t="n"/>
      <c r="F362" s="36" t="n"/>
      <c r="G362" s="36" t="n"/>
      <c r="H362" s="36" t="n"/>
      <c r="I362">
        <f>IF($A362="","",IFERROR(IF(ISBLANK(INDEX(SprintPlanning[Sprint],MATCH($A362,SprintPlanning[Requirement ID],0))),"To Plan",INDEX(SprintPlanning[Sprint],MATCH($A362,SprintPlanning[Requirement ID],0))),"To Plan"))</f>
        <v/>
      </c>
      <c r="J362" s="36" t="n"/>
      <c r="K362">
        <f>IFERROR(IF(ISBLANK(INDEX(Release[Release],MATCH($A362,Release[Requirement ID],0))),"",INDEX(Release[Release],MATCH($A362,Release[Requirement ID],0))),"")</f>
        <v/>
      </c>
      <c r="L362" s="36" t="n"/>
      <c r="M362" s="36" t="n"/>
      <c r="N362" s="36" t="n"/>
      <c r="O362">
        <f>IF($N362="","","https://smartship.atlassian.net/browse/"&amp;$N362)</f>
        <v/>
      </c>
      <c r="P362">
        <f>IFERROR(VALUE(MID($A362,5,4)),0)</f>
        <v/>
      </c>
    </row>
    <row r="363" hidden="1" ht="15" customHeight="1">
      <c r="A363" s="35">
        <f>IF(B363="","","NEW-"&amp;TEXT(MAX($P$2:$P362)+1,"0000"))</f>
        <v/>
      </c>
      <c r="B363" s="36" t="n"/>
      <c r="C363" s="36" t="n"/>
      <c r="D363" s="36" t="n"/>
      <c r="E363" s="36" t="n"/>
      <c r="F363" s="36" t="n"/>
      <c r="G363" s="36" t="n"/>
      <c r="H363" s="36" t="n"/>
      <c r="I363">
        <f>IF($A363="","",IFERROR(IF(ISBLANK(INDEX(SprintPlanning[Sprint],MATCH($A363,SprintPlanning[Requirement ID],0))),"To Plan",INDEX(SprintPlanning[Sprint],MATCH($A363,SprintPlanning[Requirement ID],0))),"To Plan"))</f>
        <v/>
      </c>
      <c r="J363" s="36" t="n"/>
      <c r="K363">
        <f>IFERROR(IF(ISBLANK(INDEX(Release[Release],MATCH($A363,Release[Requirement ID],0))),"",INDEX(Release[Release],MATCH($A363,Release[Requirement ID],0))),"")</f>
        <v/>
      </c>
      <c r="L363" s="36" t="n"/>
      <c r="M363" s="36" t="n"/>
      <c r="N363" s="36" t="n"/>
      <c r="O363">
        <f>IF($N363="","","https://smartship.atlassian.net/browse/"&amp;$N363)</f>
        <v/>
      </c>
      <c r="P363">
        <f>IFERROR(VALUE(MID($A363,5,4)),0)</f>
        <v/>
      </c>
    </row>
    <row r="364" hidden="1" ht="15" customHeight="1">
      <c r="A364" s="35">
        <f>IF(B364="","","NEW-"&amp;TEXT(MAX($P$2:$P363)+1,"0000"))</f>
        <v/>
      </c>
      <c r="B364" s="36" t="n"/>
      <c r="C364" s="36" t="n"/>
      <c r="D364" s="36" t="n"/>
      <c r="E364" s="36" t="n"/>
      <c r="F364" s="36" t="n"/>
      <c r="G364" s="36" t="n"/>
      <c r="H364" s="36" t="n"/>
      <c r="I364">
        <f>IF($A364="","",IFERROR(IF(ISBLANK(INDEX(SprintPlanning[Sprint],MATCH($A364,SprintPlanning[Requirement ID],0))),"To Plan",INDEX(SprintPlanning[Sprint],MATCH($A364,SprintPlanning[Requirement ID],0))),"To Plan"))</f>
        <v/>
      </c>
      <c r="J364" s="36" t="n"/>
      <c r="K364">
        <f>IFERROR(IF(ISBLANK(INDEX(Release[Release],MATCH($A364,Release[Requirement ID],0))),"",INDEX(Release[Release],MATCH($A364,Release[Requirement ID],0))),"")</f>
        <v/>
      </c>
      <c r="L364" s="36" t="n"/>
      <c r="M364" s="36" t="n"/>
      <c r="N364" s="36" t="n"/>
      <c r="O364">
        <f>IF($N364="","","https://smartship.atlassian.net/browse/"&amp;$N364)</f>
        <v/>
      </c>
      <c r="P364">
        <f>IFERROR(VALUE(MID($A364,5,4)),0)</f>
        <v/>
      </c>
    </row>
    <row r="365" hidden="1" ht="15" customHeight="1">
      <c r="A365" s="35">
        <f>IF(B365="","","NEW-"&amp;TEXT(MAX($P$2:$P364)+1,"0000"))</f>
        <v/>
      </c>
      <c r="B365" s="36" t="n"/>
      <c r="C365" s="36" t="n"/>
      <c r="D365" s="36" t="n"/>
      <c r="E365" s="36" t="n"/>
      <c r="F365" s="36" t="n"/>
      <c r="G365" s="36" t="n"/>
      <c r="H365" s="36" t="n"/>
      <c r="I365">
        <f>IF($A365="","",IFERROR(IF(ISBLANK(INDEX(SprintPlanning[Sprint],MATCH($A365,SprintPlanning[Requirement ID],0))),"To Plan",INDEX(SprintPlanning[Sprint],MATCH($A365,SprintPlanning[Requirement ID],0))),"To Plan"))</f>
        <v/>
      </c>
      <c r="J365" s="36" t="n"/>
      <c r="K365">
        <f>IFERROR(IF(ISBLANK(INDEX(Release[Release],MATCH($A365,Release[Requirement ID],0))),"",INDEX(Release[Release],MATCH($A365,Release[Requirement ID],0))),"")</f>
        <v/>
      </c>
      <c r="L365" s="36" t="n"/>
      <c r="M365" s="36" t="n"/>
      <c r="N365" s="36" t="n"/>
      <c r="O365">
        <f>IF($N365="","","https://smartship.atlassian.net/browse/"&amp;$N365)</f>
        <v/>
      </c>
      <c r="P365">
        <f>IFERROR(VALUE(MID($A365,5,4)),0)</f>
        <v/>
      </c>
    </row>
    <row r="366" hidden="1" ht="15" customHeight="1">
      <c r="A366" s="35">
        <f>IF(B366="","","NEW-"&amp;TEXT(MAX($P$2:$P365)+1,"0000"))</f>
        <v/>
      </c>
      <c r="B366" s="36" t="n"/>
      <c r="C366" s="36" t="n"/>
      <c r="D366" s="36" t="n"/>
      <c r="E366" s="36" t="n"/>
      <c r="F366" s="36" t="n"/>
      <c r="G366" s="36" t="n"/>
      <c r="H366" s="36" t="n"/>
      <c r="I366">
        <f>IF($A366="","",IFERROR(IF(ISBLANK(INDEX(SprintPlanning[Sprint],MATCH($A366,SprintPlanning[Requirement ID],0))),"To Plan",INDEX(SprintPlanning[Sprint],MATCH($A366,SprintPlanning[Requirement ID],0))),"To Plan"))</f>
        <v/>
      </c>
      <c r="J366" s="36" t="n"/>
      <c r="K366">
        <f>IFERROR(IF(ISBLANK(INDEX(Release[Release],MATCH($A366,Release[Requirement ID],0))),"",INDEX(Release[Release],MATCH($A366,Release[Requirement ID],0))),"")</f>
        <v/>
      </c>
      <c r="L366" s="36" t="n"/>
      <c r="M366" s="36" t="n"/>
      <c r="N366" s="36" t="n"/>
      <c r="O366">
        <f>IF($N366="","","https://smartship.atlassian.net/browse/"&amp;$N366)</f>
        <v/>
      </c>
      <c r="P366">
        <f>IFERROR(VALUE(MID($A366,5,4)),0)</f>
        <v/>
      </c>
    </row>
    <row r="367" hidden="1" ht="15" customHeight="1">
      <c r="A367" s="35">
        <f>IF(B367="","","NEW-"&amp;TEXT(MAX($P$2:$P366)+1,"0000"))</f>
        <v/>
      </c>
      <c r="B367" s="36" t="n"/>
      <c r="C367" s="36" t="n"/>
      <c r="D367" s="36" t="n"/>
      <c r="E367" s="36" t="n"/>
      <c r="F367" s="36" t="n"/>
      <c r="G367" s="36" t="n"/>
      <c r="H367" s="36" t="n"/>
      <c r="I367">
        <f>IF($A367="","",IFERROR(IF(ISBLANK(INDEX(SprintPlanning[Sprint],MATCH($A367,SprintPlanning[Requirement ID],0))),"To Plan",INDEX(SprintPlanning[Sprint],MATCH($A367,SprintPlanning[Requirement ID],0))),"To Plan"))</f>
        <v/>
      </c>
      <c r="J367" s="36" t="n"/>
      <c r="K367">
        <f>IFERROR(IF(ISBLANK(INDEX(Release[Release],MATCH($A367,Release[Requirement ID],0))),"",INDEX(Release[Release],MATCH($A367,Release[Requirement ID],0))),"")</f>
        <v/>
      </c>
      <c r="L367" s="36" t="n"/>
      <c r="M367" s="36" t="n"/>
      <c r="N367" s="36" t="n"/>
      <c r="O367">
        <f>IF($N367="","","https://smartship.atlassian.net/browse/"&amp;$N367)</f>
        <v/>
      </c>
      <c r="P367">
        <f>IFERROR(VALUE(MID($A367,5,4)),0)</f>
        <v/>
      </c>
    </row>
    <row r="368" hidden="1" ht="15" customHeight="1">
      <c r="A368" s="35">
        <f>IF(B368="","","NEW-"&amp;TEXT(MAX($P$2:$P367)+1,"0000"))</f>
        <v/>
      </c>
      <c r="B368" s="36" t="n"/>
      <c r="C368" s="36" t="n"/>
      <c r="D368" s="36" t="n"/>
      <c r="E368" s="36" t="n"/>
      <c r="F368" s="36" t="n"/>
      <c r="G368" s="36" t="n"/>
      <c r="H368" s="36" t="n"/>
      <c r="I368">
        <f>IF($A368="","",IFERROR(IF(ISBLANK(INDEX(SprintPlanning[Sprint],MATCH($A368,SprintPlanning[Requirement ID],0))),"To Plan",INDEX(SprintPlanning[Sprint],MATCH($A368,SprintPlanning[Requirement ID],0))),"To Plan"))</f>
        <v/>
      </c>
      <c r="J368" s="36" t="n"/>
      <c r="K368">
        <f>IFERROR(IF(ISBLANK(INDEX(Release[Release],MATCH($A368,Release[Requirement ID],0))),"",INDEX(Release[Release],MATCH($A368,Release[Requirement ID],0))),"")</f>
        <v/>
      </c>
      <c r="L368" s="36" t="n"/>
      <c r="M368" s="36" t="n"/>
      <c r="N368" s="36" t="n"/>
      <c r="O368">
        <f>IF($N368="","","https://smartship.atlassian.net/browse/"&amp;$N368)</f>
        <v/>
      </c>
      <c r="P368">
        <f>IFERROR(VALUE(MID($A368,5,4)),0)</f>
        <v/>
      </c>
    </row>
    <row r="369" hidden="1" ht="15" customHeight="1">
      <c r="A369" s="35">
        <f>IF(B369="","","NEW-"&amp;TEXT(MAX($P$2:$P368)+1,"0000"))</f>
        <v/>
      </c>
      <c r="B369" s="36" t="n"/>
      <c r="C369" s="36" t="n"/>
      <c r="D369" s="36" t="n"/>
      <c r="E369" s="36" t="n"/>
      <c r="F369" s="36" t="n"/>
      <c r="G369" s="36" t="n"/>
      <c r="H369" s="36" t="n"/>
      <c r="I369">
        <f>IF($A369="","",IFERROR(IF(ISBLANK(INDEX(SprintPlanning[Sprint],MATCH($A369,SprintPlanning[Requirement ID],0))),"To Plan",INDEX(SprintPlanning[Sprint],MATCH($A369,SprintPlanning[Requirement ID],0))),"To Plan"))</f>
        <v/>
      </c>
      <c r="J369" s="36" t="n"/>
      <c r="K369">
        <f>IFERROR(IF(ISBLANK(INDEX(Release[Release],MATCH($A369,Release[Requirement ID],0))),"",INDEX(Release[Release],MATCH($A369,Release[Requirement ID],0))),"")</f>
        <v/>
      </c>
      <c r="L369" s="36" t="n"/>
      <c r="M369" s="36" t="n"/>
      <c r="N369" s="36" t="n"/>
      <c r="O369">
        <f>IF($N369="","","https://smartship.atlassian.net/browse/"&amp;$N369)</f>
        <v/>
      </c>
      <c r="P369">
        <f>IFERROR(VALUE(MID($A369,5,4)),0)</f>
        <v/>
      </c>
    </row>
    <row r="370" hidden="1" ht="15" customHeight="1">
      <c r="A370" s="35">
        <f>IF(B370="","","NEW-"&amp;TEXT(MAX($P$2:$P369)+1,"0000"))</f>
        <v/>
      </c>
      <c r="B370" s="36" t="n"/>
      <c r="C370" s="36" t="n"/>
      <c r="D370" s="36" t="n"/>
      <c r="E370" s="36" t="n"/>
      <c r="F370" s="36" t="n"/>
      <c r="G370" s="36" t="n"/>
      <c r="H370" s="36" t="n"/>
      <c r="I370">
        <f>IF($A370="","",IFERROR(IF(ISBLANK(INDEX(SprintPlanning[Sprint],MATCH($A370,SprintPlanning[Requirement ID],0))),"To Plan",INDEX(SprintPlanning[Sprint],MATCH($A370,SprintPlanning[Requirement ID],0))),"To Plan"))</f>
        <v/>
      </c>
      <c r="J370" s="36" t="n"/>
      <c r="K370">
        <f>IFERROR(IF(ISBLANK(INDEX(Release[Release],MATCH($A370,Release[Requirement ID],0))),"",INDEX(Release[Release],MATCH($A370,Release[Requirement ID],0))),"")</f>
        <v/>
      </c>
      <c r="L370" s="36" t="n"/>
      <c r="M370" s="36" t="n"/>
      <c r="N370" s="36" t="n"/>
      <c r="O370">
        <f>IF($N370="","","https://smartship.atlassian.net/browse/"&amp;$N370)</f>
        <v/>
      </c>
      <c r="P370">
        <f>IFERROR(VALUE(MID($A370,5,4)),0)</f>
        <v/>
      </c>
    </row>
    <row r="371" hidden="1" ht="15" customHeight="1">
      <c r="A371" s="35">
        <f>IF(B371="","","NEW-"&amp;TEXT(MAX($P$2:$P370)+1,"0000"))</f>
        <v/>
      </c>
      <c r="B371" s="36" t="n"/>
      <c r="C371" s="36" t="n"/>
      <c r="D371" s="36" t="n"/>
      <c r="E371" s="36" t="n"/>
      <c r="F371" s="36" t="n"/>
      <c r="G371" s="36" t="n"/>
      <c r="H371" s="36" t="n"/>
      <c r="I371">
        <f>IF($A371="","",IFERROR(IF(ISBLANK(INDEX(SprintPlanning[Sprint],MATCH($A371,SprintPlanning[Requirement ID],0))),"To Plan",INDEX(SprintPlanning[Sprint],MATCH($A371,SprintPlanning[Requirement ID],0))),"To Plan"))</f>
        <v/>
      </c>
      <c r="J371" s="36" t="n"/>
      <c r="K371">
        <f>IFERROR(IF(ISBLANK(INDEX(Release[Release],MATCH($A371,Release[Requirement ID],0))),"",INDEX(Release[Release],MATCH($A371,Release[Requirement ID],0))),"")</f>
        <v/>
      </c>
      <c r="L371" s="36" t="n"/>
      <c r="M371" s="36" t="n"/>
      <c r="N371" s="36" t="n"/>
      <c r="O371">
        <f>IF($N371="","","https://smartship.atlassian.net/browse/"&amp;$N371)</f>
        <v/>
      </c>
      <c r="P371">
        <f>IFERROR(VALUE(MID($A371,5,4)),0)</f>
        <v/>
      </c>
    </row>
    <row r="372" hidden="1" ht="15" customHeight="1">
      <c r="A372" s="35">
        <f>IF(B372="","","NEW-"&amp;TEXT(MAX($P$2:$P371)+1,"0000"))</f>
        <v/>
      </c>
      <c r="B372" s="36" t="n"/>
      <c r="C372" s="36" t="n"/>
      <c r="D372" s="36" t="n"/>
      <c r="E372" s="36" t="n"/>
      <c r="F372" s="36" t="n"/>
      <c r="G372" s="36" t="n"/>
      <c r="H372" s="36" t="n"/>
      <c r="I372">
        <f>IF($A372="","",IFERROR(IF(ISBLANK(INDEX(SprintPlanning[Sprint],MATCH($A372,SprintPlanning[Requirement ID],0))),"To Plan",INDEX(SprintPlanning[Sprint],MATCH($A372,SprintPlanning[Requirement ID],0))),"To Plan"))</f>
        <v/>
      </c>
      <c r="J372" s="36" t="n"/>
      <c r="K372">
        <f>IFERROR(IF(ISBLANK(INDEX(Release[Release],MATCH($A372,Release[Requirement ID],0))),"",INDEX(Release[Release],MATCH($A372,Release[Requirement ID],0))),"")</f>
        <v/>
      </c>
      <c r="L372" s="36" t="n"/>
      <c r="M372" s="36" t="n"/>
      <c r="N372" s="36" t="n"/>
      <c r="O372">
        <f>IF($N372="","","https://smartship.atlassian.net/browse/"&amp;$N372)</f>
        <v/>
      </c>
      <c r="P372">
        <f>IFERROR(VALUE(MID($A372,5,4)),0)</f>
        <v/>
      </c>
    </row>
    <row r="373" hidden="1" ht="15" customHeight="1">
      <c r="A373" s="35">
        <f>IF(B373="","","NEW-"&amp;TEXT(MAX($P$2:$P372)+1,"0000"))</f>
        <v/>
      </c>
      <c r="B373" s="36" t="n"/>
      <c r="C373" s="36" t="n"/>
      <c r="D373" s="36" t="n"/>
      <c r="E373" s="36" t="n"/>
      <c r="F373" s="36" t="n"/>
      <c r="G373" s="36" t="n"/>
      <c r="H373" s="36" t="n"/>
      <c r="I373">
        <f>IF($A373="","",IFERROR(IF(ISBLANK(INDEX(SprintPlanning[Sprint],MATCH($A373,SprintPlanning[Requirement ID],0))),"To Plan",INDEX(SprintPlanning[Sprint],MATCH($A373,SprintPlanning[Requirement ID],0))),"To Plan"))</f>
        <v/>
      </c>
      <c r="J373" s="36" t="n"/>
      <c r="K373">
        <f>IFERROR(IF(ISBLANK(INDEX(Release[Release],MATCH($A373,Release[Requirement ID],0))),"",INDEX(Release[Release],MATCH($A373,Release[Requirement ID],0))),"")</f>
        <v/>
      </c>
      <c r="L373" s="36" t="n"/>
      <c r="M373" s="36" t="n"/>
      <c r="N373" s="36" t="n"/>
      <c r="O373">
        <f>IF($N373="","","https://smartship.atlassian.net/browse/"&amp;$N373)</f>
        <v/>
      </c>
      <c r="P373">
        <f>IFERROR(VALUE(MID($A373,5,4)),0)</f>
        <v/>
      </c>
    </row>
    <row r="374" hidden="1" ht="15" customHeight="1">
      <c r="A374" s="35">
        <f>IF(B374="","","NEW-"&amp;TEXT(MAX($P$2:$P373)+1,"0000"))</f>
        <v/>
      </c>
      <c r="B374" s="36" t="n"/>
      <c r="C374" s="36" t="n"/>
      <c r="D374" s="36" t="n"/>
      <c r="E374" s="36" t="n"/>
      <c r="F374" s="36" t="n"/>
      <c r="G374" s="36" t="n"/>
      <c r="H374" s="36" t="n"/>
      <c r="I374">
        <f>IF($A374="","",IFERROR(IF(ISBLANK(INDEX(SprintPlanning[Sprint],MATCH($A374,SprintPlanning[Requirement ID],0))),"To Plan",INDEX(SprintPlanning[Sprint],MATCH($A374,SprintPlanning[Requirement ID],0))),"To Plan"))</f>
        <v/>
      </c>
      <c r="J374" s="36" t="n"/>
      <c r="K374">
        <f>IFERROR(IF(ISBLANK(INDEX(Release[Release],MATCH($A374,Release[Requirement ID],0))),"",INDEX(Release[Release],MATCH($A374,Release[Requirement ID],0))),"")</f>
        <v/>
      </c>
      <c r="L374" s="36" t="n"/>
      <c r="M374" s="36" t="n"/>
      <c r="N374" s="36" t="n"/>
      <c r="O374">
        <f>IF($N374="","","https://smartship.atlassian.net/browse/"&amp;$N374)</f>
        <v/>
      </c>
      <c r="P374">
        <f>IFERROR(VALUE(MID($A374,5,4)),0)</f>
        <v/>
      </c>
    </row>
    <row r="375" hidden="1" ht="15" customHeight="1">
      <c r="A375" s="35">
        <f>IF(B375="","","NEW-"&amp;TEXT(MAX($P$2:$P374)+1,"0000"))</f>
        <v/>
      </c>
      <c r="B375" s="36" t="n"/>
      <c r="C375" s="36" t="n"/>
      <c r="D375" s="36" t="n"/>
      <c r="E375" s="36" t="n"/>
      <c r="F375" s="36" t="n"/>
      <c r="G375" s="36" t="n"/>
      <c r="H375" s="36" t="n"/>
      <c r="I375">
        <f>IF($A375="","",IFERROR(IF(ISBLANK(INDEX(SprintPlanning[Sprint],MATCH($A375,SprintPlanning[Requirement ID],0))),"To Plan",INDEX(SprintPlanning[Sprint],MATCH($A375,SprintPlanning[Requirement ID],0))),"To Plan"))</f>
        <v/>
      </c>
      <c r="J375" s="36" t="n"/>
      <c r="K375">
        <f>IFERROR(IF(ISBLANK(INDEX(Release[Release],MATCH($A375,Release[Requirement ID],0))),"",INDEX(Release[Release],MATCH($A375,Release[Requirement ID],0))),"")</f>
        <v/>
      </c>
      <c r="L375" s="36" t="n"/>
      <c r="M375" s="36" t="n"/>
      <c r="N375" s="36" t="n"/>
      <c r="O375">
        <f>IF($N375="","","https://smartship.atlassian.net/browse/"&amp;$N375)</f>
        <v/>
      </c>
      <c r="P375">
        <f>IFERROR(VALUE(MID($A375,5,4)),0)</f>
        <v/>
      </c>
    </row>
    <row r="376" hidden="1" ht="15" customHeight="1">
      <c r="A376" s="35">
        <f>IF(B376="","","NEW-"&amp;TEXT(MAX($P$2:$P375)+1,"0000"))</f>
        <v/>
      </c>
      <c r="B376" s="36" t="n"/>
      <c r="C376" s="36" t="n"/>
      <c r="D376" s="36" t="n"/>
      <c r="E376" s="36" t="n"/>
      <c r="F376" s="36" t="n"/>
      <c r="G376" s="36" t="n"/>
      <c r="H376" s="36" t="n"/>
      <c r="I376">
        <f>IF($A376="","",IFERROR(IF(ISBLANK(INDEX(SprintPlanning[Sprint],MATCH($A376,SprintPlanning[Requirement ID],0))),"To Plan",INDEX(SprintPlanning[Sprint],MATCH($A376,SprintPlanning[Requirement ID],0))),"To Plan"))</f>
        <v/>
      </c>
      <c r="J376" s="36" t="n"/>
      <c r="K376">
        <f>IFERROR(IF(ISBLANK(INDEX(Release[Release],MATCH($A376,Release[Requirement ID],0))),"",INDEX(Release[Release],MATCH($A376,Release[Requirement ID],0))),"")</f>
        <v/>
      </c>
      <c r="L376" s="36" t="n"/>
      <c r="M376" s="36" t="n"/>
      <c r="N376" s="36" t="n"/>
      <c r="O376">
        <f>IF($N376="","","https://smartship.atlassian.net/browse/"&amp;$N376)</f>
        <v/>
      </c>
      <c r="P376">
        <f>IFERROR(VALUE(MID($A376,5,4)),0)</f>
        <v/>
      </c>
    </row>
    <row r="377" hidden="1" ht="15" customHeight="1">
      <c r="A377" s="35">
        <f>IF(B377="","","NEW-"&amp;TEXT(MAX($P$2:$P376)+1,"0000"))</f>
        <v/>
      </c>
      <c r="B377" s="36" t="n"/>
      <c r="C377" s="36" t="n"/>
      <c r="D377" s="36" t="n"/>
      <c r="E377" s="36" t="n"/>
      <c r="F377" s="36" t="n"/>
      <c r="G377" s="36" t="n"/>
      <c r="H377" s="36" t="n"/>
      <c r="I377">
        <f>IF($A377="","",IFERROR(IF(ISBLANK(INDEX(SprintPlanning[Sprint],MATCH($A377,SprintPlanning[Requirement ID],0))),"To Plan",INDEX(SprintPlanning[Sprint],MATCH($A377,SprintPlanning[Requirement ID],0))),"To Plan"))</f>
        <v/>
      </c>
      <c r="J377" s="36" t="n"/>
      <c r="K377">
        <f>IFERROR(IF(ISBLANK(INDEX(Release[Release],MATCH($A377,Release[Requirement ID],0))),"",INDEX(Release[Release],MATCH($A377,Release[Requirement ID],0))),"")</f>
        <v/>
      </c>
      <c r="L377" s="36" t="n"/>
      <c r="M377" s="36" t="n"/>
      <c r="N377" s="36" t="n"/>
      <c r="O377">
        <f>IF($N377="","","https://smartship.atlassian.net/browse/"&amp;$N377)</f>
        <v/>
      </c>
      <c r="P377">
        <f>IFERROR(VALUE(MID($A377,5,4)),0)</f>
        <v/>
      </c>
    </row>
    <row r="378" hidden="1" ht="15" customHeight="1">
      <c r="A378" s="35">
        <f>IF(B378="","","NEW-"&amp;TEXT(MAX($P$2:$P377)+1,"0000"))</f>
        <v/>
      </c>
      <c r="B378" s="36" t="n"/>
      <c r="C378" s="36" t="n"/>
      <c r="D378" s="36" t="n"/>
      <c r="E378" s="36" t="n"/>
      <c r="F378" s="36" t="n"/>
      <c r="G378" s="36" t="n"/>
      <c r="H378" s="36" t="n"/>
      <c r="I378">
        <f>IF($A378="","",IFERROR(IF(ISBLANK(INDEX(SprintPlanning[Sprint],MATCH($A378,SprintPlanning[Requirement ID],0))),"To Plan",INDEX(SprintPlanning[Sprint],MATCH($A378,SprintPlanning[Requirement ID],0))),"To Plan"))</f>
        <v/>
      </c>
      <c r="J378" s="36" t="n"/>
      <c r="K378">
        <f>IFERROR(IF(ISBLANK(INDEX(Release[Release],MATCH($A378,Release[Requirement ID],0))),"",INDEX(Release[Release],MATCH($A378,Release[Requirement ID],0))),"")</f>
        <v/>
      </c>
      <c r="L378" s="36" t="n"/>
      <c r="M378" s="36" t="n"/>
      <c r="N378" s="36" t="n"/>
      <c r="O378">
        <f>IF($N378="","","https://smartship.atlassian.net/browse/"&amp;$N378)</f>
        <v/>
      </c>
      <c r="P378">
        <f>IFERROR(VALUE(MID($A378,5,4)),0)</f>
        <v/>
      </c>
    </row>
    <row r="379" hidden="1" ht="15" customHeight="1">
      <c r="A379" s="35">
        <f>IF(B379="","","NEW-"&amp;TEXT(MAX($P$2:$P378)+1,"0000"))</f>
        <v/>
      </c>
      <c r="B379" s="36" t="n"/>
      <c r="C379" s="36" t="n"/>
      <c r="D379" s="36" t="n"/>
      <c r="E379" s="36" t="n"/>
      <c r="F379" s="36" t="n"/>
      <c r="G379" s="36" t="n"/>
      <c r="H379" s="36" t="n"/>
      <c r="I379">
        <f>IF($A379="","",IFERROR(IF(ISBLANK(INDEX(SprintPlanning[Sprint],MATCH($A379,SprintPlanning[Requirement ID],0))),"To Plan",INDEX(SprintPlanning[Sprint],MATCH($A379,SprintPlanning[Requirement ID],0))),"To Plan"))</f>
        <v/>
      </c>
      <c r="J379" s="36" t="n"/>
      <c r="K379">
        <f>IFERROR(IF(ISBLANK(INDEX(Release[Release],MATCH($A379,Release[Requirement ID],0))),"",INDEX(Release[Release],MATCH($A379,Release[Requirement ID],0))),"")</f>
        <v/>
      </c>
      <c r="L379" s="36" t="n"/>
      <c r="M379" s="36" t="n"/>
      <c r="N379" s="36" t="n"/>
      <c r="O379">
        <f>IF($N379="","","https://smartship.atlassian.net/browse/"&amp;$N379)</f>
        <v/>
      </c>
      <c r="P379">
        <f>IFERROR(VALUE(MID($A379,5,4)),0)</f>
        <v/>
      </c>
    </row>
    <row r="380" hidden="1" ht="15" customHeight="1">
      <c r="A380" s="35">
        <f>IF(B380="","","NEW-"&amp;TEXT(MAX($P$2:$P379)+1,"0000"))</f>
        <v/>
      </c>
      <c r="B380" s="36" t="n"/>
      <c r="C380" s="36" t="n"/>
      <c r="D380" s="36" t="n"/>
      <c r="E380" s="36" t="n"/>
      <c r="F380" s="36" t="n"/>
      <c r="G380" s="36" t="n"/>
      <c r="H380" s="36" t="n"/>
      <c r="I380">
        <f>IF($A380="","",IFERROR(IF(ISBLANK(INDEX(SprintPlanning[Sprint],MATCH($A380,SprintPlanning[Requirement ID],0))),"To Plan",INDEX(SprintPlanning[Sprint],MATCH($A380,SprintPlanning[Requirement ID],0))),"To Plan"))</f>
        <v/>
      </c>
      <c r="J380" s="36" t="n"/>
      <c r="K380">
        <f>IFERROR(IF(ISBLANK(INDEX(Release[Release],MATCH($A380,Release[Requirement ID],0))),"",INDEX(Release[Release],MATCH($A380,Release[Requirement ID],0))),"")</f>
        <v/>
      </c>
      <c r="L380" s="36" t="n"/>
      <c r="M380" s="36" t="n"/>
      <c r="N380" s="36" t="n"/>
      <c r="O380">
        <f>IF($N380="","","https://smartship.atlassian.net/browse/"&amp;$N380)</f>
        <v/>
      </c>
      <c r="P380">
        <f>IFERROR(VALUE(MID($A380,5,4)),0)</f>
        <v/>
      </c>
    </row>
    <row r="381" hidden="1" ht="15" customHeight="1">
      <c r="A381" s="35">
        <f>IF(B381="","","NEW-"&amp;TEXT(MAX($P$2:$P380)+1,"0000"))</f>
        <v/>
      </c>
      <c r="B381" s="36" t="n"/>
      <c r="C381" s="36" t="n"/>
      <c r="D381" s="36" t="n"/>
      <c r="E381" s="36" t="n"/>
      <c r="F381" s="36" t="n"/>
      <c r="G381" s="36" t="n"/>
      <c r="H381" s="36" t="n"/>
      <c r="I381">
        <f>IF($A381="","",IFERROR(IF(ISBLANK(INDEX(SprintPlanning[Sprint],MATCH($A381,SprintPlanning[Requirement ID],0))),"To Plan",INDEX(SprintPlanning[Sprint],MATCH($A381,SprintPlanning[Requirement ID],0))),"To Plan"))</f>
        <v/>
      </c>
      <c r="J381" s="36" t="n"/>
      <c r="K381">
        <f>IFERROR(IF(ISBLANK(INDEX(Release[Release],MATCH($A381,Release[Requirement ID],0))),"",INDEX(Release[Release],MATCH($A381,Release[Requirement ID],0))),"")</f>
        <v/>
      </c>
      <c r="L381" s="36" t="n"/>
      <c r="M381" s="36" t="n"/>
      <c r="N381" s="36" t="n"/>
      <c r="O381">
        <f>IF($N381="","","https://smartship.atlassian.net/browse/"&amp;$N381)</f>
        <v/>
      </c>
      <c r="P381">
        <f>IFERROR(VALUE(MID($A381,5,4)),0)</f>
        <v/>
      </c>
    </row>
    <row r="382" hidden="1" ht="15" customHeight="1">
      <c r="A382" s="35">
        <f>IF(B382="","","NEW-"&amp;TEXT(MAX($P$2:$P381)+1,"0000"))</f>
        <v/>
      </c>
      <c r="B382" s="36" t="n"/>
      <c r="C382" s="36" t="n"/>
      <c r="D382" s="36" t="n"/>
      <c r="E382" s="36" t="n"/>
      <c r="F382" s="36" t="n"/>
      <c r="G382" s="36" t="n"/>
      <c r="H382" s="36" t="n"/>
      <c r="I382">
        <f>IF($A382="","",IFERROR(IF(ISBLANK(INDEX(SprintPlanning[Sprint],MATCH($A382,SprintPlanning[Requirement ID],0))),"To Plan",INDEX(SprintPlanning[Sprint],MATCH($A382,SprintPlanning[Requirement ID],0))),"To Plan"))</f>
        <v/>
      </c>
      <c r="J382" s="36" t="n"/>
      <c r="K382">
        <f>IFERROR(IF(ISBLANK(INDEX(Release[Release],MATCH($A382,Release[Requirement ID],0))),"",INDEX(Release[Release],MATCH($A382,Release[Requirement ID],0))),"")</f>
        <v/>
      </c>
      <c r="L382" s="36" t="n"/>
      <c r="M382" s="36" t="n"/>
      <c r="N382" s="36" t="n"/>
      <c r="O382">
        <f>IF($N382="","","https://smartship.atlassian.net/browse/"&amp;$N382)</f>
        <v/>
      </c>
      <c r="P382">
        <f>IFERROR(VALUE(MID($A382,5,4)),0)</f>
        <v/>
      </c>
    </row>
    <row r="383" hidden="1" ht="15" customHeight="1">
      <c r="A383" s="35">
        <f>IF(B383="","","NEW-"&amp;TEXT(MAX($P$2:$P382)+1,"0000"))</f>
        <v/>
      </c>
      <c r="B383" s="36" t="n"/>
      <c r="C383" s="36" t="n"/>
      <c r="D383" s="36" t="n"/>
      <c r="E383" s="36" t="n"/>
      <c r="F383" s="36" t="n"/>
      <c r="G383" s="36" t="n"/>
      <c r="H383" s="36" t="n"/>
      <c r="I383">
        <f>IF($A383="","",IFERROR(IF(ISBLANK(INDEX(SprintPlanning[Sprint],MATCH($A383,SprintPlanning[Requirement ID],0))),"To Plan",INDEX(SprintPlanning[Sprint],MATCH($A383,SprintPlanning[Requirement ID],0))),"To Plan"))</f>
        <v/>
      </c>
      <c r="J383" s="36" t="n"/>
      <c r="K383">
        <f>IFERROR(IF(ISBLANK(INDEX(Release[Release],MATCH($A383,Release[Requirement ID],0))),"",INDEX(Release[Release],MATCH($A383,Release[Requirement ID],0))),"")</f>
        <v/>
      </c>
      <c r="L383" s="36" t="n"/>
      <c r="M383" s="36" t="n"/>
      <c r="N383" s="36" t="n"/>
      <c r="O383">
        <f>IF($N383="","","https://smartship.atlassian.net/browse/"&amp;$N383)</f>
        <v/>
      </c>
      <c r="P383">
        <f>IFERROR(VALUE(MID($A383,5,4)),0)</f>
        <v/>
      </c>
    </row>
    <row r="384" hidden="1" ht="15" customHeight="1">
      <c r="A384" s="35">
        <f>IF(B384="","","NEW-"&amp;TEXT(MAX($P$2:$P383)+1,"0000"))</f>
        <v/>
      </c>
      <c r="B384" s="36" t="n"/>
      <c r="C384" s="36" t="n"/>
      <c r="D384" s="36" t="n"/>
      <c r="E384" s="36" t="n"/>
      <c r="F384" s="36" t="n"/>
      <c r="G384" s="36" t="n"/>
      <c r="H384" s="36" t="n"/>
      <c r="I384">
        <f>IF($A384="","",IFERROR(IF(ISBLANK(INDEX(SprintPlanning[Sprint],MATCH($A384,SprintPlanning[Requirement ID],0))),"To Plan",INDEX(SprintPlanning[Sprint],MATCH($A384,SprintPlanning[Requirement ID],0))),"To Plan"))</f>
        <v/>
      </c>
      <c r="J384" s="36" t="n"/>
      <c r="K384">
        <f>IFERROR(IF(ISBLANK(INDEX(Release[Release],MATCH($A384,Release[Requirement ID],0))),"",INDEX(Release[Release],MATCH($A384,Release[Requirement ID],0))),"")</f>
        <v/>
      </c>
      <c r="L384" s="36" t="n"/>
      <c r="M384" s="36" t="n"/>
      <c r="N384" s="36" t="n"/>
      <c r="O384">
        <f>IF($N384="","","https://smartship.atlassian.net/browse/"&amp;$N384)</f>
        <v/>
      </c>
      <c r="P384">
        <f>IFERROR(VALUE(MID($A384,5,4)),0)</f>
        <v/>
      </c>
    </row>
    <row r="385" hidden="1" ht="15" customHeight="1">
      <c r="A385" s="35">
        <f>IF(B385="","","NEW-"&amp;TEXT(MAX($P$2:$P384)+1,"0000"))</f>
        <v/>
      </c>
      <c r="B385" s="36" t="n"/>
      <c r="C385" s="36" t="n"/>
      <c r="D385" s="36" t="n"/>
      <c r="E385" s="36" t="n"/>
      <c r="F385" s="36" t="n"/>
      <c r="G385" s="36" t="n"/>
      <c r="H385" s="36" t="n"/>
      <c r="I385">
        <f>IF($A385="","",IFERROR(IF(ISBLANK(INDEX(SprintPlanning[Sprint],MATCH($A385,SprintPlanning[Requirement ID],0))),"To Plan",INDEX(SprintPlanning[Sprint],MATCH($A385,SprintPlanning[Requirement ID],0))),"To Plan"))</f>
        <v/>
      </c>
      <c r="J385" s="36" t="n"/>
      <c r="K385">
        <f>IFERROR(IF(ISBLANK(INDEX(Release[Release],MATCH($A385,Release[Requirement ID],0))),"",INDEX(Release[Release],MATCH($A385,Release[Requirement ID],0))),"")</f>
        <v/>
      </c>
      <c r="L385" s="36" t="n"/>
      <c r="M385" s="36" t="n"/>
      <c r="N385" s="36" t="n"/>
      <c r="O385">
        <f>IF($N385="","","https://smartship.atlassian.net/browse/"&amp;$N385)</f>
        <v/>
      </c>
      <c r="P385">
        <f>IFERROR(VALUE(MID($A385,5,4)),0)</f>
        <v/>
      </c>
    </row>
    <row r="386" hidden="1" ht="15" customHeight="1">
      <c r="A386" s="35">
        <f>IF(B386="","","NEW-"&amp;TEXT(MAX($P$2:$P385)+1,"0000"))</f>
        <v/>
      </c>
      <c r="B386" s="36" t="n"/>
      <c r="C386" s="36" t="n"/>
      <c r="D386" s="36" t="n"/>
      <c r="E386" s="36" t="n"/>
      <c r="F386" s="36" t="n"/>
      <c r="G386" s="36" t="n"/>
      <c r="H386" s="36" t="n"/>
      <c r="I386">
        <f>IF($A386="","",IFERROR(IF(ISBLANK(INDEX(SprintPlanning[Sprint],MATCH($A386,SprintPlanning[Requirement ID],0))),"To Plan",INDEX(SprintPlanning[Sprint],MATCH($A386,SprintPlanning[Requirement ID],0))),"To Plan"))</f>
        <v/>
      </c>
      <c r="J386" s="36" t="n"/>
      <c r="K386">
        <f>IFERROR(IF(ISBLANK(INDEX(Release[Release],MATCH($A386,Release[Requirement ID],0))),"",INDEX(Release[Release],MATCH($A386,Release[Requirement ID],0))),"")</f>
        <v/>
      </c>
      <c r="L386" s="36" t="n"/>
      <c r="M386" s="36" t="n"/>
      <c r="N386" s="36" t="n"/>
      <c r="O386">
        <f>IF($N386="","","https://smartship.atlassian.net/browse/"&amp;$N386)</f>
        <v/>
      </c>
      <c r="P386">
        <f>IFERROR(VALUE(MID($A386,5,4)),0)</f>
        <v/>
      </c>
    </row>
    <row r="387" hidden="1" ht="15" customHeight="1">
      <c r="A387" s="35">
        <f>IF(B387="","","NEW-"&amp;TEXT(MAX($P$2:$P386)+1,"0000"))</f>
        <v/>
      </c>
      <c r="B387" s="36" t="n"/>
      <c r="C387" s="36" t="n"/>
      <c r="D387" s="36" t="n"/>
      <c r="E387" s="36" t="n"/>
      <c r="F387" s="36" t="n"/>
      <c r="G387" s="36" t="n"/>
      <c r="H387" s="36" t="n"/>
      <c r="I387">
        <f>IF($A387="","",IFERROR(IF(ISBLANK(INDEX(SprintPlanning[Sprint],MATCH($A387,SprintPlanning[Requirement ID],0))),"To Plan",INDEX(SprintPlanning[Sprint],MATCH($A387,SprintPlanning[Requirement ID],0))),"To Plan"))</f>
        <v/>
      </c>
      <c r="J387" s="36" t="n"/>
      <c r="K387">
        <f>IFERROR(IF(ISBLANK(INDEX(Release[Release],MATCH($A387,Release[Requirement ID],0))),"",INDEX(Release[Release],MATCH($A387,Release[Requirement ID],0))),"")</f>
        <v/>
      </c>
      <c r="L387" s="36" t="n"/>
      <c r="M387" s="36" t="n"/>
      <c r="N387" s="36" t="n"/>
      <c r="O387">
        <f>IF($N387="","","https://smartship.atlassian.net/browse/"&amp;$N387)</f>
        <v/>
      </c>
      <c r="P387">
        <f>IFERROR(VALUE(MID($A387,5,4)),0)</f>
        <v/>
      </c>
    </row>
    <row r="388" hidden="1" ht="15" customHeight="1">
      <c r="A388" s="35">
        <f>IF(B388="","","NEW-"&amp;TEXT(MAX($P$2:$P387)+1,"0000"))</f>
        <v/>
      </c>
      <c r="B388" s="36" t="n"/>
      <c r="C388" s="36" t="n"/>
      <c r="D388" s="36" t="n"/>
      <c r="E388" s="36" t="n"/>
      <c r="F388" s="36" t="n"/>
      <c r="G388" s="36" t="n"/>
      <c r="H388" s="36" t="n"/>
      <c r="I388">
        <f>IF($A388="","",IFERROR(IF(ISBLANK(INDEX(SprintPlanning[Sprint],MATCH($A388,SprintPlanning[Requirement ID],0))),"To Plan",INDEX(SprintPlanning[Sprint],MATCH($A388,SprintPlanning[Requirement ID],0))),"To Plan"))</f>
        <v/>
      </c>
      <c r="J388" s="36" t="n"/>
      <c r="K388">
        <f>IFERROR(IF(ISBLANK(INDEX(Release[Release],MATCH($A388,Release[Requirement ID],0))),"",INDEX(Release[Release],MATCH($A388,Release[Requirement ID],0))),"")</f>
        <v/>
      </c>
      <c r="L388" s="36" t="n"/>
      <c r="M388" s="36" t="n"/>
      <c r="N388" s="36" t="n"/>
      <c r="O388">
        <f>IF($N388="","","https://smartship.atlassian.net/browse/"&amp;$N388)</f>
        <v/>
      </c>
      <c r="P388">
        <f>IFERROR(VALUE(MID($A388,5,4)),0)</f>
        <v/>
      </c>
    </row>
    <row r="389" hidden="1" ht="15" customHeight="1">
      <c r="A389" s="35">
        <f>IF(B389="","","NEW-"&amp;TEXT(MAX($P$2:$P388)+1,"0000"))</f>
        <v/>
      </c>
      <c r="B389" s="36" t="n"/>
      <c r="C389" s="36" t="n"/>
      <c r="D389" s="36" t="n"/>
      <c r="E389" s="36" t="n"/>
      <c r="F389" s="36" t="n"/>
      <c r="G389" s="36" t="n"/>
      <c r="H389" s="36" t="n"/>
      <c r="I389">
        <f>IF($A389="","",IFERROR(IF(ISBLANK(INDEX(SprintPlanning[Sprint],MATCH($A389,SprintPlanning[Requirement ID],0))),"To Plan",INDEX(SprintPlanning[Sprint],MATCH($A389,SprintPlanning[Requirement ID],0))),"To Plan"))</f>
        <v/>
      </c>
      <c r="J389" s="36" t="n"/>
      <c r="K389">
        <f>IFERROR(IF(ISBLANK(INDEX(Release[Release],MATCH($A389,Release[Requirement ID],0))),"",INDEX(Release[Release],MATCH($A389,Release[Requirement ID],0))),"")</f>
        <v/>
      </c>
      <c r="L389" s="36" t="n"/>
      <c r="M389" s="36" t="n"/>
      <c r="N389" s="36" t="n"/>
      <c r="O389">
        <f>IF($N389="","","https://smartship.atlassian.net/browse/"&amp;$N389)</f>
        <v/>
      </c>
      <c r="P389">
        <f>IFERROR(VALUE(MID($A389,5,4)),0)</f>
        <v/>
      </c>
    </row>
    <row r="390" hidden="1" ht="15" customHeight="1">
      <c r="A390" s="35">
        <f>IF(B390="","","NEW-"&amp;TEXT(MAX($P$2:$P389)+1,"0000"))</f>
        <v/>
      </c>
      <c r="B390" s="36" t="n"/>
      <c r="C390" s="36" t="n"/>
      <c r="D390" s="36" t="n"/>
      <c r="E390" s="36" t="n"/>
      <c r="F390" s="36" t="n"/>
      <c r="G390" s="36" t="n"/>
      <c r="H390" s="36" t="n"/>
      <c r="I390">
        <f>IF($A390="","",IFERROR(IF(ISBLANK(INDEX(SprintPlanning[Sprint],MATCH($A390,SprintPlanning[Requirement ID],0))),"To Plan",INDEX(SprintPlanning[Sprint],MATCH($A390,SprintPlanning[Requirement ID],0))),"To Plan"))</f>
        <v/>
      </c>
      <c r="J390" s="36" t="n"/>
      <c r="K390">
        <f>IFERROR(IF(ISBLANK(INDEX(Release[Release],MATCH($A390,Release[Requirement ID],0))),"",INDEX(Release[Release],MATCH($A390,Release[Requirement ID],0))),"")</f>
        <v/>
      </c>
      <c r="L390" s="36" t="n"/>
      <c r="M390" s="36" t="n"/>
      <c r="N390" s="36" t="n"/>
      <c r="O390">
        <f>IF($N390="","","https://smartship.atlassian.net/browse/"&amp;$N390)</f>
        <v/>
      </c>
      <c r="P390">
        <f>IFERROR(VALUE(MID($A390,5,4)),0)</f>
        <v/>
      </c>
    </row>
    <row r="391" hidden="1" ht="15" customHeight="1">
      <c r="A391" s="35">
        <f>IF(B391="","","NEW-"&amp;TEXT(MAX($P$2:$P390)+1,"0000"))</f>
        <v/>
      </c>
      <c r="B391" s="36" t="n"/>
      <c r="C391" s="36" t="n"/>
      <c r="D391" s="36" t="n"/>
      <c r="E391" s="36" t="n"/>
      <c r="F391" s="36" t="n"/>
      <c r="G391" s="36" t="n"/>
      <c r="H391" s="36" t="n"/>
      <c r="I391">
        <f>IF($A391="","",IFERROR(IF(ISBLANK(INDEX(SprintPlanning[Sprint],MATCH($A391,SprintPlanning[Requirement ID],0))),"To Plan",INDEX(SprintPlanning[Sprint],MATCH($A391,SprintPlanning[Requirement ID],0))),"To Plan"))</f>
        <v/>
      </c>
      <c r="J391" s="36" t="n"/>
      <c r="K391">
        <f>IFERROR(IF(ISBLANK(INDEX(Release[Release],MATCH($A391,Release[Requirement ID],0))),"",INDEX(Release[Release],MATCH($A391,Release[Requirement ID],0))),"")</f>
        <v/>
      </c>
      <c r="L391" s="36" t="n"/>
      <c r="M391" s="36" t="n"/>
      <c r="N391" s="36" t="n"/>
      <c r="O391">
        <f>IF($N391="","","https://smartship.atlassian.net/browse/"&amp;$N391)</f>
        <v/>
      </c>
      <c r="P391">
        <f>IFERROR(VALUE(MID($A391,5,4)),0)</f>
        <v/>
      </c>
    </row>
    <row r="392" hidden="1" ht="15" customHeight="1">
      <c r="A392" s="35">
        <f>IF(B392="","","NEW-"&amp;TEXT(MAX($P$2:$P391)+1,"0000"))</f>
        <v/>
      </c>
      <c r="B392" s="36" t="n"/>
      <c r="C392" s="36" t="n"/>
      <c r="D392" s="36" t="n"/>
      <c r="E392" s="36" t="n"/>
      <c r="F392" s="36" t="n"/>
      <c r="G392" s="36" t="n"/>
      <c r="H392" s="36" t="n"/>
      <c r="I392">
        <f>IF($A392="","",IFERROR(IF(ISBLANK(INDEX(SprintPlanning[Sprint],MATCH($A392,SprintPlanning[Requirement ID],0))),"To Plan",INDEX(SprintPlanning[Sprint],MATCH($A392,SprintPlanning[Requirement ID],0))),"To Plan"))</f>
        <v/>
      </c>
      <c r="J392" s="36" t="n"/>
      <c r="K392">
        <f>IFERROR(IF(ISBLANK(INDEX(Release[Release],MATCH($A392,Release[Requirement ID],0))),"",INDEX(Release[Release],MATCH($A392,Release[Requirement ID],0))),"")</f>
        <v/>
      </c>
      <c r="L392" s="36" t="n"/>
      <c r="M392" s="36" t="n"/>
      <c r="N392" s="36" t="n"/>
      <c r="O392">
        <f>IF($N392="","","https://smartship.atlassian.net/browse/"&amp;$N392)</f>
        <v/>
      </c>
      <c r="P392">
        <f>IFERROR(VALUE(MID($A392,5,4)),0)</f>
        <v/>
      </c>
    </row>
    <row r="393" hidden="1" ht="15" customHeight="1">
      <c r="A393" s="35">
        <f>IF(B393="","","NEW-"&amp;TEXT(MAX($P$2:$P392)+1,"0000"))</f>
        <v/>
      </c>
      <c r="B393" s="36" t="n"/>
      <c r="C393" s="36" t="n"/>
      <c r="D393" s="36" t="n"/>
      <c r="E393" s="36" t="n"/>
      <c r="F393" s="36" t="n"/>
      <c r="G393" s="36" t="n"/>
      <c r="H393" s="36" t="n"/>
      <c r="I393">
        <f>IF($A393="","",IFERROR(IF(ISBLANK(INDEX(SprintPlanning[Sprint],MATCH($A393,SprintPlanning[Requirement ID],0))),"To Plan",INDEX(SprintPlanning[Sprint],MATCH($A393,SprintPlanning[Requirement ID],0))),"To Plan"))</f>
        <v/>
      </c>
      <c r="J393" s="36" t="n"/>
      <c r="K393">
        <f>IFERROR(IF(ISBLANK(INDEX(Release[Release],MATCH($A393,Release[Requirement ID],0))),"",INDEX(Release[Release],MATCH($A393,Release[Requirement ID],0))),"")</f>
        <v/>
      </c>
      <c r="L393" s="36" t="n"/>
      <c r="M393" s="36" t="n"/>
      <c r="N393" s="36" t="n"/>
      <c r="O393">
        <f>IF($N393="","","https://smartship.atlassian.net/browse/"&amp;$N393)</f>
        <v/>
      </c>
      <c r="P393">
        <f>IFERROR(VALUE(MID($A393,5,4)),0)</f>
        <v/>
      </c>
    </row>
    <row r="394" hidden="1" ht="15" customHeight="1">
      <c r="A394" s="35">
        <f>IF(B394="","","NEW-"&amp;TEXT(MAX($P$2:$P393)+1,"0000"))</f>
        <v/>
      </c>
      <c r="B394" s="36" t="n"/>
      <c r="C394" s="36" t="n"/>
      <c r="D394" s="36" t="n"/>
      <c r="E394" s="36" t="n"/>
      <c r="F394" s="36" t="n"/>
      <c r="G394" s="36" t="n"/>
      <c r="H394" s="36" t="n"/>
      <c r="I394">
        <f>IF($A394="","",IFERROR(IF(ISBLANK(INDEX(SprintPlanning[Sprint],MATCH($A394,SprintPlanning[Requirement ID],0))),"To Plan",INDEX(SprintPlanning[Sprint],MATCH($A394,SprintPlanning[Requirement ID],0))),"To Plan"))</f>
        <v/>
      </c>
      <c r="J394" s="36" t="n"/>
      <c r="K394">
        <f>IFERROR(IF(ISBLANK(INDEX(Release[Release],MATCH($A394,Release[Requirement ID],0))),"",INDEX(Release[Release],MATCH($A394,Release[Requirement ID],0))),"")</f>
        <v/>
      </c>
      <c r="L394" s="36" t="n"/>
      <c r="M394" s="36" t="n"/>
      <c r="N394" s="36" t="n"/>
      <c r="O394">
        <f>IF($N394="","","https://smartship.atlassian.net/browse/"&amp;$N394)</f>
        <v/>
      </c>
      <c r="P394">
        <f>IFERROR(VALUE(MID($A394,5,4)),0)</f>
        <v/>
      </c>
    </row>
    <row r="395" hidden="1" ht="15" customHeight="1">
      <c r="A395" s="35">
        <f>IF(B395="","","NEW-"&amp;TEXT(MAX($P$2:$P394)+1,"0000"))</f>
        <v/>
      </c>
      <c r="B395" s="36" t="n"/>
      <c r="C395" s="36" t="n"/>
      <c r="D395" s="36" t="n"/>
      <c r="E395" s="36" t="n"/>
      <c r="F395" s="36" t="n"/>
      <c r="G395" s="36" t="n"/>
      <c r="H395" s="36" t="n"/>
      <c r="I395">
        <f>IF($A395="","",IFERROR(IF(ISBLANK(INDEX(SprintPlanning[Sprint],MATCH($A395,SprintPlanning[Requirement ID],0))),"To Plan",INDEX(SprintPlanning[Sprint],MATCH($A395,SprintPlanning[Requirement ID],0))),"To Plan"))</f>
        <v/>
      </c>
      <c r="J395" s="36" t="n"/>
      <c r="K395">
        <f>IFERROR(IF(ISBLANK(INDEX(Release[Release],MATCH($A395,Release[Requirement ID],0))),"",INDEX(Release[Release],MATCH($A395,Release[Requirement ID],0))),"")</f>
        <v/>
      </c>
      <c r="L395" s="36" t="n"/>
      <c r="M395" s="36" t="n"/>
      <c r="N395" s="36" t="n"/>
      <c r="O395">
        <f>IF($N395="","","https://smartship.atlassian.net/browse/"&amp;$N395)</f>
        <v/>
      </c>
      <c r="P395">
        <f>IFERROR(VALUE(MID($A395,5,4)),0)</f>
        <v/>
      </c>
    </row>
    <row r="396" hidden="1" ht="15" customHeight="1">
      <c r="A396" s="35">
        <f>IF(B396="","","NEW-"&amp;TEXT(MAX($P$2:$P395)+1,"0000"))</f>
        <v/>
      </c>
      <c r="B396" s="36" t="n"/>
      <c r="C396" s="36" t="n"/>
      <c r="D396" s="36" t="n"/>
      <c r="E396" s="36" t="n"/>
      <c r="F396" s="36" t="n"/>
      <c r="G396" s="36" t="n"/>
      <c r="H396" s="36" t="n"/>
      <c r="I396">
        <f>IF($A396="","",IFERROR(IF(ISBLANK(INDEX(SprintPlanning[Sprint],MATCH($A396,SprintPlanning[Requirement ID],0))),"To Plan",INDEX(SprintPlanning[Sprint],MATCH($A396,SprintPlanning[Requirement ID],0))),"To Plan"))</f>
        <v/>
      </c>
      <c r="J396" s="36" t="n"/>
      <c r="K396">
        <f>IFERROR(IF(ISBLANK(INDEX(Release[Release],MATCH($A396,Release[Requirement ID],0))),"",INDEX(Release[Release],MATCH($A396,Release[Requirement ID],0))),"")</f>
        <v/>
      </c>
      <c r="L396" s="36" t="n"/>
      <c r="M396" s="36" t="n"/>
      <c r="N396" s="36" t="n"/>
      <c r="O396">
        <f>IF($N396="","","https://smartship.atlassian.net/browse/"&amp;$N396)</f>
        <v/>
      </c>
      <c r="P396">
        <f>IFERROR(VALUE(MID($A396,5,4)),0)</f>
        <v/>
      </c>
    </row>
    <row r="397" hidden="1" ht="15" customHeight="1">
      <c r="A397" s="35">
        <f>IF(B397="","","NEW-"&amp;TEXT(MAX($P$2:$P396)+1,"0000"))</f>
        <v/>
      </c>
      <c r="B397" s="36" t="n"/>
      <c r="C397" s="36" t="n"/>
      <c r="D397" s="36" t="n"/>
      <c r="E397" s="36" t="n"/>
      <c r="F397" s="36" t="n"/>
      <c r="G397" s="36" t="n"/>
      <c r="H397" s="36" t="n"/>
      <c r="I397">
        <f>IF($A397="","",IFERROR(IF(ISBLANK(INDEX(SprintPlanning[Sprint],MATCH($A397,SprintPlanning[Requirement ID],0))),"To Plan",INDEX(SprintPlanning[Sprint],MATCH($A397,SprintPlanning[Requirement ID],0))),"To Plan"))</f>
        <v/>
      </c>
      <c r="J397" s="36" t="n"/>
      <c r="K397">
        <f>IFERROR(IF(ISBLANK(INDEX(Release[Release],MATCH($A397,Release[Requirement ID],0))),"",INDEX(Release[Release],MATCH($A397,Release[Requirement ID],0))),"")</f>
        <v/>
      </c>
      <c r="L397" s="36" t="n"/>
      <c r="M397" s="36" t="n"/>
      <c r="N397" s="36" t="n"/>
      <c r="O397">
        <f>IF($N397="","","https://smartship.atlassian.net/browse/"&amp;$N397)</f>
        <v/>
      </c>
      <c r="P397">
        <f>IFERROR(VALUE(MID($A397,5,4)),0)</f>
        <v/>
      </c>
    </row>
    <row r="398" hidden="1" ht="15" customHeight="1">
      <c r="A398" s="35">
        <f>IF(B398="","","NEW-"&amp;TEXT(MAX($P$2:$P397)+1,"0000"))</f>
        <v/>
      </c>
      <c r="B398" s="36" t="n"/>
      <c r="C398" s="36" t="n"/>
      <c r="D398" s="36" t="n"/>
      <c r="E398" s="36" t="n"/>
      <c r="F398" s="36" t="n"/>
      <c r="G398" s="36" t="n"/>
      <c r="H398" s="36" t="n"/>
      <c r="I398">
        <f>IF($A398="","",IFERROR(IF(ISBLANK(INDEX(SprintPlanning[Sprint],MATCH($A398,SprintPlanning[Requirement ID],0))),"To Plan",INDEX(SprintPlanning[Sprint],MATCH($A398,SprintPlanning[Requirement ID],0))),"To Plan"))</f>
        <v/>
      </c>
      <c r="J398" s="36" t="n"/>
      <c r="K398">
        <f>IFERROR(IF(ISBLANK(INDEX(Release[Release],MATCH($A398,Release[Requirement ID],0))),"",INDEX(Release[Release],MATCH($A398,Release[Requirement ID],0))),"")</f>
        <v/>
      </c>
      <c r="L398" s="36" t="n"/>
      <c r="M398" s="36" t="n"/>
      <c r="N398" s="36" t="n"/>
      <c r="O398">
        <f>IF($N398="","","https://smartship.atlassian.net/browse/"&amp;$N398)</f>
        <v/>
      </c>
      <c r="P398">
        <f>IFERROR(VALUE(MID($A398,5,4)),0)</f>
        <v/>
      </c>
    </row>
    <row r="399" hidden="1" ht="15" customHeight="1">
      <c r="A399" s="35">
        <f>IF(B399="","","NEW-"&amp;TEXT(MAX($P$2:$P398)+1,"0000"))</f>
        <v/>
      </c>
      <c r="B399" s="36" t="n"/>
      <c r="C399" s="36" t="n"/>
      <c r="D399" s="36" t="n"/>
      <c r="E399" s="36" t="n"/>
      <c r="F399" s="36" t="n"/>
      <c r="G399" s="36" t="n"/>
      <c r="H399" s="36" t="n"/>
      <c r="I399">
        <f>IF($A399="","",IFERROR(IF(ISBLANK(INDEX(SprintPlanning[Sprint],MATCH($A399,SprintPlanning[Requirement ID],0))),"To Plan",INDEX(SprintPlanning[Sprint],MATCH($A399,SprintPlanning[Requirement ID],0))),"To Plan"))</f>
        <v/>
      </c>
      <c r="J399" s="36" t="n"/>
      <c r="K399">
        <f>IFERROR(IF(ISBLANK(INDEX(Release[Release],MATCH($A399,Release[Requirement ID],0))),"",INDEX(Release[Release],MATCH($A399,Release[Requirement ID],0))),"")</f>
        <v/>
      </c>
      <c r="L399" s="36" t="n"/>
      <c r="M399" s="36" t="n"/>
      <c r="N399" s="36" t="n"/>
      <c r="O399">
        <f>IF($N399="","","https://smartship.atlassian.net/browse/"&amp;$N399)</f>
        <v/>
      </c>
      <c r="P399">
        <f>IFERROR(VALUE(MID($A399,5,4)),0)</f>
        <v/>
      </c>
    </row>
    <row r="400" hidden="1" ht="15" customHeight="1">
      <c r="A400" s="35">
        <f>IF(B400="","","NEW-"&amp;TEXT(MAX($P$2:$P399)+1,"0000"))</f>
        <v/>
      </c>
      <c r="B400" s="36" t="n"/>
      <c r="C400" s="36" t="n"/>
      <c r="D400" s="36" t="n"/>
      <c r="E400" s="36" t="n"/>
      <c r="F400" s="36" t="n"/>
      <c r="G400" s="36" t="n"/>
      <c r="H400" s="36" t="n"/>
      <c r="I400">
        <f>IF($A400="","",IFERROR(IF(ISBLANK(INDEX(SprintPlanning[Sprint],MATCH($A400,SprintPlanning[Requirement ID],0))),"To Plan",INDEX(SprintPlanning[Sprint],MATCH($A400,SprintPlanning[Requirement ID],0))),"To Plan"))</f>
        <v/>
      </c>
      <c r="J400" s="36" t="n"/>
      <c r="K400">
        <f>IFERROR(IF(ISBLANK(INDEX(Release[Release],MATCH($A400,Release[Requirement ID],0))),"",INDEX(Release[Release],MATCH($A400,Release[Requirement ID],0))),"")</f>
        <v/>
      </c>
      <c r="L400" s="36" t="n"/>
      <c r="M400" s="36" t="n"/>
      <c r="N400" s="36" t="n"/>
      <c r="O400">
        <f>IF($N400="","","https://smartship.atlassian.net/browse/"&amp;$N400)</f>
        <v/>
      </c>
      <c r="P400">
        <f>IFERROR(VALUE(MID($A400,5,4)),0)</f>
        <v/>
      </c>
    </row>
    <row r="401" hidden="1" ht="15" customHeight="1">
      <c r="A401" s="35">
        <f>IF(B401="","","NEW-"&amp;TEXT(MAX($P$2:$P400)+1,"0000"))</f>
        <v/>
      </c>
      <c r="B401" s="36" t="n"/>
      <c r="C401" s="36" t="n"/>
      <c r="D401" s="36" t="n"/>
      <c r="E401" s="36" t="n"/>
      <c r="F401" s="36" t="n"/>
      <c r="G401" s="36" t="n"/>
      <c r="H401" s="36" t="n"/>
      <c r="I401">
        <f>IF($A401="","",IFERROR(IF(ISBLANK(INDEX(SprintPlanning[Sprint],MATCH($A401,SprintPlanning[Requirement ID],0))),"To Plan",INDEX(SprintPlanning[Sprint],MATCH($A401,SprintPlanning[Requirement ID],0))),"To Plan"))</f>
        <v/>
      </c>
      <c r="J401" s="36" t="n"/>
      <c r="K401">
        <f>IFERROR(IF(ISBLANK(INDEX(Release[Release],MATCH($A401,Release[Requirement ID],0))),"",INDEX(Release[Release],MATCH($A401,Release[Requirement ID],0))),"")</f>
        <v/>
      </c>
      <c r="L401" s="36" t="n"/>
      <c r="M401" s="36" t="n"/>
      <c r="N401" s="36" t="n"/>
      <c r="O401">
        <f>IF($N401="","","https://smartship.atlassian.net/browse/"&amp;$N401)</f>
        <v/>
      </c>
      <c r="P401">
        <f>IFERROR(VALUE(MID($A401,5,4)),0)</f>
        <v/>
      </c>
    </row>
    <row r="402" hidden="1" ht="15" customHeight="1">
      <c r="A402" s="35">
        <f>IF(B402="","","NEW-"&amp;TEXT(MAX($P$2:$P401)+1,"0000"))</f>
        <v/>
      </c>
      <c r="B402" s="36" t="n"/>
      <c r="C402" s="36" t="n"/>
      <c r="D402" s="36" t="n"/>
      <c r="E402" s="36" t="n"/>
      <c r="F402" s="36" t="n"/>
      <c r="G402" s="36" t="n"/>
      <c r="H402" s="36" t="n"/>
      <c r="I402">
        <f>IF($A402="","",IFERROR(IF(ISBLANK(INDEX(SprintPlanning[Sprint],MATCH($A402,SprintPlanning[Requirement ID],0))),"To Plan",INDEX(SprintPlanning[Sprint],MATCH($A402,SprintPlanning[Requirement ID],0))),"To Plan"))</f>
        <v/>
      </c>
      <c r="J402" s="36" t="n"/>
      <c r="K402">
        <f>IFERROR(IF(ISBLANK(INDEX(Release[Release],MATCH($A402,Release[Requirement ID],0))),"",INDEX(Release[Release],MATCH($A402,Release[Requirement ID],0))),"")</f>
        <v/>
      </c>
      <c r="L402" s="36" t="n"/>
      <c r="M402" s="36" t="n"/>
      <c r="N402" s="36" t="n"/>
      <c r="O402">
        <f>IF($N402="","","https://smartship.atlassian.net/browse/"&amp;$N402)</f>
        <v/>
      </c>
      <c r="P402">
        <f>IFERROR(VALUE(MID($A402,5,4)),0)</f>
        <v/>
      </c>
    </row>
    <row r="403" hidden="1" ht="15" customHeight="1">
      <c r="A403" s="35">
        <f>IF(B403="","","NEW-"&amp;TEXT(MAX($P$2:$P402)+1,"0000"))</f>
        <v/>
      </c>
      <c r="B403" s="36" t="n"/>
      <c r="C403" s="36" t="n"/>
      <c r="D403" s="36" t="n"/>
      <c r="E403" s="36" t="n"/>
      <c r="F403" s="36" t="n"/>
      <c r="G403" s="36" t="n"/>
      <c r="H403" s="36" t="n"/>
      <c r="I403">
        <f>IF($A403="","",IFERROR(IF(ISBLANK(INDEX(SprintPlanning[Sprint],MATCH($A403,SprintPlanning[Requirement ID],0))),"To Plan",INDEX(SprintPlanning[Sprint],MATCH($A403,SprintPlanning[Requirement ID],0))),"To Plan"))</f>
        <v/>
      </c>
      <c r="J403" s="36" t="n"/>
      <c r="K403">
        <f>IFERROR(IF(ISBLANK(INDEX(Release[Release],MATCH($A403,Release[Requirement ID],0))),"",INDEX(Release[Release],MATCH($A403,Release[Requirement ID],0))),"")</f>
        <v/>
      </c>
      <c r="L403" s="36" t="n"/>
      <c r="M403" s="36" t="n"/>
      <c r="N403" s="36" t="n"/>
      <c r="O403">
        <f>IF($N403="","","https://smartship.atlassian.net/browse/"&amp;$N403)</f>
        <v/>
      </c>
      <c r="P403">
        <f>IFERROR(VALUE(MID($A403,5,4)),0)</f>
        <v/>
      </c>
    </row>
    <row r="404" hidden="1" ht="15" customHeight="1">
      <c r="A404" s="35">
        <f>IF(B404="","","NEW-"&amp;TEXT(MAX($P$2:$P403)+1,"0000"))</f>
        <v/>
      </c>
      <c r="B404" s="36" t="n"/>
      <c r="C404" s="36" t="n"/>
      <c r="D404" s="36" t="n"/>
      <c r="E404" s="36" t="n"/>
      <c r="F404" s="36" t="n"/>
      <c r="G404" s="36" t="n"/>
      <c r="H404" s="36" t="n"/>
      <c r="I404">
        <f>IF($A404="","",IFERROR(IF(ISBLANK(INDEX(SprintPlanning[Sprint],MATCH($A404,SprintPlanning[Requirement ID],0))),"To Plan",INDEX(SprintPlanning[Sprint],MATCH($A404,SprintPlanning[Requirement ID],0))),"To Plan"))</f>
        <v/>
      </c>
      <c r="J404" s="36" t="n"/>
      <c r="K404">
        <f>IFERROR(IF(ISBLANK(INDEX(Release[Release],MATCH($A404,Release[Requirement ID],0))),"",INDEX(Release[Release],MATCH($A404,Release[Requirement ID],0))),"")</f>
        <v/>
      </c>
      <c r="L404" s="36" t="n"/>
      <c r="M404" s="36" t="n"/>
      <c r="N404" s="36" t="n"/>
      <c r="O404">
        <f>IF($N404="","","https://smartship.atlassian.net/browse/"&amp;$N404)</f>
        <v/>
      </c>
      <c r="P404">
        <f>IFERROR(VALUE(MID($A404,5,4)),0)</f>
        <v/>
      </c>
    </row>
    <row r="405" hidden="1" ht="15" customHeight="1">
      <c r="A405" s="35">
        <f>IF(B405="","","NEW-"&amp;TEXT(MAX($P$2:$P404)+1,"0000"))</f>
        <v/>
      </c>
      <c r="B405" s="36" t="n"/>
      <c r="C405" s="36" t="n"/>
      <c r="D405" s="36" t="n"/>
      <c r="E405" s="36" t="n"/>
      <c r="F405" s="36" t="n"/>
      <c r="G405" s="36" t="n"/>
      <c r="H405" s="36" t="n"/>
      <c r="I405">
        <f>IF($A405="","",IFERROR(IF(ISBLANK(INDEX(SprintPlanning[Sprint],MATCH($A405,SprintPlanning[Requirement ID],0))),"To Plan",INDEX(SprintPlanning[Sprint],MATCH($A405,SprintPlanning[Requirement ID],0))),"To Plan"))</f>
        <v/>
      </c>
      <c r="J405" s="36" t="n"/>
      <c r="K405">
        <f>IFERROR(IF(ISBLANK(INDEX(Release[Release],MATCH($A405,Release[Requirement ID],0))),"",INDEX(Release[Release],MATCH($A405,Release[Requirement ID],0))),"")</f>
        <v/>
      </c>
      <c r="L405" s="36" t="n"/>
      <c r="M405" s="36" t="n"/>
      <c r="N405" s="36" t="n"/>
      <c r="O405">
        <f>IF($N405="","","https://smartship.atlassian.net/browse/"&amp;$N405)</f>
        <v/>
      </c>
      <c r="P405">
        <f>IFERROR(VALUE(MID($A405,5,4)),0)</f>
        <v/>
      </c>
    </row>
    <row r="406" hidden="1" ht="15" customHeight="1">
      <c r="A406" s="35">
        <f>IF(B406="","","NEW-"&amp;TEXT(MAX($P$2:$P405)+1,"0000"))</f>
        <v/>
      </c>
      <c r="B406" s="36" t="n"/>
      <c r="C406" s="36" t="n"/>
      <c r="D406" s="36" t="n"/>
      <c r="E406" s="36" t="n"/>
      <c r="F406" s="36" t="n"/>
      <c r="G406" s="36" t="n"/>
      <c r="H406" s="36" t="n"/>
      <c r="I406">
        <f>IF($A406="","",IFERROR(IF(ISBLANK(INDEX(SprintPlanning[Sprint],MATCH($A406,SprintPlanning[Requirement ID],0))),"To Plan",INDEX(SprintPlanning[Sprint],MATCH($A406,SprintPlanning[Requirement ID],0))),"To Plan"))</f>
        <v/>
      </c>
      <c r="J406" s="36" t="n"/>
      <c r="K406">
        <f>IFERROR(IF(ISBLANK(INDEX(Release[Release],MATCH($A406,Release[Requirement ID],0))),"",INDEX(Release[Release],MATCH($A406,Release[Requirement ID],0))),"")</f>
        <v/>
      </c>
      <c r="L406" s="36" t="n"/>
      <c r="M406" s="36" t="n"/>
      <c r="N406" s="36" t="n"/>
      <c r="O406">
        <f>IF($N406="","","https://smartship.atlassian.net/browse/"&amp;$N406)</f>
        <v/>
      </c>
      <c r="P406">
        <f>IFERROR(VALUE(MID($A406,5,4)),0)</f>
        <v/>
      </c>
    </row>
    <row r="407" hidden="1" ht="15" customHeight="1">
      <c r="A407" s="35">
        <f>IF(B407="","","NEW-"&amp;TEXT(MAX($P$2:$P406)+1,"0000"))</f>
        <v/>
      </c>
      <c r="B407" s="36" t="n"/>
      <c r="C407" s="36" t="n"/>
      <c r="D407" s="36" t="n"/>
      <c r="E407" s="36" t="n"/>
      <c r="F407" s="36" t="n"/>
      <c r="G407" s="36" t="n"/>
      <c r="H407" s="36" t="n"/>
      <c r="I407">
        <f>IF($A407="","",IFERROR(IF(ISBLANK(INDEX(SprintPlanning[Sprint],MATCH($A407,SprintPlanning[Requirement ID],0))),"To Plan",INDEX(SprintPlanning[Sprint],MATCH($A407,SprintPlanning[Requirement ID],0))),"To Plan"))</f>
        <v/>
      </c>
      <c r="J407" s="36" t="n"/>
      <c r="K407">
        <f>IFERROR(IF(ISBLANK(INDEX(Release[Release],MATCH($A407,Release[Requirement ID],0))),"",INDEX(Release[Release],MATCH($A407,Release[Requirement ID],0))),"")</f>
        <v/>
      </c>
      <c r="L407" s="36" t="n"/>
      <c r="M407" s="36" t="n"/>
      <c r="N407" s="36" t="n"/>
      <c r="O407">
        <f>IF($N407="","","https://smartship.atlassian.net/browse/"&amp;$N407)</f>
        <v/>
      </c>
      <c r="P407">
        <f>IFERROR(VALUE(MID($A407,5,4)),0)</f>
        <v/>
      </c>
    </row>
    <row r="408" hidden="1" ht="15" customHeight="1">
      <c r="A408" s="35">
        <f>IF(B408="","","NEW-"&amp;TEXT(MAX($P$2:$P407)+1,"0000"))</f>
        <v/>
      </c>
      <c r="B408" s="36" t="n"/>
      <c r="C408" s="36" t="n"/>
      <c r="D408" s="36" t="n"/>
      <c r="E408" s="36" t="n"/>
      <c r="F408" s="36" t="n"/>
      <c r="G408" s="36" t="n"/>
      <c r="H408" s="36" t="n"/>
      <c r="I408">
        <f>IF($A408="","",IFERROR(IF(ISBLANK(INDEX(SprintPlanning[Sprint],MATCH($A408,SprintPlanning[Requirement ID],0))),"To Plan",INDEX(SprintPlanning[Sprint],MATCH($A408,SprintPlanning[Requirement ID],0))),"To Plan"))</f>
        <v/>
      </c>
      <c r="J408" s="36" t="n"/>
      <c r="K408">
        <f>IFERROR(IF(ISBLANK(INDEX(Release[Release],MATCH($A408,Release[Requirement ID],0))),"",INDEX(Release[Release],MATCH($A408,Release[Requirement ID],0))),"")</f>
        <v/>
      </c>
      <c r="L408" s="36" t="n"/>
      <c r="M408" s="36" t="n"/>
      <c r="N408" s="36" t="n"/>
      <c r="O408">
        <f>IF($N408="","","https://smartship.atlassian.net/browse/"&amp;$N408)</f>
        <v/>
      </c>
      <c r="P408">
        <f>IFERROR(VALUE(MID($A408,5,4)),0)</f>
        <v/>
      </c>
    </row>
    <row r="409" hidden="1" ht="15" customHeight="1">
      <c r="A409" s="35">
        <f>IF(B409="","","NEW-"&amp;TEXT(MAX($P$2:$P408)+1,"0000"))</f>
        <v/>
      </c>
      <c r="B409" s="36" t="n"/>
      <c r="C409" s="36" t="n"/>
      <c r="D409" s="36" t="n"/>
      <c r="E409" s="36" t="n"/>
      <c r="F409" s="36" t="n"/>
      <c r="G409" s="36" t="n"/>
      <c r="H409" s="36" t="n"/>
      <c r="I409">
        <f>IF($A409="","",IFERROR(IF(ISBLANK(INDEX(SprintPlanning[Sprint],MATCH($A409,SprintPlanning[Requirement ID],0))),"To Plan",INDEX(SprintPlanning[Sprint],MATCH($A409,SprintPlanning[Requirement ID],0))),"To Plan"))</f>
        <v/>
      </c>
      <c r="J409" s="36" t="n"/>
      <c r="K409">
        <f>IFERROR(IF(ISBLANK(INDEX(Release[Release],MATCH($A409,Release[Requirement ID],0))),"",INDEX(Release[Release],MATCH($A409,Release[Requirement ID],0))),"")</f>
        <v/>
      </c>
      <c r="L409" s="36" t="n"/>
      <c r="M409" s="36" t="n"/>
      <c r="N409" s="36" t="n"/>
      <c r="O409">
        <f>IF($N409="","","https://smartship.atlassian.net/browse/"&amp;$N409)</f>
        <v/>
      </c>
      <c r="P409">
        <f>IFERROR(VALUE(MID($A409,5,4)),0)</f>
        <v/>
      </c>
    </row>
    <row r="410" hidden="1" ht="15" customHeight="1">
      <c r="A410" s="35">
        <f>IF(B410="","","NEW-"&amp;TEXT(MAX($P$2:$P409)+1,"0000"))</f>
        <v/>
      </c>
      <c r="B410" s="36" t="n"/>
      <c r="C410" s="36" t="n"/>
      <c r="D410" s="36" t="n"/>
      <c r="E410" s="36" t="n"/>
      <c r="F410" s="36" t="n"/>
      <c r="G410" s="36" t="n"/>
      <c r="H410" s="36" t="n"/>
      <c r="I410">
        <f>IF($A410="","",IFERROR(IF(ISBLANK(INDEX(SprintPlanning[Sprint],MATCH($A410,SprintPlanning[Requirement ID],0))),"To Plan",INDEX(SprintPlanning[Sprint],MATCH($A410,SprintPlanning[Requirement ID],0))),"To Plan"))</f>
        <v/>
      </c>
      <c r="J410" s="36" t="n"/>
      <c r="K410">
        <f>IFERROR(IF(ISBLANK(INDEX(Release[Release],MATCH($A410,Release[Requirement ID],0))),"",INDEX(Release[Release],MATCH($A410,Release[Requirement ID],0))),"")</f>
        <v/>
      </c>
      <c r="L410" s="36" t="n"/>
      <c r="M410" s="36" t="n"/>
      <c r="N410" s="36" t="n"/>
      <c r="O410">
        <f>IF($N410="","","https://smartship.atlassian.net/browse/"&amp;$N410)</f>
        <v/>
      </c>
      <c r="P410">
        <f>IFERROR(VALUE(MID($A410,5,4)),0)</f>
        <v/>
      </c>
    </row>
    <row r="411" hidden="1" ht="15" customHeight="1">
      <c r="A411" s="35">
        <f>IF(B411="","","NEW-"&amp;TEXT(MAX($P$2:$P410)+1,"0000"))</f>
        <v/>
      </c>
      <c r="B411" s="36" t="n"/>
      <c r="C411" s="36" t="n"/>
      <c r="D411" s="36" t="n"/>
      <c r="E411" s="36" t="n"/>
      <c r="F411" s="36" t="n"/>
      <c r="G411" s="36" t="n"/>
      <c r="H411" s="36" t="n"/>
      <c r="I411">
        <f>IF($A411="","",IFERROR(IF(ISBLANK(INDEX(SprintPlanning[Sprint],MATCH($A411,SprintPlanning[Requirement ID],0))),"To Plan",INDEX(SprintPlanning[Sprint],MATCH($A411,SprintPlanning[Requirement ID],0))),"To Plan"))</f>
        <v/>
      </c>
      <c r="J411" s="36" t="n"/>
      <c r="K411">
        <f>IFERROR(IF(ISBLANK(INDEX(Release[Release],MATCH($A411,Release[Requirement ID],0))),"",INDEX(Release[Release],MATCH($A411,Release[Requirement ID],0))),"")</f>
        <v/>
      </c>
      <c r="L411" s="36" t="n"/>
      <c r="M411" s="36" t="n"/>
      <c r="N411" s="36" t="n"/>
      <c r="O411">
        <f>IF($N411="","","https://smartship.atlassian.net/browse/"&amp;$N411)</f>
        <v/>
      </c>
      <c r="P411">
        <f>IFERROR(VALUE(MID($A411,5,4)),0)</f>
        <v/>
      </c>
    </row>
    <row r="412" hidden="1" ht="15" customHeight="1">
      <c r="A412" s="35">
        <f>IF(B412="","","NEW-"&amp;TEXT(MAX($P$2:$P411)+1,"0000"))</f>
        <v/>
      </c>
      <c r="B412" s="36" t="n"/>
      <c r="C412" s="36" t="n"/>
      <c r="D412" s="36" t="n"/>
      <c r="E412" s="36" t="n"/>
      <c r="F412" s="36" t="n"/>
      <c r="G412" s="36" t="n"/>
      <c r="H412" s="36" t="n"/>
      <c r="I412">
        <f>IF($A412="","",IFERROR(IF(ISBLANK(INDEX(SprintPlanning[Sprint],MATCH($A412,SprintPlanning[Requirement ID],0))),"To Plan",INDEX(SprintPlanning[Sprint],MATCH($A412,SprintPlanning[Requirement ID],0))),"To Plan"))</f>
        <v/>
      </c>
      <c r="J412" s="36" t="n"/>
      <c r="K412">
        <f>IFERROR(IF(ISBLANK(INDEX(Release[Release],MATCH($A412,Release[Requirement ID],0))),"",INDEX(Release[Release],MATCH($A412,Release[Requirement ID],0))),"")</f>
        <v/>
      </c>
      <c r="L412" s="36" t="n"/>
      <c r="M412" s="36" t="n"/>
      <c r="N412" s="36" t="n"/>
      <c r="O412">
        <f>IF($N412="","","https://smartship.atlassian.net/browse/"&amp;$N412)</f>
        <v/>
      </c>
      <c r="P412">
        <f>IFERROR(VALUE(MID($A412,5,4)),0)</f>
        <v/>
      </c>
    </row>
    <row r="413" hidden="1" ht="15" customHeight="1">
      <c r="A413" s="35">
        <f>IF(B413="","","NEW-"&amp;TEXT(MAX($P$2:$P412)+1,"0000"))</f>
        <v/>
      </c>
      <c r="B413" s="36" t="n"/>
      <c r="C413" s="36" t="n"/>
      <c r="D413" s="36" t="n"/>
      <c r="E413" s="36" t="n"/>
      <c r="F413" s="36" t="n"/>
      <c r="G413" s="36" t="n"/>
      <c r="H413" s="36" t="n"/>
      <c r="I413">
        <f>IF($A413="","",IFERROR(IF(ISBLANK(INDEX(SprintPlanning[Sprint],MATCH($A413,SprintPlanning[Requirement ID],0))),"To Plan",INDEX(SprintPlanning[Sprint],MATCH($A413,SprintPlanning[Requirement ID],0))),"To Plan"))</f>
        <v/>
      </c>
      <c r="J413" s="36" t="n"/>
      <c r="K413">
        <f>IFERROR(IF(ISBLANK(INDEX(Release[Release],MATCH($A413,Release[Requirement ID],0))),"",INDEX(Release[Release],MATCH($A413,Release[Requirement ID],0))),"")</f>
        <v/>
      </c>
      <c r="L413" s="36" t="n"/>
      <c r="M413" s="36" t="n"/>
      <c r="N413" s="36" t="n"/>
      <c r="O413">
        <f>IF($N413="","","https://smartship.atlassian.net/browse/"&amp;$N413)</f>
        <v/>
      </c>
      <c r="P413">
        <f>IFERROR(VALUE(MID($A413,5,4)),0)</f>
        <v/>
      </c>
    </row>
    <row r="414" hidden="1" ht="15" customHeight="1">
      <c r="A414" s="35">
        <f>IF(B414="","","NEW-"&amp;TEXT(MAX($P$2:$P413)+1,"0000"))</f>
        <v/>
      </c>
      <c r="B414" s="36" t="n"/>
      <c r="C414" s="36" t="n"/>
      <c r="D414" s="36" t="n"/>
      <c r="E414" s="36" t="n"/>
      <c r="F414" s="36" t="n"/>
      <c r="G414" s="36" t="n"/>
      <c r="H414" s="36" t="n"/>
      <c r="I414">
        <f>IF($A414="","",IFERROR(IF(ISBLANK(INDEX(SprintPlanning[Sprint],MATCH($A414,SprintPlanning[Requirement ID],0))),"To Plan",INDEX(SprintPlanning[Sprint],MATCH($A414,SprintPlanning[Requirement ID],0))),"To Plan"))</f>
        <v/>
      </c>
      <c r="J414" s="36" t="n"/>
      <c r="K414">
        <f>IFERROR(IF(ISBLANK(INDEX(Release[Release],MATCH($A414,Release[Requirement ID],0))),"",INDEX(Release[Release],MATCH($A414,Release[Requirement ID],0))),"")</f>
        <v/>
      </c>
      <c r="L414" s="36" t="n"/>
      <c r="M414" s="36" t="n"/>
      <c r="N414" s="36" t="n"/>
      <c r="O414">
        <f>IF($N414="","","https://smartship.atlassian.net/browse/"&amp;$N414)</f>
        <v/>
      </c>
      <c r="P414">
        <f>IFERROR(VALUE(MID($A414,5,4)),0)</f>
        <v/>
      </c>
    </row>
    <row r="415" hidden="1" ht="15" customHeight="1">
      <c r="A415" s="35">
        <f>IF(B415="","","NEW-"&amp;TEXT(MAX($P$2:$P414)+1,"0000"))</f>
        <v/>
      </c>
      <c r="B415" s="36" t="n"/>
      <c r="C415" s="36" t="n"/>
      <c r="D415" s="36" t="n"/>
      <c r="E415" s="36" t="n"/>
      <c r="F415" s="36" t="n"/>
      <c r="G415" s="36" t="n"/>
      <c r="H415" s="36" t="n"/>
      <c r="I415">
        <f>IF($A415="","",IFERROR(IF(ISBLANK(INDEX(SprintPlanning[Sprint],MATCH($A415,SprintPlanning[Requirement ID],0))),"To Plan",INDEX(SprintPlanning[Sprint],MATCH($A415,SprintPlanning[Requirement ID],0))),"To Plan"))</f>
        <v/>
      </c>
      <c r="J415" s="36" t="n"/>
      <c r="K415">
        <f>IFERROR(IF(ISBLANK(INDEX(Release[Release],MATCH($A415,Release[Requirement ID],0))),"",INDEX(Release[Release],MATCH($A415,Release[Requirement ID],0))),"")</f>
        <v/>
      </c>
      <c r="L415" s="36" t="n"/>
      <c r="M415" s="36" t="n"/>
      <c r="N415" s="36" t="n"/>
      <c r="O415">
        <f>IF($N415="","","https://smartship.atlassian.net/browse/"&amp;$N415)</f>
        <v/>
      </c>
      <c r="P415">
        <f>IFERROR(VALUE(MID($A415,5,4)),0)</f>
        <v/>
      </c>
    </row>
    <row r="416" hidden="1" ht="15" customHeight="1">
      <c r="A416" s="35">
        <f>IF(B416="","","NEW-"&amp;TEXT(MAX($P$2:$P415)+1,"0000"))</f>
        <v/>
      </c>
      <c r="B416" s="36" t="n"/>
      <c r="C416" s="36" t="n"/>
      <c r="D416" s="36" t="n"/>
      <c r="E416" s="36" t="n"/>
      <c r="F416" s="36" t="n"/>
      <c r="G416" s="36" t="n"/>
      <c r="H416" s="36" t="n"/>
      <c r="I416">
        <f>IF($A416="","",IFERROR(IF(ISBLANK(INDEX(SprintPlanning[Sprint],MATCH($A416,SprintPlanning[Requirement ID],0))),"To Plan",INDEX(SprintPlanning[Sprint],MATCH($A416,SprintPlanning[Requirement ID],0))),"To Plan"))</f>
        <v/>
      </c>
      <c r="J416" s="36" t="n"/>
      <c r="K416">
        <f>IFERROR(IF(ISBLANK(INDEX(Release[Release],MATCH($A416,Release[Requirement ID],0))),"",INDEX(Release[Release],MATCH($A416,Release[Requirement ID],0))),"")</f>
        <v/>
      </c>
      <c r="L416" s="36" t="n"/>
      <c r="M416" s="36" t="n"/>
      <c r="N416" s="36" t="n"/>
      <c r="O416">
        <f>IF($N416="","","https://smartship.atlassian.net/browse/"&amp;$N416)</f>
        <v/>
      </c>
      <c r="P416">
        <f>IFERROR(VALUE(MID($A416,5,4)),0)</f>
        <v/>
      </c>
    </row>
    <row r="417" hidden="1" ht="15" customHeight="1">
      <c r="A417" s="35">
        <f>IF(B417="","","NEW-"&amp;TEXT(MAX($P$2:$P416)+1,"0000"))</f>
        <v/>
      </c>
      <c r="B417" s="36" t="n"/>
      <c r="C417" s="36" t="n"/>
      <c r="D417" s="36" t="n"/>
      <c r="E417" s="36" t="n"/>
      <c r="F417" s="36" t="n"/>
      <c r="G417" s="36" t="n"/>
      <c r="H417" s="36" t="n"/>
      <c r="I417">
        <f>IF($A417="","",IFERROR(IF(ISBLANK(INDEX(SprintPlanning[Sprint],MATCH($A417,SprintPlanning[Requirement ID],0))),"To Plan",INDEX(SprintPlanning[Sprint],MATCH($A417,SprintPlanning[Requirement ID],0))),"To Plan"))</f>
        <v/>
      </c>
      <c r="J417" s="36" t="n"/>
      <c r="K417">
        <f>IFERROR(IF(ISBLANK(INDEX(Release[Release],MATCH($A417,Release[Requirement ID],0))),"",INDEX(Release[Release],MATCH($A417,Release[Requirement ID],0))),"")</f>
        <v/>
      </c>
      <c r="L417" s="36" t="n"/>
      <c r="M417" s="36" t="n"/>
      <c r="N417" s="36" t="n"/>
      <c r="O417">
        <f>IF($N417="","","https://smartship.atlassian.net/browse/"&amp;$N417)</f>
        <v/>
      </c>
      <c r="P417">
        <f>IFERROR(VALUE(MID($A417,5,4)),0)</f>
        <v/>
      </c>
    </row>
    <row r="418" hidden="1" ht="15" customHeight="1">
      <c r="A418" s="35">
        <f>IF(B418="","","NEW-"&amp;TEXT(MAX($P$2:$P417)+1,"0000"))</f>
        <v/>
      </c>
      <c r="B418" s="36" t="n"/>
      <c r="C418" s="36" t="n"/>
      <c r="D418" s="36" t="n"/>
      <c r="E418" s="36" t="n"/>
      <c r="F418" s="36" t="n"/>
      <c r="G418" s="36" t="n"/>
      <c r="H418" s="36" t="n"/>
      <c r="I418">
        <f>IF($A418="","",IFERROR(IF(ISBLANK(INDEX(SprintPlanning[Sprint],MATCH($A418,SprintPlanning[Requirement ID],0))),"To Plan",INDEX(SprintPlanning[Sprint],MATCH($A418,SprintPlanning[Requirement ID],0))),"To Plan"))</f>
        <v/>
      </c>
      <c r="J418" s="36" t="n"/>
      <c r="K418">
        <f>IFERROR(IF(ISBLANK(INDEX(Release[Release],MATCH($A418,Release[Requirement ID],0))),"",INDEX(Release[Release],MATCH($A418,Release[Requirement ID],0))),"")</f>
        <v/>
      </c>
      <c r="L418" s="36" t="n"/>
      <c r="M418" s="36" t="n"/>
      <c r="N418" s="36" t="n"/>
      <c r="O418">
        <f>IF($N418="","","https://smartship.atlassian.net/browse/"&amp;$N418)</f>
        <v/>
      </c>
      <c r="P418">
        <f>IFERROR(VALUE(MID($A418,5,4)),0)</f>
        <v/>
      </c>
    </row>
    <row r="419" hidden="1" ht="15" customHeight="1">
      <c r="A419" s="35">
        <f>IF(B419="","","NEW-"&amp;TEXT(MAX($P$2:$P418)+1,"0000"))</f>
        <v/>
      </c>
      <c r="B419" s="36" t="n"/>
      <c r="C419" s="36" t="n"/>
      <c r="D419" s="36" t="n"/>
      <c r="E419" s="36" t="n"/>
      <c r="F419" s="36" t="n"/>
      <c r="G419" s="36" t="n"/>
      <c r="H419" s="36" t="n"/>
      <c r="I419">
        <f>IF($A419="","",IFERROR(IF(ISBLANK(INDEX(SprintPlanning[Sprint],MATCH($A419,SprintPlanning[Requirement ID],0))),"To Plan",INDEX(SprintPlanning[Sprint],MATCH($A419,SprintPlanning[Requirement ID],0))),"To Plan"))</f>
        <v/>
      </c>
      <c r="J419" s="36" t="n"/>
      <c r="K419">
        <f>IFERROR(IF(ISBLANK(INDEX(Release[Release],MATCH($A419,Release[Requirement ID],0))),"",INDEX(Release[Release],MATCH($A419,Release[Requirement ID],0))),"")</f>
        <v/>
      </c>
      <c r="L419" s="36" t="n"/>
      <c r="M419" s="36" t="n"/>
      <c r="N419" s="36" t="n"/>
      <c r="O419">
        <f>IF($N419="","","https://smartship.atlassian.net/browse/"&amp;$N419)</f>
        <v/>
      </c>
      <c r="P419">
        <f>IFERROR(VALUE(MID($A419,5,4)),0)</f>
        <v/>
      </c>
    </row>
    <row r="420" hidden="1" ht="15" customHeight="1">
      <c r="A420" s="35">
        <f>IF(B420="","","NEW-"&amp;TEXT(MAX($P$2:$P419)+1,"0000"))</f>
        <v/>
      </c>
      <c r="B420" s="36" t="n"/>
      <c r="C420" s="36" t="n"/>
      <c r="D420" s="36" t="n"/>
      <c r="E420" s="36" t="n"/>
      <c r="F420" s="36" t="n"/>
      <c r="G420" s="36" t="n"/>
      <c r="H420" s="36" t="n"/>
      <c r="I420">
        <f>IF($A420="","",IFERROR(IF(ISBLANK(INDEX(SprintPlanning[Sprint],MATCH($A420,SprintPlanning[Requirement ID],0))),"To Plan",INDEX(SprintPlanning[Sprint],MATCH($A420,SprintPlanning[Requirement ID],0))),"To Plan"))</f>
        <v/>
      </c>
      <c r="J420" s="36" t="n"/>
      <c r="K420">
        <f>IFERROR(IF(ISBLANK(INDEX(Release[Release],MATCH($A420,Release[Requirement ID],0))),"",INDEX(Release[Release],MATCH($A420,Release[Requirement ID],0))),"")</f>
        <v/>
      </c>
      <c r="L420" s="36" t="n"/>
      <c r="M420" s="36" t="n"/>
      <c r="N420" s="36" t="n"/>
      <c r="O420">
        <f>IF($N420="","","https://smartship.atlassian.net/browse/"&amp;$N420)</f>
        <v/>
      </c>
      <c r="P420">
        <f>IFERROR(VALUE(MID($A420,5,4)),0)</f>
        <v/>
      </c>
    </row>
    <row r="421" hidden="1" ht="15" customHeight="1">
      <c r="A421" s="35">
        <f>IF(B421="","","NEW-"&amp;TEXT(MAX($P$2:$P420)+1,"0000"))</f>
        <v/>
      </c>
      <c r="B421" s="36" t="n"/>
      <c r="C421" s="36" t="n"/>
      <c r="D421" s="36" t="n"/>
      <c r="E421" s="36" t="n"/>
      <c r="F421" s="36" t="n"/>
      <c r="G421" s="36" t="n"/>
      <c r="H421" s="36" t="n"/>
      <c r="I421">
        <f>IF($A421="","",IFERROR(IF(ISBLANK(INDEX(SprintPlanning[Sprint],MATCH($A421,SprintPlanning[Requirement ID],0))),"To Plan",INDEX(SprintPlanning[Sprint],MATCH($A421,SprintPlanning[Requirement ID],0))),"To Plan"))</f>
        <v/>
      </c>
      <c r="J421" s="36" t="n"/>
      <c r="K421">
        <f>IFERROR(IF(ISBLANK(INDEX(Release[Release],MATCH($A421,Release[Requirement ID],0))),"",INDEX(Release[Release],MATCH($A421,Release[Requirement ID],0))),"")</f>
        <v/>
      </c>
      <c r="L421" s="36" t="n"/>
      <c r="M421" s="36" t="n"/>
      <c r="N421" s="36" t="n"/>
      <c r="O421">
        <f>IF($N421="","","https://smartship.atlassian.net/browse/"&amp;$N421)</f>
        <v/>
      </c>
      <c r="P421">
        <f>IFERROR(VALUE(MID($A421,5,4)),0)</f>
        <v/>
      </c>
    </row>
    <row r="422" hidden="1" ht="15" customHeight="1">
      <c r="A422" s="35">
        <f>IF(B422="","","NEW-"&amp;TEXT(MAX($P$2:$P421)+1,"0000"))</f>
        <v/>
      </c>
      <c r="B422" s="36" t="n"/>
      <c r="C422" s="36" t="n"/>
      <c r="D422" s="36" t="n"/>
      <c r="E422" s="36" t="n"/>
      <c r="F422" s="36" t="n"/>
      <c r="G422" s="36" t="n"/>
      <c r="H422" s="36" t="n"/>
      <c r="I422">
        <f>IF($A422="","",IFERROR(IF(ISBLANK(INDEX(SprintPlanning[Sprint],MATCH($A422,SprintPlanning[Requirement ID],0))),"To Plan",INDEX(SprintPlanning[Sprint],MATCH($A422,SprintPlanning[Requirement ID],0))),"To Plan"))</f>
        <v/>
      </c>
      <c r="J422" s="36" t="n"/>
      <c r="K422">
        <f>IFERROR(IF(ISBLANK(INDEX(Release[Release],MATCH($A422,Release[Requirement ID],0))),"",INDEX(Release[Release],MATCH($A422,Release[Requirement ID],0))),"")</f>
        <v/>
      </c>
      <c r="L422" s="36" t="n"/>
      <c r="M422" s="36" t="n"/>
      <c r="N422" s="36" t="n"/>
      <c r="O422">
        <f>IF($N422="","","https://smartship.atlassian.net/browse/"&amp;$N422)</f>
        <v/>
      </c>
      <c r="P422">
        <f>IFERROR(VALUE(MID($A422,5,4)),0)</f>
        <v/>
      </c>
    </row>
    <row r="423" hidden="1" ht="15" customHeight="1">
      <c r="A423" s="35">
        <f>IF(B423="","","NEW-"&amp;TEXT(MAX($P$2:$P422)+1,"0000"))</f>
        <v/>
      </c>
      <c r="B423" s="36" t="n"/>
      <c r="C423" s="36" t="n"/>
      <c r="D423" s="36" t="n"/>
      <c r="E423" s="36" t="n"/>
      <c r="F423" s="36" t="n"/>
      <c r="G423" s="36" t="n"/>
      <c r="H423" s="36" t="n"/>
      <c r="I423">
        <f>IF($A423="","",IFERROR(IF(ISBLANK(INDEX(SprintPlanning[Sprint],MATCH($A423,SprintPlanning[Requirement ID],0))),"To Plan",INDEX(SprintPlanning[Sprint],MATCH($A423,SprintPlanning[Requirement ID],0))),"To Plan"))</f>
        <v/>
      </c>
      <c r="J423" s="36" t="n"/>
      <c r="K423">
        <f>IFERROR(IF(ISBLANK(INDEX(Release[Release],MATCH($A423,Release[Requirement ID],0))),"",INDEX(Release[Release],MATCH($A423,Release[Requirement ID],0))),"")</f>
        <v/>
      </c>
      <c r="L423" s="36" t="n"/>
      <c r="M423" s="36" t="n"/>
      <c r="N423" s="36" t="n"/>
      <c r="O423">
        <f>IF($N423="","","https://smartship.atlassian.net/browse/"&amp;$N423)</f>
        <v/>
      </c>
      <c r="P423">
        <f>IFERROR(VALUE(MID($A423,5,4)),0)</f>
        <v/>
      </c>
    </row>
    <row r="424" hidden="1" ht="15" customHeight="1">
      <c r="A424" s="35">
        <f>IF(B424="","","NEW-"&amp;TEXT(MAX($P$2:$P423)+1,"0000"))</f>
        <v/>
      </c>
      <c r="B424" s="36" t="n"/>
      <c r="C424" s="36" t="n"/>
      <c r="D424" s="36" t="n"/>
      <c r="E424" s="36" t="n"/>
      <c r="F424" s="36" t="n"/>
      <c r="G424" s="36" t="n"/>
      <c r="H424" s="36" t="n"/>
      <c r="I424">
        <f>IF($A424="","",IFERROR(IF(ISBLANK(INDEX(SprintPlanning[Sprint],MATCH($A424,SprintPlanning[Requirement ID],0))),"To Plan",INDEX(SprintPlanning[Sprint],MATCH($A424,SprintPlanning[Requirement ID],0))),"To Plan"))</f>
        <v/>
      </c>
      <c r="J424" s="36" t="n"/>
      <c r="K424">
        <f>IFERROR(IF(ISBLANK(INDEX(Release[Release],MATCH($A424,Release[Requirement ID],0))),"",INDEX(Release[Release],MATCH($A424,Release[Requirement ID],0))),"")</f>
        <v/>
      </c>
      <c r="L424" s="36" t="n"/>
      <c r="M424" s="36" t="n"/>
      <c r="N424" s="36" t="n"/>
      <c r="O424">
        <f>IF($N424="","","https://smartship.atlassian.net/browse/"&amp;$N424)</f>
        <v/>
      </c>
      <c r="P424">
        <f>IFERROR(VALUE(MID($A424,5,4)),0)</f>
        <v/>
      </c>
    </row>
    <row r="425" hidden="1" ht="15" customHeight="1">
      <c r="A425" s="35">
        <f>IF(B425="","","NEW-"&amp;TEXT(MAX($P$2:$P424)+1,"0000"))</f>
        <v/>
      </c>
      <c r="B425" s="36" t="n"/>
      <c r="C425" s="36" t="n"/>
      <c r="D425" s="36" t="n"/>
      <c r="E425" s="36" t="n"/>
      <c r="F425" s="36" t="n"/>
      <c r="G425" s="36" t="n"/>
      <c r="H425" s="36" t="n"/>
      <c r="I425">
        <f>IF($A425="","",IFERROR(IF(ISBLANK(INDEX(SprintPlanning[Sprint],MATCH($A425,SprintPlanning[Requirement ID],0))),"To Plan",INDEX(SprintPlanning[Sprint],MATCH($A425,SprintPlanning[Requirement ID],0))),"To Plan"))</f>
        <v/>
      </c>
      <c r="J425" s="36" t="n"/>
      <c r="K425">
        <f>IFERROR(IF(ISBLANK(INDEX(Release[Release],MATCH($A425,Release[Requirement ID],0))),"",INDEX(Release[Release],MATCH($A425,Release[Requirement ID],0))),"")</f>
        <v/>
      </c>
      <c r="L425" s="36" t="n"/>
      <c r="M425" s="36" t="n"/>
      <c r="N425" s="36" t="n"/>
      <c r="O425">
        <f>IF($N425="","","https://smartship.atlassian.net/browse/"&amp;$N425)</f>
        <v/>
      </c>
      <c r="P425">
        <f>IFERROR(VALUE(MID($A425,5,4)),0)</f>
        <v/>
      </c>
    </row>
    <row r="426" hidden="1" ht="15" customHeight="1">
      <c r="A426" s="35">
        <f>IF(B426="","","NEW-"&amp;TEXT(MAX($P$2:$P425)+1,"0000"))</f>
        <v/>
      </c>
      <c r="B426" s="36" t="n"/>
      <c r="C426" s="36" t="n"/>
      <c r="D426" s="36" t="n"/>
      <c r="E426" s="36" t="n"/>
      <c r="F426" s="36" t="n"/>
      <c r="G426" s="36" t="n"/>
      <c r="H426" s="36" t="n"/>
      <c r="I426">
        <f>IF($A426="","",IFERROR(IF(ISBLANK(INDEX(SprintPlanning[Sprint],MATCH($A426,SprintPlanning[Requirement ID],0))),"To Plan",INDEX(SprintPlanning[Sprint],MATCH($A426,SprintPlanning[Requirement ID],0))),"To Plan"))</f>
        <v/>
      </c>
      <c r="J426" s="36" t="n"/>
      <c r="K426">
        <f>IFERROR(IF(ISBLANK(INDEX(Release[Release],MATCH($A426,Release[Requirement ID],0))),"",INDEX(Release[Release],MATCH($A426,Release[Requirement ID],0))),"")</f>
        <v/>
      </c>
      <c r="L426" s="36" t="n"/>
      <c r="M426" s="36" t="n"/>
      <c r="N426" s="36" t="n"/>
      <c r="O426">
        <f>IF($N426="","","https://smartship.atlassian.net/browse/"&amp;$N426)</f>
        <v/>
      </c>
      <c r="P426">
        <f>IFERROR(VALUE(MID($A426,5,4)),0)</f>
        <v/>
      </c>
    </row>
    <row r="427" hidden="1" ht="15" customHeight="1">
      <c r="A427" s="35">
        <f>IF(B427="","","NEW-"&amp;TEXT(MAX($P$2:$P426)+1,"0000"))</f>
        <v/>
      </c>
      <c r="B427" s="36" t="n"/>
      <c r="C427" s="36" t="n"/>
      <c r="D427" s="36" t="n"/>
      <c r="E427" s="36" t="n"/>
      <c r="F427" s="36" t="n"/>
      <c r="G427" s="36" t="n"/>
      <c r="H427" s="36" t="n"/>
      <c r="I427">
        <f>IF($A427="","",IFERROR(IF(ISBLANK(INDEX(SprintPlanning[Sprint],MATCH($A427,SprintPlanning[Requirement ID],0))),"To Plan",INDEX(SprintPlanning[Sprint],MATCH($A427,SprintPlanning[Requirement ID],0))),"To Plan"))</f>
        <v/>
      </c>
      <c r="J427" s="36" t="n"/>
      <c r="K427">
        <f>IFERROR(IF(ISBLANK(INDEX(Release[Release],MATCH($A427,Release[Requirement ID],0))),"",INDEX(Release[Release],MATCH($A427,Release[Requirement ID],0))),"")</f>
        <v/>
      </c>
      <c r="L427" s="36" t="n"/>
      <c r="M427" s="36" t="n"/>
      <c r="N427" s="36" t="n"/>
      <c r="O427">
        <f>IF($N427="","","https://smartship.atlassian.net/browse/"&amp;$N427)</f>
        <v/>
      </c>
      <c r="P427">
        <f>IFERROR(VALUE(MID($A427,5,4)),0)</f>
        <v/>
      </c>
    </row>
    <row r="428" hidden="1" ht="15" customHeight="1">
      <c r="A428" s="35">
        <f>IF(B428="","","NEW-"&amp;TEXT(MAX($P$2:$P427)+1,"0000"))</f>
        <v/>
      </c>
      <c r="B428" s="36" t="n"/>
      <c r="C428" s="36" t="n"/>
      <c r="D428" s="36" t="n"/>
      <c r="E428" s="36" t="n"/>
      <c r="F428" s="36" t="n"/>
      <c r="G428" s="36" t="n"/>
      <c r="H428" s="36" t="n"/>
      <c r="I428">
        <f>IF($A428="","",IFERROR(IF(ISBLANK(INDEX(SprintPlanning[Sprint],MATCH($A428,SprintPlanning[Requirement ID],0))),"To Plan",INDEX(SprintPlanning[Sprint],MATCH($A428,SprintPlanning[Requirement ID],0))),"To Plan"))</f>
        <v/>
      </c>
      <c r="J428" s="36" t="n"/>
      <c r="K428">
        <f>IFERROR(IF(ISBLANK(INDEX(Release[Release],MATCH($A428,Release[Requirement ID],0))),"",INDEX(Release[Release],MATCH($A428,Release[Requirement ID],0))),"")</f>
        <v/>
      </c>
      <c r="L428" s="36" t="n"/>
      <c r="M428" s="36" t="n"/>
      <c r="N428" s="36" t="n"/>
      <c r="O428">
        <f>IF($N428="","","https://smartship.atlassian.net/browse/"&amp;$N428)</f>
        <v/>
      </c>
      <c r="P428">
        <f>IFERROR(VALUE(MID($A428,5,4)),0)</f>
        <v/>
      </c>
    </row>
    <row r="429" hidden="1" ht="15" customHeight="1">
      <c r="A429" s="35">
        <f>IF(B429="","","NEW-"&amp;TEXT(MAX($P$2:$P428)+1,"0000"))</f>
        <v/>
      </c>
      <c r="B429" s="36" t="n"/>
      <c r="C429" s="36" t="n"/>
      <c r="D429" s="36" t="n"/>
      <c r="E429" s="36" t="n"/>
      <c r="F429" s="36" t="n"/>
      <c r="G429" s="36" t="n"/>
      <c r="H429" s="36" t="n"/>
      <c r="I429">
        <f>IF($A429="","",IFERROR(IF(ISBLANK(INDEX(SprintPlanning[Sprint],MATCH($A429,SprintPlanning[Requirement ID],0))),"To Plan",INDEX(SprintPlanning[Sprint],MATCH($A429,SprintPlanning[Requirement ID],0))),"To Plan"))</f>
        <v/>
      </c>
      <c r="J429" s="36" t="n"/>
      <c r="K429">
        <f>IFERROR(IF(ISBLANK(INDEX(Release[Release],MATCH($A429,Release[Requirement ID],0))),"",INDEX(Release[Release],MATCH($A429,Release[Requirement ID],0))),"")</f>
        <v/>
      </c>
      <c r="L429" s="36" t="n"/>
      <c r="M429" s="36" t="n"/>
      <c r="N429" s="36" t="n"/>
      <c r="O429">
        <f>IF($N429="","","https://smartship.atlassian.net/browse/"&amp;$N429)</f>
        <v/>
      </c>
      <c r="P429">
        <f>IFERROR(VALUE(MID($A429,5,4)),0)</f>
        <v/>
      </c>
    </row>
    <row r="430" hidden="1" ht="15" customHeight="1">
      <c r="A430" s="35">
        <f>IF(B430="","","NEW-"&amp;TEXT(MAX($P$2:$P429)+1,"0000"))</f>
        <v/>
      </c>
      <c r="B430" s="36" t="n"/>
      <c r="C430" s="36" t="n"/>
      <c r="D430" s="36" t="n"/>
      <c r="E430" s="36" t="n"/>
      <c r="F430" s="36" t="n"/>
      <c r="G430" s="36" t="n"/>
      <c r="H430" s="36" t="n"/>
      <c r="I430">
        <f>IF($A430="","",IFERROR(IF(ISBLANK(INDEX(SprintPlanning[Sprint],MATCH($A430,SprintPlanning[Requirement ID],0))),"To Plan",INDEX(SprintPlanning[Sprint],MATCH($A430,SprintPlanning[Requirement ID],0))),"To Plan"))</f>
        <v/>
      </c>
      <c r="J430" s="36" t="n"/>
      <c r="K430">
        <f>IFERROR(IF(ISBLANK(INDEX(Release[Release],MATCH($A430,Release[Requirement ID],0))),"",INDEX(Release[Release],MATCH($A430,Release[Requirement ID],0))),"")</f>
        <v/>
      </c>
      <c r="L430" s="36" t="n"/>
      <c r="M430" s="36" t="n"/>
      <c r="N430" s="36" t="n"/>
      <c r="O430">
        <f>IF($N430="","","https://smartship.atlassian.net/browse/"&amp;$N430)</f>
        <v/>
      </c>
      <c r="P430">
        <f>IFERROR(VALUE(MID($A430,5,4)),0)</f>
        <v/>
      </c>
    </row>
    <row r="431" hidden="1" ht="15" customHeight="1">
      <c r="A431" s="35">
        <f>IF(B431="","","NEW-"&amp;TEXT(MAX($P$2:$P430)+1,"0000"))</f>
        <v/>
      </c>
      <c r="B431" s="36" t="n"/>
      <c r="C431" s="36" t="n"/>
      <c r="D431" s="36" t="n"/>
      <c r="E431" s="36" t="n"/>
      <c r="F431" s="36" t="n"/>
      <c r="G431" s="36" t="n"/>
      <c r="H431" s="36" t="n"/>
      <c r="I431">
        <f>IF($A431="","",IFERROR(IF(ISBLANK(INDEX(SprintPlanning[Sprint],MATCH($A431,SprintPlanning[Requirement ID],0))),"To Plan",INDEX(SprintPlanning[Sprint],MATCH($A431,SprintPlanning[Requirement ID],0))),"To Plan"))</f>
        <v/>
      </c>
      <c r="J431" s="36" t="n"/>
      <c r="K431">
        <f>IFERROR(IF(ISBLANK(INDEX(Release[Release],MATCH($A431,Release[Requirement ID],0))),"",INDEX(Release[Release],MATCH($A431,Release[Requirement ID],0))),"")</f>
        <v/>
      </c>
      <c r="L431" s="36" t="n"/>
      <c r="M431" s="36" t="n"/>
      <c r="N431" s="36" t="n"/>
      <c r="O431">
        <f>IF($N431="","","https://smartship.atlassian.net/browse/"&amp;$N431)</f>
        <v/>
      </c>
      <c r="P431">
        <f>IFERROR(VALUE(MID($A431,5,4)),0)</f>
        <v/>
      </c>
    </row>
    <row r="432" hidden="1" ht="15" customHeight="1">
      <c r="A432" s="35">
        <f>IF(B432="","","NEW-"&amp;TEXT(MAX($P$2:$P431)+1,"0000"))</f>
        <v/>
      </c>
      <c r="B432" s="36" t="n"/>
      <c r="C432" s="36" t="n"/>
      <c r="D432" s="36" t="n"/>
      <c r="E432" s="36" t="n"/>
      <c r="F432" s="36" t="n"/>
      <c r="G432" s="36" t="n"/>
      <c r="H432" s="36" t="n"/>
      <c r="I432">
        <f>IF($A432="","",IFERROR(IF(ISBLANK(INDEX(SprintPlanning[Sprint],MATCH($A432,SprintPlanning[Requirement ID],0))),"To Plan",INDEX(SprintPlanning[Sprint],MATCH($A432,SprintPlanning[Requirement ID],0))),"To Plan"))</f>
        <v/>
      </c>
      <c r="J432" s="36" t="n"/>
      <c r="K432">
        <f>IFERROR(IF(ISBLANK(INDEX(Release[Release],MATCH($A432,Release[Requirement ID],0))),"",INDEX(Release[Release],MATCH($A432,Release[Requirement ID],0))),"")</f>
        <v/>
      </c>
      <c r="L432" s="36" t="n"/>
      <c r="M432" s="36" t="n"/>
      <c r="N432" s="36" t="n"/>
      <c r="O432">
        <f>IF($N432="","","https://smartship.atlassian.net/browse/"&amp;$N432)</f>
        <v/>
      </c>
      <c r="P432">
        <f>IFERROR(VALUE(MID($A432,5,4)),0)</f>
        <v/>
      </c>
    </row>
    <row r="433" hidden="1" ht="15" customHeight="1">
      <c r="A433" s="35">
        <f>IF(B433="","","NEW-"&amp;TEXT(MAX($P$2:$P432)+1,"0000"))</f>
        <v/>
      </c>
      <c r="B433" s="36" t="n"/>
      <c r="C433" s="36" t="n"/>
      <c r="D433" s="36" t="n"/>
      <c r="E433" s="36" t="n"/>
      <c r="F433" s="36" t="n"/>
      <c r="G433" s="36" t="n"/>
      <c r="H433" s="36" t="n"/>
      <c r="I433">
        <f>IF($A433="","",IFERROR(IF(ISBLANK(INDEX(SprintPlanning[Sprint],MATCH($A433,SprintPlanning[Requirement ID],0))),"To Plan",INDEX(SprintPlanning[Sprint],MATCH($A433,SprintPlanning[Requirement ID],0))),"To Plan"))</f>
        <v/>
      </c>
      <c r="J433" s="36" t="n"/>
      <c r="K433">
        <f>IFERROR(IF(ISBLANK(INDEX(Release[Release],MATCH($A433,Release[Requirement ID],0))),"",INDEX(Release[Release],MATCH($A433,Release[Requirement ID],0))),"")</f>
        <v/>
      </c>
      <c r="L433" s="36" t="n"/>
      <c r="M433" s="36" t="n"/>
      <c r="N433" s="36" t="n"/>
      <c r="O433">
        <f>IF($N433="","","https://smartship.atlassian.net/browse/"&amp;$N433)</f>
        <v/>
      </c>
      <c r="P433">
        <f>IFERROR(VALUE(MID($A433,5,4)),0)</f>
        <v/>
      </c>
    </row>
    <row r="434" hidden="1" ht="15" customHeight="1">
      <c r="A434" s="35">
        <f>IF(B434="","","NEW-"&amp;TEXT(MAX($P$2:$P433)+1,"0000"))</f>
        <v/>
      </c>
      <c r="B434" s="36" t="n"/>
      <c r="C434" s="36" t="n"/>
      <c r="D434" s="36" t="n"/>
      <c r="E434" s="36" t="n"/>
      <c r="F434" s="36" t="n"/>
      <c r="G434" s="36" t="n"/>
      <c r="H434" s="36" t="n"/>
      <c r="I434">
        <f>IF($A434="","",IFERROR(IF(ISBLANK(INDEX(SprintPlanning[Sprint],MATCH($A434,SprintPlanning[Requirement ID],0))),"To Plan",INDEX(SprintPlanning[Sprint],MATCH($A434,SprintPlanning[Requirement ID],0))),"To Plan"))</f>
        <v/>
      </c>
      <c r="J434" s="36" t="n"/>
      <c r="K434">
        <f>IFERROR(IF(ISBLANK(INDEX(Release[Release],MATCH($A434,Release[Requirement ID],0))),"",INDEX(Release[Release],MATCH($A434,Release[Requirement ID],0))),"")</f>
        <v/>
      </c>
      <c r="L434" s="36" t="n"/>
      <c r="M434" s="36" t="n"/>
      <c r="N434" s="36" t="n"/>
      <c r="O434">
        <f>IF($N434="","","https://smartship.atlassian.net/browse/"&amp;$N434)</f>
        <v/>
      </c>
      <c r="P434">
        <f>IFERROR(VALUE(MID($A434,5,4)),0)</f>
        <v/>
      </c>
    </row>
    <row r="435" hidden="1" ht="15" customHeight="1">
      <c r="A435" s="35">
        <f>IF(B435="","","NEW-"&amp;TEXT(MAX($P$2:$P434)+1,"0000"))</f>
        <v/>
      </c>
      <c r="B435" s="36" t="n"/>
      <c r="C435" s="36" t="n"/>
      <c r="D435" s="36" t="n"/>
      <c r="E435" s="36" t="n"/>
      <c r="F435" s="36" t="n"/>
      <c r="G435" s="36" t="n"/>
      <c r="H435" s="36" t="n"/>
      <c r="I435">
        <f>IF($A435="","",IFERROR(IF(ISBLANK(INDEX(SprintPlanning[Sprint],MATCH($A435,SprintPlanning[Requirement ID],0))),"To Plan",INDEX(SprintPlanning[Sprint],MATCH($A435,SprintPlanning[Requirement ID],0))),"To Plan"))</f>
        <v/>
      </c>
      <c r="J435" s="36" t="n"/>
      <c r="K435">
        <f>IFERROR(IF(ISBLANK(INDEX(Release[Release],MATCH($A435,Release[Requirement ID],0))),"",INDEX(Release[Release],MATCH($A435,Release[Requirement ID],0))),"")</f>
        <v/>
      </c>
      <c r="L435" s="36" t="n"/>
      <c r="M435" s="36" t="n"/>
      <c r="N435" s="36" t="n"/>
      <c r="O435">
        <f>IF($N435="","","https://smartship.atlassian.net/browse/"&amp;$N435)</f>
        <v/>
      </c>
      <c r="P435">
        <f>IFERROR(VALUE(MID($A435,5,4)),0)</f>
        <v/>
      </c>
    </row>
    <row r="436" hidden="1" ht="15" customHeight="1">
      <c r="A436" s="35">
        <f>IF(B436="","","NEW-"&amp;TEXT(MAX($P$2:$P435)+1,"0000"))</f>
        <v/>
      </c>
      <c r="B436" s="36" t="n"/>
      <c r="C436" s="36" t="n"/>
      <c r="D436" s="36" t="n"/>
      <c r="E436" s="36" t="n"/>
      <c r="F436" s="36" t="n"/>
      <c r="G436" s="36" t="n"/>
      <c r="H436" s="36" t="n"/>
      <c r="I436">
        <f>IF($A436="","",IFERROR(IF(ISBLANK(INDEX(SprintPlanning[Sprint],MATCH($A436,SprintPlanning[Requirement ID],0))),"To Plan",INDEX(SprintPlanning[Sprint],MATCH($A436,SprintPlanning[Requirement ID],0))),"To Plan"))</f>
        <v/>
      </c>
      <c r="J436" s="36" t="n"/>
      <c r="K436">
        <f>IFERROR(IF(ISBLANK(INDEX(Release[Release],MATCH($A436,Release[Requirement ID],0))),"",INDEX(Release[Release],MATCH($A436,Release[Requirement ID],0))),"")</f>
        <v/>
      </c>
      <c r="L436" s="36" t="n"/>
      <c r="M436" s="36" t="n"/>
      <c r="N436" s="36" t="n"/>
      <c r="O436">
        <f>IF($N436="","","https://smartship.atlassian.net/browse/"&amp;$N436)</f>
        <v/>
      </c>
      <c r="P436">
        <f>IFERROR(VALUE(MID($A436,5,4)),0)</f>
        <v/>
      </c>
    </row>
    <row r="437" hidden="1" ht="15" customHeight="1">
      <c r="A437" s="35">
        <f>IF(B437="","","NEW-"&amp;TEXT(MAX($P$2:$P436)+1,"0000"))</f>
        <v/>
      </c>
      <c r="B437" s="36" t="n"/>
      <c r="C437" s="36" t="n"/>
      <c r="D437" s="36" t="n"/>
      <c r="E437" s="36" t="n"/>
      <c r="F437" s="36" t="n"/>
      <c r="G437" s="36" t="n"/>
      <c r="H437" s="36" t="n"/>
      <c r="I437">
        <f>IF($A437="","",IFERROR(IF(ISBLANK(INDEX(SprintPlanning[Sprint],MATCH($A437,SprintPlanning[Requirement ID],0))),"To Plan",INDEX(SprintPlanning[Sprint],MATCH($A437,SprintPlanning[Requirement ID],0))),"To Plan"))</f>
        <v/>
      </c>
      <c r="J437" s="36" t="n"/>
      <c r="K437">
        <f>IFERROR(IF(ISBLANK(INDEX(Release[Release],MATCH($A437,Release[Requirement ID],0))),"",INDEX(Release[Release],MATCH($A437,Release[Requirement ID],0))),"")</f>
        <v/>
      </c>
      <c r="L437" s="36" t="n"/>
      <c r="M437" s="36" t="n"/>
      <c r="N437" s="36" t="n"/>
      <c r="O437">
        <f>IF($N437="","","https://smartship.atlassian.net/browse/"&amp;$N437)</f>
        <v/>
      </c>
      <c r="P437">
        <f>IFERROR(VALUE(MID($A437,5,4)),0)</f>
        <v/>
      </c>
    </row>
    <row r="438" hidden="1" ht="15" customHeight="1">
      <c r="A438" s="35">
        <f>IF(B438="","","NEW-"&amp;TEXT(MAX($P$2:$P437)+1,"0000"))</f>
        <v/>
      </c>
      <c r="B438" s="36" t="n"/>
      <c r="C438" s="36" t="n"/>
      <c r="D438" s="36" t="n"/>
      <c r="E438" s="36" t="n"/>
      <c r="F438" s="36" t="n"/>
      <c r="G438" s="36" t="n"/>
      <c r="H438" s="36" t="n"/>
      <c r="I438">
        <f>IF($A438="","",IFERROR(IF(ISBLANK(INDEX(SprintPlanning[Sprint],MATCH($A438,SprintPlanning[Requirement ID],0))),"To Plan",INDEX(SprintPlanning[Sprint],MATCH($A438,SprintPlanning[Requirement ID],0))),"To Plan"))</f>
        <v/>
      </c>
      <c r="J438" s="36" t="n"/>
      <c r="K438">
        <f>IFERROR(IF(ISBLANK(INDEX(Release[Release],MATCH($A438,Release[Requirement ID],0))),"",INDEX(Release[Release],MATCH($A438,Release[Requirement ID],0))),"")</f>
        <v/>
      </c>
      <c r="L438" s="36" t="n"/>
      <c r="M438" s="36" t="n"/>
      <c r="N438" s="36" t="n"/>
      <c r="O438">
        <f>IF($N438="","","https://smartship.atlassian.net/browse/"&amp;$N438)</f>
        <v/>
      </c>
      <c r="P438">
        <f>IFERROR(VALUE(MID($A438,5,4)),0)</f>
        <v/>
      </c>
    </row>
    <row r="439" hidden="1" ht="15" customHeight="1">
      <c r="A439" s="35">
        <f>IF(B439="","","NEW-"&amp;TEXT(MAX($P$2:$P438)+1,"0000"))</f>
        <v/>
      </c>
      <c r="B439" s="36" t="n"/>
      <c r="C439" s="36" t="n"/>
      <c r="D439" s="36" t="n"/>
      <c r="E439" s="36" t="n"/>
      <c r="F439" s="36" t="n"/>
      <c r="G439" s="36" t="n"/>
      <c r="H439" s="36" t="n"/>
      <c r="I439">
        <f>IF($A439="","",IFERROR(IF(ISBLANK(INDEX(SprintPlanning[Sprint],MATCH($A439,SprintPlanning[Requirement ID],0))),"To Plan",INDEX(SprintPlanning[Sprint],MATCH($A439,SprintPlanning[Requirement ID],0))),"To Plan"))</f>
        <v/>
      </c>
      <c r="J439" s="36" t="n"/>
      <c r="K439">
        <f>IFERROR(IF(ISBLANK(INDEX(Release[Release],MATCH($A439,Release[Requirement ID],0))),"",INDEX(Release[Release],MATCH($A439,Release[Requirement ID],0))),"")</f>
        <v/>
      </c>
      <c r="L439" s="36" t="n"/>
      <c r="M439" s="36" t="n"/>
      <c r="N439" s="36" t="n"/>
      <c r="O439">
        <f>IF($N439="","","https://smartship.atlassian.net/browse/"&amp;$N439)</f>
        <v/>
      </c>
      <c r="P439">
        <f>IFERROR(VALUE(MID($A439,5,4)),0)</f>
        <v/>
      </c>
    </row>
    <row r="440" hidden="1" ht="15" customHeight="1">
      <c r="A440" s="35">
        <f>IF(B440="","","NEW-"&amp;TEXT(MAX($P$2:$P439)+1,"0000"))</f>
        <v/>
      </c>
      <c r="B440" s="36" t="n"/>
      <c r="C440" s="36" t="n"/>
      <c r="D440" s="36" t="n"/>
      <c r="E440" s="36" t="n"/>
      <c r="F440" s="36" t="n"/>
      <c r="G440" s="36" t="n"/>
      <c r="H440" s="36" t="n"/>
      <c r="I440">
        <f>IF($A440="","",IFERROR(IF(ISBLANK(INDEX(SprintPlanning[Sprint],MATCH($A440,SprintPlanning[Requirement ID],0))),"To Plan",INDEX(SprintPlanning[Sprint],MATCH($A440,SprintPlanning[Requirement ID],0))),"To Plan"))</f>
        <v/>
      </c>
      <c r="J440" s="36" t="n"/>
      <c r="K440">
        <f>IFERROR(IF(ISBLANK(INDEX(Release[Release],MATCH($A440,Release[Requirement ID],0))),"",INDEX(Release[Release],MATCH($A440,Release[Requirement ID],0))),"")</f>
        <v/>
      </c>
      <c r="L440" s="36" t="n"/>
      <c r="M440" s="36" t="n"/>
      <c r="N440" s="36" t="n"/>
      <c r="O440">
        <f>IF($N440="","","https://smartship.atlassian.net/browse/"&amp;$N440)</f>
        <v/>
      </c>
      <c r="P440">
        <f>IFERROR(VALUE(MID($A440,5,4)),0)</f>
        <v/>
      </c>
    </row>
    <row r="441" hidden="1" ht="15" customHeight="1">
      <c r="A441" s="35">
        <f>IF(B441="","","NEW-"&amp;TEXT(MAX($P$2:$P440)+1,"0000"))</f>
        <v/>
      </c>
      <c r="B441" s="36" t="n"/>
      <c r="C441" s="36" t="n"/>
      <c r="D441" s="36" t="n"/>
      <c r="E441" s="36" t="n"/>
      <c r="F441" s="36" t="n"/>
      <c r="G441" s="36" t="n"/>
      <c r="H441" s="36" t="n"/>
      <c r="I441">
        <f>IF($A441="","",IFERROR(IF(ISBLANK(INDEX(SprintPlanning[Sprint],MATCH($A441,SprintPlanning[Requirement ID],0))),"To Plan",INDEX(SprintPlanning[Sprint],MATCH($A441,SprintPlanning[Requirement ID],0))),"To Plan"))</f>
        <v/>
      </c>
      <c r="J441" s="36" t="n"/>
      <c r="K441">
        <f>IFERROR(IF(ISBLANK(INDEX(Release[Release],MATCH($A441,Release[Requirement ID],0))),"",INDEX(Release[Release],MATCH($A441,Release[Requirement ID],0))),"")</f>
        <v/>
      </c>
      <c r="L441" s="36" t="n"/>
      <c r="M441" s="36" t="n"/>
      <c r="N441" s="36" t="n"/>
      <c r="O441">
        <f>IF($N441="","","https://smartship.atlassian.net/browse/"&amp;$N441)</f>
        <v/>
      </c>
      <c r="P441">
        <f>IFERROR(VALUE(MID($A441,5,4)),0)</f>
        <v/>
      </c>
    </row>
    <row r="442" hidden="1" ht="15" customHeight="1">
      <c r="A442" s="35">
        <f>IF(B442="","","NEW-"&amp;TEXT(MAX($P$2:$P441)+1,"0000"))</f>
        <v/>
      </c>
      <c r="B442" s="36" t="n"/>
      <c r="C442" s="36" t="n"/>
      <c r="D442" s="36" t="n"/>
      <c r="E442" s="36" t="n"/>
      <c r="F442" s="36" t="n"/>
      <c r="G442" s="36" t="n"/>
      <c r="H442" s="36" t="n"/>
      <c r="I442">
        <f>IF($A442="","",IFERROR(IF(ISBLANK(INDEX(SprintPlanning[Sprint],MATCH($A442,SprintPlanning[Requirement ID],0))),"To Plan",INDEX(SprintPlanning[Sprint],MATCH($A442,SprintPlanning[Requirement ID],0))),"To Plan"))</f>
        <v/>
      </c>
      <c r="J442" s="36" t="n"/>
      <c r="K442">
        <f>IFERROR(IF(ISBLANK(INDEX(Release[Release],MATCH($A442,Release[Requirement ID],0))),"",INDEX(Release[Release],MATCH($A442,Release[Requirement ID],0))),"")</f>
        <v/>
      </c>
      <c r="L442" s="36" t="n"/>
      <c r="M442" s="36" t="n"/>
      <c r="N442" s="36" t="n"/>
      <c r="O442">
        <f>IF($N442="","","https://smartship.atlassian.net/browse/"&amp;$N442)</f>
        <v/>
      </c>
      <c r="P442">
        <f>IFERROR(VALUE(MID($A442,5,4)),0)</f>
        <v/>
      </c>
    </row>
    <row r="443" hidden="1" ht="15" customHeight="1">
      <c r="A443" s="35">
        <f>IF(B443="","","NEW-"&amp;TEXT(MAX($P$2:$P442)+1,"0000"))</f>
        <v/>
      </c>
      <c r="B443" s="36" t="n"/>
      <c r="C443" s="36" t="n"/>
      <c r="D443" s="36" t="n"/>
      <c r="E443" s="36" t="n"/>
      <c r="F443" s="36" t="n"/>
      <c r="G443" s="36" t="n"/>
      <c r="H443" s="36" t="n"/>
      <c r="I443">
        <f>IF($A443="","",IFERROR(IF(ISBLANK(INDEX(SprintPlanning[Sprint],MATCH($A443,SprintPlanning[Requirement ID],0))),"To Plan",INDEX(SprintPlanning[Sprint],MATCH($A443,SprintPlanning[Requirement ID],0))),"To Plan"))</f>
        <v/>
      </c>
      <c r="J443" s="36" t="n"/>
      <c r="K443">
        <f>IFERROR(IF(ISBLANK(INDEX(Release[Release],MATCH($A443,Release[Requirement ID],0))),"",INDEX(Release[Release],MATCH($A443,Release[Requirement ID],0))),"")</f>
        <v/>
      </c>
      <c r="L443" s="36" t="n"/>
      <c r="M443" s="36" t="n"/>
      <c r="N443" s="36" t="n"/>
      <c r="O443">
        <f>IF($N443="","","https://smartship.atlassian.net/browse/"&amp;$N443)</f>
        <v/>
      </c>
      <c r="P443">
        <f>IFERROR(VALUE(MID($A443,5,4)),0)</f>
        <v/>
      </c>
    </row>
    <row r="444" hidden="1" ht="15" customHeight="1">
      <c r="A444" s="35">
        <f>IF(B444="","","NEW-"&amp;TEXT(MAX($P$2:$P443)+1,"0000"))</f>
        <v/>
      </c>
      <c r="B444" s="36" t="n"/>
      <c r="C444" s="36" t="n"/>
      <c r="D444" s="36" t="n"/>
      <c r="E444" s="36" t="n"/>
      <c r="F444" s="36" t="n"/>
      <c r="G444" s="36" t="n"/>
      <c r="H444" s="36" t="n"/>
      <c r="I444">
        <f>IF($A444="","",IFERROR(IF(ISBLANK(INDEX(SprintPlanning[Sprint],MATCH($A444,SprintPlanning[Requirement ID],0))),"To Plan",INDEX(SprintPlanning[Sprint],MATCH($A444,SprintPlanning[Requirement ID],0))),"To Plan"))</f>
        <v/>
      </c>
      <c r="J444" s="36" t="n"/>
      <c r="K444">
        <f>IFERROR(IF(ISBLANK(INDEX(Release[Release],MATCH($A444,Release[Requirement ID],0))),"",INDEX(Release[Release],MATCH($A444,Release[Requirement ID],0))),"")</f>
        <v/>
      </c>
      <c r="L444" s="36" t="n"/>
      <c r="M444" s="36" t="n"/>
      <c r="N444" s="36" t="n"/>
      <c r="O444">
        <f>IF($N444="","","https://smartship.atlassian.net/browse/"&amp;$N444)</f>
        <v/>
      </c>
      <c r="P444">
        <f>IFERROR(VALUE(MID($A444,5,4)),0)</f>
        <v/>
      </c>
    </row>
    <row r="445" hidden="1" ht="15" customHeight="1">
      <c r="A445" s="35">
        <f>IF(B445="","","NEW-"&amp;TEXT(MAX($P$2:$P444)+1,"0000"))</f>
        <v/>
      </c>
      <c r="B445" s="36" t="n"/>
      <c r="C445" s="36" t="n"/>
      <c r="D445" s="36" t="n"/>
      <c r="E445" s="36" t="n"/>
      <c r="F445" s="36" t="n"/>
      <c r="G445" s="36" t="n"/>
      <c r="H445" s="36" t="n"/>
      <c r="I445">
        <f>IF($A445="","",IFERROR(IF(ISBLANK(INDEX(SprintPlanning[Sprint],MATCH($A445,SprintPlanning[Requirement ID],0))),"To Plan",INDEX(SprintPlanning[Sprint],MATCH($A445,SprintPlanning[Requirement ID],0))),"To Plan"))</f>
        <v/>
      </c>
      <c r="J445" s="36" t="n"/>
      <c r="K445">
        <f>IFERROR(IF(ISBLANK(INDEX(Release[Release],MATCH($A445,Release[Requirement ID],0))),"",INDEX(Release[Release],MATCH($A445,Release[Requirement ID],0))),"")</f>
        <v/>
      </c>
      <c r="L445" s="36" t="n"/>
      <c r="M445" s="36" t="n"/>
      <c r="N445" s="36" t="n"/>
      <c r="O445">
        <f>IF($N445="","","https://smartship.atlassian.net/browse/"&amp;$N445)</f>
        <v/>
      </c>
      <c r="P445">
        <f>IFERROR(VALUE(MID($A445,5,4)),0)</f>
        <v/>
      </c>
    </row>
    <row r="446" hidden="1" ht="15" customHeight="1">
      <c r="A446" s="35">
        <f>IF(B446="","","NEW-"&amp;TEXT(MAX($P$2:$P445)+1,"0000"))</f>
        <v/>
      </c>
      <c r="B446" s="36" t="n"/>
      <c r="C446" s="36" t="n"/>
      <c r="D446" s="36" t="n"/>
      <c r="E446" s="36" t="n"/>
      <c r="F446" s="36" t="n"/>
      <c r="G446" s="36" t="n"/>
      <c r="H446" s="36" t="n"/>
      <c r="I446">
        <f>IF($A446="","",IFERROR(IF(ISBLANK(INDEX(SprintPlanning[Sprint],MATCH($A446,SprintPlanning[Requirement ID],0))),"To Plan",INDEX(SprintPlanning[Sprint],MATCH($A446,SprintPlanning[Requirement ID],0))),"To Plan"))</f>
        <v/>
      </c>
      <c r="J446" s="36" t="n"/>
      <c r="K446">
        <f>IFERROR(IF(ISBLANK(INDEX(Release[Release],MATCH($A446,Release[Requirement ID],0))),"",INDEX(Release[Release],MATCH($A446,Release[Requirement ID],0))),"")</f>
        <v/>
      </c>
      <c r="L446" s="36" t="n"/>
      <c r="M446" s="36" t="n"/>
      <c r="N446" s="36" t="n"/>
      <c r="O446">
        <f>IF($N446="","","https://smartship.atlassian.net/browse/"&amp;$N446)</f>
        <v/>
      </c>
      <c r="P446">
        <f>IFERROR(VALUE(MID($A446,5,4)),0)</f>
        <v/>
      </c>
    </row>
    <row r="447" hidden="1" ht="15" customHeight="1">
      <c r="A447" s="35">
        <f>IF(B447="","","NEW-"&amp;TEXT(MAX($P$2:$P446)+1,"0000"))</f>
        <v/>
      </c>
      <c r="B447" s="36" t="n"/>
      <c r="C447" s="36" t="n"/>
      <c r="D447" s="36" t="n"/>
      <c r="E447" s="36" t="n"/>
      <c r="F447" s="36" t="n"/>
      <c r="G447" s="36" t="n"/>
      <c r="H447" s="36" t="n"/>
      <c r="I447">
        <f>IF($A447="","",IFERROR(IF(ISBLANK(INDEX(SprintPlanning[Sprint],MATCH($A447,SprintPlanning[Requirement ID],0))),"To Plan",INDEX(SprintPlanning[Sprint],MATCH($A447,SprintPlanning[Requirement ID],0))),"To Plan"))</f>
        <v/>
      </c>
      <c r="J447" s="36" t="n"/>
      <c r="K447">
        <f>IFERROR(IF(ISBLANK(INDEX(Release[Release],MATCH($A447,Release[Requirement ID],0))),"",INDEX(Release[Release],MATCH($A447,Release[Requirement ID],0))),"")</f>
        <v/>
      </c>
      <c r="L447" s="36" t="n"/>
      <c r="M447" s="36" t="n"/>
      <c r="N447" s="36" t="n"/>
      <c r="O447">
        <f>IF($N447="","","https://smartship.atlassian.net/browse/"&amp;$N447)</f>
        <v/>
      </c>
      <c r="P447">
        <f>IFERROR(VALUE(MID($A447,5,4)),0)</f>
        <v/>
      </c>
    </row>
    <row r="448" hidden="1" ht="15" customHeight="1">
      <c r="A448" s="35">
        <f>IF(B448="","","NEW-"&amp;TEXT(MAX($P$2:$P447)+1,"0000"))</f>
        <v/>
      </c>
      <c r="B448" s="36" t="n"/>
      <c r="C448" s="36" t="n"/>
      <c r="D448" s="36" t="n"/>
      <c r="E448" s="36" t="n"/>
      <c r="F448" s="36" t="n"/>
      <c r="G448" s="36" t="n"/>
      <c r="H448" s="36" t="n"/>
      <c r="I448">
        <f>IF($A448="","",IFERROR(IF(ISBLANK(INDEX(SprintPlanning[Sprint],MATCH($A448,SprintPlanning[Requirement ID],0))),"To Plan",INDEX(SprintPlanning[Sprint],MATCH($A448,SprintPlanning[Requirement ID],0))),"To Plan"))</f>
        <v/>
      </c>
      <c r="J448" s="36" t="n"/>
      <c r="K448">
        <f>IFERROR(IF(ISBLANK(INDEX(Release[Release],MATCH($A448,Release[Requirement ID],0))),"",INDEX(Release[Release],MATCH($A448,Release[Requirement ID],0))),"")</f>
        <v/>
      </c>
      <c r="L448" s="36" t="n"/>
      <c r="M448" s="36" t="n"/>
      <c r="N448" s="36" t="n"/>
      <c r="O448">
        <f>IF($N448="","","https://smartship.atlassian.net/browse/"&amp;$N448)</f>
        <v/>
      </c>
      <c r="P448">
        <f>IFERROR(VALUE(MID($A448,5,4)),0)</f>
        <v/>
      </c>
    </row>
    <row r="449" hidden="1" ht="15" customHeight="1">
      <c r="A449" s="35">
        <f>IF(B449="","","NEW-"&amp;TEXT(MAX($P$2:$P448)+1,"0000"))</f>
        <v/>
      </c>
      <c r="B449" s="36" t="n"/>
      <c r="C449" s="36" t="n"/>
      <c r="D449" s="36" t="n"/>
      <c r="E449" s="36" t="n"/>
      <c r="F449" s="36" t="n"/>
      <c r="G449" s="36" t="n"/>
      <c r="H449" s="36" t="n"/>
      <c r="I449">
        <f>IF($A449="","",IFERROR(IF(ISBLANK(INDEX(SprintPlanning[Sprint],MATCH($A449,SprintPlanning[Requirement ID],0))),"To Plan",INDEX(SprintPlanning[Sprint],MATCH($A449,SprintPlanning[Requirement ID],0))),"To Plan"))</f>
        <v/>
      </c>
      <c r="J449" s="36" t="n"/>
      <c r="K449">
        <f>IFERROR(IF(ISBLANK(INDEX(Release[Release],MATCH($A449,Release[Requirement ID],0))),"",INDEX(Release[Release],MATCH($A449,Release[Requirement ID],0))),"")</f>
        <v/>
      </c>
      <c r="L449" s="36" t="n"/>
      <c r="M449" s="36" t="n"/>
      <c r="N449" s="36" t="n"/>
      <c r="O449">
        <f>IF($N449="","","https://smartship.atlassian.net/browse/"&amp;$N449)</f>
        <v/>
      </c>
      <c r="P449">
        <f>IFERROR(VALUE(MID($A449,5,4)),0)</f>
        <v/>
      </c>
    </row>
    <row r="450" hidden="1" ht="15" customHeight="1">
      <c r="A450" s="35">
        <f>IF(B450="","","NEW-"&amp;TEXT(MAX($P$2:$P449)+1,"0000"))</f>
        <v/>
      </c>
      <c r="B450" s="36" t="n"/>
      <c r="C450" s="36" t="n"/>
      <c r="D450" s="36" t="n"/>
      <c r="E450" s="36" t="n"/>
      <c r="F450" s="36" t="n"/>
      <c r="G450" s="36" t="n"/>
      <c r="H450" s="36" t="n"/>
      <c r="I450">
        <f>IF($A450="","",IFERROR(IF(ISBLANK(INDEX(SprintPlanning[Sprint],MATCH($A450,SprintPlanning[Requirement ID],0))),"To Plan",INDEX(SprintPlanning[Sprint],MATCH($A450,SprintPlanning[Requirement ID],0))),"To Plan"))</f>
        <v/>
      </c>
      <c r="J450" s="36" t="n"/>
      <c r="K450">
        <f>IFERROR(IF(ISBLANK(INDEX(Release[Release],MATCH($A450,Release[Requirement ID],0))),"",INDEX(Release[Release],MATCH($A450,Release[Requirement ID],0))),"")</f>
        <v/>
      </c>
      <c r="L450" s="36" t="n"/>
      <c r="M450" s="36" t="n"/>
      <c r="N450" s="36" t="n"/>
      <c r="O450">
        <f>IF($N450="","","https://smartship.atlassian.net/browse/"&amp;$N450)</f>
        <v/>
      </c>
      <c r="P450">
        <f>IFERROR(VALUE(MID($A450,5,4)),0)</f>
        <v/>
      </c>
    </row>
    <row r="451" hidden="1" ht="15" customHeight="1">
      <c r="A451" s="35">
        <f>IF(B451="","","NEW-"&amp;TEXT(MAX($P$2:$P450)+1,"0000"))</f>
        <v/>
      </c>
      <c r="B451" s="36" t="n"/>
      <c r="C451" s="36" t="n"/>
      <c r="D451" s="36" t="n"/>
      <c r="E451" s="36" t="n"/>
      <c r="F451" s="36" t="n"/>
      <c r="G451" s="36" t="n"/>
      <c r="H451" s="36" t="n"/>
      <c r="I451">
        <f>IF($A451="","",IFERROR(IF(ISBLANK(INDEX(SprintPlanning[Sprint],MATCH($A451,SprintPlanning[Requirement ID],0))),"To Plan",INDEX(SprintPlanning[Sprint],MATCH($A451,SprintPlanning[Requirement ID],0))),"To Plan"))</f>
        <v/>
      </c>
      <c r="J451" s="36" t="n"/>
      <c r="K451">
        <f>IFERROR(IF(ISBLANK(INDEX(Release[Release],MATCH($A451,Release[Requirement ID],0))),"",INDEX(Release[Release],MATCH($A451,Release[Requirement ID],0))),"")</f>
        <v/>
      </c>
      <c r="L451" s="36" t="n"/>
      <c r="M451" s="36" t="n"/>
      <c r="N451" s="36" t="n"/>
      <c r="O451">
        <f>IF($N451="","","https://smartship.atlassian.net/browse/"&amp;$N451)</f>
        <v/>
      </c>
      <c r="P451">
        <f>IFERROR(VALUE(MID($A451,5,4)),0)</f>
        <v/>
      </c>
    </row>
    <row r="452" hidden="1" ht="15" customHeight="1">
      <c r="A452" s="35">
        <f>IF(B452="","","NEW-"&amp;TEXT(MAX($P$2:$P451)+1,"0000"))</f>
        <v/>
      </c>
      <c r="B452" s="36" t="n"/>
      <c r="C452" s="36" t="n"/>
      <c r="D452" s="36" t="n"/>
      <c r="E452" s="36" t="n"/>
      <c r="F452" s="36" t="n"/>
      <c r="G452" s="36" t="n"/>
      <c r="H452" s="36" t="n"/>
      <c r="I452">
        <f>IF($A452="","",IFERROR(IF(ISBLANK(INDEX(SprintPlanning[Sprint],MATCH($A452,SprintPlanning[Requirement ID],0))),"To Plan",INDEX(SprintPlanning[Sprint],MATCH($A452,SprintPlanning[Requirement ID],0))),"To Plan"))</f>
        <v/>
      </c>
      <c r="J452" s="36" t="n"/>
      <c r="K452">
        <f>IFERROR(IF(ISBLANK(INDEX(Release[Release],MATCH($A452,Release[Requirement ID],0))),"",INDEX(Release[Release],MATCH($A452,Release[Requirement ID],0))),"")</f>
        <v/>
      </c>
      <c r="L452" s="36" t="n"/>
      <c r="M452" s="36" t="n"/>
      <c r="N452" s="36" t="n"/>
      <c r="O452">
        <f>IF($N452="","","https://smartship.atlassian.net/browse/"&amp;$N452)</f>
        <v/>
      </c>
      <c r="P452">
        <f>IFERROR(VALUE(MID($A452,5,4)),0)</f>
        <v/>
      </c>
    </row>
    <row r="453" hidden="1" ht="15" customHeight="1">
      <c r="A453" s="35">
        <f>IF(B453="","","NEW-"&amp;TEXT(MAX($P$2:$P452)+1,"0000"))</f>
        <v/>
      </c>
      <c r="B453" s="36" t="n"/>
      <c r="C453" s="36" t="n"/>
      <c r="D453" s="36" t="n"/>
      <c r="E453" s="36" t="n"/>
      <c r="F453" s="36" t="n"/>
      <c r="G453" s="36" t="n"/>
      <c r="H453" s="36" t="n"/>
      <c r="I453">
        <f>IF($A453="","",IFERROR(IF(ISBLANK(INDEX(SprintPlanning[Sprint],MATCH($A453,SprintPlanning[Requirement ID],0))),"To Plan",INDEX(SprintPlanning[Sprint],MATCH($A453,SprintPlanning[Requirement ID],0))),"To Plan"))</f>
        <v/>
      </c>
      <c r="J453" s="36" t="n"/>
      <c r="K453">
        <f>IFERROR(IF(ISBLANK(INDEX(Release[Release],MATCH($A453,Release[Requirement ID],0))),"",INDEX(Release[Release],MATCH($A453,Release[Requirement ID],0))),"")</f>
        <v/>
      </c>
      <c r="L453" s="36" t="n"/>
      <c r="M453" s="36" t="n"/>
      <c r="N453" s="36" t="n"/>
      <c r="O453">
        <f>IF($N453="","","https://smartship.atlassian.net/browse/"&amp;$N453)</f>
        <v/>
      </c>
      <c r="P453">
        <f>IFERROR(VALUE(MID($A453,5,4)),0)</f>
        <v/>
      </c>
    </row>
    <row r="454" hidden="1" ht="15" customHeight="1">
      <c r="A454" s="35">
        <f>IF(B454="","","NEW-"&amp;TEXT(MAX($P$2:$P453)+1,"0000"))</f>
        <v/>
      </c>
      <c r="B454" s="36" t="n"/>
      <c r="C454" s="36" t="n"/>
      <c r="D454" s="36" t="n"/>
      <c r="E454" s="36" t="n"/>
      <c r="F454" s="36" t="n"/>
      <c r="G454" s="36" t="n"/>
      <c r="H454" s="36" t="n"/>
      <c r="I454">
        <f>IF($A454="","",IFERROR(IF(ISBLANK(INDEX(SprintPlanning[Sprint],MATCH($A454,SprintPlanning[Requirement ID],0))),"To Plan",INDEX(SprintPlanning[Sprint],MATCH($A454,SprintPlanning[Requirement ID],0))),"To Plan"))</f>
        <v/>
      </c>
      <c r="J454" s="36" t="n"/>
      <c r="K454">
        <f>IFERROR(IF(ISBLANK(INDEX(Release[Release],MATCH($A454,Release[Requirement ID],0))),"",INDEX(Release[Release],MATCH($A454,Release[Requirement ID],0))),"")</f>
        <v/>
      </c>
      <c r="L454" s="36" t="n"/>
      <c r="M454" s="36" t="n"/>
      <c r="N454" s="36" t="n"/>
      <c r="O454">
        <f>IF($N454="","","https://smartship.atlassian.net/browse/"&amp;$N454)</f>
        <v/>
      </c>
      <c r="P454">
        <f>IFERROR(VALUE(MID($A454,5,4)),0)</f>
        <v/>
      </c>
    </row>
    <row r="455" hidden="1" ht="15" customHeight="1">
      <c r="A455" s="35">
        <f>IF(B455="","","NEW-"&amp;TEXT(MAX($P$2:$P454)+1,"0000"))</f>
        <v/>
      </c>
      <c r="B455" s="36" t="n"/>
      <c r="C455" s="36" t="n"/>
      <c r="D455" s="36" t="n"/>
      <c r="E455" s="36" t="n"/>
      <c r="F455" s="36" t="n"/>
      <c r="G455" s="36" t="n"/>
      <c r="H455" s="36" t="n"/>
      <c r="I455">
        <f>IF($A455="","",IFERROR(IF(ISBLANK(INDEX(SprintPlanning[Sprint],MATCH($A455,SprintPlanning[Requirement ID],0))),"To Plan",INDEX(SprintPlanning[Sprint],MATCH($A455,SprintPlanning[Requirement ID],0))),"To Plan"))</f>
        <v/>
      </c>
      <c r="J455" s="36" t="n"/>
      <c r="K455">
        <f>IFERROR(IF(ISBLANK(INDEX(Release[Release],MATCH($A455,Release[Requirement ID],0))),"",INDEX(Release[Release],MATCH($A455,Release[Requirement ID],0))),"")</f>
        <v/>
      </c>
      <c r="L455" s="36" t="n"/>
      <c r="M455" s="36" t="n"/>
      <c r="N455" s="36" t="n"/>
      <c r="O455">
        <f>IF($N455="","","https://smartship.atlassian.net/browse/"&amp;$N455)</f>
        <v/>
      </c>
      <c r="P455">
        <f>IFERROR(VALUE(MID($A455,5,4)),0)</f>
        <v/>
      </c>
    </row>
    <row r="456" hidden="1" ht="15" customHeight="1">
      <c r="A456" s="35">
        <f>IF(B456="","","NEW-"&amp;TEXT(MAX($P$2:$P455)+1,"0000"))</f>
        <v/>
      </c>
      <c r="B456" s="36" t="n"/>
      <c r="C456" s="36" t="n"/>
      <c r="D456" s="36" t="n"/>
      <c r="E456" s="36" t="n"/>
      <c r="F456" s="36" t="n"/>
      <c r="G456" s="36" t="n"/>
      <c r="H456" s="36" t="n"/>
      <c r="I456">
        <f>IF($A456="","",IFERROR(IF(ISBLANK(INDEX(SprintPlanning[Sprint],MATCH($A456,SprintPlanning[Requirement ID],0))),"To Plan",INDEX(SprintPlanning[Sprint],MATCH($A456,SprintPlanning[Requirement ID],0))),"To Plan"))</f>
        <v/>
      </c>
      <c r="J456" s="36" t="n"/>
      <c r="K456">
        <f>IFERROR(IF(ISBLANK(INDEX(Release[Release],MATCH($A456,Release[Requirement ID],0))),"",INDEX(Release[Release],MATCH($A456,Release[Requirement ID],0))),"")</f>
        <v/>
      </c>
      <c r="L456" s="36" t="n"/>
      <c r="M456" s="36" t="n"/>
      <c r="N456" s="36" t="n"/>
      <c r="O456">
        <f>IF($N456="","","https://smartship.atlassian.net/browse/"&amp;$N456)</f>
        <v/>
      </c>
      <c r="P456">
        <f>IFERROR(VALUE(MID($A456,5,4)),0)</f>
        <v/>
      </c>
    </row>
    <row r="457" hidden="1" ht="15" customHeight="1">
      <c r="A457" s="35">
        <f>IF(B457="","","NEW-"&amp;TEXT(MAX($P$2:$P456)+1,"0000"))</f>
        <v/>
      </c>
      <c r="B457" s="36" t="n"/>
      <c r="C457" s="36" t="n"/>
      <c r="D457" s="36" t="n"/>
      <c r="E457" s="36" t="n"/>
      <c r="F457" s="36" t="n"/>
      <c r="G457" s="36" t="n"/>
      <c r="H457" s="36" t="n"/>
      <c r="I457">
        <f>IF($A457="","",IFERROR(IF(ISBLANK(INDEX(SprintPlanning[Sprint],MATCH($A457,SprintPlanning[Requirement ID],0))),"To Plan",INDEX(SprintPlanning[Sprint],MATCH($A457,SprintPlanning[Requirement ID],0))),"To Plan"))</f>
        <v/>
      </c>
      <c r="J457" s="36" t="n"/>
      <c r="K457">
        <f>IFERROR(IF(ISBLANK(INDEX(Release[Release],MATCH($A457,Release[Requirement ID],0))),"",INDEX(Release[Release],MATCH($A457,Release[Requirement ID],0))),"")</f>
        <v/>
      </c>
      <c r="L457" s="36" t="n"/>
      <c r="M457" s="36" t="n"/>
      <c r="N457" s="36" t="n"/>
      <c r="O457">
        <f>IF($N457="","","https://smartship.atlassian.net/browse/"&amp;$N457)</f>
        <v/>
      </c>
      <c r="P457">
        <f>IFERROR(VALUE(MID($A457,5,4)),0)</f>
        <v/>
      </c>
    </row>
    <row r="458" hidden="1" ht="15" customHeight="1">
      <c r="A458" s="35">
        <f>IF(B458="","","NEW-"&amp;TEXT(MAX($P$2:$P457)+1,"0000"))</f>
        <v/>
      </c>
      <c r="B458" s="36" t="n"/>
      <c r="C458" s="36" t="n"/>
      <c r="D458" s="36" t="n"/>
      <c r="E458" s="36" t="n"/>
      <c r="F458" s="36" t="n"/>
      <c r="G458" s="36" t="n"/>
      <c r="H458" s="36" t="n"/>
      <c r="I458">
        <f>IF($A458="","",IFERROR(IF(ISBLANK(INDEX(SprintPlanning[Sprint],MATCH($A458,SprintPlanning[Requirement ID],0))),"To Plan",INDEX(SprintPlanning[Sprint],MATCH($A458,SprintPlanning[Requirement ID],0))),"To Plan"))</f>
        <v/>
      </c>
      <c r="J458" s="36" t="n"/>
      <c r="K458">
        <f>IFERROR(IF(ISBLANK(INDEX(Release[Release],MATCH($A458,Release[Requirement ID],0))),"",INDEX(Release[Release],MATCH($A458,Release[Requirement ID],0))),"")</f>
        <v/>
      </c>
      <c r="L458" s="36" t="n"/>
      <c r="M458" s="36" t="n"/>
      <c r="N458" s="36" t="n"/>
      <c r="O458">
        <f>IF($N458="","","https://smartship.atlassian.net/browse/"&amp;$N458)</f>
        <v/>
      </c>
      <c r="P458">
        <f>IFERROR(VALUE(MID($A458,5,4)),0)</f>
        <v/>
      </c>
    </row>
    <row r="459" hidden="1" ht="15" customHeight="1">
      <c r="A459" s="35">
        <f>IF(B459="","","NEW-"&amp;TEXT(MAX($P$2:$P458)+1,"0000"))</f>
        <v/>
      </c>
      <c r="B459" s="36" t="n"/>
      <c r="C459" s="36" t="n"/>
      <c r="D459" s="36" t="n"/>
      <c r="E459" s="36" t="n"/>
      <c r="F459" s="36" t="n"/>
      <c r="G459" s="36" t="n"/>
      <c r="H459" s="36" t="n"/>
      <c r="I459">
        <f>IF($A459="","",IFERROR(IF(ISBLANK(INDEX(SprintPlanning[Sprint],MATCH($A459,SprintPlanning[Requirement ID],0))),"To Plan",INDEX(SprintPlanning[Sprint],MATCH($A459,SprintPlanning[Requirement ID],0))),"To Plan"))</f>
        <v/>
      </c>
      <c r="J459" s="36" t="n"/>
      <c r="K459">
        <f>IFERROR(IF(ISBLANK(INDEX(Release[Release],MATCH($A459,Release[Requirement ID],0))),"",INDEX(Release[Release],MATCH($A459,Release[Requirement ID],0))),"")</f>
        <v/>
      </c>
      <c r="L459" s="36" t="n"/>
      <c r="M459" s="36" t="n"/>
      <c r="N459" s="36" t="n"/>
      <c r="O459">
        <f>IF($N459="","","https://smartship.atlassian.net/browse/"&amp;$N459)</f>
        <v/>
      </c>
      <c r="P459">
        <f>IFERROR(VALUE(MID($A459,5,4)),0)</f>
        <v/>
      </c>
    </row>
    <row r="460" hidden="1" ht="15" customHeight="1">
      <c r="A460" s="35">
        <f>IF(B460="","","NEW-"&amp;TEXT(MAX($P$2:$P459)+1,"0000"))</f>
        <v/>
      </c>
      <c r="B460" s="36" t="n"/>
      <c r="C460" s="36" t="n"/>
      <c r="D460" s="36" t="n"/>
      <c r="E460" s="36" t="n"/>
      <c r="F460" s="36" t="n"/>
      <c r="G460" s="36" t="n"/>
      <c r="H460" s="36" t="n"/>
      <c r="I460">
        <f>IF($A460="","",IFERROR(IF(ISBLANK(INDEX(SprintPlanning[Sprint],MATCH($A460,SprintPlanning[Requirement ID],0))),"To Plan",INDEX(SprintPlanning[Sprint],MATCH($A460,SprintPlanning[Requirement ID],0))),"To Plan"))</f>
        <v/>
      </c>
      <c r="J460" s="36" t="n"/>
      <c r="K460">
        <f>IFERROR(IF(ISBLANK(INDEX(Release[Release],MATCH($A460,Release[Requirement ID],0))),"",INDEX(Release[Release],MATCH($A460,Release[Requirement ID],0))),"")</f>
        <v/>
      </c>
      <c r="L460" s="36" t="n"/>
      <c r="M460" s="36" t="n"/>
      <c r="N460" s="36" t="n"/>
      <c r="O460">
        <f>IF($N460="","","https://smartship.atlassian.net/browse/"&amp;$N460)</f>
        <v/>
      </c>
      <c r="P460">
        <f>IFERROR(VALUE(MID($A460,5,4)),0)</f>
        <v/>
      </c>
    </row>
    <row r="461" hidden="1" ht="15" customHeight="1">
      <c r="A461" s="35">
        <f>IF(B461="","","NEW-"&amp;TEXT(MAX($P$2:$P460)+1,"0000"))</f>
        <v/>
      </c>
      <c r="B461" s="36" t="n"/>
      <c r="C461" s="36" t="n"/>
      <c r="D461" s="36" t="n"/>
      <c r="E461" s="36" t="n"/>
      <c r="F461" s="36" t="n"/>
      <c r="G461" s="36" t="n"/>
      <c r="H461" s="36" t="n"/>
      <c r="I461">
        <f>IF($A461="","",IFERROR(IF(ISBLANK(INDEX(SprintPlanning[Sprint],MATCH($A461,SprintPlanning[Requirement ID],0))),"To Plan",INDEX(SprintPlanning[Sprint],MATCH($A461,SprintPlanning[Requirement ID],0))),"To Plan"))</f>
        <v/>
      </c>
      <c r="J461" s="36" t="n"/>
      <c r="K461">
        <f>IFERROR(IF(ISBLANK(INDEX(Release[Release],MATCH($A461,Release[Requirement ID],0))),"",INDEX(Release[Release],MATCH($A461,Release[Requirement ID],0))),"")</f>
        <v/>
      </c>
      <c r="L461" s="36" t="n"/>
      <c r="M461" s="36" t="n"/>
      <c r="N461" s="36" t="n"/>
      <c r="O461">
        <f>IF($N461="","","https://smartship.atlassian.net/browse/"&amp;$N461)</f>
        <v/>
      </c>
      <c r="P461">
        <f>IFERROR(VALUE(MID($A461,5,4)),0)</f>
        <v/>
      </c>
    </row>
    <row r="462" hidden="1" ht="15" customHeight="1">
      <c r="A462" s="35">
        <f>IF(B462="","","NEW-"&amp;TEXT(MAX($P$2:$P461)+1,"0000"))</f>
        <v/>
      </c>
      <c r="B462" s="36" t="n"/>
      <c r="C462" s="36" t="n"/>
      <c r="D462" s="36" t="n"/>
      <c r="E462" s="36" t="n"/>
      <c r="F462" s="36" t="n"/>
      <c r="G462" s="36" t="n"/>
      <c r="H462" s="36" t="n"/>
      <c r="I462">
        <f>IF($A462="","",IFERROR(IF(ISBLANK(INDEX(SprintPlanning[Sprint],MATCH($A462,SprintPlanning[Requirement ID],0))),"To Plan",INDEX(SprintPlanning[Sprint],MATCH($A462,SprintPlanning[Requirement ID],0))),"To Plan"))</f>
        <v/>
      </c>
      <c r="J462" s="36" t="n"/>
      <c r="K462">
        <f>IFERROR(IF(ISBLANK(INDEX(Release[Release],MATCH($A462,Release[Requirement ID],0))),"",INDEX(Release[Release],MATCH($A462,Release[Requirement ID],0))),"")</f>
        <v/>
      </c>
      <c r="L462" s="36" t="n"/>
      <c r="M462" s="36" t="n"/>
      <c r="N462" s="36" t="n"/>
      <c r="O462">
        <f>IF($N462="","","https://smartship.atlassian.net/browse/"&amp;$N462)</f>
        <v/>
      </c>
      <c r="P462">
        <f>IFERROR(VALUE(MID($A462,5,4)),0)</f>
        <v/>
      </c>
    </row>
    <row r="463" hidden="1" ht="15" customHeight="1">
      <c r="A463" s="35">
        <f>IF(B463="","","NEW-"&amp;TEXT(MAX($P$2:$P462)+1,"0000"))</f>
        <v/>
      </c>
      <c r="B463" s="36" t="n"/>
      <c r="C463" s="36" t="n"/>
      <c r="D463" s="36" t="n"/>
      <c r="E463" s="36" t="n"/>
      <c r="F463" s="36" t="n"/>
      <c r="G463" s="36" t="n"/>
      <c r="H463" s="36" t="n"/>
      <c r="I463">
        <f>IF($A463="","",IFERROR(IF(ISBLANK(INDEX(SprintPlanning[Sprint],MATCH($A463,SprintPlanning[Requirement ID],0))),"To Plan",INDEX(SprintPlanning[Sprint],MATCH($A463,SprintPlanning[Requirement ID],0))),"To Plan"))</f>
        <v/>
      </c>
      <c r="J463" s="36" t="n"/>
      <c r="K463">
        <f>IFERROR(IF(ISBLANK(INDEX(Release[Release],MATCH($A463,Release[Requirement ID],0))),"",INDEX(Release[Release],MATCH($A463,Release[Requirement ID],0))),"")</f>
        <v/>
      </c>
      <c r="L463" s="36" t="n"/>
      <c r="M463" s="36" t="n"/>
      <c r="N463" s="36" t="n"/>
      <c r="O463">
        <f>IF($N463="","","https://smartship.atlassian.net/browse/"&amp;$N463)</f>
        <v/>
      </c>
      <c r="P463">
        <f>IFERROR(VALUE(MID($A463,5,4)),0)</f>
        <v/>
      </c>
    </row>
    <row r="464" hidden="1" ht="15" customHeight="1">
      <c r="A464" s="35">
        <f>IF(B464="","","NEW-"&amp;TEXT(MAX($P$2:$P463)+1,"0000"))</f>
        <v/>
      </c>
      <c r="B464" s="36" t="n"/>
      <c r="C464" s="36" t="n"/>
      <c r="D464" s="36" t="n"/>
      <c r="E464" s="36" t="n"/>
      <c r="F464" s="36" t="n"/>
      <c r="G464" s="36" t="n"/>
      <c r="H464" s="36" t="n"/>
      <c r="I464">
        <f>IF($A464="","",IFERROR(IF(ISBLANK(INDEX(SprintPlanning[Sprint],MATCH($A464,SprintPlanning[Requirement ID],0))),"To Plan",INDEX(SprintPlanning[Sprint],MATCH($A464,SprintPlanning[Requirement ID],0))),"To Plan"))</f>
        <v/>
      </c>
      <c r="J464" s="36" t="n"/>
      <c r="K464">
        <f>IFERROR(IF(ISBLANK(INDEX(Release[Release],MATCH($A464,Release[Requirement ID],0))),"",INDEX(Release[Release],MATCH($A464,Release[Requirement ID],0))),"")</f>
        <v/>
      </c>
      <c r="L464" s="36" t="n"/>
      <c r="M464" s="36" t="n"/>
      <c r="N464" s="36" t="n"/>
      <c r="O464">
        <f>IF($N464="","","https://smartship.atlassian.net/browse/"&amp;$N464)</f>
        <v/>
      </c>
      <c r="P464">
        <f>IFERROR(VALUE(MID($A464,5,4)),0)</f>
        <v/>
      </c>
    </row>
    <row r="465" hidden="1" ht="15" customHeight="1">
      <c r="A465" s="35">
        <f>IF(B465="","","NEW-"&amp;TEXT(MAX($P$2:$P464)+1,"0000"))</f>
        <v/>
      </c>
      <c r="B465" s="36" t="n"/>
      <c r="C465" s="36" t="n"/>
      <c r="D465" s="36" t="n"/>
      <c r="E465" s="36" t="n"/>
      <c r="F465" s="36" t="n"/>
      <c r="G465" s="36" t="n"/>
      <c r="H465" s="36" t="n"/>
      <c r="I465">
        <f>IF($A465="","",IFERROR(IF(ISBLANK(INDEX(SprintPlanning[Sprint],MATCH($A465,SprintPlanning[Requirement ID],0))),"To Plan",INDEX(SprintPlanning[Sprint],MATCH($A465,SprintPlanning[Requirement ID],0))),"To Plan"))</f>
        <v/>
      </c>
      <c r="J465" s="36" t="n"/>
      <c r="K465">
        <f>IFERROR(IF(ISBLANK(INDEX(Release[Release],MATCH($A465,Release[Requirement ID],0))),"",INDEX(Release[Release],MATCH($A465,Release[Requirement ID],0))),"")</f>
        <v/>
      </c>
      <c r="L465" s="36" t="n"/>
      <c r="M465" s="36" t="n"/>
      <c r="N465" s="36" t="n"/>
      <c r="O465">
        <f>IF($N465="","","https://smartship.atlassian.net/browse/"&amp;$N465)</f>
        <v/>
      </c>
      <c r="P465">
        <f>IFERROR(VALUE(MID($A465,5,4)),0)</f>
        <v/>
      </c>
    </row>
    <row r="466" hidden="1" ht="15" customHeight="1">
      <c r="A466" s="35">
        <f>IF(B466="","","NEW-"&amp;TEXT(MAX($P$2:$P465)+1,"0000"))</f>
        <v/>
      </c>
      <c r="B466" s="36" t="n"/>
      <c r="C466" s="36" t="n"/>
      <c r="D466" s="36" t="n"/>
      <c r="E466" s="36" t="n"/>
      <c r="F466" s="36" t="n"/>
      <c r="G466" s="36" t="n"/>
      <c r="H466" s="36" t="n"/>
      <c r="I466">
        <f>IF($A466="","",IFERROR(IF(ISBLANK(INDEX(SprintPlanning[Sprint],MATCH($A466,SprintPlanning[Requirement ID],0))),"To Plan",INDEX(SprintPlanning[Sprint],MATCH($A466,SprintPlanning[Requirement ID],0))),"To Plan"))</f>
        <v/>
      </c>
      <c r="J466" s="36" t="n"/>
      <c r="K466">
        <f>IFERROR(IF(ISBLANK(INDEX(Release[Release],MATCH($A466,Release[Requirement ID],0))),"",INDEX(Release[Release],MATCH($A466,Release[Requirement ID],0))),"")</f>
        <v/>
      </c>
      <c r="L466" s="36" t="n"/>
      <c r="M466" s="36" t="n"/>
      <c r="N466" s="36" t="n"/>
      <c r="O466">
        <f>IF($N466="","","https://smartship.atlassian.net/browse/"&amp;$N466)</f>
        <v/>
      </c>
      <c r="P466">
        <f>IFERROR(VALUE(MID($A466,5,4)),0)</f>
        <v/>
      </c>
    </row>
    <row r="467" hidden="1" ht="15" customHeight="1">
      <c r="A467" s="35">
        <f>IF(B467="","","NEW-"&amp;TEXT(MAX($P$2:$P466)+1,"0000"))</f>
        <v/>
      </c>
      <c r="B467" s="36" t="n"/>
      <c r="C467" s="36" t="n"/>
      <c r="D467" s="36" t="n"/>
      <c r="E467" s="36" t="n"/>
      <c r="F467" s="36" t="n"/>
      <c r="G467" s="36" t="n"/>
      <c r="H467" s="36" t="n"/>
      <c r="I467">
        <f>IF($A467="","",IFERROR(IF(ISBLANK(INDEX(SprintPlanning[Sprint],MATCH($A467,SprintPlanning[Requirement ID],0))),"To Plan",INDEX(SprintPlanning[Sprint],MATCH($A467,SprintPlanning[Requirement ID],0))),"To Plan"))</f>
        <v/>
      </c>
      <c r="J467" s="36" t="n"/>
      <c r="K467">
        <f>IFERROR(IF(ISBLANK(INDEX(Release[Release],MATCH($A467,Release[Requirement ID],0))),"",INDEX(Release[Release],MATCH($A467,Release[Requirement ID],0))),"")</f>
        <v/>
      </c>
      <c r="L467" s="36" t="n"/>
      <c r="M467" s="36" t="n"/>
      <c r="N467" s="36" t="n"/>
      <c r="O467">
        <f>IF($N467="","","https://smartship.atlassian.net/browse/"&amp;$N467)</f>
        <v/>
      </c>
      <c r="P467">
        <f>IFERROR(VALUE(MID($A467,5,4)),0)</f>
        <v/>
      </c>
    </row>
    <row r="468" hidden="1" ht="15" customHeight="1">
      <c r="A468" s="35">
        <f>IF(B468="","","NEW-"&amp;TEXT(MAX($P$2:$P467)+1,"0000"))</f>
        <v/>
      </c>
      <c r="B468" s="36" t="n"/>
      <c r="C468" s="36" t="n"/>
      <c r="D468" s="36" t="n"/>
      <c r="E468" s="36" t="n"/>
      <c r="F468" s="36" t="n"/>
      <c r="G468" s="36" t="n"/>
      <c r="H468" s="36" t="n"/>
      <c r="I468">
        <f>IF($A468="","",IFERROR(IF(ISBLANK(INDEX(SprintPlanning[Sprint],MATCH($A468,SprintPlanning[Requirement ID],0))),"To Plan",INDEX(SprintPlanning[Sprint],MATCH($A468,SprintPlanning[Requirement ID],0))),"To Plan"))</f>
        <v/>
      </c>
      <c r="J468" s="36" t="n"/>
      <c r="K468">
        <f>IFERROR(IF(ISBLANK(INDEX(Release[Release],MATCH($A468,Release[Requirement ID],0))),"",INDEX(Release[Release],MATCH($A468,Release[Requirement ID],0))),"")</f>
        <v/>
      </c>
      <c r="L468" s="36" t="n"/>
      <c r="M468" s="36" t="n"/>
      <c r="N468" s="36" t="n"/>
      <c r="O468">
        <f>IF($N468="","","https://smartship.atlassian.net/browse/"&amp;$N468)</f>
        <v/>
      </c>
      <c r="P468">
        <f>IFERROR(VALUE(MID($A468,5,4)),0)</f>
        <v/>
      </c>
    </row>
    <row r="469" hidden="1" ht="15" customHeight="1">
      <c r="A469" s="35">
        <f>IF(B469="","","NEW-"&amp;TEXT(MAX($P$2:$P468)+1,"0000"))</f>
        <v/>
      </c>
      <c r="B469" s="36" t="n"/>
      <c r="C469" s="36" t="n"/>
      <c r="D469" s="36" t="n"/>
      <c r="E469" s="36" t="n"/>
      <c r="F469" s="36" t="n"/>
      <c r="G469" s="36" t="n"/>
      <c r="H469" s="36" t="n"/>
      <c r="I469">
        <f>IF($A469="","",IFERROR(IF(ISBLANK(INDEX(SprintPlanning[Sprint],MATCH($A469,SprintPlanning[Requirement ID],0))),"To Plan",INDEX(SprintPlanning[Sprint],MATCH($A469,SprintPlanning[Requirement ID],0))),"To Plan"))</f>
        <v/>
      </c>
      <c r="J469" s="36" t="n"/>
      <c r="K469">
        <f>IFERROR(IF(ISBLANK(INDEX(Release[Release],MATCH($A469,Release[Requirement ID],0))),"",INDEX(Release[Release],MATCH($A469,Release[Requirement ID],0))),"")</f>
        <v/>
      </c>
      <c r="L469" s="36" t="n"/>
      <c r="M469" s="36" t="n"/>
      <c r="N469" s="36" t="n"/>
      <c r="O469">
        <f>IF($N469="","","https://smartship.atlassian.net/browse/"&amp;$N469)</f>
        <v/>
      </c>
      <c r="P469">
        <f>IFERROR(VALUE(MID($A469,5,4)),0)</f>
        <v/>
      </c>
    </row>
    <row r="470" hidden="1" ht="15" customHeight="1">
      <c r="A470" s="35">
        <f>IF(B470="","","NEW-"&amp;TEXT(MAX($P$2:$P469)+1,"0000"))</f>
        <v/>
      </c>
      <c r="B470" s="36" t="n"/>
      <c r="C470" s="36" t="n"/>
      <c r="D470" s="36" t="n"/>
      <c r="E470" s="36" t="n"/>
      <c r="F470" s="36" t="n"/>
      <c r="G470" s="36" t="n"/>
      <c r="H470" s="36" t="n"/>
      <c r="I470">
        <f>IF($A470="","",IFERROR(IF(ISBLANK(INDEX(SprintPlanning[Sprint],MATCH($A470,SprintPlanning[Requirement ID],0))),"To Plan",INDEX(SprintPlanning[Sprint],MATCH($A470,SprintPlanning[Requirement ID],0))),"To Plan"))</f>
        <v/>
      </c>
      <c r="J470" s="36" t="n"/>
      <c r="K470">
        <f>IFERROR(IF(ISBLANK(INDEX(Release[Release],MATCH($A470,Release[Requirement ID],0))),"",INDEX(Release[Release],MATCH($A470,Release[Requirement ID],0))),"")</f>
        <v/>
      </c>
      <c r="L470" s="36" t="n"/>
      <c r="M470" s="36" t="n"/>
      <c r="N470" s="36" t="n"/>
      <c r="O470">
        <f>IF($N470="","","https://smartship.atlassian.net/browse/"&amp;$N470)</f>
        <v/>
      </c>
      <c r="P470">
        <f>IFERROR(VALUE(MID($A470,5,4)),0)</f>
        <v/>
      </c>
    </row>
    <row r="471" hidden="1" ht="15" customHeight="1">
      <c r="A471" s="35">
        <f>IF(B471="","","NEW-"&amp;TEXT(MAX($P$2:$P470)+1,"0000"))</f>
        <v/>
      </c>
      <c r="B471" s="36" t="n"/>
      <c r="C471" s="36" t="n"/>
      <c r="D471" s="36" t="n"/>
      <c r="E471" s="36" t="n"/>
      <c r="F471" s="36" t="n"/>
      <c r="G471" s="36" t="n"/>
      <c r="H471" s="36" t="n"/>
      <c r="I471">
        <f>IF($A471="","",IFERROR(IF(ISBLANK(INDEX(SprintPlanning[Sprint],MATCH($A471,SprintPlanning[Requirement ID],0))),"To Plan",INDEX(SprintPlanning[Sprint],MATCH($A471,SprintPlanning[Requirement ID],0))),"To Plan"))</f>
        <v/>
      </c>
      <c r="J471" s="36" t="n"/>
      <c r="K471">
        <f>IFERROR(IF(ISBLANK(INDEX(Release[Release],MATCH($A471,Release[Requirement ID],0))),"",INDEX(Release[Release],MATCH($A471,Release[Requirement ID],0))),"")</f>
        <v/>
      </c>
      <c r="L471" s="36" t="n"/>
      <c r="M471" s="36" t="n"/>
      <c r="N471" s="36" t="n"/>
      <c r="O471">
        <f>IF($N471="","","https://smartship.atlassian.net/browse/"&amp;$N471)</f>
        <v/>
      </c>
      <c r="P471">
        <f>IFERROR(VALUE(MID($A471,5,4)),0)</f>
        <v/>
      </c>
    </row>
    <row r="472" hidden="1" ht="15" customHeight="1">
      <c r="A472" s="35">
        <f>IF(B472="","","NEW-"&amp;TEXT(MAX($P$2:$P471)+1,"0000"))</f>
        <v/>
      </c>
      <c r="B472" s="36" t="n"/>
      <c r="C472" s="36" t="n"/>
      <c r="D472" s="36" t="n"/>
      <c r="E472" s="36" t="n"/>
      <c r="F472" s="36" t="n"/>
      <c r="G472" s="36" t="n"/>
      <c r="H472" s="36" t="n"/>
      <c r="I472">
        <f>IF($A472="","",IFERROR(IF(ISBLANK(INDEX(SprintPlanning[Sprint],MATCH($A472,SprintPlanning[Requirement ID],0))),"To Plan",INDEX(SprintPlanning[Sprint],MATCH($A472,SprintPlanning[Requirement ID],0))),"To Plan"))</f>
        <v/>
      </c>
      <c r="J472" s="36" t="n"/>
      <c r="K472">
        <f>IFERROR(IF(ISBLANK(INDEX(Release[Release],MATCH($A472,Release[Requirement ID],0))),"",INDEX(Release[Release],MATCH($A472,Release[Requirement ID],0))),"")</f>
        <v/>
      </c>
      <c r="L472" s="36" t="n"/>
      <c r="M472" s="36" t="n"/>
      <c r="N472" s="36" t="n"/>
      <c r="O472">
        <f>IF($N472="","","https://smartship.atlassian.net/browse/"&amp;$N472)</f>
        <v/>
      </c>
      <c r="P472">
        <f>IFERROR(VALUE(MID($A472,5,4)),0)</f>
        <v/>
      </c>
    </row>
    <row r="473" hidden="1" ht="15" customHeight="1">
      <c r="A473" s="35">
        <f>IF(B473="","","NEW-"&amp;TEXT(MAX($P$2:$P472)+1,"0000"))</f>
        <v/>
      </c>
      <c r="B473" s="36" t="n"/>
      <c r="C473" s="36" t="n"/>
      <c r="D473" s="36" t="n"/>
      <c r="E473" s="36" t="n"/>
      <c r="F473" s="36" t="n"/>
      <c r="G473" s="36" t="n"/>
      <c r="H473" s="36" t="n"/>
      <c r="I473">
        <f>IF($A473="","",IFERROR(IF(ISBLANK(INDEX(SprintPlanning[Sprint],MATCH($A473,SprintPlanning[Requirement ID],0))),"To Plan",INDEX(SprintPlanning[Sprint],MATCH($A473,SprintPlanning[Requirement ID],0))),"To Plan"))</f>
        <v/>
      </c>
      <c r="J473" s="36" t="n"/>
      <c r="K473">
        <f>IFERROR(IF(ISBLANK(INDEX(Release[Release],MATCH($A473,Release[Requirement ID],0))),"",INDEX(Release[Release],MATCH($A473,Release[Requirement ID],0))),"")</f>
        <v/>
      </c>
      <c r="L473" s="36" t="n"/>
      <c r="M473" s="36" t="n"/>
      <c r="N473" s="36" t="n"/>
      <c r="O473">
        <f>IF($N473="","","https://smartship.atlassian.net/browse/"&amp;$N473)</f>
        <v/>
      </c>
      <c r="P473">
        <f>IFERROR(VALUE(MID($A473,5,4)),0)</f>
        <v/>
      </c>
    </row>
    <row r="474" hidden="1" ht="15" customHeight="1">
      <c r="A474" s="35">
        <f>IF(B474="","","NEW-"&amp;TEXT(MAX($P$2:$P473)+1,"0000"))</f>
        <v/>
      </c>
      <c r="B474" s="36" t="n"/>
      <c r="C474" s="36" t="n"/>
      <c r="D474" s="36" t="n"/>
      <c r="E474" s="36" t="n"/>
      <c r="F474" s="36" t="n"/>
      <c r="G474" s="36" t="n"/>
      <c r="H474" s="36" t="n"/>
      <c r="I474">
        <f>IF($A474="","",IFERROR(IF(ISBLANK(INDEX(SprintPlanning[Sprint],MATCH($A474,SprintPlanning[Requirement ID],0))),"To Plan",INDEX(SprintPlanning[Sprint],MATCH($A474,SprintPlanning[Requirement ID],0))),"To Plan"))</f>
        <v/>
      </c>
      <c r="J474" s="36" t="n"/>
      <c r="K474">
        <f>IFERROR(IF(ISBLANK(INDEX(Release[Release],MATCH($A474,Release[Requirement ID],0))),"",INDEX(Release[Release],MATCH($A474,Release[Requirement ID],0))),"")</f>
        <v/>
      </c>
      <c r="L474" s="36" t="n"/>
      <c r="M474" s="36" t="n"/>
      <c r="N474" s="36" t="n"/>
      <c r="O474">
        <f>IF($N474="","","https://smartship.atlassian.net/browse/"&amp;$N474)</f>
        <v/>
      </c>
      <c r="P474">
        <f>IFERROR(VALUE(MID($A474,5,4)),0)</f>
        <v/>
      </c>
    </row>
    <row r="475" hidden="1" ht="15" customHeight="1">
      <c r="A475" s="35">
        <f>IF(B475="","","NEW-"&amp;TEXT(MAX($P$2:$P474)+1,"0000"))</f>
        <v/>
      </c>
      <c r="B475" s="36" t="n"/>
      <c r="C475" s="36" t="n"/>
      <c r="D475" s="36" t="n"/>
      <c r="E475" s="36" t="n"/>
      <c r="F475" s="36" t="n"/>
      <c r="G475" s="36" t="n"/>
      <c r="H475" s="36" t="n"/>
      <c r="I475">
        <f>IF($A475="","",IFERROR(IF(ISBLANK(INDEX(SprintPlanning[Sprint],MATCH($A475,SprintPlanning[Requirement ID],0))),"To Plan",INDEX(SprintPlanning[Sprint],MATCH($A475,SprintPlanning[Requirement ID],0))),"To Plan"))</f>
        <v/>
      </c>
      <c r="J475" s="36" t="n"/>
      <c r="K475">
        <f>IFERROR(IF(ISBLANK(INDEX(Release[Release],MATCH($A475,Release[Requirement ID],0))),"",INDEX(Release[Release],MATCH($A475,Release[Requirement ID],0))),"")</f>
        <v/>
      </c>
      <c r="L475" s="36" t="n"/>
      <c r="M475" s="36" t="n"/>
      <c r="N475" s="36" t="n"/>
      <c r="O475">
        <f>IF($N475="","","https://smartship.atlassian.net/browse/"&amp;$N475)</f>
        <v/>
      </c>
      <c r="P475">
        <f>IFERROR(VALUE(MID($A475,5,4)),0)</f>
        <v/>
      </c>
    </row>
    <row r="476" hidden="1" ht="15" customHeight="1">
      <c r="A476" s="35">
        <f>IF(B476="","","NEW-"&amp;TEXT(MAX($P$2:$P475)+1,"0000"))</f>
        <v/>
      </c>
      <c r="B476" s="36" t="n"/>
      <c r="C476" s="36" t="n"/>
      <c r="D476" s="36" t="n"/>
      <c r="E476" s="36" t="n"/>
      <c r="F476" s="36" t="n"/>
      <c r="G476" s="36" t="n"/>
      <c r="H476" s="36" t="n"/>
      <c r="I476">
        <f>IF($A476="","",IFERROR(IF(ISBLANK(INDEX(SprintPlanning[Sprint],MATCH($A476,SprintPlanning[Requirement ID],0))),"To Plan",INDEX(SprintPlanning[Sprint],MATCH($A476,SprintPlanning[Requirement ID],0))),"To Plan"))</f>
        <v/>
      </c>
      <c r="J476" s="36" t="n"/>
      <c r="K476">
        <f>IFERROR(IF(ISBLANK(INDEX(Release[Release],MATCH($A476,Release[Requirement ID],0))),"",INDEX(Release[Release],MATCH($A476,Release[Requirement ID],0))),"")</f>
        <v/>
      </c>
      <c r="L476" s="36" t="n"/>
      <c r="M476" s="36" t="n"/>
      <c r="N476" s="36" t="n"/>
      <c r="O476">
        <f>IF($N476="","","https://smartship.atlassian.net/browse/"&amp;$N476)</f>
        <v/>
      </c>
      <c r="P476">
        <f>IFERROR(VALUE(MID($A476,5,4)),0)</f>
        <v/>
      </c>
    </row>
    <row r="477" hidden="1" ht="15" customHeight="1"/>
    <row r="478" hidden="1" ht="15" customHeight="1"/>
    <row r="479" hidden="1" ht="15" customHeight="1"/>
    <row r="480" hidden="1" ht="15" customHeight="1"/>
    <row r="481" hidden="1" ht="15" customHeight="1"/>
    <row r="482" hidden="1" ht="15" customHeight="1"/>
    <row r="483" hidden="1" ht="15" customHeight="1"/>
    <row r="484" hidden="1" ht="15" customHeight="1"/>
    <row r="485" hidden="1" ht="15" customHeight="1"/>
    <row r="486" hidden="1" ht="15" customHeight="1"/>
    <row r="487" hidden="1" ht="15" customHeight="1"/>
    <row r="488" hidden="1" ht="15" customHeight="1"/>
    <row r="489" hidden="1" ht="15" customHeight="1"/>
    <row r="490" hidden="1" ht="15" customHeight="1"/>
    <row r="491" hidden="1" ht="15" customHeight="1"/>
    <row r="492" ht="15" customHeight="1"/>
    <row r="493" ht="15" customHeight="1"/>
    <row r="494" hidden="1" ht="15" customHeight="1"/>
    <row r="495" hidden="1" ht="15" customHeight="1"/>
    <row r="496" ht="15" customHeight="1"/>
    <row r="497" ht="15" customHeight="1"/>
    <row r="498" ht="15" customHeight="1"/>
    <row r="499" ht="15" customHeight="1"/>
  </sheetData>
  <sheetProtection selectLockedCells="0" selectUnlockedCells="0" sheet="1" objects="0" insertRows="0" insertHyperlinks="1" autoFilter="0" scenarios="0" formatColumns="1" deleteColumns="1" insertColumns="0" pivotTables="1" deleteRows="1" formatCells="1" formatRows="1" sort="0"/>
  <conditionalFormatting sqref="A2:O204 A205:B206 A207:O265 A266:A267 A268:O1001 C266:O267 D205:O206">
    <cfRule type="expression" priority="2" dxfId="7">
      <formula>$D2="US"</formula>
    </cfRule>
    <cfRule type="expression" priority="3" dxfId="6">
      <formula>$D2="MyMSC"</formula>
    </cfRule>
    <cfRule type="expression" priority="4" dxfId="4">
      <formula>$D2="Rollout"</formula>
    </cfRule>
    <cfRule type="expression" priority="5" dxfId="4">
      <formula>$D2="MVP Rollout"</formula>
    </cfRule>
    <cfRule type="expression" priority="6" dxfId="2">
      <formula>$D2="Backlog"</formula>
    </cfRule>
    <cfRule type="expression" priority="7" dxfId="2">
      <formula>$D2="Growth"</formula>
    </cfRule>
    <cfRule type="expression" priority="8" dxfId="1">
      <formula>$D2="Tech Enhancements"</formula>
    </cfRule>
    <cfRule type="expression" priority="9" dxfId="0">
      <formula>LEFT($D2,2)="PI"</formula>
    </cfRule>
  </conditionalFormatting>
  <conditionalFormatting sqref="B266">
    <cfRule type="expression" priority="14" dxfId="2">
      <formula>$D266="Backlog"</formula>
    </cfRule>
    <cfRule type="expression" priority="11" dxfId="6">
      <formula>$D266="MyMSC"</formula>
    </cfRule>
    <cfRule type="expression" priority="12" dxfId="4">
      <formula>$D266="Rollout"</formula>
    </cfRule>
    <cfRule type="expression" priority="13" dxfId="4">
      <formula>$D266="MVP Rollout"</formula>
    </cfRule>
    <cfRule type="expression" priority="10" dxfId="7">
      <formula>$D266="US"</formula>
    </cfRule>
    <cfRule type="expression" priority="15" dxfId="2">
      <formula>$D266="Growth"</formula>
    </cfRule>
    <cfRule type="expression" priority="16" dxfId="1">
      <formula>$D266="Tech Enhancements"</formula>
    </cfRule>
    <cfRule type="expression" priority="17" dxfId="0">
      <formula>LEFT($D266,2)="PI"</formula>
    </cfRule>
  </conditionalFormatting>
  <conditionalFormatting sqref="C205">
    <cfRule type="expression" priority="18" dxfId="7">
      <formula>$D206="US"</formula>
    </cfRule>
    <cfRule type="expression" priority="19" dxfId="6">
      <formula>$D206="MyMSC"</formula>
    </cfRule>
    <cfRule type="expression" priority="20" dxfId="4">
      <formula>$D206="Rollout"</formula>
    </cfRule>
    <cfRule type="expression" priority="21" dxfId="4">
      <formula>$D206="MVP Rollout"</formula>
    </cfRule>
    <cfRule type="expression" priority="22" dxfId="2">
      <formula>$D206="Backlog"</formula>
    </cfRule>
    <cfRule type="expression" priority="23" dxfId="2">
      <formula>$D206="Growth"</formula>
    </cfRule>
    <cfRule type="expression" priority="24" dxfId="1">
      <formula>$D206="Tech Enhancements"</formula>
    </cfRule>
    <cfRule type="expression" priority="25" dxfId="0">
      <formula>LEFT($D206,2)="PI"</formula>
    </cfRule>
  </conditionalFormatting>
  <dataValidations count="6">
    <dataValidation sqref="M2:M501" showDropDown="0" showInputMessage="0" showErrorMessage="0" allowBlank="1" type="list">
      <formula1>"Yes,Created"</formula1>
      <formula2>0</formula2>
    </dataValidation>
    <dataValidation sqref="D2:D501" showDropDown="0" showInputMessage="0" showErrorMessage="0" allowBlank="1" type="list">
      <formula1>"US,MyMSC,Growth,MVP Rollout,Cross,PI11,Backlog,Tech Enhancements,PP,HR,PI9,PI10,M4M"</formula1>
      <formula2>0</formula2>
    </dataValidation>
    <dataValidation sqref="E2:E501" showDropDown="0" showInputMessage="0" showErrorMessage="0" allowBlank="1" type="list">
      <formula1>"ALL,DTS,MA,B2CW,S&amp;S,EPAM B2C,CHUB,CRMASIS,M4M"</formula1>
      <formula2>0</formula2>
    </dataValidation>
    <dataValidation sqref="F2:F501" showDropDown="0" showInputMessage="0" showErrorMessage="0" allowBlank="1" type="list">
      <formula1>"NEW,IN PROGRESS,DONE,ON HOLD,NA"</formula1>
      <formula2>0</formula2>
    </dataValidation>
    <dataValidation sqref="G2:G501" showDropDown="0" showInputMessage="0" showErrorMessage="0" allowBlank="1" type="list">
      <formula1>"Critical,High,Medium,Low"</formula1>
      <formula2>0</formula2>
    </dataValidation>
    <dataValidation sqref="C2:C205 C207:C501" showDropDown="0" showInputMessage="0" showErrorMessage="0" allowBlank="1" type="list">
      <formula1>"Config,CR,New,TBC,Bug,Tech Task,Tech Story"</formula1>
      <formula2>0</formula2>
    </dataValidation>
  </dataValidations>
  <pageMargins left="0.75" right="0.75" top="1" bottom="1" header="0.511811023622047" footer="0.511811023622047"/>
  <pageSetup orientation="portrait" paperSize="9" horizontalDpi="300" verticalDpi="300"/>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L454"/>
  <sheetViews>
    <sheetView zoomScaleNormal="100" workbookViewId="0">
      <pane ySplit="1" topLeftCell="A184" activePane="bottomLeft" state="frozen"/>
      <selection pane="bottomLeft" activeCell="F195" sqref="F195"/>
    </sheetView>
  </sheetViews>
  <sheetFormatPr baseColWidth="10" defaultColWidth="8.6640625" defaultRowHeight="15"/>
  <cols>
    <col width="16" customWidth="1" min="1" max="1"/>
    <col width="38" customWidth="1" min="2" max="2"/>
    <col width="12" customWidth="1" min="3" max="3"/>
    <col width="30" customWidth="1" min="4" max="4"/>
    <col width="14" customWidth="1" min="5" max="7"/>
    <col width="17" customWidth="1" min="8" max="8"/>
    <col width="16" customWidth="1" min="9" max="9"/>
    <col width="12" customWidth="1" min="10" max="10"/>
    <col width="18" customWidth="1" min="11" max="11"/>
    <col width="12" customWidth="1" min="12" max="12"/>
  </cols>
  <sheetData>
    <row r="1" ht="30" customHeight="1">
      <c r="A1" s="19" t="inlineStr">
        <is>
          <t>Requirement ID</t>
        </is>
      </c>
      <c r="B1" s="20" t="inlineStr">
        <is>
          <t>Requirement Name</t>
        </is>
      </c>
      <c r="C1" s="20" t="inlineStr">
        <is>
          <t>Stream</t>
        </is>
      </c>
      <c r="D1" s="20" t="inlineStr">
        <is>
          <t>Jira Link</t>
        </is>
      </c>
      <c r="E1" s="20" t="inlineStr">
        <is>
          <t>Status</t>
        </is>
      </c>
      <c r="F1" s="20" t="inlineStr">
        <is>
          <t>Sprint</t>
        </is>
      </c>
      <c r="G1" s="19" t="inlineStr">
        <is>
          <t>RAML Required</t>
        </is>
      </c>
      <c r="H1" s="19" t="inlineStr">
        <is>
          <t>RAML Delivery Date</t>
        </is>
      </c>
      <c r="I1" s="19" t="inlineStr">
        <is>
          <t>Assignee</t>
        </is>
      </c>
      <c r="J1" s="20" t="inlineStr">
        <is>
          <t>Priority</t>
        </is>
      </c>
      <c r="K1" s="19" t="inlineStr">
        <is>
          <t>Design Status</t>
        </is>
      </c>
      <c r="L1" s="19" t="inlineStr">
        <is>
          <t>Handover</t>
        </is>
      </c>
    </row>
    <row r="2" ht="15" customHeight="1">
      <c r="A2" s="21" t="inlineStr">
        <is>
          <t>NEW-0001</t>
        </is>
      </c>
      <c r="B2" s="23">
        <f>IFERROR(IF(ISBLANK(INDEX(Backlog[Requirement Name],MATCH($A2,Backlog[Requirement ID],0))),"",INDEX(Backlog[Requirement Name],MATCH($A2,Backlog[Requirement ID],0))),"")</f>
        <v/>
      </c>
      <c r="C2" s="23">
        <f>IFERROR(IF(ISBLANK(INDEX(Backlog[Stream],MATCH($A2,Backlog[Requirement ID],0))),"",INDEX(Backlog[Stream],MATCH($A2,Backlog[Requirement ID],0))),"")</f>
        <v/>
      </c>
      <c r="D2" s="23">
        <f>IFERROR(IF(ISBLANK(INDEX(Backlog[Jira Link],MATCH($A2,Backlog[Requirement ID],0))),"",INDEX(Backlog[Jira Link],MATCH($A2,Backlog[Requirement ID],0))),"")</f>
        <v/>
      </c>
      <c r="E2" s="23">
        <f>IFERROR(IF(ISBLANK(INDEX(Backlog[Status],MATCH($A2,Backlog[Requirement ID],0))),"",INDEX(Backlog[Status],MATCH($A2,Backlog[Requirement ID],0))),"")</f>
        <v/>
      </c>
      <c r="F2" s="23">
        <f>IFERROR(IF(ISBLANK(INDEX(SprintPlanning[Sprint],MATCH($A2,SprintPlanning[Requirement ID],0))),"",INDEX(SprintPlanning[Sprint],MATCH($A2,SprintPlanning[Requirement ID],0))),"")</f>
        <v/>
      </c>
      <c r="G2" s="21" t="n"/>
      <c r="H2" s="38" t="n"/>
      <c r="I2" s="21" t="n"/>
      <c r="J2" s="23">
        <f>IFERROR(IF(ISBLANK(INDEX(Backlog[Priority],MATCH($A2,Backlog[Requirement ID],0))),"",INDEX(Backlog[Priority],MATCH($A2,Backlog[Requirement ID],0))),"")</f>
        <v/>
      </c>
      <c r="K2" s="21" t="n"/>
      <c r="L2" s="21" t="n"/>
    </row>
    <row r="3" ht="15" customHeight="1">
      <c r="A3" s="21" t="inlineStr">
        <is>
          <t>NEW-0002</t>
        </is>
      </c>
      <c r="B3" s="23">
        <f>IFERROR(IF(ISBLANK(INDEX(Backlog[Requirement Name],MATCH($A3,Backlog[Requirement ID],0))),"",INDEX(Backlog[Requirement Name],MATCH($A3,Backlog[Requirement ID],0))),"")</f>
        <v/>
      </c>
      <c r="C3" s="23">
        <f>IFERROR(IF(ISBLANK(INDEX(Backlog[Stream],MATCH($A3,Backlog[Requirement ID],0))),"",INDEX(Backlog[Stream],MATCH($A3,Backlog[Requirement ID],0))),"")</f>
        <v/>
      </c>
      <c r="D3" s="23">
        <f>IFERROR(IF(ISBLANK(INDEX(Backlog[Jira Link],MATCH($A3,Backlog[Requirement ID],0))),"",INDEX(Backlog[Jira Link],MATCH($A3,Backlog[Requirement ID],0))),"")</f>
        <v/>
      </c>
      <c r="E3" s="23">
        <f>IFERROR(IF(ISBLANK(INDEX(Backlog[Status],MATCH($A3,Backlog[Requirement ID],0))),"",INDEX(Backlog[Status],MATCH($A3,Backlog[Requirement ID],0))),"")</f>
        <v/>
      </c>
      <c r="F3" s="23">
        <f>IFERROR(IF(ISBLANK(INDEX(SprintPlanning[Sprint],MATCH($A3,SprintPlanning[Requirement ID],0))),"",INDEX(SprintPlanning[Sprint],MATCH($A3,SprintPlanning[Requirement ID],0))),"")</f>
        <v/>
      </c>
      <c r="G3" s="21" t="n"/>
      <c r="H3" s="38" t="n"/>
      <c r="I3" s="21" t="n"/>
      <c r="J3" s="23">
        <f>IFERROR(IF(ISBLANK(INDEX(Backlog[Priority],MATCH($A3,Backlog[Requirement ID],0))),"",INDEX(Backlog[Priority],MATCH($A3,Backlog[Requirement ID],0))),"")</f>
        <v/>
      </c>
      <c r="K3" s="21" t="n"/>
      <c r="L3" s="21" t="n"/>
    </row>
    <row r="4" ht="15" customHeight="1">
      <c r="A4" s="21" t="inlineStr">
        <is>
          <t>NEW-0003</t>
        </is>
      </c>
      <c r="B4" s="23">
        <f>IFERROR(IF(ISBLANK(INDEX(Backlog[Requirement Name],MATCH($A4,Backlog[Requirement ID],0))),"",INDEX(Backlog[Requirement Name],MATCH($A4,Backlog[Requirement ID],0))),"")</f>
        <v/>
      </c>
      <c r="C4" s="23">
        <f>IFERROR(IF(ISBLANK(INDEX(Backlog[Stream],MATCH($A4,Backlog[Requirement ID],0))),"",INDEX(Backlog[Stream],MATCH($A4,Backlog[Requirement ID],0))),"")</f>
        <v/>
      </c>
      <c r="D4" s="23">
        <f>IFERROR(IF(ISBLANK(INDEX(Backlog[Jira Link],MATCH($A4,Backlog[Requirement ID],0))),"",INDEX(Backlog[Jira Link],MATCH($A4,Backlog[Requirement ID],0))),"")</f>
        <v/>
      </c>
      <c r="E4" s="23">
        <f>IFERROR(IF(ISBLANK(INDEX(Backlog[Status],MATCH($A4,Backlog[Requirement ID],0))),"",INDEX(Backlog[Status],MATCH($A4,Backlog[Requirement ID],0))),"")</f>
        <v/>
      </c>
      <c r="F4" s="23">
        <f>IFERROR(IF(ISBLANK(INDEX(SprintPlanning[Sprint],MATCH($A4,SprintPlanning[Requirement ID],0))),"",INDEX(SprintPlanning[Sprint],MATCH($A4,SprintPlanning[Requirement ID],0))),"")</f>
        <v/>
      </c>
      <c r="G4" s="21" t="n"/>
      <c r="H4" s="38" t="n"/>
      <c r="I4" s="21" t="n"/>
      <c r="J4" s="23">
        <f>IFERROR(IF(ISBLANK(INDEX(Backlog[Priority],MATCH($A4,Backlog[Requirement ID],0))),"",INDEX(Backlog[Priority],MATCH($A4,Backlog[Requirement ID],0))),"")</f>
        <v/>
      </c>
      <c r="K4" s="21" t="n"/>
      <c r="L4" s="21" t="n"/>
    </row>
    <row r="5" ht="15" customHeight="1">
      <c r="A5" s="21" t="inlineStr">
        <is>
          <t>NEW-0005</t>
        </is>
      </c>
      <c r="B5" s="23">
        <f>IFERROR(IF(ISBLANK(INDEX(Backlog[Requirement Name],MATCH($A5,Backlog[Requirement ID],0))),"",INDEX(Backlog[Requirement Name],MATCH($A5,Backlog[Requirement ID],0))),"")</f>
        <v/>
      </c>
      <c r="C5" s="23">
        <f>IFERROR(IF(ISBLANK(INDEX(Backlog[Stream],MATCH($A5,Backlog[Requirement ID],0))),"",INDEX(Backlog[Stream],MATCH($A5,Backlog[Requirement ID],0))),"")</f>
        <v/>
      </c>
      <c r="D5" s="23">
        <f>IFERROR(IF(ISBLANK(INDEX(Backlog[Jira Link],MATCH($A5,Backlog[Requirement ID],0))),"",INDEX(Backlog[Jira Link],MATCH($A5,Backlog[Requirement ID],0))),"")</f>
        <v/>
      </c>
      <c r="E5" s="23">
        <f>IFERROR(IF(ISBLANK(INDEX(Backlog[Status],MATCH($A5,Backlog[Requirement ID],0))),"",INDEX(Backlog[Status],MATCH($A5,Backlog[Requirement ID],0))),"")</f>
        <v/>
      </c>
      <c r="F5" s="23">
        <f>IFERROR(IF(ISBLANK(INDEX(SprintPlanning[Sprint],MATCH($A5,SprintPlanning[Requirement ID],0))),"",INDEX(SprintPlanning[Sprint],MATCH($A5,SprintPlanning[Requirement ID],0))),"")</f>
        <v/>
      </c>
      <c r="G5" s="21" t="n"/>
      <c r="H5" s="38" t="n"/>
      <c r="I5" s="21" t="n"/>
      <c r="J5" s="23">
        <f>IFERROR(IF(ISBLANK(INDEX(Backlog[Priority],MATCH($A5,Backlog[Requirement ID],0))),"",INDEX(Backlog[Priority],MATCH($A5,Backlog[Requirement ID],0))),"")</f>
        <v/>
      </c>
      <c r="K5" s="21" t="n"/>
      <c r="L5" s="21" t="n"/>
    </row>
    <row r="6" ht="15" customHeight="1">
      <c r="A6" s="21" t="inlineStr">
        <is>
          <t>NEW-0006</t>
        </is>
      </c>
      <c r="B6" s="23">
        <f>IFERROR(IF(ISBLANK(INDEX(Backlog[Requirement Name],MATCH($A6,Backlog[Requirement ID],0))),"",INDEX(Backlog[Requirement Name],MATCH($A6,Backlog[Requirement ID],0))),"")</f>
        <v/>
      </c>
      <c r="C6" s="23">
        <f>IFERROR(IF(ISBLANK(INDEX(Backlog[Stream],MATCH($A6,Backlog[Requirement ID],0))),"",INDEX(Backlog[Stream],MATCH($A6,Backlog[Requirement ID],0))),"")</f>
        <v/>
      </c>
      <c r="D6" s="23">
        <f>IFERROR(IF(ISBLANK(INDEX(Backlog[Jira Link],MATCH($A6,Backlog[Requirement ID],0))),"",INDEX(Backlog[Jira Link],MATCH($A6,Backlog[Requirement ID],0))),"")</f>
        <v/>
      </c>
      <c r="E6" s="23">
        <f>IFERROR(IF(ISBLANK(INDEX(Backlog[Status],MATCH($A6,Backlog[Requirement ID],0))),"",INDEX(Backlog[Status],MATCH($A6,Backlog[Requirement ID],0))),"")</f>
        <v/>
      </c>
      <c r="F6" s="23">
        <f>IFERROR(IF(ISBLANK(INDEX(SprintPlanning[Sprint],MATCH($A6,SprintPlanning[Requirement ID],0))),"",INDEX(SprintPlanning[Sprint],MATCH($A6,SprintPlanning[Requirement ID],0))),"")</f>
        <v/>
      </c>
      <c r="G6" s="21" t="n"/>
      <c r="H6" s="38" t="n"/>
      <c r="I6" s="21" t="n"/>
      <c r="J6" s="23">
        <f>IFERROR(IF(ISBLANK(INDEX(Backlog[Priority],MATCH($A6,Backlog[Requirement ID],0))),"",INDEX(Backlog[Priority],MATCH($A6,Backlog[Requirement ID],0))),"")</f>
        <v/>
      </c>
      <c r="K6" s="21" t="n"/>
      <c r="L6" s="21" t="n"/>
    </row>
    <row r="7" ht="15" customHeight="1">
      <c r="A7" s="21" t="inlineStr">
        <is>
          <t>NEW-0007</t>
        </is>
      </c>
      <c r="B7" s="23">
        <f>IFERROR(IF(ISBLANK(INDEX(Backlog[Requirement Name],MATCH($A7,Backlog[Requirement ID],0))),"",INDEX(Backlog[Requirement Name],MATCH($A7,Backlog[Requirement ID],0))),"")</f>
        <v/>
      </c>
      <c r="C7" s="23">
        <f>IFERROR(IF(ISBLANK(INDEX(Backlog[Stream],MATCH($A7,Backlog[Requirement ID],0))),"",INDEX(Backlog[Stream],MATCH($A7,Backlog[Requirement ID],0))),"")</f>
        <v/>
      </c>
      <c r="D7" s="23">
        <f>IFERROR(IF(ISBLANK(INDEX(Backlog[Jira Link],MATCH($A7,Backlog[Requirement ID],0))),"",INDEX(Backlog[Jira Link],MATCH($A7,Backlog[Requirement ID],0))),"")</f>
        <v/>
      </c>
      <c r="E7" s="23">
        <f>IFERROR(IF(ISBLANK(INDEX(Backlog[Status],MATCH($A7,Backlog[Requirement ID],0))),"",INDEX(Backlog[Status],MATCH($A7,Backlog[Requirement ID],0))),"")</f>
        <v/>
      </c>
      <c r="F7" s="23">
        <f>IFERROR(IF(ISBLANK(INDEX(SprintPlanning[Sprint],MATCH($A7,SprintPlanning[Requirement ID],0))),"",INDEX(SprintPlanning[Sprint],MATCH($A7,SprintPlanning[Requirement ID],0))),"")</f>
        <v/>
      </c>
      <c r="G7" s="21" t="n"/>
      <c r="H7" s="38" t="n"/>
      <c r="I7" s="21" t="n"/>
      <c r="J7" s="23">
        <f>IFERROR(IF(ISBLANK(INDEX(Backlog[Priority],MATCH($A7,Backlog[Requirement ID],0))),"",INDEX(Backlog[Priority],MATCH($A7,Backlog[Requirement ID],0))),"")</f>
        <v/>
      </c>
      <c r="K7" s="21" t="n"/>
      <c r="L7" s="21" t="n"/>
    </row>
    <row r="8" ht="15" customHeight="1">
      <c r="A8" s="21" t="inlineStr">
        <is>
          <t>NEW-0011</t>
        </is>
      </c>
      <c r="B8" s="23">
        <f>IFERROR(IF(ISBLANK(INDEX(Backlog[Requirement Name],MATCH($A8,Backlog[Requirement ID],0))),"",INDEX(Backlog[Requirement Name],MATCH($A8,Backlog[Requirement ID],0))),"")</f>
        <v/>
      </c>
      <c r="C8" s="23">
        <f>IFERROR(IF(ISBLANK(INDEX(Backlog[Stream],MATCH($A8,Backlog[Requirement ID],0))),"",INDEX(Backlog[Stream],MATCH($A8,Backlog[Requirement ID],0))),"")</f>
        <v/>
      </c>
      <c r="D8" s="23">
        <f>IFERROR(IF(ISBLANK(INDEX(Backlog[Jira Link],MATCH($A8,Backlog[Requirement ID],0))),"",INDEX(Backlog[Jira Link],MATCH($A8,Backlog[Requirement ID],0))),"")</f>
        <v/>
      </c>
      <c r="E8" s="23">
        <f>IFERROR(IF(ISBLANK(INDEX(Backlog[Status],MATCH($A8,Backlog[Requirement ID],0))),"",INDEX(Backlog[Status],MATCH($A8,Backlog[Requirement ID],0))),"")</f>
        <v/>
      </c>
      <c r="F8" s="23">
        <f>IFERROR(IF(ISBLANK(INDEX(SprintPlanning[Sprint],MATCH($A8,SprintPlanning[Requirement ID],0))),"",INDEX(SprintPlanning[Sprint],MATCH($A8,SprintPlanning[Requirement ID],0))),"")</f>
        <v/>
      </c>
      <c r="G8" s="21" t="n"/>
      <c r="H8" s="38" t="n"/>
      <c r="I8" s="21" t="n"/>
      <c r="J8" s="23">
        <f>IFERROR(IF(ISBLANK(INDEX(Backlog[Priority],MATCH($A8,Backlog[Requirement ID],0))),"",INDEX(Backlog[Priority],MATCH($A8,Backlog[Requirement ID],0))),"")</f>
        <v/>
      </c>
      <c r="K8" s="21" t="n"/>
      <c r="L8" s="21" t="n"/>
    </row>
    <row r="9" ht="15" customHeight="1">
      <c r="A9" s="21" t="inlineStr">
        <is>
          <t>NEW-0012</t>
        </is>
      </c>
      <c r="B9" s="23">
        <f>IFERROR(IF(ISBLANK(INDEX(Backlog[Requirement Name],MATCH($A9,Backlog[Requirement ID],0))),"",INDEX(Backlog[Requirement Name],MATCH($A9,Backlog[Requirement ID],0))),"")</f>
        <v/>
      </c>
      <c r="C9" s="23">
        <f>IFERROR(IF(ISBLANK(INDEX(Backlog[Stream],MATCH($A9,Backlog[Requirement ID],0))),"",INDEX(Backlog[Stream],MATCH($A9,Backlog[Requirement ID],0))),"")</f>
        <v/>
      </c>
      <c r="D9" s="23">
        <f>IFERROR(IF(ISBLANK(INDEX(Backlog[Jira Link],MATCH($A9,Backlog[Requirement ID],0))),"",INDEX(Backlog[Jira Link],MATCH($A9,Backlog[Requirement ID],0))),"")</f>
        <v/>
      </c>
      <c r="E9" s="23">
        <f>IFERROR(IF(ISBLANK(INDEX(Backlog[Status],MATCH($A9,Backlog[Requirement ID],0))),"",INDEX(Backlog[Status],MATCH($A9,Backlog[Requirement ID],0))),"")</f>
        <v/>
      </c>
      <c r="F9" s="23">
        <f>IFERROR(IF(ISBLANK(INDEX(SprintPlanning[Sprint],MATCH($A9,SprintPlanning[Requirement ID],0))),"",INDEX(SprintPlanning[Sprint],MATCH($A9,SprintPlanning[Requirement ID],0))),"")</f>
        <v/>
      </c>
      <c r="G9" s="21" t="n"/>
      <c r="H9" s="38" t="n"/>
      <c r="I9" s="21" t="n"/>
      <c r="J9" s="23">
        <f>IFERROR(IF(ISBLANK(INDEX(Backlog[Priority],MATCH($A9,Backlog[Requirement ID],0))),"",INDEX(Backlog[Priority],MATCH($A9,Backlog[Requirement ID],0))),"")</f>
        <v/>
      </c>
      <c r="K9" s="21" t="n"/>
      <c r="L9" s="21" t="n"/>
    </row>
    <row r="10" ht="15" customHeight="1">
      <c r="A10" s="21" t="inlineStr">
        <is>
          <t>NEW-0015</t>
        </is>
      </c>
      <c r="B10" s="23">
        <f>IFERROR(IF(ISBLANK(INDEX(Backlog[Requirement Name],MATCH($A10,Backlog[Requirement ID],0))),"",INDEX(Backlog[Requirement Name],MATCH($A10,Backlog[Requirement ID],0))),"")</f>
        <v/>
      </c>
      <c r="C10" s="23">
        <f>IFERROR(IF(ISBLANK(INDEX(Backlog[Stream],MATCH($A10,Backlog[Requirement ID],0))),"",INDEX(Backlog[Stream],MATCH($A10,Backlog[Requirement ID],0))),"")</f>
        <v/>
      </c>
      <c r="D10" s="23">
        <f>IFERROR(IF(ISBLANK(INDEX(Backlog[Jira Link],MATCH($A10,Backlog[Requirement ID],0))),"",INDEX(Backlog[Jira Link],MATCH($A10,Backlog[Requirement ID],0))),"")</f>
        <v/>
      </c>
      <c r="E10" s="23">
        <f>IFERROR(IF(ISBLANK(INDEX(Backlog[Status],MATCH($A10,Backlog[Requirement ID],0))),"",INDEX(Backlog[Status],MATCH($A10,Backlog[Requirement ID],0))),"")</f>
        <v/>
      </c>
      <c r="F10" s="23">
        <f>IFERROR(IF(ISBLANK(INDEX(SprintPlanning[Sprint],MATCH($A10,SprintPlanning[Requirement ID],0))),"",INDEX(SprintPlanning[Sprint],MATCH($A10,SprintPlanning[Requirement ID],0))),"")</f>
        <v/>
      </c>
      <c r="G10" s="21" t="n"/>
      <c r="H10" s="38" t="n"/>
      <c r="I10" s="21" t="n"/>
      <c r="J10" s="23">
        <f>IFERROR(IF(ISBLANK(INDEX(Backlog[Priority],MATCH($A10,Backlog[Requirement ID],0))),"",INDEX(Backlog[Priority],MATCH($A10,Backlog[Requirement ID],0))),"")</f>
        <v/>
      </c>
      <c r="K10" s="21" t="n"/>
      <c r="L10" s="21" t="n"/>
    </row>
    <row r="11" ht="15" customHeight="1">
      <c r="A11" s="21" t="inlineStr">
        <is>
          <t>NEW-0016</t>
        </is>
      </c>
      <c r="B11" s="23">
        <f>IFERROR(IF(ISBLANK(INDEX(Backlog[Requirement Name],MATCH($A11,Backlog[Requirement ID],0))),"",INDEX(Backlog[Requirement Name],MATCH($A11,Backlog[Requirement ID],0))),"")</f>
        <v/>
      </c>
      <c r="C11" s="23">
        <f>IFERROR(IF(ISBLANK(INDEX(Backlog[Stream],MATCH($A11,Backlog[Requirement ID],0))),"",INDEX(Backlog[Stream],MATCH($A11,Backlog[Requirement ID],0))),"")</f>
        <v/>
      </c>
      <c r="D11" s="23">
        <f>IFERROR(IF(ISBLANK(INDEX(Backlog[Jira Link],MATCH($A11,Backlog[Requirement ID],0))),"",INDEX(Backlog[Jira Link],MATCH($A11,Backlog[Requirement ID],0))),"")</f>
        <v/>
      </c>
      <c r="E11" s="23">
        <f>IFERROR(IF(ISBLANK(INDEX(Backlog[Status],MATCH($A11,Backlog[Requirement ID],0))),"",INDEX(Backlog[Status],MATCH($A11,Backlog[Requirement ID],0))),"")</f>
        <v/>
      </c>
      <c r="F11" s="23">
        <f>IFERROR(IF(ISBLANK(INDEX(SprintPlanning[Sprint],MATCH($A11,SprintPlanning[Requirement ID],0))),"",INDEX(SprintPlanning[Sprint],MATCH($A11,SprintPlanning[Requirement ID],0))),"")</f>
        <v/>
      </c>
      <c r="G11" s="21" t="n"/>
      <c r="H11" s="38" t="n"/>
      <c r="I11" s="21" t="n"/>
      <c r="J11" s="23">
        <f>IFERROR(IF(ISBLANK(INDEX(Backlog[Priority],MATCH($A11,Backlog[Requirement ID],0))),"",INDEX(Backlog[Priority],MATCH($A11,Backlog[Requirement ID],0))),"")</f>
        <v/>
      </c>
      <c r="K11" s="21" t="n"/>
      <c r="L11" s="21" t="n"/>
    </row>
    <row r="12" ht="15" customHeight="1">
      <c r="A12" s="21" t="inlineStr">
        <is>
          <t>NEW-0017</t>
        </is>
      </c>
      <c r="B12" s="23">
        <f>IFERROR(IF(ISBLANK(INDEX(Backlog[Requirement Name],MATCH($A12,Backlog[Requirement ID],0))),"",INDEX(Backlog[Requirement Name],MATCH($A12,Backlog[Requirement ID],0))),"")</f>
        <v/>
      </c>
      <c r="C12" s="23">
        <f>IFERROR(IF(ISBLANK(INDEX(Backlog[Stream],MATCH($A12,Backlog[Requirement ID],0))),"",INDEX(Backlog[Stream],MATCH($A12,Backlog[Requirement ID],0))),"")</f>
        <v/>
      </c>
      <c r="D12" s="23">
        <f>IFERROR(IF(ISBLANK(INDEX(Backlog[Jira Link],MATCH($A12,Backlog[Requirement ID],0))),"",INDEX(Backlog[Jira Link],MATCH($A12,Backlog[Requirement ID],0))),"")</f>
        <v/>
      </c>
      <c r="E12" s="23">
        <f>IFERROR(IF(ISBLANK(INDEX(Backlog[Status],MATCH($A12,Backlog[Requirement ID],0))),"",INDEX(Backlog[Status],MATCH($A12,Backlog[Requirement ID],0))),"")</f>
        <v/>
      </c>
      <c r="F12" s="23">
        <f>IFERROR(IF(ISBLANK(INDEX(SprintPlanning[Sprint],MATCH($A12,SprintPlanning[Requirement ID],0))),"",INDEX(SprintPlanning[Sprint],MATCH($A12,SprintPlanning[Requirement ID],0))),"")</f>
        <v/>
      </c>
      <c r="G12" s="21" t="n"/>
      <c r="H12" s="38" t="n"/>
      <c r="I12" s="21" t="n"/>
      <c r="J12" s="23">
        <f>IFERROR(IF(ISBLANK(INDEX(Backlog[Priority],MATCH($A12,Backlog[Requirement ID],0))),"",INDEX(Backlog[Priority],MATCH($A12,Backlog[Requirement ID],0))),"")</f>
        <v/>
      </c>
      <c r="K12" s="21" t="n"/>
      <c r="L12" s="21" t="n"/>
    </row>
    <row r="13" ht="15" customHeight="1">
      <c r="A13" s="21" t="inlineStr">
        <is>
          <t>NEW-0018</t>
        </is>
      </c>
      <c r="B13" s="23">
        <f>IFERROR(IF(ISBLANK(INDEX(Backlog[Requirement Name],MATCH($A13,Backlog[Requirement ID],0))),"",INDEX(Backlog[Requirement Name],MATCH($A13,Backlog[Requirement ID],0))),"")</f>
        <v/>
      </c>
      <c r="C13" s="23">
        <f>IFERROR(IF(ISBLANK(INDEX(Backlog[Stream],MATCH($A13,Backlog[Requirement ID],0))),"",INDEX(Backlog[Stream],MATCH($A13,Backlog[Requirement ID],0))),"")</f>
        <v/>
      </c>
      <c r="D13" s="23">
        <f>IFERROR(IF(ISBLANK(INDEX(Backlog[Jira Link],MATCH($A13,Backlog[Requirement ID],0))),"",INDEX(Backlog[Jira Link],MATCH($A13,Backlog[Requirement ID],0))),"")</f>
        <v/>
      </c>
      <c r="E13" s="23">
        <f>IFERROR(IF(ISBLANK(INDEX(Backlog[Status],MATCH($A13,Backlog[Requirement ID],0))),"",INDEX(Backlog[Status],MATCH($A13,Backlog[Requirement ID],0))),"")</f>
        <v/>
      </c>
      <c r="F13" s="23">
        <f>IFERROR(IF(ISBLANK(INDEX(SprintPlanning[Sprint],MATCH($A13,SprintPlanning[Requirement ID],0))),"",INDEX(SprintPlanning[Sprint],MATCH($A13,SprintPlanning[Requirement ID],0))),"")</f>
        <v/>
      </c>
      <c r="G13" s="21" t="n"/>
      <c r="H13" s="38" t="n"/>
      <c r="I13" s="21" t="n"/>
      <c r="J13" s="23">
        <f>IFERROR(IF(ISBLANK(INDEX(Backlog[Priority],MATCH($A13,Backlog[Requirement ID],0))),"",INDEX(Backlog[Priority],MATCH($A13,Backlog[Requirement ID],0))),"")</f>
        <v/>
      </c>
      <c r="K13" s="21" t="n"/>
      <c r="L13" s="21" t="n"/>
    </row>
    <row r="14" ht="15" customHeight="1">
      <c r="A14" s="21" t="inlineStr">
        <is>
          <t>NEW-0020</t>
        </is>
      </c>
      <c r="B14" s="23">
        <f>IFERROR(IF(ISBLANK(INDEX(Backlog[Requirement Name],MATCH($A14,Backlog[Requirement ID],0))),"",INDEX(Backlog[Requirement Name],MATCH($A14,Backlog[Requirement ID],0))),"")</f>
        <v/>
      </c>
      <c r="C14" s="23">
        <f>IFERROR(IF(ISBLANK(INDEX(Backlog[Stream],MATCH($A14,Backlog[Requirement ID],0))),"",INDEX(Backlog[Stream],MATCH($A14,Backlog[Requirement ID],0))),"")</f>
        <v/>
      </c>
      <c r="D14" s="23">
        <f>IFERROR(IF(ISBLANK(INDEX(Backlog[Jira Link],MATCH($A14,Backlog[Requirement ID],0))),"",INDEX(Backlog[Jira Link],MATCH($A14,Backlog[Requirement ID],0))),"")</f>
        <v/>
      </c>
      <c r="E14" s="23">
        <f>IFERROR(IF(ISBLANK(INDEX(Backlog[Status],MATCH($A14,Backlog[Requirement ID],0))),"",INDEX(Backlog[Status],MATCH($A14,Backlog[Requirement ID],0))),"")</f>
        <v/>
      </c>
      <c r="F14" s="23">
        <f>IFERROR(IF(ISBLANK(INDEX(SprintPlanning[Sprint],MATCH($A14,SprintPlanning[Requirement ID],0))),"",INDEX(SprintPlanning[Sprint],MATCH($A14,SprintPlanning[Requirement ID],0))),"")</f>
        <v/>
      </c>
      <c r="G14" s="21" t="n"/>
      <c r="H14" s="38" t="n"/>
      <c r="I14" s="21" t="n"/>
      <c r="J14" s="23">
        <f>IFERROR(IF(ISBLANK(INDEX(Backlog[Priority],MATCH($A14,Backlog[Requirement ID],0))),"",INDEX(Backlog[Priority],MATCH($A14,Backlog[Requirement ID],0))),"")</f>
        <v/>
      </c>
      <c r="K14" s="21" t="n"/>
      <c r="L14" s="21" t="n"/>
    </row>
    <row r="15" ht="15" customHeight="1">
      <c r="A15" s="21" t="inlineStr">
        <is>
          <t>NEW-0022</t>
        </is>
      </c>
      <c r="B15" s="23">
        <f>IFERROR(IF(ISBLANK(INDEX(Backlog[Requirement Name],MATCH($A15,Backlog[Requirement ID],0))),"",INDEX(Backlog[Requirement Name],MATCH($A15,Backlog[Requirement ID],0))),"")</f>
        <v/>
      </c>
      <c r="C15" s="23">
        <f>IFERROR(IF(ISBLANK(INDEX(Backlog[Stream],MATCH($A15,Backlog[Requirement ID],0))),"",INDEX(Backlog[Stream],MATCH($A15,Backlog[Requirement ID],0))),"")</f>
        <v/>
      </c>
      <c r="D15" s="23">
        <f>IFERROR(IF(ISBLANK(INDEX(Backlog[Jira Link],MATCH($A15,Backlog[Requirement ID],0))),"",INDEX(Backlog[Jira Link],MATCH($A15,Backlog[Requirement ID],0))),"")</f>
        <v/>
      </c>
      <c r="E15" s="23">
        <f>IFERROR(IF(ISBLANK(INDEX(Backlog[Status],MATCH($A15,Backlog[Requirement ID],0))),"",INDEX(Backlog[Status],MATCH($A15,Backlog[Requirement ID],0))),"")</f>
        <v/>
      </c>
      <c r="F15" s="23">
        <f>IFERROR(IF(ISBLANK(INDEX(SprintPlanning[Sprint],MATCH($A15,SprintPlanning[Requirement ID],0))),"",INDEX(SprintPlanning[Sprint],MATCH($A15,SprintPlanning[Requirement ID],0))),"")</f>
        <v/>
      </c>
      <c r="G15" s="21" t="n"/>
      <c r="H15" s="38" t="n"/>
      <c r="I15" s="21" t="n"/>
      <c r="J15" s="23">
        <f>IFERROR(IF(ISBLANK(INDEX(Backlog[Priority],MATCH($A15,Backlog[Requirement ID],0))),"",INDEX(Backlog[Priority],MATCH($A15,Backlog[Requirement ID],0))),"")</f>
        <v/>
      </c>
      <c r="K15" s="21" t="n"/>
      <c r="L15" s="21" t="n"/>
    </row>
    <row r="16" ht="15" customHeight="1">
      <c r="A16" s="21" t="inlineStr">
        <is>
          <t>NEW-0029</t>
        </is>
      </c>
      <c r="B16" s="23">
        <f>IFERROR(IF(ISBLANK(INDEX(Backlog[Requirement Name],MATCH($A16,Backlog[Requirement ID],0))),"",INDEX(Backlog[Requirement Name],MATCH($A16,Backlog[Requirement ID],0))),"")</f>
        <v/>
      </c>
      <c r="C16" s="23">
        <f>IFERROR(IF(ISBLANK(INDEX(Backlog[Stream],MATCH($A16,Backlog[Requirement ID],0))),"",INDEX(Backlog[Stream],MATCH($A16,Backlog[Requirement ID],0))),"")</f>
        <v/>
      </c>
      <c r="D16" s="23">
        <f>IFERROR(IF(ISBLANK(INDEX(Backlog[Jira Link],MATCH($A16,Backlog[Requirement ID],0))),"",INDEX(Backlog[Jira Link],MATCH($A16,Backlog[Requirement ID],0))),"")</f>
        <v/>
      </c>
      <c r="E16" s="23">
        <f>IFERROR(IF(ISBLANK(INDEX(Backlog[Status],MATCH($A16,Backlog[Requirement ID],0))),"",INDEX(Backlog[Status],MATCH($A16,Backlog[Requirement ID],0))),"")</f>
        <v/>
      </c>
      <c r="F16" s="23">
        <f>IFERROR(IF(ISBLANK(INDEX(SprintPlanning[Sprint],MATCH($A16,SprintPlanning[Requirement ID],0))),"",INDEX(SprintPlanning[Sprint],MATCH($A16,SprintPlanning[Requirement ID],0))),"")</f>
        <v/>
      </c>
      <c r="G16" s="21" t="n"/>
      <c r="H16" s="38" t="n"/>
      <c r="I16" s="21" t="n"/>
      <c r="J16" s="23">
        <f>IFERROR(IF(ISBLANK(INDEX(Backlog[Priority],MATCH($A16,Backlog[Requirement ID],0))),"",INDEX(Backlog[Priority],MATCH($A16,Backlog[Requirement ID],0))),"")</f>
        <v/>
      </c>
      <c r="K16" s="21" t="n"/>
      <c r="L16" s="21" t="n"/>
    </row>
    <row r="17" ht="15" customHeight="1">
      <c r="A17" s="21" t="inlineStr">
        <is>
          <t>NEW-0030</t>
        </is>
      </c>
      <c r="B17" s="23">
        <f>IFERROR(IF(ISBLANK(INDEX(Backlog[Requirement Name],MATCH($A17,Backlog[Requirement ID],0))),"",INDEX(Backlog[Requirement Name],MATCH($A17,Backlog[Requirement ID],0))),"")</f>
        <v/>
      </c>
      <c r="C17" s="23">
        <f>IFERROR(IF(ISBLANK(INDEX(Backlog[Stream],MATCH($A17,Backlog[Requirement ID],0))),"",INDEX(Backlog[Stream],MATCH($A17,Backlog[Requirement ID],0))),"")</f>
        <v/>
      </c>
      <c r="D17" s="23">
        <f>IFERROR(IF(ISBLANK(INDEX(Backlog[Jira Link],MATCH($A17,Backlog[Requirement ID],0))),"",INDEX(Backlog[Jira Link],MATCH($A17,Backlog[Requirement ID],0))),"")</f>
        <v/>
      </c>
      <c r="E17" s="23">
        <f>IFERROR(IF(ISBLANK(INDEX(Backlog[Status],MATCH($A17,Backlog[Requirement ID],0))),"",INDEX(Backlog[Status],MATCH($A17,Backlog[Requirement ID],0))),"")</f>
        <v/>
      </c>
      <c r="F17" s="23">
        <f>IFERROR(IF(ISBLANK(INDEX(SprintPlanning[Sprint],MATCH($A17,SprintPlanning[Requirement ID],0))),"",INDEX(SprintPlanning[Sprint],MATCH($A17,SprintPlanning[Requirement ID],0))),"")</f>
        <v/>
      </c>
      <c r="G17" s="21" t="n"/>
      <c r="H17" s="38" t="n"/>
      <c r="I17" s="21" t="n"/>
      <c r="J17" s="23">
        <f>IFERROR(IF(ISBLANK(INDEX(Backlog[Priority],MATCH($A17,Backlog[Requirement ID],0))),"",INDEX(Backlog[Priority],MATCH($A17,Backlog[Requirement ID],0))),"")</f>
        <v/>
      </c>
      <c r="K17" s="21" t="n"/>
      <c r="L17" s="21" t="n"/>
    </row>
    <row r="18" ht="15" customHeight="1">
      <c r="A18" s="21" t="inlineStr">
        <is>
          <t>NEW-0032</t>
        </is>
      </c>
      <c r="B18" s="23">
        <f>IFERROR(IF(ISBLANK(INDEX(Backlog[Requirement Name],MATCH($A18,Backlog[Requirement ID],0))),"",INDEX(Backlog[Requirement Name],MATCH($A18,Backlog[Requirement ID],0))),"")</f>
        <v/>
      </c>
      <c r="C18" s="23">
        <f>IFERROR(IF(ISBLANK(INDEX(Backlog[Stream],MATCH($A18,Backlog[Requirement ID],0))),"",INDEX(Backlog[Stream],MATCH($A18,Backlog[Requirement ID],0))),"")</f>
        <v/>
      </c>
      <c r="D18" s="23">
        <f>IFERROR(IF(ISBLANK(INDEX(Backlog[Jira Link],MATCH($A18,Backlog[Requirement ID],0))),"",INDEX(Backlog[Jira Link],MATCH($A18,Backlog[Requirement ID],0))),"")</f>
        <v/>
      </c>
      <c r="E18" s="23">
        <f>IFERROR(IF(ISBLANK(INDEX(Backlog[Status],MATCH($A18,Backlog[Requirement ID],0))),"",INDEX(Backlog[Status],MATCH($A18,Backlog[Requirement ID],0))),"")</f>
        <v/>
      </c>
      <c r="F18" s="23">
        <f>IFERROR(IF(ISBLANK(INDEX(SprintPlanning[Sprint],MATCH($A18,SprintPlanning[Requirement ID],0))),"",INDEX(SprintPlanning[Sprint],MATCH($A18,SprintPlanning[Requirement ID],0))),"")</f>
        <v/>
      </c>
      <c r="G18" s="21" t="n"/>
      <c r="H18" s="38" t="n"/>
      <c r="I18" s="21" t="n"/>
      <c r="J18" s="23">
        <f>IFERROR(IF(ISBLANK(INDEX(Backlog[Priority],MATCH($A18,Backlog[Requirement ID],0))),"",INDEX(Backlog[Priority],MATCH($A18,Backlog[Requirement ID],0))),"")</f>
        <v/>
      </c>
      <c r="K18" s="21" t="n"/>
      <c r="L18" s="21" t="n"/>
    </row>
    <row r="19" ht="15" customHeight="1">
      <c r="A19" s="21" t="inlineStr">
        <is>
          <t>NEW-0033</t>
        </is>
      </c>
      <c r="B19" s="23">
        <f>IFERROR(IF(ISBLANK(INDEX(Backlog[Requirement Name],MATCH($A19,Backlog[Requirement ID],0))),"",INDEX(Backlog[Requirement Name],MATCH($A19,Backlog[Requirement ID],0))),"")</f>
        <v/>
      </c>
      <c r="C19" s="23">
        <f>IFERROR(IF(ISBLANK(INDEX(Backlog[Stream],MATCH($A19,Backlog[Requirement ID],0))),"",INDEX(Backlog[Stream],MATCH($A19,Backlog[Requirement ID],0))),"")</f>
        <v/>
      </c>
      <c r="D19" s="23">
        <f>IFERROR(IF(ISBLANK(INDEX(Backlog[Jira Link],MATCH($A19,Backlog[Requirement ID],0))),"",INDEX(Backlog[Jira Link],MATCH($A19,Backlog[Requirement ID],0))),"")</f>
        <v/>
      </c>
      <c r="E19" s="23">
        <f>IFERROR(IF(ISBLANK(INDEX(Backlog[Status],MATCH($A19,Backlog[Requirement ID],0))),"",INDEX(Backlog[Status],MATCH($A19,Backlog[Requirement ID],0))),"")</f>
        <v/>
      </c>
      <c r="F19" s="23">
        <f>IFERROR(IF(ISBLANK(INDEX(SprintPlanning[Sprint],MATCH($A19,SprintPlanning[Requirement ID],0))),"",INDEX(SprintPlanning[Sprint],MATCH($A19,SprintPlanning[Requirement ID],0))),"")</f>
        <v/>
      </c>
      <c r="G19" s="21" t="n"/>
      <c r="H19" s="38" t="n"/>
      <c r="I19" s="21" t="n"/>
      <c r="J19" s="23">
        <f>IFERROR(IF(ISBLANK(INDEX(Backlog[Priority],MATCH($A19,Backlog[Requirement ID],0))),"",INDEX(Backlog[Priority],MATCH($A19,Backlog[Requirement ID],0))),"")</f>
        <v/>
      </c>
      <c r="K19" s="21" t="n"/>
      <c r="L19" s="21" t="n"/>
    </row>
    <row r="20" ht="15" customHeight="1">
      <c r="A20" s="21" t="inlineStr">
        <is>
          <t>NEW-0043</t>
        </is>
      </c>
      <c r="B20" s="23">
        <f>IFERROR(IF(ISBLANK(INDEX(Backlog[Requirement Name],MATCH($A20,Backlog[Requirement ID],0))),"",INDEX(Backlog[Requirement Name],MATCH($A20,Backlog[Requirement ID],0))),"")</f>
        <v/>
      </c>
      <c r="C20" s="23">
        <f>IFERROR(IF(ISBLANK(INDEX(Backlog[Stream],MATCH($A20,Backlog[Requirement ID],0))),"",INDEX(Backlog[Stream],MATCH($A20,Backlog[Requirement ID],0))),"")</f>
        <v/>
      </c>
      <c r="D20" s="23">
        <f>IFERROR(IF(ISBLANK(INDEX(Backlog[Jira Link],MATCH($A20,Backlog[Requirement ID],0))),"",INDEX(Backlog[Jira Link],MATCH($A20,Backlog[Requirement ID],0))),"")</f>
        <v/>
      </c>
      <c r="E20" s="23">
        <f>IFERROR(IF(ISBLANK(INDEX(Backlog[Status],MATCH($A20,Backlog[Requirement ID],0))),"",INDEX(Backlog[Status],MATCH($A20,Backlog[Requirement ID],0))),"")</f>
        <v/>
      </c>
      <c r="F20" s="23">
        <f>IFERROR(IF(ISBLANK(INDEX(SprintPlanning[Sprint],MATCH($A20,SprintPlanning[Requirement ID],0))),"",INDEX(SprintPlanning[Sprint],MATCH($A20,SprintPlanning[Requirement ID],0))),"")</f>
        <v/>
      </c>
      <c r="G20" s="21" t="n"/>
      <c r="H20" s="38" t="n"/>
      <c r="I20" s="21" t="n"/>
      <c r="J20" s="23">
        <f>IFERROR(IF(ISBLANK(INDEX(Backlog[Priority],MATCH($A20,Backlog[Requirement ID],0))),"",INDEX(Backlog[Priority],MATCH($A20,Backlog[Requirement ID],0))),"")</f>
        <v/>
      </c>
      <c r="K20" s="21" t="n"/>
      <c r="L20" s="21" t="n"/>
    </row>
    <row r="21" ht="15" customHeight="1">
      <c r="A21" s="21" t="inlineStr">
        <is>
          <t>NEW-0044</t>
        </is>
      </c>
      <c r="B21" s="23">
        <f>IFERROR(IF(ISBLANK(INDEX(Backlog[Requirement Name],MATCH($A21,Backlog[Requirement ID],0))),"",INDEX(Backlog[Requirement Name],MATCH($A21,Backlog[Requirement ID],0))),"")</f>
        <v/>
      </c>
      <c r="C21" s="23">
        <f>IFERROR(IF(ISBLANK(INDEX(Backlog[Stream],MATCH($A21,Backlog[Requirement ID],0))),"",INDEX(Backlog[Stream],MATCH($A21,Backlog[Requirement ID],0))),"")</f>
        <v/>
      </c>
      <c r="D21" s="23">
        <f>IFERROR(IF(ISBLANK(INDEX(Backlog[Jira Link],MATCH($A21,Backlog[Requirement ID],0))),"",INDEX(Backlog[Jira Link],MATCH($A21,Backlog[Requirement ID],0))),"")</f>
        <v/>
      </c>
      <c r="E21" s="23">
        <f>IFERROR(IF(ISBLANK(INDEX(Backlog[Status],MATCH($A21,Backlog[Requirement ID],0))),"",INDEX(Backlog[Status],MATCH($A21,Backlog[Requirement ID],0))),"")</f>
        <v/>
      </c>
      <c r="F21" s="23">
        <f>IFERROR(IF(ISBLANK(INDEX(SprintPlanning[Sprint],MATCH($A21,SprintPlanning[Requirement ID],0))),"",INDEX(SprintPlanning[Sprint],MATCH($A21,SprintPlanning[Requirement ID],0))),"")</f>
        <v/>
      </c>
      <c r="G21" s="21" t="n"/>
      <c r="H21" s="38" t="n"/>
      <c r="I21" s="21" t="n"/>
      <c r="J21" s="23">
        <f>IFERROR(IF(ISBLANK(INDEX(Backlog[Priority],MATCH($A21,Backlog[Requirement ID],0))),"",INDEX(Backlog[Priority],MATCH($A21,Backlog[Requirement ID],0))),"")</f>
        <v/>
      </c>
      <c r="K21" s="21" t="n"/>
      <c r="L21" s="21" t="n"/>
    </row>
    <row r="22" ht="15" customHeight="1">
      <c r="A22" s="21" t="inlineStr">
        <is>
          <t>NEW-0047</t>
        </is>
      </c>
      <c r="B22" s="23">
        <f>IFERROR(IF(ISBLANK(INDEX(Backlog[Requirement Name],MATCH($A22,Backlog[Requirement ID],0))),"",INDEX(Backlog[Requirement Name],MATCH($A22,Backlog[Requirement ID],0))),"")</f>
        <v/>
      </c>
      <c r="C22" s="23">
        <f>IFERROR(IF(ISBLANK(INDEX(Backlog[Stream],MATCH($A22,Backlog[Requirement ID],0))),"",INDEX(Backlog[Stream],MATCH($A22,Backlog[Requirement ID],0))),"")</f>
        <v/>
      </c>
      <c r="D22" s="23">
        <f>IFERROR(IF(ISBLANK(INDEX(Backlog[Jira Link],MATCH($A22,Backlog[Requirement ID],0))),"",INDEX(Backlog[Jira Link],MATCH($A22,Backlog[Requirement ID],0))),"")</f>
        <v/>
      </c>
      <c r="E22" s="23">
        <f>IFERROR(IF(ISBLANK(INDEX(Backlog[Status],MATCH($A22,Backlog[Requirement ID],0))),"",INDEX(Backlog[Status],MATCH($A22,Backlog[Requirement ID],0))),"")</f>
        <v/>
      </c>
      <c r="F22" s="23">
        <f>IFERROR(IF(ISBLANK(INDEX(SprintPlanning[Sprint],MATCH($A22,SprintPlanning[Requirement ID],0))),"",INDEX(SprintPlanning[Sprint],MATCH($A22,SprintPlanning[Requirement ID],0))),"")</f>
        <v/>
      </c>
      <c r="G22" s="21" t="n"/>
      <c r="H22" s="38" t="n"/>
      <c r="I22" s="21" t="n"/>
      <c r="J22" s="23">
        <f>IFERROR(IF(ISBLANK(INDEX(Backlog[Priority],MATCH($A22,Backlog[Requirement ID],0))),"",INDEX(Backlog[Priority],MATCH($A22,Backlog[Requirement ID],0))),"")</f>
        <v/>
      </c>
      <c r="K22" s="21" t="n"/>
      <c r="L22" s="21" t="n"/>
    </row>
    <row r="23" ht="15" customHeight="1">
      <c r="A23" s="21" t="inlineStr">
        <is>
          <t>NEW-0048</t>
        </is>
      </c>
      <c r="B23" s="23">
        <f>IFERROR(IF(ISBLANK(INDEX(Backlog[Requirement Name],MATCH($A23,Backlog[Requirement ID],0))),"",INDEX(Backlog[Requirement Name],MATCH($A23,Backlog[Requirement ID],0))),"")</f>
        <v/>
      </c>
      <c r="C23" s="23">
        <f>IFERROR(IF(ISBLANK(INDEX(Backlog[Stream],MATCH($A23,Backlog[Requirement ID],0))),"",INDEX(Backlog[Stream],MATCH($A23,Backlog[Requirement ID],0))),"")</f>
        <v/>
      </c>
      <c r="D23" s="23">
        <f>IFERROR(IF(ISBLANK(INDEX(Backlog[Jira Link],MATCH($A23,Backlog[Requirement ID],0))),"",INDEX(Backlog[Jira Link],MATCH($A23,Backlog[Requirement ID],0))),"")</f>
        <v/>
      </c>
      <c r="E23" s="23">
        <f>IFERROR(IF(ISBLANK(INDEX(Backlog[Status],MATCH($A23,Backlog[Requirement ID],0))),"",INDEX(Backlog[Status],MATCH($A23,Backlog[Requirement ID],0))),"")</f>
        <v/>
      </c>
      <c r="F23" s="23">
        <f>IFERROR(IF(ISBLANK(INDEX(SprintPlanning[Sprint],MATCH($A23,SprintPlanning[Requirement ID],0))),"",INDEX(SprintPlanning[Sprint],MATCH($A23,SprintPlanning[Requirement ID],0))),"")</f>
        <v/>
      </c>
      <c r="G23" s="21" t="n"/>
      <c r="H23" s="38" t="n"/>
      <c r="I23" s="21" t="n"/>
      <c r="J23" s="23">
        <f>IFERROR(IF(ISBLANK(INDEX(Backlog[Priority],MATCH($A23,Backlog[Requirement ID],0))),"",INDEX(Backlog[Priority],MATCH($A23,Backlog[Requirement ID],0))),"")</f>
        <v/>
      </c>
      <c r="K23" s="21" t="n"/>
      <c r="L23" s="21" t="n"/>
    </row>
    <row r="24" ht="15" customHeight="1">
      <c r="A24" s="21" t="inlineStr">
        <is>
          <t>NEW-0049</t>
        </is>
      </c>
      <c r="B24" s="23">
        <f>IFERROR(IF(ISBLANK(INDEX(Backlog[Requirement Name],MATCH($A24,Backlog[Requirement ID],0))),"",INDEX(Backlog[Requirement Name],MATCH($A24,Backlog[Requirement ID],0))),"")</f>
        <v/>
      </c>
      <c r="C24" s="23">
        <f>IFERROR(IF(ISBLANK(INDEX(Backlog[Stream],MATCH($A24,Backlog[Requirement ID],0))),"",INDEX(Backlog[Stream],MATCH($A24,Backlog[Requirement ID],0))),"")</f>
        <v/>
      </c>
      <c r="D24" s="23">
        <f>IFERROR(IF(ISBLANK(INDEX(Backlog[Jira Link],MATCH($A24,Backlog[Requirement ID],0))),"",INDEX(Backlog[Jira Link],MATCH($A24,Backlog[Requirement ID],0))),"")</f>
        <v/>
      </c>
      <c r="E24" s="23">
        <f>IFERROR(IF(ISBLANK(INDEX(Backlog[Status],MATCH($A24,Backlog[Requirement ID],0))),"",INDEX(Backlog[Status],MATCH($A24,Backlog[Requirement ID],0))),"")</f>
        <v/>
      </c>
      <c r="F24" s="23">
        <f>IFERROR(IF(ISBLANK(INDEX(SprintPlanning[Sprint],MATCH($A24,SprintPlanning[Requirement ID],0))),"",INDEX(SprintPlanning[Sprint],MATCH($A24,SprintPlanning[Requirement ID],0))),"")</f>
        <v/>
      </c>
      <c r="G24" s="21" t="n"/>
      <c r="H24" s="38" t="n"/>
      <c r="I24" s="21" t="n"/>
      <c r="J24" s="23">
        <f>IFERROR(IF(ISBLANK(INDEX(Backlog[Priority],MATCH($A24,Backlog[Requirement ID],0))),"",INDEX(Backlog[Priority],MATCH($A24,Backlog[Requirement ID],0))),"")</f>
        <v/>
      </c>
      <c r="K24" s="21" t="n"/>
      <c r="L24" s="21" t="n"/>
    </row>
    <row r="25" ht="15" customHeight="1">
      <c r="A25" s="21" t="inlineStr">
        <is>
          <t>NEW-0050</t>
        </is>
      </c>
      <c r="B25" s="23">
        <f>IFERROR(IF(ISBLANK(INDEX(Backlog[Requirement Name],MATCH($A25,Backlog[Requirement ID],0))),"",INDEX(Backlog[Requirement Name],MATCH($A25,Backlog[Requirement ID],0))),"")</f>
        <v/>
      </c>
      <c r="C25" s="23">
        <f>IFERROR(IF(ISBLANK(INDEX(Backlog[Stream],MATCH($A25,Backlog[Requirement ID],0))),"",INDEX(Backlog[Stream],MATCH($A25,Backlog[Requirement ID],0))),"")</f>
        <v/>
      </c>
      <c r="D25" s="23">
        <f>IFERROR(IF(ISBLANK(INDEX(Backlog[Jira Link],MATCH($A25,Backlog[Requirement ID],0))),"",INDEX(Backlog[Jira Link],MATCH($A25,Backlog[Requirement ID],0))),"")</f>
        <v/>
      </c>
      <c r="E25" s="23">
        <f>IFERROR(IF(ISBLANK(INDEX(Backlog[Status],MATCH($A25,Backlog[Requirement ID],0))),"",INDEX(Backlog[Status],MATCH($A25,Backlog[Requirement ID],0))),"")</f>
        <v/>
      </c>
      <c r="F25" s="23">
        <f>IFERROR(IF(ISBLANK(INDEX(SprintPlanning[Sprint],MATCH($A25,SprintPlanning[Requirement ID],0))),"",INDEX(SprintPlanning[Sprint],MATCH($A25,SprintPlanning[Requirement ID],0))),"")</f>
        <v/>
      </c>
      <c r="G25" s="21" t="n"/>
      <c r="H25" s="38" t="n"/>
      <c r="I25" s="21" t="n"/>
      <c r="J25" s="23">
        <f>IFERROR(IF(ISBLANK(INDEX(Backlog[Priority],MATCH($A25,Backlog[Requirement ID],0))),"",INDEX(Backlog[Priority],MATCH($A25,Backlog[Requirement ID],0))),"")</f>
        <v/>
      </c>
      <c r="K25" s="21" t="n"/>
      <c r="L25" s="21" t="n"/>
    </row>
    <row r="26" ht="15" customHeight="1">
      <c r="A26" s="21" t="inlineStr">
        <is>
          <t>NEW-0051</t>
        </is>
      </c>
      <c r="B26" s="23">
        <f>IFERROR(IF(ISBLANK(INDEX(Backlog[Requirement Name],MATCH($A26,Backlog[Requirement ID],0))),"",INDEX(Backlog[Requirement Name],MATCH($A26,Backlog[Requirement ID],0))),"")</f>
        <v/>
      </c>
      <c r="C26" s="23">
        <f>IFERROR(IF(ISBLANK(INDEX(Backlog[Stream],MATCH($A26,Backlog[Requirement ID],0))),"",INDEX(Backlog[Stream],MATCH($A26,Backlog[Requirement ID],0))),"")</f>
        <v/>
      </c>
      <c r="D26" s="23">
        <f>IFERROR(IF(ISBLANK(INDEX(Backlog[Jira Link],MATCH($A26,Backlog[Requirement ID],0))),"",INDEX(Backlog[Jira Link],MATCH($A26,Backlog[Requirement ID],0))),"")</f>
        <v/>
      </c>
      <c r="E26" s="23">
        <f>IFERROR(IF(ISBLANK(INDEX(Backlog[Status],MATCH($A26,Backlog[Requirement ID],0))),"",INDEX(Backlog[Status],MATCH($A26,Backlog[Requirement ID],0))),"")</f>
        <v/>
      </c>
      <c r="F26" s="23">
        <f>IFERROR(IF(ISBLANK(INDEX(SprintPlanning[Sprint],MATCH($A26,SprintPlanning[Requirement ID],0))),"",INDEX(SprintPlanning[Sprint],MATCH($A26,SprintPlanning[Requirement ID],0))),"")</f>
        <v/>
      </c>
      <c r="G26" s="21" t="n"/>
      <c r="H26" s="38" t="n"/>
      <c r="I26" s="21" t="n"/>
      <c r="J26" s="23">
        <f>IFERROR(IF(ISBLANK(INDEX(Backlog[Priority],MATCH($A26,Backlog[Requirement ID],0))),"",INDEX(Backlog[Priority],MATCH($A26,Backlog[Requirement ID],0))),"")</f>
        <v/>
      </c>
      <c r="K26" s="21" t="n"/>
      <c r="L26" s="21" t="n"/>
    </row>
    <row r="27" ht="15" customHeight="1">
      <c r="A27" s="21" t="inlineStr">
        <is>
          <t>NEW-0053</t>
        </is>
      </c>
      <c r="B27" s="23">
        <f>IFERROR(IF(ISBLANK(INDEX(Backlog[Requirement Name],MATCH($A27,Backlog[Requirement ID],0))),"",INDEX(Backlog[Requirement Name],MATCH($A27,Backlog[Requirement ID],0))),"")</f>
        <v/>
      </c>
      <c r="C27" s="23">
        <f>IFERROR(IF(ISBLANK(INDEX(Backlog[Stream],MATCH($A27,Backlog[Requirement ID],0))),"",INDEX(Backlog[Stream],MATCH($A27,Backlog[Requirement ID],0))),"")</f>
        <v/>
      </c>
      <c r="D27" s="23">
        <f>IFERROR(IF(ISBLANK(INDEX(Backlog[Jira Link],MATCH($A27,Backlog[Requirement ID],0))),"",INDEX(Backlog[Jira Link],MATCH($A27,Backlog[Requirement ID],0))),"")</f>
        <v/>
      </c>
      <c r="E27" s="23">
        <f>IFERROR(IF(ISBLANK(INDEX(Backlog[Status],MATCH($A27,Backlog[Requirement ID],0))),"",INDEX(Backlog[Status],MATCH($A27,Backlog[Requirement ID],0))),"")</f>
        <v/>
      </c>
      <c r="F27" s="23">
        <f>IFERROR(IF(ISBLANK(INDEX(SprintPlanning[Sprint],MATCH($A27,SprintPlanning[Requirement ID],0))),"",INDEX(SprintPlanning[Sprint],MATCH($A27,SprintPlanning[Requirement ID],0))),"")</f>
        <v/>
      </c>
      <c r="G27" s="21" t="n"/>
      <c r="H27" s="38" t="n"/>
      <c r="I27" s="21" t="n"/>
      <c r="J27" s="23">
        <f>IFERROR(IF(ISBLANK(INDEX(Backlog[Priority],MATCH($A27,Backlog[Requirement ID],0))),"",INDEX(Backlog[Priority],MATCH($A27,Backlog[Requirement ID],0))),"")</f>
        <v/>
      </c>
      <c r="K27" s="21" t="n"/>
      <c r="L27" s="21" t="n"/>
    </row>
    <row r="28" ht="15" customHeight="1">
      <c r="A28" s="21" t="inlineStr">
        <is>
          <t>NEW-0055</t>
        </is>
      </c>
      <c r="B28" s="23">
        <f>IFERROR(IF(ISBLANK(INDEX(Backlog[Requirement Name],MATCH($A28,Backlog[Requirement ID],0))),"",INDEX(Backlog[Requirement Name],MATCH($A28,Backlog[Requirement ID],0))),"")</f>
        <v/>
      </c>
      <c r="C28" s="23">
        <f>IFERROR(IF(ISBLANK(INDEX(Backlog[Stream],MATCH($A28,Backlog[Requirement ID],0))),"",INDEX(Backlog[Stream],MATCH($A28,Backlog[Requirement ID],0))),"")</f>
        <v/>
      </c>
      <c r="D28" s="23">
        <f>IFERROR(IF(ISBLANK(INDEX(Backlog[Jira Link],MATCH($A28,Backlog[Requirement ID],0))),"",INDEX(Backlog[Jira Link],MATCH($A28,Backlog[Requirement ID],0))),"")</f>
        <v/>
      </c>
      <c r="E28" s="23">
        <f>IFERROR(IF(ISBLANK(INDEX(Backlog[Status],MATCH($A28,Backlog[Requirement ID],0))),"",INDEX(Backlog[Status],MATCH($A28,Backlog[Requirement ID],0))),"")</f>
        <v/>
      </c>
      <c r="F28" s="23">
        <f>IFERROR(IF(ISBLANK(INDEX(SprintPlanning[Sprint],MATCH($A28,SprintPlanning[Requirement ID],0))),"",INDEX(SprintPlanning[Sprint],MATCH($A28,SprintPlanning[Requirement ID],0))),"")</f>
        <v/>
      </c>
      <c r="G28" s="21" t="n"/>
      <c r="H28" s="38" t="n"/>
      <c r="I28" s="21" t="n"/>
      <c r="J28" s="23">
        <f>IFERROR(IF(ISBLANK(INDEX(Backlog[Priority],MATCH($A28,Backlog[Requirement ID],0))),"",INDEX(Backlog[Priority],MATCH($A28,Backlog[Requirement ID],0))),"")</f>
        <v/>
      </c>
      <c r="K28" s="21" t="n"/>
      <c r="L28" s="21" t="n"/>
    </row>
    <row r="29" ht="15" customHeight="1">
      <c r="A29" s="21" t="inlineStr">
        <is>
          <t>NEW-0057</t>
        </is>
      </c>
      <c r="B29" s="23">
        <f>IFERROR(IF(ISBLANK(INDEX(Backlog[Requirement Name],MATCH($A29,Backlog[Requirement ID],0))),"",INDEX(Backlog[Requirement Name],MATCH($A29,Backlog[Requirement ID],0))),"")</f>
        <v/>
      </c>
      <c r="C29" s="23">
        <f>IFERROR(IF(ISBLANK(INDEX(Backlog[Stream],MATCH($A29,Backlog[Requirement ID],0))),"",INDEX(Backlog[Stream],MATCH($A29,Backlog[Requirement ID],0))),"")</f>
        <v/>
      </c>
      <c r="D29" s="23">
        <f>IFERROR(IF(ISBLANK(INDEX(Backlog[Jira Link],MATCH($A29,Backlog[Requirement ID],0))),"",INDEX(Backlog[Jira Link],MATCH($A29,Backlog[Requirement ID],0))),"")</f>
        <v/>
      </c>
      <c r="E29" s="23">
        <f>IFERROR(IF(ISBLANK(INDEX(Backlog[Status],MATCH($A29,Backlog[Requirement ID],0))),"",INDEX(Backlog[Status],MATCH($A29,Backlog[Requirement ID],0))),"")</f>
        <v/>
      </c>
      <c r="F29" s="23">
        <f>IFERROR(IF(ISBLANK(INDEX(SprintPlanning[Sprint],MATCH($A29,SprintPlanning[Requirement ID],0))),"",INDEX(SprintPlanning[Sprint],MATCH($A29,SprintPlanning[Requirement ID],0))),"")</f>
        <v/>
      </c>
      <c r="G29" s="21" t="n"/>
      <c r="H29" s="38" t="n"/>
      <c r="I29" s="21" t="n"/>
      <c r="J29" s="23">
        <f>IFERROR(IF(ISBLANK(INDEX(Backlog[Priority],MATCH($A29,Backlog[Requirement ID],0))),"",INDEX(Backlog[Priority],MATCH($A29,Backlog[Requirement ID],0))),"")</f>
        <v/>
      </c>
      <c r="K29" s="21" t="n"/>
      <c r="L29" s="21" t="n"/>
    </row>
    <row r="30" ht="15" customHeight="1">
      <c r="A30" s="21" t="inlineStr">
        <is>
          <t>NEW-0058</t>
        </is>
      </c>
      <c r="B30" s="23">
        <f>IFERROR(IF(ISBLANK(INDEX(Backlog[Requirement Name],MATCH($A30,Backlog[Requirement ID],0))),"",INDEX(Backlog[Requirement Name],MATCH($A30,Backlog[Requirement ID],0))),"")</f>
        <v/>
      </c>
      <c r="C30" s="23">
        <f>IFERROR(IF(ISBLANK(INDEX(Backlog[Stream],MATCH($A30,Backlog[Requirement ID],0))),"",INDEX(Backlog[Stream],MATCH($A30,Backlog[Requirement ID],0))),"")</f>
        <v/>
      </c>
      <c r="D30" s="23">
        <f>IFERROR(IF(ISBLANK(INDEX(Backlog[Jira Link],MATCH($A30,Backlog[Requirement ID],0))),"",INDEX(Backlog[Jira Link],MATCH($A30,Backlog[Requirement ID],0))),"")</f>
        <v/>
      </c>
      <c r="E30" s="23">
        <f>IFERROR(IF(ISBLANK(INDEX(Backlog[Status],MATCH($A30,Backlog[Requirement ID],0))),"",INDEX(Backlog[Status],MATCH($A30,Backlog[Requirement ID],0))),"")</f>
        <v/>
      </c>
      <c r="F30" s="23">
        <f>IFERROR(IF(ISBLANK(INDEX(SprintPlanning[Sprint],MATCH($A30,SprintPlanning[Requirement ID],0))),"",INDEX(SprintPlanning[Sprint],MATCH($A30,SprintPlanning[Requirement ID],0))),"")</f>
        <v/>
      </c>
      <c r="G30" s="21" t="n"/>
      <c r="H30" s="38" t="n"/>
      <c r="I30" s="21" t="n"/>
      <c r="J30" s="23">
        <f>IFERROR(IF(ISBLANK(INDEX(Backlog[Priority],MATCH($A30,Backlog[Requirement ID],0))),"",INDEX(Backlog[Priority],MATCH($A30,Backlog[Requirement ID],0))),"")</f>
        <v/>
      </c>
      <c r="K30" s="21" t="n"/>
      <c r="L30" s="21" t="n"/>
    </row>
    <row r="31" ht="15" customHeight="1">
      <c r="A31" s="21" t="inlineStr">
        <is>
          <t>NEW-0060</t>
        </is>
      </c>
      <c r="B31" s="23">
        <f>IFERROR(IF(ISBLANK(INDEX(Backlog[Requirement Name],MATCH($A31,Backlog[Requirement ID],0))),"",INDEX(Backlog[Requirement Name],MATCH($A31,Backlog[Requirement ID],0))),"")</f>
        <v/>
      </c>
      <c r="C31" s="23">
        <f>IFERROR(IF(ISBLANK(INDEX(Backlog[Stream],MATCH($A31,Backlog[Requirement ID],0))),"",INDEX(Backlog[Stream],MATCH($A31,Backlog[Requirement ID],0))),"")</f>
        <v/>
      </c>
      <c r="D31" s="23">
        <f>IFERROR(IF(ISBLANK(INDEX(Backlog[Jira Link],MATCH($A31,Backlog[Requirement ID],0))),"",INDEX(Backlog[Jira Link],MATCH($A31,Backlog[Requirement ID],0))),"")</f>
        <v/>
      </c>
      <c r="E31" s="23">
        <f>IFERROR(IF(ISBLANK(INDEX(Backlog[Status],MATCH($A31,Backlog[Requirement ID],0))),"",INDEX(Backlog[Status],MATCH($A31,Backlog[Requirement ID],0))),"")</f>
        <v/>
      </c>
      <c r="F31" s="23">
        <f>IFERROR(IF(ISBLANK(INDEX(SprintPlanning[Sprint],MATCH($A31,SprintPlanning[Requirement ID],0))),"",INDEX(SprintPlanning[Sprint],MATCH($A31,SprintPlanning[Requirement ID],0))),"")</f>
        <v/>
      </c>
      <c r="G31" s="21" t="n"/>
      <c r="H31" s="38" t="n"/>
      <c r="I31" s="21" t="n"/>
      <c r="J31" s="23">
        <f>IFERROR(IF(ISBLANK(INDEX(Backlog[Priority],MATCH($A31,Backlog[Requirement ID],0))),"",INDEX(Backlog[Priority],MATCH($A31,Backlog[Requirement ID],0))),"")</f>
        <v/>
      </c>
      <c r="K31" s="21" t="n"/>
      <c r="L31" s="21" t="n"/>
    </row>
    <row r="32" ht="15" customHeight="1">
      <c r="A32" s="21" t="inlineStr">
        <is>
          <t>NEW-0061</t>
        </is>
      </c>
      <c r="B32" s="23">
        <f>IFERROR(IF(ISBLANK(INDEX(Backlog[Requirement Name],MATCH($A32,Backlog[Requirement ID],0))),"",INDEX(Backlog[Requirement Name],MATCH($A32,Backlog[Requirement ID],0))),"")</f>
        <v/>
      </c>
      <c r="C32" s="23">
        <f>IFERROR(IF(ISBLANK(INDEX(Backlog[Stream],MATCH($A32,Backlog[Requirement ID],0))),"",INDEX(Backlog[Stream],MATCH($A32,Backlog[Requirement ID],0))),"")</f>
        <v/>
      </c>
      <c r="D32" s="23">
        <f>IFERROR(IF(ISBLANK(INDEX(Backlog[Jira Link],MATCH($A32,Backlog[Requirement ID],0))),"",INDEX(Backlog[Jira Link],MATCH($A32,Backlog[Requirement ID],0))),"")</f>
        <v/>
      </c>
      <c r="E32" s="23">
        <f>IFERROR(IF(ISBLANK(INDEX(Backlog[Status],MATCH($A32,Backlog[Requirement ID],0))),"",INDEX(Backlog[Status],MATCH($A32,Backlog[Requirement ID],0))),"")</f>
        <v/>
      </c>
      <c r="F32" s="23">
        <f>IFERROR(IF(ISBLANK(INDEX(SprintPlanning[Sprint],MATCH($A32,SprintPlanning[Requirement ID],0))),"",INDEX(SprintPlanning[Sprint],MATCH($A32,SprintPlanning[Requirement ID],0))),"")</f>
        <v/>
      </c>
      <c r="G32" s="21" t="n"/>
      <c r="H32" s="38" t="n"/>
      <c r="I32" s="21" t="n"/>
      <c r="J32" s="23">
        <f>IFERROR(IF(ISBLANK(INDEX(Backlog[Priority],MATCH($A32,Backlog[Requirement ID],0))),"",INDEX(Backlog[Priority],MATCH($A32,Backlog[Requirement ID],0))),"")</f>
        <v/>
      </c>
      <c r="K32" s="21" t="n"/>
      <c r="L32" s="21" t="n"/>
    </row>
    <row r="33" ht="15" customHeight="1">
      <c r="A33" s="21" t="inlineStr">
        <is>
          <t>NEW-0063</t>
        </is>
      </c>
      <c r="B33" s="23">
        <f>IFERROR(IF(ISBLANK(INDEX(Backlog[Requirement Name],MATCH($A33,Backlog[Requirement ID],0))),"",INDEX(Backlog[Requirement Name],MATCH($A33,Backlog[Requirement ID],0))),"")</f>
        <v/>
      </c>
      <c r="C33" s="23">
        <f>IFERROR(IF(ISBLANK(INDEX(Backlog[Stream],MATCH($A33,Backlog[Requirement ID],0))),"",INDEX(Backlog[Stream],MATCH($A33,Backlog[Requirement ID],0))),"")</f>
        <v/>
      </c>
      <c r="D33" s="23">
        <f>IFERROR(IF(ISBLANK(INDEX(Backlog[Jira Link],MATCH($A33,Backlog[Requirement ID],0))),"",INDEX(Backlog[Jira Link],MATCH($A33,Backlog[Requirement ID],0))),"")</f>
        <v/>
      </c>
      <c r="E33" s="23">
        <f>IFERROR(IF(ISBLANK(INDEX(Backlog[Status],MATCH($A33,Backlog[Requirement ID],0))),"",INDEX(Backlog[Status],MATCH($A33,Backlog[Requirement ID],0))),"")</f>
        <v/>
      </c>
      <c r="F33" s="23">
        <f>IFERROR(IF(ISBLANK(INDEX(SprintPlanning[Sprint],MATCH($A33,SprintPlanning[Requirement ID],0))),"",INDEX(SprintPlanning[Sprint],MATCH($A33,SprintPlanning[Requirement ID],0))),"")</f>
        <v/>
      </c>
      <c r="G33" s="21" t="n"/>
      <c r="H33" s="38" t="n"/>
      <c r="I33" s="21" t="n"/>
      <c r="J33" s="23">
        <f>IFERROR(IF(ISBLANK(INDEX(Backlog[Priority],MATCH($A33,Backlog[Requirement ID],0))),"",INDEX(Backlog[Priority],MATCH($A33,Backlog[Requirement ID],0))),"")</f>
        <v/>
      </c>
      <c r="K33" s="21" t="n"/>
      <c r="L33" s="21" t="n"/>
    </row>
    <row r="34" ht="15" customHeight="1">
      <c r="A34" s="21" t="inlineStr">
        <is>
          <t>NEW-0064</t>
        </is>
      </c>
      <c r="B34" s="23">
        <f>IFERROR(IF(ISBLANK(INDEX(Backlog[Requirement Name],MATCH($A34,Backlog[Requirement ID],0))),"",INDEX(Backlog[Requirement Name],MATCH($A34,Backlog[Requirement ID],0))),"")</f>
        <v/>
      </c>
      <c r="C34" s="23">
        <f>IFERROR(IF(ISBLANK(INDEX(Backlog[Stream],MATCH($A34,Backlog[Requirement ID],0))),"",INDEX(Backlog[Stream],MATCH($A34,Backlog[Requirement ID],0))),"")</f>
        <v/>
      </c>
      <c r="D34" s="23">
        <f>IFERROR(IF(ISBLANK(INDEX(Backlog[Jira Link],MATCH($A34,Backlog[Requirement ID],0))),"",INDEX(Backlog[Jira Link],MATCH($A34,Backlog[Requirement ID],0))),"")</f>
        <v/>
      </c>
      <c r="E34" s="23">
        <f>IFERROR(IF(ISBLANK(INDEX(Backlog[Status],MATCH($A34,Backlog[Requirement ID],0))),"",INDEX(Backlog[Status],MATCH($A34,Backlog[Requirement ID],0))),"")</f>
        <v/>
      </c>
      <c r="F34" s="23">
        <f>IFERROR(IF(ISBLANK(INDEX(SprintPlanning[Sprint],MATCH($A34,SprintPlanning[Requirement ID],0))),"",INDEX(SprintPlanning[Sprint],MATCH($A34,SprintPlanning[Requirement ID],0))),"")</f>
        <v/>
      </c>
      <c r="G34" s="21" t="n"/>
      <c r="H34" s="38" t="n"/>
      <c r="I34" s="21" t="n"/>
      <c r="J34" s="23">
        <f>IFERROR(IF(ISBLANK(INDEX(Backlog[Priority],MATCH($A34,Backlog[Requirement ID],0))),"",INDEX(Backlog[Priority],MATCH($A34,Backlog[Requirement ID],0))),"")</f>
        <v/>
      </c>
      <c r="K34" s="21" t="n"/>
      <c r="L34" s="21" t="n"/>
    </row>
    <row r="35" ht="15" customHeight="1">
      <c r="A35" s="21" t="inlineStr">
        <is>
          <t>NEW-0065</t>
        </is>
      </c>
      <c r="B35" s="23">
        <f>IFERROR(IF(ISBLANK(INDEX(Backlog[Requirement Name],MATCH($A35,Backlog[Requirement ID],0))),"",INDEX(Backlog[Requirement Name],MATCH($A35,Backlog[Requirement ID],0))),"")</f>
        <v/>
      </c>
      <c r="C35" s="23">
        <f>IFERROR(IF(ISBLANK(INDEX(Backlog[Stream],MATCH($A35,Backlog[Requirement ID],0))),"",INDEX(Backlog[Stream],MATCH($A35,Backlog[Requirement ID],0))),"")</f>
        <v/>
      </c>
      <c r="D35" s="23">
        <f>IFERROR(IF(ISBLANK(INDEX(Backlog[Jira Link],MATCH($A35,Backlog[Requirement ID],0))),"",INDEX(Backlog[Jira Link],MATCH($A35,Backlog[Requirement ID],0))),"")</f>
        <v/>
      </c>
      <c r="E35" s="23">
        <f>IFERROR(IF(ISBLANK(INDEX(Backlog[Status],MATCH($A35,Backlog[Requirement ID],0))),"",INDEX(Backlog[Status],MATCH($A35,Backlog[Requirement ID],0))),"")</f>
        <v/>
      </c>
      <c r="F35" s="23">
        <f>IFERROR(IF(ISBLANK(INDEX(SprintPlanning[Sprint],MATCH($A35,SprintPlanning[Requirement ID],0))),"",INDEX(SprintPlanning[Sprint],MATCH($A35,SprintPlanning[Requirement ID],0))),"")</f>
        <v/>
      </c>
      <c r="G35" s="21" t="n"/>
      <c r="H35" s="38" t="n"/>
      <c r="I35" s="21" t="n"/>
      <c r="J35" s="23">
        <f>IFERROR(IF(ISBLANK(INDEX(Backlog[Priority],MATCH($A35,Backlog[Requirement ID],0))),"",INDEX(Backlog[Priority],MATCH($A35,Backlog[Requirement ID],0))),"")</f>
        <v/>
      </c>
      <c r="K35" s="21" t="n"/>
      <c r="L35" s="21" t="n"/>
    </row>
    <row r="36" ht="15" customHeight="1">
      <c r="A36" s="21" t="inlineStr">
        <is>
          <t>NEW-0066</t>
        </is>
      </c>
      <c r="B36" s="23">
        <f>IFERROR(IF(ISBLANK(INDEX(Backlog[Requirement Name],MATCH($A36,Backlog[Requirement ID],0))),"",INDEX(Backlog[Requirement Name],MATCH($A36,Backlog[Requirement ID],0))),"")</f>
        <v/>
      </c>
      <c r="C36" s="23">
        <f>IFERROR(IF(ISBLANK(INDEX(Backlog[Stream],MATCH($A36,Backlog[Requirement ID],0))),"",INDEX(Backlog[Stream],MATCH($A36,Backlog[Requirement ID],0))),"")</f>
        <v/>
      </c>
      <c r="D36" s="23">
        <f>IFERROR(IF(ISBLANK(INDEX(Backlog[Jira Link],MATCH($A36,Backlog[Requirement ID],0))),"",INDEX(Backlog[Jira Link],MATCH($A36,Backlog[Requirement ID],0))),"")</f>
        <v/>
      </c>
      <c r="E36" s="23">
        <f>IFERROR(IF(ISBLANK(INDEX(Backlog[Status],MATCH($A36,Backlog[Requirement ID],0))),"",INDEX(Backlog[Status],MATCH($A36,Backlog[Requirement ID],0))),"")</f>
        <v/>
      </c>
      <c r="F36" s="23">
        <f>IFERROR(IF(ISBLANK(INDEX(SprintPlanning[Sprint],MATCH($A36,SprintPlanning[Requirement ID],0))),"",INDEX(SprintPlanning[Sprint],MATCH($A36,SprintPlanning[Requirement ID],0))),"")</f>
        <v/>
      </c>
      <c r="G36" s="21" t="n"/>
      <c r="H36" s="38" t="n"/>
      <c r="I36" s="21" t="n"/>
      <c r="J36" s="23">
        <f>IFERROR(IF(ISBLANK(INDEX(Backlog[Priority],MATCH($A36,Backlog[Requirement ID],0))),"",INDEX(Backlog[Priority],MATCH($A36,Backlog[Requirement ID],0))),"")</f>
        <v/>
      </c>
      <c r="K36" s="21" t="n"/>
      <c r="L36" s="21" t="n"/>
    </row>
    <row r="37" ht="15" customHeight="1">
      <c r="A37" s="21" t="inlineStr">
        <is>
          <t>NEW-0067</t>
        </is>
      </c>
      <c r="B37" s="23">
        <f>IFERROR(IF(ISBLANK(INDEX(Backlog[Requirement Name],MATCH($A37,Backlog[Requirement ID],0))),"",INDEX(Backlog[Requirement Name],MATCH($A37,Backlog[Requirement ID],0))),"")</f>
        <v/>
      </c>
      <c r="C37" s="23">
        <f>IFERROR(IF(ISBLANK(INDEX(Backlog[Stream],MATCH($A37,Backlog[Requirement ID],0))),"",INDEX(Backlog[Stream],MATCH($A37,Backlog[Requirement ID],0))),"")</f>
        <v/>
      </c>
      <c r="D37" s="23">
        <f>IFERROR(IF(ISBLANK(INDEX(Backlog[Jira Link],MATCH($A37,Backlog[Requirement ID],0))),"",INDEX(Backlog[Jira Link],MATCH($A37,Backlog[Requirement ID],0))),"")</f>
        <v/>
      </c>
      <c r="E37" s="23">
        <f>IFERROR(IF(ISBLANK(INDEX(Backlog[Status],MATCH($A37,Backlog[Requirement ID],0))),"",INDEX(Backlog[Status],MATCH($A37,Backlog[Requirement ID],0))),"")</f>
        <v/>
      </c>
      <c r="F37" s="23">
        <f>IFERROR(IF(ISBLANK(INDEX(SprintPlanning[Sprint],MATCH($A37,SprintPlanning[Requirement ID],0))),"",INDEX(SprintPlanning[Sprint],MATCH($A37,SprintPlanning[Requirement ID],0))),"")</f>
        <v/>
      </c>
      <c r="G37" s="21" t="n"/>
      <c r="H37" s="38" t="n"/>
      <c r="I37" s="21" t="n"/>
      <c r="J37" s="23">
        <f>IFERROR(IF(ISBLANK(INDEX(Backlog[Priority],MATCH($A37,Backlog[Requirement ID],0))),"",INDEX(Backlog[Priority],MATCH($A37,Backlog[Requirement ID],0))),"")</f>
        <v/>
      </c>
      <c r="K37" s="21" t="n"/>
      <c r="L37" s="21" t="n"/>
    </row>
    <row r="38" ht="15" customHeight="1">
      <c r="A38" s="21" t="inlineStr">
        <is>
          <t>NEW-0068</t>
        </is>
      </c>
      <c r="B38" s="23">
        <f>IFERROR(IF(ISBLANK(INDEX(Backlog[Requirement Name],MATCH($A38,Backlog[Requirement ID],0))),"",INDEX(Backlog[Requirement Name],MATCH($A38,Backlog[Requirement ID],0))),"")</f>
        <v/>
      </c>
      <c r="C38" s="23">
        <f>IFERROR(IF(ISBLANK(INDEX(Backlog[Stream],MATCH($A38,Backlog[Requirement ID],0))),"",INDEX(Backlog[Stream],MATCH($A38,Backlog[Requirement ID],0))),"")</f>
        <v/>
      </c>
      <c r="D38" s="23">
        <f>IFERROR(IF(ISBLANK(INDEX(Backlog[Jira Link],MATCH($A38,Backlog[Requirement ID],0))),"",INDEX(Backlog[Jira Link],MATCH($A38,Backlog[Requirement ID],0))),"")</f>
        <v/>
      </c>
      <c r="E38" s="23">
        <f>IFERROR(IF(ISBLANK(INDEX(Backlog[Status],MATCH($A38,Backlog[Requirement ID],0))),"",INDEX(Backlog[Status],MATCH($A38,Backlog[Requirement ID],0))),"")</f>
        <v/>
      </c>
      <c r="F38" s="23">
        <f>IFERROR(IF(ISBLANK(INDEX(SprintPlanning[Sprint],MATCH($A38,SprintPlanning[Requirement ID],0))),"",INDEX(SprintPlanning[Sprint],MATCH($A38,SprintPlanning[Requirement ID],0))),"")</f>
        <v/>
      </c>
      <c r="G38" s="21" t="n"/>
      <c r="H38" s="38" t="n"/>
      <c r="I38" s="21" t="n"/>
      <c r="J38" s="23">
        <f>IFERROR(IF(ISBLANK(INDEX(Backlog[Priority],MATCH($A38,Backlog[Requirement ID],0))),"",INDEX(Backlog[Priority],MATCH($A38,Backlog[Requirement ID],0))),"")</f>
        <v/>
      </c>
      <c r="K38" s="21" t="n"/>
      <c r="L38" s="21" t="n"/>
    </row>
    <row r="39" ht="15" customHeight="1">
      <c r="A39" s="21" t="inlineStr">
        <is>
          <t>NEW-0071</t>
        </is>
      </c>
      <c r="B39" s="23">
        <f>IFERROR(IF(ISBLANK(INDEX(Backlog[Requirement Name],MATCH($A39,Backlog[Requirement ID],0))),"",INDEX(Backlog[Requirement Name],MATCH($A39,Backlog[Requirement ID],0))),"")</f>
        <v/>
      </c>
      <c r="C39" s="23">
        <f>IFERROR(IF(ISBLANK(INDEX(Backlog[Stream],MATCH($A39,Backlog[Requirement ID],0))),"",INDEX(Backlog[Stream],MATCH($A39,Backlog[Requirement ID],0))),"")</f>
        <v/>
      </c>
      <c r="D39" s="23">
        <f>IFERROR(IF(ISBLANK(INDEX(Backlog[Jira Link],MATCH($A39,Backlog[Requirement ID],0))),"",INDEX(Backlog[Jira Link],MATCH($A39,Backlog[Requirement ID],0))),"")</f>
        <v/>
      </c>
      <c r="E39" s="23">
        <f>IFERROR(IF(ISBLANK(INDEX(Backlog[Status],MATCH($A39,Backlog[Requirement ID],0))),"",INDEX(Backlog[Status],MATCH($A39,Backlog[Requirement ID],0))),"")</f>
        <v/>
      </c>
      <c r="F39" s="23">
        <f>IFERROR(IF(ISBLANK(INDEX(SprintPlanning[Sprint],MATCH($A39,SprintPlanning[Requirement ID],0))),"",INDEX(SprintPlanning[Sprint],MATCH($A39,SprintPlanning[Requirement ID],0))),"")</f>
        <v/>
      </c>
      <c r="G39" s="21" t="n"/>
      <c r="H39" s="38" t="n"/>
      <c r="I39" s="21" t="n"/>
      <c r="J39" s="23">
        <f>IFERROR(IF(ISBLANK(INDEX(Backlog[Priority],MATCH($A39,Backlog[Requirement ID],0))),"",INDEX(Backlog[Priority],MATCH($A39,Backlog[Requirement ID],0))),"")</f>
        <v/>
      </c>
      <c r="K39" s="21" t="n"/>
      <c r="L39" s="21" t="n"/>
    </row>
    <row r="40" ht="15" customHeight="1">
      <c r="A40" s="21" t="inlineStr">
        <is>
          <t>NEW-0072</t>
        </is>
      </c>
      <c r="B40" s="23">
        <f>IFERROR(IF(ISBLANK(INDEX(Backlog[Requirement Name],MATCH($A40,Backlog[Requirement ID],0))),"",INDEX(Backlog[Requirement Name],MATCH($A40,Backlog[Requirement ID],0))),"")</f>
        <v/>
      </c>
      <c r="C40" s="23">
        <f>IFERROR(IF(ISBLANK(INDEX(Backlog[Stream],MATCH($A40,Backlog[Requirement ID],0))),"",INDEX(Backlog[Stream],MATCH($A40,Backlog[Requirement ID],0))),"")</f>
        <v/>
      </c>
      <c r="D40" s="23">
        <f>IFERROR(IF(ISBLANK(INDEX(Backlog[Jira Link],MATCH($A40,Backlog[Requirement ID],0))),"",INDEX(Backlog[Jira Link],MATCH($A40,Backlog[Requirement ID],0))),"")</f>
        <v/>
      </c>
      <c r="E40" s="23">
        <f>IFERROR(IF(ISBLANK(INDEX(Backlog[Status],MATCH($A40,Backlog[Requirement ID],0))),"",INDEX(Backlog[Status],MATCH($A40,Backlog[Requirement ID],0))),"")</f>
        <v/>
      </c>
      <c r="F40" s="23">
        <f>IFERROR(IF(ISBLANK(INDEX(SprintPlanning[Sprint],MATCH($A40,SprintPlanning[Requirement ID],0))),"",INDEX(SprintPlanning[Sprint],MATCH($A40,SprintPlanning[Requirement ID],0))),"")</f>
        <v/>
      </c>
      <c r="G40" s="21" t="n"/>
      <c r="H40" s="38" t="n"/>
      <c r="I40" s="21" t="n"/>
      <c r="J40" s="23">
        <f>IFERROR(IF(ISBLANK(INDEX(Backlog[Priority],MATCH($A40,Backlog[Requirement ID],0))),"",INDEX(Backlog[Priority],MATCH($A40,Backlog[Requirement ID],0))),"")</f>
        <v/>
      </c>
      <c r="K40" s="21" t="n"/>
      <c r="L40" s="21" t="n"/>
    </row>
    <row r="41" ht="15" customHeight="1">
      <c r="A41" s="21" t="inlineStr">
        <is>
          <t>NEW-0073</t>
        </is>
      </c>
      <c r="B41" s="23">
        <f>IFERROR(IF(ISBLANK(INDEX(Backlog[Requirement Name],MATCH($A41,Backlog[Requirement ID],0))),"",INDEX(Backlog[Requirement Name],MATCH($A41,Backlog[Requirement ID],0))),"")</f>
        <v/>
      </c>
      <c r="C41" s="23">
        <f>IFERROR(IF(ISBLANK(INDEX(Backlog[Stream],MATCH($A41,Backlog[Requirement ID],0))),"",INDEX(Backlog[Stream],MATCH($A41,Backlog[Requirement ID],0))),"")</f>
        <v/>
      </c>
      <c r="D41" s="23">
        <f>IFERROR(IF(ISBLANK(INDEX(Backlog[Jira Link],MATCH($A41,Backlog[Requirement ID],0))),"",INDEX(Backlog[Jira Link],MATCH($A41,Backlog[Requirement ID],0))),"")</f>
        <v/>
      </c>
      <c r="E41" s="23">
        <f>IFERROR(IF(ISBLANK(INDEX(Backlog[Status],MATCH($A41,Backlog[Requirement ID],0))),"",INDEX(Backlog[Status],MATCH($A41,Backlog[Requirement ID],0))),"")</f>
        <v/>
      </c>
      <c r="F41" s="23">
        <f>IFERROR(IF(ISBLANK(INDEX(SprintPlanning[Sprint],MATCH($A41,SprintPlanning[Requirement ID],0))),"",INDEX(SprintPlanning[Sprint],MATCH($A41,SprintPlanning[Requirement ID],0))),"")</f>
        <v/>
      </c>
      <c r="G41" s="21" t="n"/>
      <c r="H41" s="38" t="n"/>
      <c r="I41" s="21" t="n"/>
      <c r="J41" s="23">
        <f>IFERROR(IF(ISBLANK(INDEX(Backlog[Priority],MATCH($A41,Backlog[Requirement ID],0))),"",INDEX(Backlog[Priority],MATCH($A41,Backlog[Requirement ID],0))),"")</f>
        <v/>
      </c>
      <c r="K41" s="21" t="n"/>
      <c r="L41" s="21" t="n"/>
    </row>
    <row r="42" ht="15" customHeight="1">
      <c r="A42" s="21" t="inlineStr">
        <is>
          <t>NEW-0074</t>
        </is>
      </c>
      <c r="B42" s="23">
        <f>IFERROR(IF(ISBLANK(INDEX(Backlog[Requirement Name],MATCH($A42,Backlog[Requirement ID],0))),"",INDEX(Backlog[Requirement Name],MATCH($A42,Backlog[Requirement ID],0))),"")</f>
        <v/>
      </c>
      <c r="C42" s="23">
        <f>IFERROR(IF(ISBLANK(INDEX(Backlog[Stream],MATCH($A42,Backlog[Requirement ID],0))),"",INDEX(Backlog[Stream],MATCH($A42,Backlog[Requirement ID],0))),"")</f>
        <v/>
      </c>
      <c r="D42" s="23">
        <f>IFERROR(IF(ISBLANK(INDEX(Backlog[Jira Link],MATCH($A42,Backlog[Requirement ID],0))),"",INDEX(Backlog[Jira Link],MATCH($A42,Backlog[Requirement ID],0))),"")</f>
        <v/>
      </c>
      <c r="E42" s="23">
        <f>IFERROR(IF(ISBLANK(INDEX(Backlog[Status],MATCH($A42,Backlog[Requirement ID],0))),"",INDEX(Backlog[Status],MATCH($A42,Backlog[Requirement ID],0))),"")</f>
        <v/>
      </c>
      <c r="F42" s="23">
        <f>IFERROR(IF(ISBLANK(INDEX(SprintPlanning[Sprint],MATCH($A42,SprintPlanning[Requirement ID],0))),"",INDEX(SprintPlanning[Sprint],MATCH($A42,SprintPlanning[Requirement ID],0))),"")</f>
        <v/>
      </c>
      <c r="G42" s="21" t="n"/>
      <c r="H42" s="38" t="n"/>
      <c r="I42" s="21" t="n"/>
      <c r="J42" s="23">
        <f>IFERROR(IF(ISBLANK(INDEX(Backlog[Priority],MATCH($A42,Backlog[Requirement ID],0))),"",INDEX(Backlog[Priority],MATCH($A42,Backlog[Requirement ID],0))),"")</f>
        <v/>
      </c>
      <c r="K42" s="21" t="n"/>
      <c r="L42" s="21" t="n"/>
    </row>
    <row r="43" ht="15" customHeight="1">
      <c r="A43" s="21" t="inlineStr">
        <is>
          <t>NEW-0075</t>
        </is>
      </c>
      <c r="B43" s="23">
        <f>IFERROR(IF(ISBLANK(INDEX(Backlog[Requirement Name],MATCH($A43,Backlog[Requirement ID],0))),"",INDEX(Backlog[Requirement Name],MATCH($A43,Backlog[Requirement ID],0))),"")</f>
        <v/>
      </c>
      <c r="C43" s="23">
        <f>IFERROR(IF(ISBLANK(INDEX(Backlog[Stream],MATCH($A43,Backlog[Requirement ID],0))),"",INDEX(Backlog[Stream],MATCH($A43,Backlog[Requirement ID],0))),"")</f>
        <v/>
      </c>
      <c r="D43" s="23">
        <f>IFERROR(IF(ISBLANK(INDEX(Backlog[Jira Link],MATCH($A43,Backlog[Requirement ID],0))),"",INDEX(Backlog[Jira Link],MATCH($A43,Backlog[Requirement ID],0))),"")</f>
        <v/>
      </c>
      <c r="E43" s="23">
        <f>IFERROR(IF(ISBLANK(INDEX(Backlog[Status],MATCH($A43,Backlog[Requirement ID],0))),"",INDEX(Backlog[Status],MATCH($A43,Backlog[Requirement ID],0))),"")</f>
        <v/>
      </c>
      <c r="F43" s="23">
        <f>IFERROR(IF(ISBLANK(INDEX(SprintPlanning[Sprint],MATCH($A43,SprintPlanning[Requirement ID],0))),"",INDEX(SprintPlanning[Sprint],MATCH($A43,SprintPlanning[Requirement ID],0))),"")</f>
        <v/>
      </c>
      <c r="G43" s="21" t="n"/>
      <c r="H43" s="38" t="n"/>
      <c r="I43" s="21" t="n"/>
      <c r="J43" s="23">
        <f>IFERROR(IF(ISBLANK(INDEX(Backlog[Priority],MATCH($A43,Backlog[Requirement ID],0))),"",INDEX(Backlog[Priority],MATCH($A43,Backlog[Requirement ID],0))),"")</f>
        <v/>
      </c>
      <c r="K43" s="21" t="n"/>
      <c r="L43" s="21" t="n"/>
    </row>
    <row r="44" ht="15" customHeight="1">
      <c r="A44" s="21" t="inlineStr">
        <is>
          <t>NEW-0076</t>
        </is>
      </c>
      <c r="B44" s="23">
        <f>IFERROR(IF(ISBLANK(INDEX(Backlog[Requirement Name],MATCH($A44,Backlog[Requirement ID],0))),"",INDEX(Backlog[Requirement Name],MATCH($A44,Backlog[Requirement ID],0))),"")</f>
        <v/>
      </c>
      <c r="C44" s="23">
        <f>IFERROR(IF(ISBLANK(INDEX(Backlog[Stream],MATCH($A44,Backlog[Requirement ID],0))),"",INDEX(Backlog[Stream],MATCH($A44,Backlog[Requirement ID],0))),"")</f>
        <v/>
      </c>
      <c r="D44" s="23">
        <f>IFERROR(IF(ISBLANK(INDEX(Backlog[Jira Link],MATCH($A44,Backlog[Requirement ID],0))),"",INDEX(Backlog[Jira Link],MATCH($A44,Backlog[Requirement ID],0))),"")</f>
        <v/>
      </c>
      <c r="E44" s="23">
        <f>IFERROR(IF(ISBLANK(INDEX(Backlog[Status],MATCH($A44,Backlog[Requirement ID],0))),"",INDEX(Backlog[Status],MATCH($A44,Backlog[Requirement ID],0))),"")</f>
        <v/>
      </c>
      <c r="F44" s="23">
        <f>IFERROR(IF(ISBLANK(INDEX(SprintPlanning[Sprint],MATCH($A44,SprintPlanning[Requirement ID],0))),"",INDEX(SprintPlanning[Sprint],MATCH($A44,SprintPlanning[Requirement ID],0))),"")</f>
        <v/>
      </c>
      <c r="G44" s="21" t="n"/>
      <c r="H44" s="38" t="n"/>
      <c r="I44" s="21" t="n"/>
      <c r="J44" s="23">
        <f>IFERROR(IF(ISBLANK(INDEX(Backlog[Priority],MATCH($A44,Backlog[Requirement ID],0))),"",INDEX(Backlog[Priority],MATCH($A44,Backlog[Requirement ID],0))),"")</f>
        <v/>
      </c>
      <c r="K44" s="21" t="n"/>
      <c r="L44" s="21" t="n"/>
    </row>
    <row r="45" ht="15" customHeight="1">
      <c r="A45" s="21" t="inlineStr">
        <is>
          <t>NEW-0077</t>
        </is>
      </c>
      <c r="B45" s="23">
        <f>IFERROR(IF(ISBLANK(INDEX(Backlog[Requirement Name],MATCH($A45,Backlog[Requirement ID],0))),"",INDEX(Backlog[Requirement Name],MATCH($A45,Backlog[Requirement ID],0))),"")</f>
        <v/>
      </c>
      <c r="C45" s="23">
        <f>IFERROR(IF(ISBLANK(INDEX(Backlog[Stream],MATCH($A45,Backlog[Requirement ID],0))),"",INDEX(Backlog[Stream],MATCH($A45,Backlog[Requirement ID],0))),"")</f>
        <v/>
      </c>
      <c r="D45" s="23">
        <f>IFERROR(IF(ISBLANK(INDEX(Backlog[Jira Link],MATCH($A45,Backlog[Requirement ID],0))),"",INDEX(Backlog[Jira Link],MATCH($A45,Backlog[Requirement ID],0))),"")</f>
        <v/>
      </c>
      <c r="E45" s="23">
        <f>IFERROR(IF(ISBLANK(INDEX(Backlog[Status],MATCH($A45,Backlog[Requirement ID],0))),"",INDEX(Backlog[Status],MATCH($A45,Backlog[Requirement ID],0))),"")</f>
        <v/>
      </c>
      <c r="F45" s="23">
        <f>IFERROR(IF(ISBLANK(INDEX(SprintPlanning[Sprint],MATCH($A45,SprintPlanning[Requirement ID],0))),"",INDEX(SprintPlanning[Sprint],MATCH($A45,SprintPlanning[Requirement ID],0))),"")</f>
        <v/>
      </c>
      <c r="G45" s="21" t="n"/>
      <c r="H45" s="38" t="n"/>
      <c r="I45" s="21" t="n"/>
      <c r="J45" s="23">
        <f>IFERROR(IF(ISBLANK(INDEX(Backlog[Priority],MATCH($A45,Backlog[Requirement ID],0))),"",INDEX(Backlog[Priority],MATCH($A45,Backlog[Requirement ID],0))),"")</f>
        <v/>
      </c>
      <c r="K45" s="21" t="n"/>
      <c r="L45" s="21" t="n"/>
    </row>
    <row r="46" ht="15" customHeight="1">
      <c r="A46" s="21" t="inlineStr">
        <is>
          <t>NEW-0078</t>
        </is>
      </c>
      <c r="B46" s="23">
        <f>IFERROR(IF(ISBLANK(INDEX(Backlog[Requirement Name],MATCH($A46,Backlog[Requirement ID],0))),"",INDEX(Backlog[Requirement Name],MATCH($A46,Backlog[Requirement ID],0))),"")</f>
        <v/>
      </c>
      <c r="C46" s="23">
        <f>IFERROR(IF(ISBLANK(INDEX(Backlog[Stream],MATCH($A46,Backlog[Requirement ID],0))),"",INDEX(Backlog[Stream],MATCH($A46,Backlog[Requirement ID],0))),"")</f>
        <v/>
      </c>
      <c r="D46" s="23">
        <f>IFERROR(IF(ISBLANK(INDEX(Backlog[Jira Link],MATCH($A46,Backlog[Requirement ID],0))),"",INDEX(Backlog[Jira Link],MATCH($A46,Backlog[Requirement ID],0))),"")</f>
        <v/>
      </c>
      <c r="E46" s="23">
        <f>IFERROR(IF(ISBLANK(INDEX(Backlog[Status],MATCH($A46,Backlog[Requirement ID],0))),"",INDEX(Backlog[Status],MATCH($A46,Backlog[Requirement ID],0))),"")</f>
        <v/>
      </c>
      <c r="F46" s="23">
        <f>IFERROR(IF(ISBLANK(INDEX(SprintPlanning[Sprint],MATCH($A46,SprintPlanning[Requirement ID],0))),"",INDEX(SprintPlanning[Sprint],MATCH($A46,SprintPlanning[Requirement ID],0))),"")</f>
        <v/>
      </c>
      <c r="G46" s="21" t="n"/>
      <c r="H46" s="38" t="n"/>
      <c r="I46" s="21" t="n"/>
      <c r="J46" s="23">
        <f>IFERROR(IF(ISBLANK(INDEX(Backlog[Priority],MATCH($A46,Backlog[Requirement ID],0))),"",INDEX(Backlog[Priority],MATCH($A46,Backlog[Requirement ID],0))),"")</f>
        <v/>
      </c>
      <c r="K46" s="21" t="n"/>
      <c r="L46" s="21" t="n"/>
    </row>
    <row r="47" ht="15" customHeight="1">
      <c r="A47" s="21" t="inlineStr">
        <is>
          <t>NEW-0080</t>
        </is>
      </c>
      <c r="B47" s="23">
        <f>IFERROR(IF(ISBLANK(INDEX(Backlog[Requirement Name],MATCH($A47,Backlog[Requirement ID],0))),"",INDEX(Backlog[Requirement Name],MATCH($A47,Backlog[Requirement ID],0))),"")</f>
        <v/>
      </c>
      <c r="C47" s="23">
        <f>IFERROR(IF(ISBLANK(INDEX(Backlog[Stream],MATCH($A47,Backlog[Requirement ID],0))),"",INDEX(Backlog[Stream],MATCH($A47,Backlog[Requirement ID],0))),"")</f>
        <v/>
      </c>
      <c r="D47" s="23">
        <f>IFERROR(IF(ISBLANK(INDEX(Backlog[Jira Link],MATCH($A47,Backlog[Requirement ID],0))),"",INDEX(Backlog[Jira Link],MATCH($A47,Backlog[Requirement ID],0))),"")</f>
        <v/>
      </c>
      <c r="E47" s="23">
        <f>IFERROR(IF(ISBLANK(INDEX(Backlog[Status],MATCH($A47,Backlog[Requirement ID],0))),"",INDEX(Backlog[Status],MATCH($A47,Backlog[Requirement ID],0))),"")</f>
        <v/>
      </c>
      <c r="F47" s="23">
        <f>IFERROR(IF(ISBLANK(INDEX(SprintPlanning[Sprint],MATCH($A47,SprintPlanning[Requirement ID],0))),"",INDEX(SprintPlanning[Sprint],MATCH($A47,SprintPlanning[Requirement ID],0))),"")</f>
        <v/>
      </c>
      <c r="G47" s="21" t="n"/>
      <c r="H47" s="38" t="n"/>
      <c r="I47" s="21" t="n"/>
      <c r="J47" s="23">
        <f>IFERROR(IF(ISBLANK(INDEX(Backlog[Priority],MATCH($A47,Backlog[Requirement ID],0))),"",INDEX(Backlog[Priority],MATCH($A47,Backlog[Requirement ID],0))),"")</f>
        <v/>
      </c>
      <c r="K47" s="21" t="n"/>
      <c r="L47" s="21" t="n"/>
    </row>
    <row r="48" ht="15" customHeight="1">
      <c r="A48" s="21" t="inlineStr">
        <is>
          <t>NEW-0084</t>
        </is>
      </c>
      <c r="B48" s="23">
        <f>IFERROR(IF(ISBLANK(INDEX(Backlog[Requirement Name],MATCH($A48,Backlog[Requirement ID],0))),"",INDEX(Backlog[Requirement Name],MATCH($A48,Backlog[Requirement ID],0))),"")</f>
        <v/>
      </c>
      <c r="C48" s="23">
        <f>IFERROR(IF(ISBLANK(INDEX(Backlog[Stream],MATCH($A48,Backlog[Requirement ID],0))),"",INDEX(Backlog[Stream],MATCH($A48,Backlog[Requirement ID],0))),"")</f>
        <v/>
      </c>
      <c r="D48" s="23">
        <f>IFERROR(IF(ISBLANK(INDEX(Backlog[Jira Link],MATCH($A48,Backlog[Requirement ID],0))),"",INDEX(Backlog[Jira Link],MATCH($A48,Backlog[Requirement ID],0))),"")</f>
        <v/>
      </c>
      <c r="E48" s="23">
        <f>IFERROR(IF(ISBLANK(INDEX(Backlog[Status],MATCH($A48,Backlog[Requirement ID],0))),"",INDEX(Backlog[Status],MATCH($A48,Backlog[Requirement ID],0))),"")</f>
        <v/>
      </c>
      <c r="F48" s="23">
        <f>IFERROR(IF(ISBLANK(INDEX(SprintPlanning[Sprint],MATCH($A48,SprintPlanning[Requirement ID],0))),"",INDEX(SprintPlanning[Sprint],MATCH($A48,SprintPlanning[Requirement ID],0))),"")</f>
        <v/>
      </c>
      <c r="G48" s="21" t="n"/>
      <c r="H48" s="38" t="n"/>
      <c r="I48" s="21" t="n"/>
      <c r="J48" s="23">
        <f>IFERROR(IF(ISBLANK(INDEX(Backlog[Priority],MATCH($A48,Backlog[Requirement ID],0))),"",INDEX(Backlog[Priority],MATCH($A48,Backlog[Requirement ID],0))),"")</f>
        <v/>
      </c>
      <c r="K48" s="21" t="n"/>
      <c r="L48" s="21" t="n"/>
    </row>
    <row r="49" ht="15" customHeight="1">
      <c r="A49" s="21" t="inlineStr">
        <is>
          <t>NEW-0085</t>
        </is>
      </c>
      <c r="B49" s="23">
        <f>IFERROR(IF(ISBLANK(INDEX(Backlog[Requirement Name],MATCH($A49,Backlog[Requirement ID],0))),"",INDEX(Backlog[Requirement Name],MATCH($A49,Backlog[Requirement ID],0))),"")</f>
        <v/>
      </c>
      <c r="C49" s="23">
        <f>IFERROR(IF(ISBLANK(INDEX(Backlog[Stream],MATCH($A49,Backlog[Requirement ID],0))),"",INDEX(Backlog[Stream],MATCH($A49,Backlog[Requirement ID],0))),"")</f>
        <v/>
      </c>
      <c r="D49" s="23">
        <f>IFERROR(IF(ISBLANK(INDEX(Backlog[Jira Link],MATCH($A49,Backlog[Requirement ID],0))),"",INDEX(Backlog[Jira Link],MATCH($A49,Backlog[Requirement ID],0))),"")</f>
        <v/>
      </c>
      <c r="E49" s="23">
        <f>IFERROR(IF(ISBLANK(INDEX(Backlog[Status],MATCH($A49,Backlog[Requirement ID],0))),"",INDEX(Backlog[Status],MATCH($A49,Backlog[Requirement ID],0))),"")</f>
        <v/>
      </c>
      <c r="F49" s="23">
        <f>IFERROR(IF(ISBLANK(INDEX(SprintPlanning[Sprint],MATCH($A49,SprintPlanning[Requirement ID],0))),"",INDEX(SprintPlanning[Sprint],MATCH($A49,SprintPlanning[Requirement ID],0))),"")</f>
        <v/>
      </c>
      <c r="G49" s="21" t="n"/>
      <c r="H49" s="38" t="n"/>
      <c r="I49" s="21" t="n"/>
      <c r="J49" s="23">
        <f>IFERROR(IF(ISBLANK(INDEX(Backlog[Priority],MATCH($A49,Backlog[Requirement ID],0))),"",INDEX(Backlog[Priority],MATCH($A49,Backlog[Requirement ID],0))),"")</f>
        <v/>
      </c>
      <c r="K49" s="21" t="n"/>
      <c r="L49" s="21" t="n"/>
    </row>
    <row r="50" ht="15" customHeight="1">
      <c r="A50" s="21" t="inlineStr">
        <is>
          <t>NEW-0086</t>
        </is>
      </c>
      <c r="B50" s="23">
        <f>IFERROR(IF(ISBLANK(INDEX(Backlog[Requirement Name],MATCH($A50,Backlog[Requirement ID],0))),"",INDEX(Backlog[Requirement Name],MATCH($A50,Backlog[Requirement ID],0))),"")</f>
        <v/>
      </c>
      <c r="C50" s="23">
        <f>IFERROR(IF(ISBLANK(INDEX(Backlog[Stream],MATCH($A50,Backlog[Requirement ID],0))),"",INDEX(Backlog[Stream],MATCH($A50,Backlog[Requirement ID],0))),"")</f>
        <v/>
      </c>
      <c r="D50" s="23">
        <f>IFERROR(IF(ISBLANK(INDEX(Backlog[Jira Link],MATCH($A50,Backlog[Requirement ID],0))),"",INDEX(Backlog[Jira Link],MATCH($A50,Backlog[Requirement ID],0))),"")</f>
        <v/>
      </c>
      <c r="E50" s="23">
        <f>IFERROR(IF(ISBLANK(INDEX(Backlog[Status],MATCH($A50,Backlog[Requirement ID],0))),"",INDEX(Backlog[Status],MATCH($A50,Backlog[Requirement ID],0))),"")</f>
        <v/>
      </c>
      <c r="F50" s="23">
        <f>IFERROR(IF(ISBLANK(INDEX(SprintPlanning[Sprint],MATCH($A50,SprintPlanning[Requirement ID],0))),"",INDEX(SprintPlanning[Sprint],MATCH($A50,SprintPlanning[Requirement ID],0))),"")</f>
        <v/>
      </c>
      <c r="G50" s="21" t="n"/>
      <c r="H50" s="38" t="n"/>
      <c r="I50" s="21" t="n"/>
      <c r="J50" s="23">
        <f>IFERROR(IF(ISBLANK(INDEX(Backlog[Priority],MATCH($A50,Backlog[Requirement ID],0))),"",INDEX(Backlog[Priority],MATCH($A50,Backlog[Requirement ID],0))),"")</f>
        <v/>
      </c>
      <c r="K50" s="21" t="n"/>
      <c r="L50" s="21" t="n"/>
    </row>
    <row r="51" ht="15" customHeight="1">
      <c r="A51" s="21" t="inlineStr">
        <is>
          <t>NEW-0087</t>
        </is>
      </c>
      <c r="B51" s="23">
        <f>IFERROR(IF(ISBLANK(INDEX(Backlog[Requirement Name],MATCH($A51,Backlog[Requirement ID],0))),"",INDEX(Backlog[Requirement Name],MATCH($A51,Backlog[Requirement ID],0))),"")</f>
        <v/>
      </c>
      <c r="C51" s="23">
        <f>IFERROR(IF(ISBLANK(INDEX(Backlog[Stream],MATCH($A51,Backlog[Requirement ID],0))),"",INDEX(Backlog[Stream],MATCH($A51,Backlog[Requirement ID],0))),"")</f>
        <v/>
      </c>
      <c r="D51" s="23">
        <f>IFERROR(IF(ISBLANK(INDEX(Backlog[Jira Link],MATCH($A51,Backlog[Requirement ID],0))),"",INDEX(Backlog[Jira Link],MATCH($A51,Backlog[Requirement ID],0))),"")</f>
        <v/>
      </c>
      <c r="E51" s="23">
        <f>IFERROR(IF(ISBLANK(INDEX(Backlog[Status],MATCH($A51,Backlog[Requirement ID],0))),"",INDEX(Backlog[Status],MATCH($A51,Backlog[Requirement ID],0))),"")</f>
        <v/>
      </c>
      <c r="F51" s="23">
        <f>IFERROR(IF(ISBLANK(INDEX(SprintPlanning[Sprint],MATCH($A51,SprintPlanning[Requirement ID],0))),"",INDEX(SprintPlanning[Sprint],MATCH($A51,SprintPlanning[Requirement ID],0))),"")</f>
        <v/>
      </c>
      <c r="G51" s="21" t="n"/>
      <c r="H51" s="38" t="n"/>
      <c r="I51" s="21" t="n"/>
      <c r="J51" s="23">
        <f>IFERROR(IF(ISBLANK(INDEX(Backlog[Priority],MATCH($A51,Backlog[Requirement ID],0))),"",INDEX(Backlog[Priority],MATCH($A51,Backlog[Requirement ID],0))),"")</f>
        <v/>
      </c>
      <c r="K51" s="21" t="n"/>
      <c r="L51" s="21" t="n"/>
    </row>
    <row r="52" ht="15" customHeight="1">
      <c r="A52" s="21" t="inlineStr">
        <is>
          <t>NEW-0090</t>
        </is>
      </c>
      <c r="B52" s="23">
        <f>IFERROR(IF(ISBLANK(INDEX(Backlog[Requirement Name],MATCH($A52,Backlog[Requirement ID],0))),"",INDEX(Backlog[Requirement Name],MATCH($A52,Backlog[Requirement ID],0))),"")</f>
        <v/>
      </c>
      <c r="C52" s="23">
        <f>IFERROR(IF(ISBLANK(INDEX(Backlog[Stream],MATCH($A52,Backlog[Requirement ID],0))),"",INDEX(Backlog[Stream],MATCH($A52,Backlog[Requirement ID],0))),"")</f>
        <v/>
      </c>
      <c r="D52" s="23">
        <f>IFERROR(IF(ISBLANK(INDEX(Backlog[Jira Link],MATCH($A52,Backlog[Requirement ID],0))),"",INDEX(Backlog[Jira Link],MATCH($A52,Backlog[Requirement ID],0))),"")</f>
        <v/>
      </c>
      <c r="E52" s="23">
        <f>IFERROR(IF(ISBLANK(INDEX(Backlog[Status],MATCH($A52,Backlog[Requirement ID],0))),"",INDEX(Backlog[Status],MATCH($A52,Backlog[Requirement ID],0))),"")</f>
        <v/>
      </c>
      <c r="F52" s="23">
        <f>IFERROR(IF(ISBLANK(INDEX(SprintPlanning[Sprint],MATCH($A52,SprintPlanning[Requirement ID],0))),"",INDEX(SprintPlanning[Sprint],MATCH($A52,SprintPlanning[Requirement ID],0))),"")</f>
        <v/>
      </c>
      <c r="G52" s="21" t="n"/>
      <c r="H52" s="38" t="n"/>
      <c r="I52" s="21" t="n"/>
      <c r="J52" s="23">
        <f>IFERROR(IF(ISBLANK(INDEX(Backlog[Priority],MATCH($A52,Backlog[Requirement ID],0))),"",INDEX(Backlog[Priority],MATCH($A52,Backlog[Requirement ID],0))),"")</f>
        <v/>
      </c>
      <c r="K52" s="21" t="n"/>
      <c r="L52" s="21" t="n"/>
    </row>
    <row r="53" ht="15" customHeight="1">
      <c r="A53" s="21" t="inlineStr">
        <is>
          <t>NEW-0093</t>
        </is>
      </c>
      <c r="B53" s="23">
        <f>IFERROR(IF(ISBLANK(INDEX(Backlog[Requirement Name],MATCH($A53,Backlog[Requirement ID],0))),"",INDEX(Backlog[Requirement Name],MATCH($A53,Backlog[Requirement ID],0))),"")</f>
        <v/>
      </c>
      <c r="C53" s="23">
        <f>IFERROR(IF(ISBLANK(INDEX(Backlog[Stream],MATCH($A53,Backlog[Requirement ID],0))),"",INDEX(Backlog[Stream],MATCH($A53,Backlog[Requirement ID],0))),"")</f>
        <v/>
      </c>
      <c r="D53" s="23">
        <f>IFERROR(IF(ISBLANK(INDEX(Backlog[Jira Link],MATCH($A53,Backlog[Requirement ID],0))),"",INDEX(Backlog[Jira Link],MATCH($A53,Backlog[Requirement ID],0))),"")</f>
        <v/>
      </c>
      <c r="E53" s="23">
        <f>IFERROR(IF(ISBLANK(INDEX(Backlog[Status],MATCH($A53,Backlog[Requirement ID],0))),"",INDEX(Backlog[Status],MATCH($A53,Backlog[Requirement ID],0))),"")</f>
        <v/>
      </c>
      <c r="F53" s="23">
        <f>IFERROR(IF(ISBLANK(INDEX(SprintPlanning[Sprint],MATCH($A53,SprintPlanning[Requirement ID],0))),"",INDEX(SprintPlanning[Sprint],MATCH($A53,SprintPlanning[Requirement ID],0))),"")</f>
        <v/>
      </c>
      <c r="G53" s="21" t="n"/>
      <c r="H53" s="38" t="n"/>
      <c r="I53" s="21" t="n"/>
      <c r="J53" s="23">
        <f>IFERROR(IF(ISBLANK(INDEX(Backlog[Priority],MATCH($A53,Backlog[Requirement ID],0))),"",INDEX(Backlog[Priority],MATCH($A53,Backlog[Requirement ID],0))),"")</f>
        <v/>
      </c>
      <c r="K53" s="21" t="n"/>
      <c r="L53" s="21" t="n"/>
    </row>
    <row r="54" ht="15" customHeight="1">
      <c r="A54" s="21" t="inlineStr">
        <is>
          <t>NEW-0094</t>
        </is>
      </c>
      <c r="B54" s="23">
        <f>IFERROR(IF(ISBLANK(INDEX(Backlog[Requirement Name],MATCH($A54,Backlog[Requirement ID],0))),"",INDEX(Backlog[Requirement Name],MATCH($A54,Backlog[Requirement ID],0))),"")</f>
        <v/>
      </c>
      <c r="C54" s="23">
        <f>IFERROR(IF(ISBLANK(INDEX(Backlog[Stream],MATCH($A54,Backlog[Requirement ID],0))),"",INDEX(Backlog[Stream],MATCH($A54,Backlog[Requirement ID],0))),"")</f>
        <v/>
      </c>
      <c r="D54" s="23">
        <f>IFERROR(IF(ISBLANK(INDEX(Backlog[Jira Link],MATCH($A54,Backlog[Requirement ID],0))),"",INDEX(Backlog[Jira Link],MATCH($A54,Backlog[Requirement ID],0))),"")</f>
        <v/>
      </c>
      <c r="E54" s="23">
        <f>IFERROR(IF(ISBLANK(INDEX(Backlog[Status],MATCH($A54,Backlog[Requirement ID],0))),"",INDEX(Backlog[Status],MATCH($A54,Backlog[Requirement ID],0))),"")</f>
        <v/>
      </c>
      <c r="F54" s="23">
        <f>IFERROR(IF(ISBLANK(INDEX(SprintPlanning[Sprint],MATCH($A54,SprintPlanning[Requirement ID],0))),"",INDEX(SprintPlanning[Sprint],MATCH($A54,SprintPlanning[Requirement ID],0))),"")</f>
        <v/>
      </c>
      <c r="G54" s="21" t="n"/>
      <c r="H54" s="38" t="n"/>
      <c r="I54" s="21" t="n"/>
      <c r="J54" s="23">
        <f>IFERROR(IF(ISBLANK(INDEX(Backlog[Priority],MATCH($A54,Backlog[Requirement ID],0))),"",INDEX(Backlog[Priority],MATCH($A54,Backlog[Requirement ID],0))),"")</f>
        <v/>
      </c>
      <c r="K54" s="21" t="n"/>
      <c r="L54" s="21" t="n"/>
    </row>
    <row r="55" ht="15" customHeight="1">
      <c r="A55" s="21" t="inlineStr">
        <is>
          <t>NEW-0099</t>
        </is>
      </c>
      <c r="B55" s="23">
        <f>IFERROR(IF(ISBLANK(INDEX(Backlog[Requirement Name],MATCH($A55,Backlog[Requirement ID],0))),"",INDEX(Backlog[Requirement Name],MATCH($A55,Backlog[Requirement ID],0))),"")</f>
        <v/>
      </c>
      <c r="C55" s="23">
        <f>IFERROR(IF(ISBLANK(INDEX(Backlog[Stream],MATCH($A55,Backlog[Requirement ID],0))),"",INDEX(Backlog[Stream],MATCH($A55,Backlog[Requirement ID],0))),"")</f>
        <v/>
      </c>
      <c r="D55" s="23">
        <f>IFERROR(IF(ISBLANK(INDEX(Backlog[Jira Link],MATCH($A55,Backlog[Requirement ID],0))),"",INDEX(Backlog[Jira Link],MATCH($A55,Backlog[Requirement ID],0))),"")</f>
        <v/>
      </c>
      <c r="E55" s="23">
        <f>IFERROR(IF(ISBLANK(INDEX(Backlog[Status],MATCH($A55,Backlog[Requirement ID],0))),"",INDEX(Backlog[Status],MATCH($A55,Backlog[Requirement ID],0))),"")</f>
        <v/>
      </c>
      <c r="F55" s="23">
        <f>IFERROR(IF(ISBLANK(INDEX(SprintPlanning[Sprint],MATCH($A55,SprintPlanning[Requirement ID],0))),"",INDEX(SprintPlanning[Sprint],MATCH($A55,SprintPlanning[Requirement ID],0))),"")</f>
        <v/>
      </c>
      <c r="G55" s="21" t="n"/>
      <c r="H55" s="38" t="n"/>
      <c r="I55" s="21" t="n"/>
      <c r="J55" s="23">
        <f>IFERROR(IF(ISBLANK(INDEX(Backlog[Priority],MATCH($A55,Backlog[Requirement ID],0))),"",INDEX(Backlog[Priority],MATCH($A55,Backlog[Requirement ID],0))),"")</f>
        <v/>
      </c>
      <c r="K55" s="21" t="n"/>
      <c r="L55" s="21" t="n"/>
    </row>
    <row r="56" ht="15" customHeight="1">
      <c r="A56" s="21" t="inlineStr">
        <is>
          <t>NEW-0100</t>
        </is>
      </c>
      <c r="B56" s="23">
        <f>IFERROR(IF(ISBLANK(INDEX(Backlog[Requirement Name],MATCH($A56,Backlog[Requirement ID],0))),"",INDEX(Backlog[Requirement Name],MATCH($A56,Backlog[Requirement ID],0))),"")</f>
        <v/>
      </c>
      <c r="C56" s="23">
        <f>IFERROR(IF(ISBLANK(INDEX(Backlog[Stream],MATCH($A56,Backlog[Requirement ID],0))),"",INDEX(Backlog[Stream],MATCH($A56,Backlog[Requirement ID],0))),"")</f>
        <v/>
      </c>
      <c r="D56" s="23">
        <f>IFERROR(IF(ISBLANK(INDEX(Backlog[Jira Link],MATCH($A56,Backlog[Requirement ID],0))),"",INDEX(Backlog[Jira Link],MATCH($A56,Backlog[Requirement ID],0))),"")</f>
        <v/>
      </c>
      <c r="E56" s="23">
        <f>IFERROR(IF(ISBLANK(INDEX(Backlog[Status],MATCH($A56,Backlog[Requirement ID],0))),"",INDEX(Backlog[Status],MATCH($A56,Backlog[Requirement ID],0))),"")</f>
        <v/>
      </c>
      <c r="F56" s="23">
        <f>IFERROR(IF(ISBLANK(INDEX(SprintPlanning[Sprint],MATCH($A56,SprintPlanning[Requirement ID],0))),"",INDEX(SprintPlanning[Sprint],MATCH($A56,SprintPlanning[Requirement ID],0))),"")</f>
        <v/>
      </c>
      <c r="G56" s="21" t="inlineStr">
        <is>
          <t>No</t>
        </is>
      </c>
      <c r="H56" s="38" t="n"/>
      <c r="I56" s="21" t="n"/>
      <c r="J56" s="23">
        <f>IFERROR(IF(ISBLANK(INDEX(Backlog[Priority],MATCH($A56,Backlog[Requirement ID],0))),"",INDEX(Backlog[Priority],MATCH($A56,Backlog[Requirement ID],0))),"")</f>
        <v/>
      </c>
      <c r="K56" s="21" t="n"/>
      <c r="L56" s="21" t="n"/>
    </row>
    <row r="57" ht="15" customHeight="1">
      <c r="A57" s="21" t="inlineStr">
        <is>
          <t>NEW-0103</t>
        </is>
      </c>
      <c r="B57" s="23">
        <f>IFERROR(IF(ISBLANK(INDEX(Backlog[Requirement Name],MATCH($A57,Backlog[Requirement ID],0))),"",INDEX(Backlog[Requirement Name],MATCH($A57,Backlog[Requirement ID],0))),"")</f>
        <v/>
      </c>
      <c r="C57" s="23">
        <f>IFERROR(IF(ISBLANK(INDEX(Backlog[Stream],MATCH($A57,Backlog[Requirement ID],0))),"",INDEX(Backlog[Stream],MATCH($A57,Backlog[Requirement ID],0))),"")</f>
        <v/>
      </c>
      <c r="D57" s="23">
        <f>IFERROR(IF(ISBLANK(INDEX(Backlog[Jira Link],MATCH($A57,Backlog[Requirement ID],0))),"",INDEX(Backlog[Jira Link],MATCH($A57,Backlog[Requirement ID],0))),"")</f>
        <v/>
      </c>
      <c r="E57" s="23">
        <f>IFERROR(IF(ISBLANK(INDEX(Backlog[Status],MATCH($A57,Backlog[Requirement ID],0))),"",INDEX(Backlog[Status],MATCH($A57,Backlog[Requirement ID],0))),"")</f>
        <v/>
      </c>
      <c r="F57" s="23">
        <f>IFERROR(IF(ISBLANK(INDEX(SprintPlanning[Sprint],MATCH($A57,SprintPlanning[Requirement ID],0))),"",INDEX(SprintPlanning[Sprint],MATCH($A57,SprintPlanning[Requirement ID],0))),"")</f>
        <v/>
      </c>
      <c r="G57" s="21" t="inlineStr">
        <is>
          <t>Yes</t>
        </is>
      </c>
      <c r="H57" s="38" t="n"/>
      <c r="I57" s="21" t="n"/>
      <c r="J57" s="23">
        <f>IFERROR(IF(ISBLANK(INDEX(Backlog[Priority],MATCH($A57,Backlog[Requirement ID],0))),"",INDEX(Backlog[Priority],MATCH($A57,Backlog[Requirement ID],0))),"")</f>
        <v/>
      </c>
      <c r="K57" s="21" t="n"/>
      <c r="L57" s="21" t="n"/>
    </row>
    <row r="58" ht="15" customHeight="1">
      <c r="A58" s="21" t="inlineStr">
        <is>
          <t>NEW-0104</t>
        </is>
      </c>
      <c r="B58" s="23">
        <f>IFERROR(IF(ISBLANK(INDEX(Backlog[Requirement Name],MATCH($A58,Backlog[Requirement ID],0))),"",INDEX(Backlog[Requirement Name],MATCH($A58,Backlog[Requirement ID],0))),"")</f>
        <v/>
      </c>
      <c r="C58" s="23">
        <f>IFERROR(IF(ISBLANK(INDEX(Backlog[Stream],MATCH($A58,Backlog[Requirement ID],0))),"",INDEX(Backlog[Stream],MATCH($A58,Backlog[Requirement ID],0))),"")</f>
        <v/>
      </c>
      <c r="D58" s="23">
        <f>IFERROR(IF(ISBLANK(INDEX(Backlog[Jira Link],MATCH($A58,Backlog[Requirement ID],0))),"",INDEX(Backlog[Jira Link],MATCH($A58,Backlog[Requirement ID],0))),"")</f>
        <v/>
      </c>
      <c r="E58" s="23">
        <f>IFERROR(IF(ISBLANK(INDEX(Backlog[Status],MATCH($A58,Backlog[Requirement ID],0))),"",INDEX(Backlog[Status],MATCH($A58,Backlog[Requirement ID],0))),"")</f>
        <v/>
      </c>
      <c r="F58" s="23">
        <f>IFERROR(IF(ISBLANK(INDEX(SprintPlanning[Sprint],MATCH($A58,SprintPlanning[Requirement ID],0))),"",INDEX(SprintPlanning[Sprint],MATCH($A58,SprintPlanning[Requirement ID],0))),"")</f>
        <v/>
      </c>
      <c r="G58" s="21" t="inlineStr">
        <is>
          <t>No</t>
        </is>
      </c>
      <c r="H58" s="38" t="n"/>
      <c r="I58" s="21" t="n"/>
      <c r="J58" s="23">
        <f>IFERROR(IF(ISBLANK(INDEX(Backlog[Priority],MATCH($A58,Backlog[Requirement ID],0))),"",INDEX(Backlog[Priority],MATCH($A58,Backlog[Requirement ID],0))),"")</f>
        <v/>
      </c>
      <c r="K58" s="21" t="n"/>
      <c r="L58" s="21" t="n"/>
    </row>
    <row r="59" ht="15" customHeight="1">
      <c r="A59" s="21" t="inlineStr">
        <is>
          <t>NEW-0105</t>
        </is>
      </c>
      <c r="B59" s="23">
        <f>IFERROR(IF(ISBLANK(INDEX(Backlog[Requirement Name],MATCH($A59,Backlog[Requirement ID],0))),"",INDEX(Backlog[Requirement Name],MATCH($A59,Backlog[Requirement ID],0))),"")</f>
        <v/>
      </c>
      <c r="C59" s="23">
        <f>IFERROR(IF(ISBLANK(INDEX(Backlog[Stream],MATCH($A59,Backlog[Requirement ID],0))),"",INDEX(Backlog[Stream],MATCH($A59,Backlog[Requirement ID],0))),"")</f>
        <v/>
      </c>
      <c r="D59" s="23">
        <f>IFERROR(IF(ISBLANK(INDEX(Backlog[Jira Link],MATCH($A59,Backlog[Requirement ID],0))),"",INDEX(Backlog[Jira Link],MATCH($A59,Backlog[Requirement ID],0))),"")</f>
        <v/>
      </c>
      <c r="E59" s="23">
        <f>IFERROR(IF(ISBLANK(INDEX(Backlog[Status],MATCH($A59,Backlog[Requirement ID],0))),"",INDEX(Backlog[Status],MATCH($A59,Backlog[Requirement ID],0))),"")</f>
        <v/>
      </c>
      <c r="F59" s="23">
        <f>IFERROR(IF(ISBLANK(INDEX(SprintPlanning[Sprint],MATCH($A59,SprintPlanning[Requirement ID],0))),"",INDEX(SprintPlanning[Sprint],MATCH($A59,SprintPlanning[Requirement ID],0))),"")</f>
        <v/>
      </c>
      <c r="G59" s="21" t="inlineStr">
        <is>
          <t>No</t>
        </is>
      </c>
      <c r="H59" s="38" t="n"/>
      <c r="I59" s="21" t="n"/>
      <c r="J59" s="23">
        <f>IFERROR(IF(ISBLANK(INDEX(Backlog[Priority],MATCH($A59,Backlog[Requirement ID],0))),"",INDEX(Backlog[Priority],MATCH($A59,Backlog[Requirement ID],0))),"")</f>
        <v/>
      </c>
      <c r="K59" s="21" t="n"/>
      <c r="L59" s="21" t="n"/>
    </row>
    <row r="60" ht="15" customHeight="1">
      <c r="A60" s="21" t="inlineStr">
        <is>
          <t>NEW-0108</t>
        </is>
      </c>
      <c r="B60" s="23">
        <f>IFERROR(IF(ISBLANK(INDEX(Backlog[Requirement Name],MATCH($A60,Backlog[Requirement ID],0))),"",INDEX(Backlog[Requirement Name],MATCH($A60,Backlog[Requirement ID],0))),"")</f>
        <v/>
      </c>
      <c r="C60" s="23">
        <f>IFERROR(IF(ISBLANK(INDEX(Backlog[Stream],MATCH($A60,Backlog[Requirement ID],0))),"",INDEX(Backlog[Stream],MATCH($A60,Backlog[Requirement ID],0))),"")</f>
        <v/>
      </c>
      <c r="D60" s="23">
        <f>IFERROR(IF(ISBLANK(INDEX(Backlog[Jira Link],MATCH($A60,Backlog[Requirement ID],0))),"",INDEX(Backlog[Jira Link],MATCH($A60,Backlog[Requirement ID],0))),"")</f>
        <v/>
      </c>
      <c r="E60" s="23">
        <f>IFERROR(IF(ISBLANK(INDEX(Backlog[Status],MATCH($A60,Backlog[Requirement ID],0))),"",INDEX(Backlog[Status],MATCH($A60,Backlog[Requirement ID],0))),"")</f>
        <v/>
      </c>
      <c r="F60" s="23">
        <f>IFERROR(IF(ISBLANK(INDEX(SprintPlanning[Sprint],MATCH($A60,SprintPlanning[Requirement ID],0))),"",INDEX(SprintPlanning[Sprint],MATCH($A60,SprintPlanning[Requirement ID],0))),"")</f>
        <v/>
      </c>
      <c r="G60" s="21" t="inlineStr">
        <is>
          <t>Yes</t>
        </is>
      </c>
      <c r="H60" s="38" t="n"/>
      <c r="I60" s="21" t="n"/>
      <c r="J60" s="23">
        <f>IFERROR(IF(ISBLANK(INDEX(Backlog[Priority],MATCH($A60,Backlog[Requirement ID],0))),"",INDEX(Backlog[Priority],MATCH($A60,Backlog[Requirement ID],0))),"")</f>
        <v/>
      </c>
      <c r="K60" s="21" t="n"/>
      <c r="L60" s="21" t="n"/>
    </row>
    <row r="61" ht="15" customHeight="1">
      <c r="A61" s="21" t="inlineStr">
        <is>
          <t>NEW-0109</t>
        </is>
      </c>
      <c r="B61" s="23">
        <f>IFERROR(IF(ISBLANK(INDEX(Backlog[Requirement Name],MATCH($A61,Backlog[Requirement ID],0))),"",INDEX(Backlog[Requirement Name],MATCH($A61,Backlog[Requirement ID],0))),"")</f>
        <v/>
      </c>
      <c r="C61" s="23">
        <f>IFERROR(IF(ISBLANK(INDEX(Backlog[Stream],MATCH($A61,Backlog[Requirement ID],0))),"",INDEX(Backlog[Stream],MATCH($A61,Backlog[Requirement ID],0))),"")</f>
        <v/>
      </c>
      <c r="D61" s="23">
        <f>IFERROR(IF(ISBLANK(INDEX(Backlog[Jira Link],MATCH($A61,Backlog[Requirement ID],0))),"",INDEX(Backlog[Jira Link],MATCH($A61,Backlog[Requirement ID],0))),"")</f>
        <v/>
      </c>
      <c r="E61" s="23">
        <f>IFERROR(IF(ISBLANK(INDEX(Backlog[Status],MATCH($A61,Backlog[Requirement ID],0))),"",INDEX(Backlog[Status],MATCH($A61,Backlog[Requirement ID],0))),"")</f>
        <v/>
      </c>
      <c r="F61" s="23">
        <f>IFERROR(IF(ISBLANK(INDEX(SprintPlanning[Sprint],MATCH($A61,SprintPlanning[Requirement ID],0))),"",INDEX(SprintPlanning[Sprint],MATCH($A61,SprintPlanning[Requirement ID],0))),"")</f>
        <v/>
      </c>
      <c r="G61" s="21" t="inlineStr">
        <is>
          <t>Yes</t>
        </is>
      </c>
      <c r="H61" s="38" t="n"/>
      <c r="I61" s="21" t="n"/>
      <c r="J61" s="23">
        <f>IFERROR(IF(ISBLANK(INDEX(Backlog[Priority],MATCH($A61,Backlog[Requirement ID],0))),"",INDEX(Backlog[Priority],MATCH($A61,Backlog[Requirement ID],0))),"")</f>
        <v/>
      </c>
      <c r="K61" s="21" t="n"/>
      <c r="L61" s="21" t="n"/>
    </row>
    <row r="62" ht="15" customHeight="1">
      <c r="A62" s="21" t="inlineStr">
        <is>
          <t>NEW-0111</t>
        </is>
      </c>
      <c r="B62" s="23">
        <f>IFERROR(IF(ISBLANK(INDEX(Backlog[Requirement Name],MATCH($A62,Backlog[Requirement ID],0))),"",INDEX(Backlog[Requirement Name],MATCH($A62,Backlog[Requirement ID],0))),"")</f>
        <v/>
      </c>
      <c r="C62" s="23">
        <f>IFERROR(IF(ISBLANK(INDEX(Backlog[Stream],MATCH($A62,Backlog[Requirement ID],0))),"",INDEX(Backlog[Stream],MATCH($A62,Backlog[Requirement ID],0))),"")</f>
        <v/>
      </c>
      <c r="D62" s="23">
        <f>IFERROR(IF(ISBLANK(INDEX(Backlog[Jira Link],MATCH($A62,Backlog[Requirement ID],0))),"",INDEX(Backlog[Jira Link],MATCH($A62,Backlog[Requirement ID],0))),"")</f>
        <v/>
      </c>
      <c r="E62" s="23">
        <f>IFERROR(IF(ISBLANK(INDEX(Backlog[Status],MATCH($A62,Backlog[Requirement ID],0))),"",INDEX(Backlog[Status],MATCH($A62,Backlog[Requirement ID],0))),"")</f>
        <v/>
      </c>
      <c r="F62" s="23">
        <f>IFERROR(IF(ISBLANK(INDEX(SprintPlanning[Sprint],MATCH($A62,SprintPlanning[Requirement ID],0))),"",INDEX(SprintPlanning[Sprint],MATCH($A62,SprintPlanning[Requirement ID],0))),"")</f>
        <v/>
      </c>
      <c r="G62" s="21" t="inlineStr">
        <is>
          <t>Yes</t>
        </is>
      </c>
      <c r="H62" s="38" t="n"/>
      <c r="I62" s="21" t="n"/>
      <c r="J62" s="23">
        <f>IFERROR(IF(ISBLANK(INDEX(Backlog[Priority],MATCH($A62,Backlog[Requirement ID],0))),"",INDEX(Backlog[Priority],MATCH($A62,Backlog[Requirement ID],0))),"")</f>
        <v/>
      </c>
      <c r="K62" s="21" t="n"/>
      <c r="L62" s="21" t="n"/>
    </row>
    <row r="63" ht="15" customHeight="1">
      <c r="A63" s="21" t="inlineStr">
        <is>
          <t>NEW-0112</t>
        </is>
      </c>
      <c r="B63" s="23">
        <f>IFERROR(IF(ISBLANK(INDEX(Backlog[Requirement Name],MATCH($A63,Backlog[Requirement ID],0))),"",INDEX(Backlog[Requirement Name],MATCH($A63,Backlog[Requirement ID],0))),"")</f>
        <v/>
      </c>
      <c r="C63" s="23">
        <f>IFERROR(IF(ISBLANK(INDEX(Backlog[Stream],MATCH($A63,Backlog[Requirement ID],0))),"",INDEX(Backlog[Stream],MATCH($A63,Backlog[Requirement ID],0))),"")</f>
        <v/>
      </c>
      <c r="D63" s="23">
        <f>IFERROR(IF(ISBLANK(INDEX(Backlog[Jira Link],MATCH($A63,Backlog[Requirement ID],0))),"",INDEX(Backlog[Jira Link],MATCH($A63,Backlog[Requirement ID],0))),"")</f>
        <v/>
      </c>
      <c r="E63" s="23">
        <f>IFERROR(IF(ISBLANK(INDEX(Backlog[Status],MATCH($A63,Backlog[Requirement ID],0))),"",INDEX(Backlog[Status],MATCH($A63,Backlog[Requirement ID],0))),"")</f>
        <v/>
      </c>
      <c r="F63" s="23">
        <f>IFERROR(IF(ISBLANK(INDEX(SprintPlanning[Sprint],MATCH($A63,SprintPlanning[Requirement ID],0))),"",INDEX(SprintPlanning[Sprint],MATCH($A63,SprintPlanning[Requirement ID],0))),"")</f>
        <v/>
      </c>
      <c r="G63" s="21" t="inlineStr">
        <is>
          <t>No</t>
        </is>
      </c>
      <c r="H63" s="38" t="n"/>
      <c r="I63" s="21" t="n"/>
      <c r="J63" s="23">
        <f>IFERROR(IF(ISBLANK(INDEX(Backlog[Priority],MATCH($A63,Backlog[Requirement ID],0))),"",INDEX(Backlog[Priority],MATCH($A63,Backlog[Requirement ID],0))),"")</f>
        <v/>
      </c>
      <c r="K63" s="21" t="n"/>
      <c r="L63" s="21" t="n"/>
    </row>
    <row r="64" ht="15" customHeight="1">
      <c r="A64" s="21" t="inlineStr">
        <is>
          <t>NEW-0113</t>
        </is>
      </c>
      <c r="B64" s="23">
        <f>IFERROR(IF(ISBLANK(INDEX(Backlog[Requirement Name],MATCH($A64,Backlog[Requirement ID],0))),"",INDEX(Backlog[Requirement Name],MATCH($A64,Backlog[Requirement ID],0))),"")</f>
        <v/>
      </c>
      <c r="C64" s="23">
        <f>IFERROR(IF(ISBLANK(INDEX(Backlog[Stream],MATCH($A64,Backlog[Requirement ID],0))),"",INDEX(Backlog[Stream],MATCH($A64,Backlog[Requirement ID],0))),"")</f>
        <v/>
      </c>
      <c r="D64" s="23">
        <f>IFERROR(IF(ISBLANK(INDEX(Backlog[Jira Link],MATCH($A64,Backlog[Requirement ID],0))),"",INDEX(Backlog[Jira Link],MATCH($A64,Backlog[Requirement ID],0))),"")</f>
        <v/>
      </c>
      <c r="E64" s="23">
        <f>IFERROR(IF(ISBLANK(INDEX(Backlog[Status],MATCH($A64,Backlog[Requirement ID],0))),"",INDEX(Backlog[Status],MATCH($A64,Backlog[Requirement ID],0))),"")</f>
        <v/>
      </c>
      <c r="F64" s="23">
        <f>IFERROR(IF(ISBLANK(INDEX(SprintPlanning[Sprint],MATCH($A64,SprintPlanning[Requirement ID],0))),"",INDEX(SprintPlanning[Sprint],MATCH($A64,SprintPlanning[Requirement ID],0))),"")</f>
        <v/>
      </c>
      <c r="G64" s="21" t="inlineStr">
        <is>
          <t>No</t>
        </is>
      </c>
      <c r="H64" s="38" t="n"/>
      <c r="I64" s="21" t="n"/>
      <c r="J64" s="23">
        <f>IFERROR(IF(ISBLANK(INDEX(Backlog[Priority],MATCH($A64,Backlog[Requirement ID],0))),"",INDEX(Backlog[Priority],MATCH($A64,Backlog[Requirement ID],0))),"")</f>
        <v/>
      </c>
      <c r="K64" s="21" t="n"/>
      <c r="L64" s="21" t="n"/>
    </row>
    <row r="65" ht="15" customHeight="1">
      <c r="A65" s="21" t="inlineStr">
        <is>
          <t>NEW-0120</t>
        </is>
      </c>
      <c r="B65" s="23">
        <f>IFERROR(IF(ISBLANK(INDEX(Backlog[Requirement Name],MATCH($A65,Backlog[Requirement ID],0))),"",INDEX(Backlog[Requirement Name],MATCH($A65,Backlog[Requirement ID],0))),"")</f>
        <v/>
      </c>
      <c r="C65" s="23">
        <f>IFERROR(IF(ISBLANK(INDEX(Backlog[Stream],MATCH($A65,Backlog[Requirement ID],0))),"",INDEX(Backlog[Stream],MATCH($A65,Backlog[Requirement ID],0))),"")</f>
        <v/>
      </c>
      <c r="D65" s="23">
        <f>IFERROR(IF(ISBLANK(INDEX(Backlog[Jira Link],MATCH($A65,Backlog[Requirement ID],0))),"",INDEX(Backlog[Jira Link],MATCH($A65,Backlog[Requirement ID],0))),"")</f>
        <v/>
      </c>
      <c r="E65" s="23">
        <f>IFERROR(IF(ISBLANK(INDEX(Backlog[Status],MATCH($A65,Backlog[Requirement ID],0))),"",INDEX(Backlog[Status],MATCH($A65,Backlog[Requirement ID],0))),"")</f>
        <v/>
      </c>
      <c r="F65" s="23">
        <f>IFERROR(IF(ISBLANK(INDEX(SprintPlanning[Sprint],MATCH($A65,SprintPlanning[Requirement ID],0))),"",INDEX(SprintPlanning[Sprint],MATCH($A65,SprintPlanning[Requirement ID],0))),"")</f>
        <v/>
      </c>
      <c r="G65" s="21" t="inlineStr">
        <is>
          <t>Yes</t>
        </is>
      </c>
      <c r="H65" s="38" t="n"/>
      <c r="I65" s="21" t="n"/>
      <c r="J65" s="23">
        <f>IFERROR(IF(ISBLANK(INDEX(Backlog[Priority],MATCH($A65,Backlog[Requirement ID],0))),"",INDEX(Backlog[Priority],MATCH($A65,Backlog[Requirement ID],0))),"")</f>
        <v/>
      </c>
      <c r="K65" s="21" t="n"/>
      <c r="L65" s="21" t="n"/>
    </row>
    <row r="66" ht="15" customHeight="1">
      <c r="A66" s="21" t="inlineStr">
        <is>
          <t>NEW-0121</t>
        </is>
      </c>
      <c r="B66" s="23">
        <f>IFERROR(IF(ISBLANK(INDEX(Backlog[Requirement Name],MATCH($A66,Backlog[Requirement ID],0))),"",INDEX(Backlog[Requirement Name],MATCH($A66,Backlog[Requirement ID],0))),"")</f>
        <v/>
      </c>
      <c r="C66" s="23">
        <f>IFERROR(IF(ISBLANK(INDEX(Backlog[Stream],MATCH($A66,Backlog[Requirement ID],0))),"",INDEX(Backlog[Stream],MATCH($A66,Backlog[Requirement ID],0))),"")</f>
        <v/>
      </c>
      <c r="D66" s="23">
        <f>IFERROR(IF(ISBLANK(INDEX(Backlog[Jira Link],MATCH($A66,Backlog[Requirement ID],0))),"",INDEX(Backlog[Jira Link],MATCH($A66,Backlog[Requirement ID],0))),"")</f>
        <v/>
      </c>
      <c r="E66" s="23">
        <f>IFERROR(IF(ISBLANK(INDEX(Backlog[Status],MATCH($A66,Backlog[Requirement ID],0))),"",INDEX(Backlog[Status],MATCH($A66,Backlog[Requirement ID],0))),"")</f>
        <v/>
      </c>
      <c r="F66" s="23">
        <f>IFERROR(IF(ISBLANK(INDEX(SprintPlanning[Sprint],MATCH($A66,SprintPlanning[Requirement ID],0))),"",INDEX(SprintPlanning[Sprint],MATCH($A66,SprintPlanning[Requirement ID],0))),"")</f>
        <v/>
      </c>
      <c r="G66" s="21" t="inlineStr">
        <is>
          <t>No</t>
        </is>
      </c>
      <c r="H66" s="38" t="n"/>
      <c r="I66" s="21" t="n"/>
      <c r="J66" s="23">
        <f>IFERROR(IF(ISBLANK(INDEX(Backlog[Priority],MATCH($A66,Backlog[Requirement ID],0))),"",INDEX(Backlog[Priority],MATCH($A66,Backlog[Requirement ID],0))),"")</f>
        <v/>
      </c>
      <c r="K66" s="21" t="n"/>
      <c r="L66" s="21" t="n"/>
    </row>
    <row r="67" ht="15" customHeight="1">
      <c r="A67" s="21" t="inlineStr">
        <is>
          <t>NEW-0122</t>
        </is>
      </c>
      <c r="B67" s="23">
        <f>IFERROR(IF(ISBLANK(INDEX(Backlog[Requirement Name],MATCH($A67,Backlog[Requirement ID],0))),"",INDEX(Backlog[Requirement Name],MATCH($A67,Backlog[Requirement ID],0))),"")</f>
        <v/>
      </c>
      <c r="C67" s="23">
        <f>IFERROR(IF(ISBLANK(INDEX(Backlog[Stream],MATCH($A67,Backlog[Requirement ID],0))),"",INDEX(Backlog[Stream],MATCH($A67,Backlog[Requirement ID],0))),"")</f>
        <v/>
      </c>
      <c r="D67" s="23">
        <f>IFERROR(IF(ISBLANK(INDEX(Backlog[Jira Link],MATCH($A67,Backlog[Requirement ID],0))),"",INDEX(Backlog[Jira Link],MATCH($A67,Backlog[Requirement ID],0))),"")</f>
        <v/>
      </c>
      <c r="E67" s="23">
        <f>IFERROR(IF(ISBLANK(INDEX(Backlog[Status],MATCH($A67,Backlog[Requirement ID],0))),"",INDEX(Backlog[Status],MATCH($A67,Backlog[Requirement ID],0))),"")</f>
        <v/>
      </c>
      <c r="F67" s="23">
        <f>IFERROR(IF(ISBLANK(INDEX(SprintPlanning[Sprint],MATCH($A67,SprintPlanning[Requirement ID],0))),"",INDEX(SprintPlanning[Sprint],MATCH($A67,SprintPlanning[Requirement ID],0))),"")</f>
        <v/>
      </c>
      <c r="G67" s="21" t="inlineStr">
        <is>
          <t>No</t>
        </is>
      </c>
      <c r="H67" s="38" t="n"/>
      <c r="I67" s="21" t="n"/>
      <c r="J67" s="23">
        <f>IFERROR(IF(ISBLANK(INDEX(Backlog[Priority],MATCH($A67,Backlog[Requirement ID],0))),"",INDEX(Backlog[Priority],MATCH($A67,Backlog[Requirement ID],0))),"")</f>
        <v/>
      </c>
      <c r="K67" s="21" t="n"/>
      <c r="L67" s="21" t="n"/>
    </row>
    <row r="68" ht="15" customHeight="1">
      <c r="A68" s="21" t="inlineStr">
        <is>
          <t>NEW-0123</t>
        </is>
      </c>
      <c r="B68" s="23">
        <f>IFERROR(IF(ISBLANK(INDEX(Backlog[Requirement Name],MATCH($A68,Backlog[Requirement ID],0))),"",INDEX(Backlog[Requirement Name],MATCH($A68,Backlog[Requirement ID],0))),"")</f>
        <v/>
      </c>
      <c r="C68" s="23">
        <f>IFERROR(IF(ISBLANK(INDEX(Backlog[Stream],MATCH($A68,Backlog[Requirement ID],0))),"",INDEX(Backlog[Stream],MATCH($A68,Backlog[Requirement ID],0))),"")</f>
        <v/>
      </c>
      <c r="D68" s="23">
        <f>IFERROR(IF(ISBLANK(INDEX(Backlog[Jira Link],MATCH($A68,Backlog[Requirement ID],0))),"",INDEX(Backlog[Jira Link],MATCH($A68,Backlog[Requirement ID],0))),"")</f>
        <v/>
      </c>
      <c r="E68" s="23">
        <f>IFERROR(IF(ISBLANK(INDEX(Backlog[Status],MATCH($A68,Backlog[Requirement ID],0))),"",INDEX(Backlog[Status],MATCH($A68,Backlog[Requirement ID],0))),"")</f>
        <v/>
      </c>
      <c r="F68" s="23">
        <f>IFERROR(IF(ISBLANK(INDEX(SprintPlanning[Sprint],MATCH($A68,SprintPlanning[Requirement ID],0))),"",INDEX(SprintPlanning[Sprint],MATCH($A68,SprintPlanning[Requirement ID],0))),"")</f>
        <v/>
      </c>
      <c r="G68" s="21" t="inlineStr">
        <is>
          <t>No</t>
        </is>
      </c>
      <c r="H68" s="38" t="n"/>
      <c r="I68" s="21" t="n"/>
      <c r="J68" s="23">
        <f>IFERROR(IF(ISBLANK(INDEX(Backlog[Priority],MATCH($A68,Backlog[Requirement ID],0))),"",INDEX(Backlog[Priority],MATCH($A68,Backlog[Requirement ID],0))),"")</f>
        <v/>
      </c>
      <c r="K68" s="21" t="n"/>
      <c r="L68" s="21" t="n"/>
    </row>
    <row r="69" ht="15" customHeight="1">
      <c r="A69" s="21" t="inlineStr">
        <is>
          <t>NEW-0127</t>
        </is>
      </c>
      <c r="B69" s="23">
        <f>IFERROR(IF(ISBLANK(INDEX(Backlog[Requirement Name],MATCH($A69,Backlog[Requirement ID],0))),"",INDEX(Backlog[Requirement Name],MATCH($A69,Backlog[Requirement ID],0))),"")</f>
        <v/>
      </c>
      <c r="C69" s="23">
        <f>IFERROR(IF(ISBLANK(INDEX(Backlog[Stream],MATCH($A69,Backlog[Requirement ID],0))),"",INDEX(Backlog[Stream],MATCH($A69,Backlog[Requirement ID],0))),"")</f>
        <v/>
      </c>
      <c r="D69" s="23">
        <f>IFERROR(IF(ISBLANK(INDEX(Backlog[Jira Link],MATCH($A69,Backlog[Requirement ID],0))),"",INDEX(Backlog[Jira Link],MATCH($A69,Backlog[Requirement ID],0))),"")</f>
        <v/>
      </c>
      <c r="E69" s="23">
        <f>IFERROR(IF(ISBLANK(INDEX(Backlog[Status],MATCH($A69,Backlog[Requirement ID],0))),"",INDEX(Backlog[Status],MATCH($A69,Backlog[Requirement ID],0))),"")</f>
        <v/>
      </c>
      <c r="F69" s="23">
        <f>IFERROR(IF(ISBLANK(INDEX(SprintPlanning[Sprint],MATCH($A69,SprintPlanning[Requirement ID],0))),"",INDEX(SprintPlanning[Sprint],MATCH($A69,SprintPlanning[Requirement ID],0))),"")</f>
        <v/>
      </c>
      <c r="G69" s="21" t="n"/>
      <c r="H69" s="38" t="n"/>
      <c r="I69" s="21" t="n"/>
      <c r="J69" s="23">
        <f>IFERROR(IF(ISBLANK(INDEX(Backlog[Priority],MATCH($A69,Backlog[Requirement ID],0))),"",INDEX(Backlog[Priority],MATCH($A69,Backlog[Requirement ID],0))),"")</f>
        <v/>
      </c>
      <c r="K69" s="21" t="n"/>
      <c r="L69" s="21" t="n"/>
    </row>
    <row r="70" ht="15" customHeight="1">
      <c r="A70" s="21" t="inlineStr">
        <is>
          <t>NEW-0131</t>
        </is>
      </c>
      <c r="B70" s="23">
        <f>IFERROR(IF(ISBLANK(INDEX(Backlog[Requirement Name],MATCH($A70,Backlog[Requirement ID],0))),"",INDEX(Backlog[Requirement Name],MATCH($A70,Backlog[Requirement ID],0))),"")</f>
        <v/>
      </c>
      <c r="C70" s="23">
        <f>IFERROR(IF(ISBLANK(INDEX(Backlog[Stream],MATCH($A70,Backlog[Requirement ID],0))),"",INDEX(Backlog[Stream],MATCH($A70,Backlog[Requirement ID],0))),"")</f>
        <v/>
      </c>
      <c r="D70" s="23">
        <f>IFERROR(IF(ISBLANK(INDEX(Backlog[Jira Link],MATCH($A70,Backlog[Requirement ID],0))),"",INDEX(Backlog[Jira Link],MATCH($A70,Backlog[Requirement ID],0))),"")</f>
        <v/>
      </c>
      <c r="E70" s="23">
        <f>IFERROR(IF(ISBLANK(INDEX(Backlog[Status],MATCH($A70,Backlog[Requirement ID],0))),"",INDEX(Backlog[Status],MATCH($A70,Backlog[Requirement ID],0))),"")</f>
        <v/>
      </c>
      <c r="F70" s="23">
        <f>IFERROR(IF(ISBLANK(INDEX(SprintPlanning[Sprint],MATCH($A70,SprintPlanning[Requirement ID],0))),"",INDEX(SprintPlanning[Sprint],MATCH($A70,SprintPlanning[Requirement ID],0))),"")</f>
        <v/>
      </c>
      <c r="G70" s="21" t="n"/>
      <c r="H70" s="38" t="n"/>
      <c r="I70" s="21" t="n"/>
      <c r="J70" s="23">
        <f>IFERROR(IF(ISBLANK(INDEX(Backlog[Priority],MATCH($A70,Backlog[Requirement ID],0))),"",INDEX(Backlog[Priority],MATCH($A70,Backlog[Requirement ID],0))),"")</f>
        <v/>
      </c>
      <c r="K70" s="21" t="n"/>
      <c r="L70" s="21" t="n"/>
    </row>
    <row r="71" ht="15" customHeight="1">
      <c r="A71" s="21" t="inlineStr">
        <is>
          <t>NEW-0133</t>
        </is>
      </c>
      <c r="B71" s="23">
        <f>IFERROR(IF(ISBLANK(INDEX(Backlog[Requirement Name],MATCH($A71,Backlog[Requirement ID],0))),"",INDEX(Backlog[Requirement Name],MATCH($A71,Backlog[Requirement ID],0))),"")</f>
        <v/>
      </c>
      <c r="C71" s="23">
        <f>IFERROR(IF(ISBLANK(INDEX(Backlog[Stream],MATCH($A71,Backlog[Requirement ID],0))),"",INDEX(Backlog[Stream],MATCH($A71,Backlog[Requirement ID],0))),"")</f>
        <v/>
      </c>
      <c r="D71" s="23">
        <f>IFERROR(IF(ISBLANK(INDEX(Backlog[Jira Link],MATCH($A71,Backlog[Requirement ID],0))),"",INDEX(Backlog[Jira Link],MATCH($A71,Backlog[Requirement ID],0))),"")</f>
        <v/>
      </c>
      <c r="E71" s="23">
        <f>IFERROR(IF(ISBLANK(INDEX(Backlog[Status],MATCH($A71,Backlog[Requirement ID],0))),"",INDEX(Backlog[Status],MATCH($A71,Backlog[Requirement ID],0))),"")</f>
        <v/>
      </c>
      <c r="F71" s="23">
        <f>IFERROR(IF(ISBLANK(INDEX(SprintPlanning[Sprint],MATCH($A71,SprintPlanning[Requirement ID],0))),"",INDEX(SprintPlanning[Sprint],MATCH($A71,SprintPlanning[Requirement ID],0))),"")</f>
        <v/>
      </c>
      <c r="G71" s="21" t="inlineStr">
        <is>
          <t>Yes</t>
        </is>
      </c>
      <c r="H71" s="38" t="n"/>
      <c r="I71" s="21" t="n"/>
      <c r="J71" s="23">
        <f>IFERROR(IF(ISBLANK(INDEX(Backlog[Priority],MATCH($A71,Backlog[Requirement ID],0))),"",INDEX(Backlog[Priority],MATCH($A71,Backlog[Requirement ID],0))),"")</f>
        <v/>
      </c>
      <c r="K71" s="21" t="n"/>
      <c r="L71" s="21" t="n"/>
    </row>
    <row r="72" ht="15" customHeight="1">
      <c r="A72" s="21" t="inlineStr">
        <is>
          <t>NEW-0135</t>
        </is>
      </c>
      <c r="B72" s="23">
        <f>IFERROR(IF(ISBLANK(INDEX(Backlog[Requirement Name],MATCH($A72,Backlog[Requirement ID],0))),"",INDEX(Backlog[Requirement Name],MATCH($A72,Backlog[Requirement ID],0))),"")</f>
        <v/>
      </c>
      <c r="C72" s="23">
        <f>IFERROR(IF(ISBLANK(INDEX(Backlog[Stream],MATCH($A72,Backlog[Requirement ID],0))),"",INDEX(Backlog[Stream],MATCH($A72,Backlog[Requirement ID],0))),"")</f>
        <v/>
      </c>
      <c r="D72" s="23">
        <f>IFERROR(IF(ISBLANK(INDEX(Backlog[Jira Link],MATCH($A72,Backlog[Requirement ID],0))),"",INDEX(Backlog[Jira Link],MATCH($A72,Backlog[Requirement ID],0))),"")</f>
        <v/>
      </c>
      <c r="E72" s="23">
        <f>IFERROR(IF(ISBLANK(INDEX(Backlog[Status],MATCH($A72,Backlog[Requirement ID],0))),"",INDEX(Backlog[Status],MATCH($A72,Backlog[Requirement ID],0))),"")</f>
        <v/>
      </c>
      <c r="F72" s="23">
        <f>IFERROR(IF(ISBLANK(INDEX(SprintPlanning[Sprint],MATCH($A72,SprintPlanning[Requirement ID],0))),"",INDEX(SprintPlanning[Sprint],MATCH($A72,SprintPlanning[Requirement ID],0))),"")</f>
        <v/>
      </c>
      <c r="G72" s="21" t="inlineStr">
        <is>
          <t>Yes</t>
        </is>
      </c>
      <c r="H72" s="38" t="n"/>
      <c r="I72" s="21" t="n"/>
      <c r="J72" s="23">
        <f>IFERROR(IF(ISBLANK(INDEX(Backlog[Priority],MATCH($A72,Backlog[Requirement ID],0))),"",INDEX(Backlog[Priority],MATCH($A72,Backlog[Requirement ID],0))),"")</f>
        <v/>
      </c>
      <c r="K72" s="21" t="n"/>
      <c r="L72" s="21" t="n"/>
    </row>
    <row r="73" ht="15" customHeight="1">
      <c r="A73" s="21" t="inlineStr">
        <is>
          <t>NEW-0136</t>
        </is>
      </c>
      <c r="B73" s="23">
        <f>IFERROR(IF(ISBLANK(INDEX(Backlog[Requirement Name],MATCH($A73,Backlog[Requirement ID],0))),"",INDEX(Backlog[Requirement Name],MATCH($A73,Backlog[Requirement ID],0))),"")</f>
        <v/>
      </c>
      <c r="C73" s="23">
        <f>IFERROR(IF(ISBLANK(INDEX(Backlog[Stream],MATCH($A73,Backlog[Requirement ID],0))),"",INDEX(Backlog[Stream],MATCH($A73,Backlog[Requirement ID],0))),"")</f>
        <v/>
      </c>
      <c r="D73" s="23">
        <f>IFERROR(IF(ISBLANK(INDEX(Backlog[Jira Link],MATCH($A73,Backlog[Requirement ID],0))),"",INDEX(Backlog[Jira Link],MATCH($A73,Backlog[Requirement ID],0))),"")</f>
        <v/>
      </c>
      <c r="E73" s="23">
        <f>IFERROR(IF(ISBLANK(INDEX(Backlog[Status],MATCH($A73,Backlog[Requirement ID],0))),"",INDEX(Backlog[Status],MATCH($A73,Backlog[Requirement ID],0))),"")</f>
        <v/>
      </c>
      <c r="F73" s="23">
        <f>IFERROR(IF(ISBLANK(INDEX(SprintPlanning[Sprint],MATCH($A73,SprintPlanning[Requirement ID],0))),"",INDEX(SprintPlanning[Sprint],MATCH($A73,SprintPlanning[Requirement ID],0))),"")</f>
        <v/>
      </c>
      <c r="G73" s="21" t="inlineStr">
        <is>
          <t>Yes</t>
        </is>
      </c>
      <c r="H73" s="38" t="n"/>
      <c r="I73" s="21" t="n"/>
      <c r="J73" s="23">
        <f>IFERROR(IF(ISBLANK(INDEX(Backlog[Priority],MATCH($A73,Backlog[Requirement ID],0))),"",INDEX(Backlog[Priority],MATCH($A73,Backlog[Requirement ID],0))),"")</f>
        <v/>
      </c>
      <c r="K73" s="21" t="n"/>
      <c r="L73" s="21" t="n"/>
    </row>
    <row r="74" ht="15" customHeight="1">
      <c r="A74" s="21" t="inlineStr">
        <is>
          <t>NEW-0137</t>
        </is>
      </c>
      <c r="B74" s="23">
        <f>IFERROR(IF(ISBLANK(INDEX(Backlog[Requirement Name],MATCH($A74,Backlog[Requirement ID],0))),"",INDEX(Backlog[Requirement Name],MATCH($A74,Backlog[Requirement ID],0))),"")</f>
        <v/>
      </c>
      <c r="C74" s="23">
        <f>IFERROR(IF(ISBLANK(INDEX(Backlog[Stream],MATCH($A74,Backlog[Requirement ID],0))),"",INDEX(Backlog[Stream],MATCH($A74,Backlog[Requirement ID],0))),"")</f>
        <v/>
      </c>
      <c r="D74" s="23">
        <f>IFERROR(IF(ISBLANK(INDEX(Backlog[Jira Link],MATCH($A74,Backlog[Requirement ID],0))),"",INDEX(Backlog[Jira Link],MATCH($A74,Backlog[Requirement ID],0))),"")</f>
        <v/>
      </c>
      <c r="E74" s="23">
        <f>IFERROR(IF(ISBLANK(INDEX(Backlog[Status],MATCH($A74,Backlog[Requirement ID],0))),"",INDEX(Backlog[Status],MATCH($A74,Backlog[Requirement ID],0))),"")</f>
        <v/>
      </c>
      <c r="F74" s="23">
        <f>IFERROR(IF(ISBLANK(INDEX(SprintPlanning[Sprint],MATCH($A74,SprintPlanning[Requirement ID],0))),"",INDEX(SprintPlanning[Sprint],MATCH($A74,SprintPlanning[Requirement ID],0))),"")</f>
        <v/>
      </c>
      <c r="G74" s="21" t="inlineStr">
        <is>
          <t>Yes</t>
        </is>
      </c>
      <c r="H74" s="38" t="n"/>
      <c r="I74" s="21" t="n"/>
      <c r="J74" s="23">
        <f>IFERROR(IF(ISBLANK(INDEX(Backlog[Priority],MATCH($A74,Backlog[Requirement ID],0))),"",INDEX(Backlog[Priority],MATCH($A74,Backlog[Requirement ID],0))),"")</f>
        <v/>
      </c>
      <c r="K74" s="21" t="n"/>
      <c r="L74" s="21" t="n"/>
    </row>
    <row r="75" ht="15" customHeight="1">
      <c r="A75" s="21" t="inlineStr">
        <is>
          <t>NEW-0138</t>
        </is>
      </c>
      <c r="B75" s="23">
        <f>IFERROR(IF(ISBLANK(INDEX(Backlog[Requirement Name],MATCH($A75,Backlog[Requirement ID],0))),"",INDEX(Backlog[Requirement Name],MATCH($A75,Backlog[Requirement ID],0))),"")</f>
        <v/>
      </c>
      <c r="C75" s="23">
        <f>IFERROR(IF(ISBLANK(INDEX(Backlog[Stream],MATCH($A75,Backlog[Requirement ID],0))),"",INDEX(Backlog[Stream],MATCH($A75,Backlog[Requirement ID],0))),"")</f>
        <v/>
      </c>
      <c r="D75" s="23">
        <f>IFERROR(IF(ISBLANK(INDEX(Backlog[Jira Link],MATCH($A75,Backlog[Requirement ID],0))),"",INDEX(Backlog[Jira Link],MATCH($A75,Backlog[Requirement ID],0))),"")</f>
        <v/>
      </c>
      <c r="E75" s="23">
        <f>IFERROR(IF(ISBLANK(INDEX(Backlog[Status],MATCH($A75,Backlog[Requirement ID],0))),"",INDEX(Backlog[Status],MATCH($A75,Backlog[Requirement ID],0))),"")</f>
        <v/>
      </c>
      <c r="F75" s="23">
        <f>IFERROR(IF(ISBLANK(INDEX(SprintPlanning[Sprint],MATCH($A75,SprintPlanning[Requirement ID],0))),"",INDEX(SprintPlanning[Sprint],MATCH($A75,SprintPlanning[Requirement ID],0))),"")</f>
        <v/>
      </c>
      <c r="G75" s="21" t="inlineStr">
        <is>
          <t>Yes</t>
        </is>
      </c>
      <c r="H75" s="38" t="n"/>
      <c r="I75" s="21" t="n"/>
      <c r="J75" s="23">
        <f>IFERROR(IF(ISBLANK(INDEX(Backlog[Priority],MATCH($A75,Backlog[Requirement ID],0))),"",INDEX(Backlog[Priority],MATCH($A75,Backlog[Requirement ID],0))),"")</f>
        <v/>
      </c>
      <c r="K75" s="21" t="n"/>
      <c r="L75" s="21" t="n"/>
    </row>
    <row r="76" ht="15" customHeight="1">
      <c r="A76" s="21" t="inlineStr">
        <is>
          <t>NEW-0139</t>
        </is>
      </c>
      <c r="B76" s="23">
        <f>IFERROR(IF(ISBLANK(INDEX(Backlog[Requirement Name],MATCH($A76,Backlog[Requirement ID],0))),"",INDEX(Backlog[Requirement Name],MATCH($A76,Backlog[Requirement ID],0))),"")</f>
        <v/>
      </c>
      <c r="C76" s="23">
        <f>IFERROR(IF(ISBLANK(INDEX(Backlog[Stream],MATCH($A76,Backlog[Requirement ID],0))),"",INDEX(Backlog[Stream],MATCH($A76,Backlog[Requirement ID],0))),"")</f>
        <v/>
      </c>
      <c r="D76" s="23">
        <f>IFERROR(IF(ISBLANK(INDEX(Backlog[Jira Link],MATCH($A76,Backlog[Requirement ID],0))),"",INDEX(Backlog[Jira Link],MATCH($A76,Backlog[Requirement ID],0))),"")</f>
        <v/>
      </c>
      <c r="E76" s="23">
        <f>IFERROR(IF(ISBLANK(INDEX(Backlog[Status],MATCH($A76,Backlog[Requirement ID],0))),"",INDEX(Backlog[Status],MATCH($A76,Backlog[Requirement ID],0))),"")</f>
        <v/>
      </c>
      <c r="F76" s="23">
        <f>IFERROR(IF(ISBLANK(INDEX(SprintPlanning[Sprint],MATCH($A76,SprintPlanning[Requirement ID],0))),"",INDEX(SprintPlanning[Sprint],MATCH($A76,SprintPlanning[Requirement ID],0))),"")</f>
        <v/>
      </c>
      <c r="G76" s="21" t="inlineStr">
        <is>
          <t>Yes</t>
        </is>
      </c>
      <c r="H76" s="38" t="n"/>
      <c r="I76" s="21" t="n"/>
      <c r="J76" s="23">
        <f>IFERROR(IF(ISBLANK(INDEX(Backlog[Priority],MATCH($A76,Backlog[Requirement ID],0))),"",INDEX(Backlog[Priority],MATCH($A76,Backlog[Requirement ID],0))),"")</f>
        <v/>
      </c>
      <c r="K76" s="21" t="n"/>
      <c r="L76" s="21" t="n"/>
    </row>
    <row r="77" ht="15" customHeight="1">
      <c r="A77" s="21" t="inlineStr">
        <is>
          <t>NEW-0142</t>
        </is>
      </c>
      <c r="B77" s="23">
        <f>IFERROR(IF(ISBLANK(INDEX(Backlog[Requirement Name],MATCH($A77,Backlog[Requirement ID],0))),"",INDEX(Backlog[Requirement Name],MATCH($A77,Backlog[Requirement ID],0))),"")</f>
        <v/>
      </c>
      <c r="C77" s="23">
        <f>IFERROR(IF(ISBLANK(INDEX(Backlog[Stream],MATCH($A77,Backlog[Requirement ID],0))),"",INDEX(Backlog[Stream],MATCH($A77,Backlog[Requirement ID],0))),"")</f>
        <v/>
      </c>
      <c r="D77" s="23">
        <f>IFERROR(IF(ISBLANK(INDEX(Backlog[Jira Link],MATCH($A77,Backlog[Requirement ID],0))),"",INDEX(Backlog[Jira Link],MATCH($A77,Backlog[Requirement ID],0))),"")</f>
        <v/>
      </c>
      <c r="E77" s="23">
        <f>IFERROR(IF(ISBLANK(INDEX(Backlog[Status],MATCH($A77,Backlog[Requirement ID],0))),"",INDEX(Backlog[Status],MATCH($A77,Backlog[Requirement ID],0))),"")</f>
        <v/>
      </c>
      <c r="F77" s="23">
        <f>IFERROR(IF(ISBLANK(INDEX(SprintPlanning[Sprint],MATCH($A77,SprintPlanning[Requirement ID],0))),"",INDEX(SprintPlanning[Sprint],MATCH($A77,SprintPlanning[Requirement ID],0))),"")</f>
        <v/>
      </c>
      <c r="G77" s="21" t="inlineStr">
        <is>
          <t>Yes</t>
        </is>
      </c>
      <c r="H77" s="38" t="n"/>
      <c r="I77" s="21" t="n"/>
      <c r="J77" s="23">
        <f>IFERROR(IF(ISBLANK(INDEX(Backlog[Priority],MATCH($A77,Backlog[Requirement ID],0))),"",INDEX(Backlog[Priority],MATCH($A77,Backlog[Requirement ID],0))),"")</f>
        <v/>
      </c>
      <c r="K77" s="21" t="n"/>
      <c r="L77" s="21" t="n"/>
    </row>
    <row r="78" ht="15" customHeight="1">
      <c r="A78" s="21" t="inlineStr">
        <is>
          <t>NEW-0143</t>
        </is>
      </c>
      <c r="B78" s="23">
        <f>IFERROR(IF(ISBLANK(INDEX(Backlog[Requirement Name],MATCH($A78,Backlog[Requirement ID],0))),"",INDEX(Backlog[Requirement Name],MATCH($A78,Backlog[Requirement ID],0))),"")</f>
        <v/>
      </c>
      <c r="C78" s="23">
        <f>IFERROR(IF(ISBLANK(INDEX(Backlog[Stream],MATCH($A78,Backlog[Requirement ID],0))),"",INDEX(Backlog[Stream],MATCH($A78,Backlog[Requirement ID],0))),"")</f>
        <v/>
      </c>
      <c r="D78" s="23">
        <f>IFERROR(IF(ISBLANK(INDEX(Backlog[Jira Link],MATCH($A78,Backlog[Requirement ID],0))),"",INDEX(Backlog[Jira Link],MATCH($A78,Backlog[Requirement ID],0))),"")</f>
        <v/>
      </c>
      <c r="E78" s="23">
        <f>IFERROR(IF(ISBLANK(INDEX(Backlog[Status],MATCH($A78,Backlog[Requirement ID],0))),"",INDEX(Backlog[Status],MATCH($A78,Backlog[Requirement ID],0))),"")</f>
        <v/>
      </c>
      <c r="F78" s="23">
        <f>IFERROR(IF(ISBLANK(INDEX(SprintPlanning[Sprint],MATCH($A78,SprintPlanning[Requirement ID],0))),"",INDEX(SprintPlanning[Sprint],MATCH($A78,SprintPlanning[Requirement ID],0))),"")</f>
        <v/>
      </c>
      <c r="G78" s="21" t="inlineStr">
        <is>
          <t>Yes</t>
        </is>
      </c>
      <c r="H78" s="38" t="n"/>
      <c r="I78" s="21" t="n"/>
      <c r="J78" s="23">
        <f>IFERROR(IF(ISBLANK(INDEX(Backlog[Priority],MATCH($A78,Backlog[Requirement ID],0))),"",INDEX(Backlog[Priority],MATCH($A78,Backlog[Requirement ID],0))),"")</f>
        <v/>
      </c>
      <c r="K78" s="21" t="n"/>
      <c r="L78" s="21" t="n"/>
    </row>
    <row r="79" ht="15" customHeight="1">
      <c r="A79" s="21" t="inlineStr">
        <is>
          <t>NEW-0146</t>
        </is>
      </c>
      <c r="B79" s="23">
        <f>IFERROR(IF(ISBLANK(INDEX(Backlog[Requirement Name],MATCH($A79,Backlog[Requirement ID],0))),"",INDEX(Backlog[Requirement Name],MATCH($A79,Backlog[Requirement ID],0))),"")</f>
        <v/>
      </c>
      <c r="C79" s="23">
        <f>IFERROR(IF(ISBLANK(INDEX(Backlog[Stream],MATCH($A79,Backlog[Requirement ID],0))),"",INDEX(Backlog[Stream],MATCH($A79,Backlog[Requirement ID],0))),"")</f>
        <v/>
      </c>
      <c r="D79" s="23">
        <f>IFERROR(IF(ISBLANK(INDEX(Backlog[Jira Link],MATCH($A79,Backlog[Requirement ID],0))),"",INDEX(Backlog[Jira Link],MATCH($A79,Backlog[Requirement ID],0))),"")</f>
        <v/>
      </c>
      <c r="E79" s="23">
        <f>IFERROR(IF(ISBLANK(INDEX(Backlog[Status],MATCH($A79,Backlog[Requirement ID],0))),"",INDEX(Backlog[Status],MATCH($A79,Backlog[Requirement ID],0))),"")</f>
        <v/>
      </c>
      <c r="F79" s="23">
        <f>IFERROR(IF(ISBLANK(INDEX(SprintPlanning[Sprint],MATCH($A79,SprintPlanning[Requirement ID],0))),"",INDEX(SprintPlanning[Sprint],MATCH($A79,SprintPlanning[Requirement ID],0))),"")</f>
        <v/>
      </c>
      <c r="G79" s="21" t="inlineStr">
        <is>
          <t>Yes</t>
        </is>
      </c>
      <c r="H79" s="38" t="n"/>
      <c r="I79" s="21" t="n"/>
      <c r="J79" s="23">
        <f>IFERROR(IF(ISBLANK(INDEX(Backlog[Priority],MATCH($A79,Backlog[Requirement ID],0))),"",INDEX(Backlog[Priority],MATCH($A79,Backlog[Requirement ID],0))),"")</f>
        <v/>
      </c>
      <c r="K79" s="21" t="n"/>
      <c r="L79" s="21" t="n"/>
    </row>
    <row r="80" ht="15" customHeight="1">
      <c r="A80" s="21" t="inlineStr">
        <is>
          <t>NEW-0148</t>
        </is>
      </c>
      <c r="B80" s="23">
        <f>IFERROR(IF(ISBLANK(INDEX(Backlog[Requirement Name],MATCH($A80,Backlog[Requirement ID],0))),"",INDEX(Backlog[Requirement Name],MATCH($A80,Backlog[Requirement ID],0))),"")</f>
        <v/>
      </c>
      <c r="C80" s="23">
        <f>IFERROR(IF(ISBLANK(INDEX(Backlog[Stream],MATCH($A80,Backlog[Requirement ID],0))),"",INDEX(Backlog[Stream],MATCH($A80,Backlog[Requirement ID],0))),"")</f>
        <v/>
      </c>
      <c r="D80" s="23">
        <f>IFERROR(IF(ISBLANK(INDEX(Backlog[Jira Link],MATCH($A80,Backlog[Requirement ID],0))),"",INDEX(Backlog[Jira Link],MATCH($A80,Backlog[Requirement ID],0))),"")</f>
        <v/>
      </c>
      <c r="E80" s="23">
        <f>IFERROR(IF(ISBLANK(INDEX(Backlog[Status],MATCH($A80,Backlog[Requirement ID],0))),"",INDEX(Backlog[Status],MATCH($A80,Backlog[Requirement ID],0))),"")</f>
        <v/>
      </c>
      <c r="F80" s="23">
        <f>IFERROR(IF(ISBLANK(INDEX(SprintPlanning[Sprint],MATCH($A80,SprintPlanning[Requirement ID],0))),"",INDEX(SprintPlanning[Sprint],MATCH($A80,SprintPlanning[Requirement ID],0))),"")</f>
        <v/>
      </c>
      <c r="G80" s="21" t="inlineStr">
        <is>
          <t>Yes</t>
        </is>
      </c>
      <c r="H80" s="38" t="n"/>
      <c r="I80" s="21" t="n"/>
      <c r="J80" s="23">
        <f>IFERROR(IF(ISBLANK(INDEX(Backlog[Priority],MATCH($A80,Backlog[Requirement ID],0))),"",INDEX(Backlog[Priority],MATCH($A80,Backlog[Requirement ID],0))),"")</f>
        <v/>
      </c>
      <c r="K80" s="21" t="n"/>
      <c r="L80" s="21" t="n"/>
    </row>
    <row r="81" ht="15" customHeight="1">
      <c r="A81" s="21" t="inlineStr">
        <is>
          <t>NEW-0150</t>
        </is>
      </c>
      <c r="B81" s="23">
        <f>IFERROR(IF(ISBLANK(INDEX(Backlog[Requirement Name],MATCH($A81,Backlog[Requirement ID],0))),"",INDEX(Backlog[Requirement Name],MATCH($A81,Backlog[Requirement ID],0))),"")</f>
        <v/>
      </c>
      <c r="C81" s="23">
        <f>IFERROR(IF(ISBLANK(INDEX(Backlog[Stream],MATCH($A81,Backlog[Requirement ID],0))),"",INDEX(Backlog[Stream],MATCH($A81,Backlog[Requirement ID],0))),"")</f>
        <v/>
      </c>
      <c r="D81" s="23">
        <f>IFERROR(IF(ISBLANK(INDEX(Backlog[Jira Link],MATCH($A81,Backlog[Requirement ID],0))),"",INDEX(Backlog[Jira Link],MATCH($A81,Backlog[Requirement ID],0))),"")</f>
        <v/>
      </c>
      <c r="E81" s="23">
        <f>IFERROR(IF(ISBLANK(INDEX(Backlog[Status],MATCH($A81,Backlog[Requirement ID],0))),"",INDEX(Backlog[Status],MATCH($A81,Backlog[Requirement ID],0))),"")</f>
        <v/>
      </c>
      <c r="F81" s="23">
        <f>IFERROR(IF(ISBLANK(INDEX(SprintPlanning[Sprint],MATCH($A81,SprintPlanning[Requirement ID],0))),"",INDEX(SprintPlanning[Sprint],MATCH($A81,SprintPlanning[Requirement ID],0))),"")</f>
        <v/>
      </c>
      <c r="G81" s="21" t="inlineStr">
        <is>
          <t>No</t>
        </is>
      </c>
      <c r="H81" s="38" t="n"/>
      <c r="I81" s="21" t="n"/>
      <c r="J81" s="23">
        <f>IFERROR(IF(ISBLANK(INDEX(Backlog[Priority],MATCH($A81,Backlog[Requirement ID],0))),"",INDEX(Backlog[Priority],MATCH($A81,Backlog[Requirement ID],0))),"")</f>
        <v/>
      </c>
      <c r="K81" s="21" t="n"/>
      <c r="L81" s="21" t="n"/>
    </row>
    <row r="82" ht="15" customHeight="1">
      <c r="A82" s="21" t="inlineStr">
        <is>
          <t>NEW-0151</t>
        </is>
      </c>
      <c r="B82" s="23">
        <f>IFERROR(IF(ISBLANK(INDEX(Backlog[Requirement Name],MATCH($A82,Backlog[Requirement ID],0))),"",INDEX(Backlog[Requirement Name],MATCH($A82,Backlog[Requirement ID],0))),"")</f>
        <v/>
      </c>
      <c r="C82" s="23">
        <f>IFERROR(IF(ISBLANK(INDEX(Backlog[Stream],MATCH($A82,Backlog[Requirement ID],0))),"",INDEX(Backlog[Stream],MATCH($A82,Backlog[Requirement ID],0))),"")</f>
        <v/>
      </c>
      <c r="D82" s="23">
        <f>IFERROR(IF(ISBLANK(INDEX(Backlog[Jira Link],MATCH($A82,Backlog[Requirement ID],0))),"",INDEX(Backlog[Jira Link],MATCH($A82,Backlog[Requirement ID],0))),"")</f>
        <v/>
      </c>
      <c r="E82" s="23">
        <f>IFERROR(IF(ISBLANK(INDEX(Backlog[Status],MATCH($A82,Backlog[Requirement ID],0))),"",INDEX(Backlog[Status],MATCH($A82,Backlog[Requirement ID],0))),"")</f>
        <v/>
      </c>
      <c r="F82" s="23">
        <f>IFERROR(IF(ISBLANK(INDEX(SprintPlanning[Sprint],MATCH($A82,SprintPlanning[Requirement ID],0))),"",INDEX(SprintPlanning[Sprint],MATCH($A82,SprintPlanning[Requirement ID],0))),"")</f>
        <v/>
      </c>
      <c r="G82" s="21" t="n"/>
      <c r="H82" s="38" t="n"/>
      <c r="I82" s="21" t="n"/>
      <c r="J82" s="23">
        <f>IFERROR(IF(ISBLANK(INDEX(Backlog[Priority],MATCH($A82,Backlog[Requirement ID],0))),"",INDEX(Backlog[Priority],MATCH($A82,Backlog[Requirement ID],0))),"")</f>
        <v/>
      </c>
      <c r="K82" s="21" t="n"/>
      <c r="L82" s="21" t="n"/>
    </row>
    <row r="83" ht="15" customHeight="1">
      <c r="A83" s="21" t="inlineStr">
        <is>
          <t>NEW-0153</t>
        </is>
      </c>
      <c r="B83" s="23">
        <f>IFERROR(IF(ISBLANK(INDEX(Backlog[Requirement Name],MATCH($A83,Backlog[Requirement ID],0))),"",INDEX(Backlog[Requirement Name],MATCH($A83,Backlog[Requirement ID],0))),"")</f>
        <v/>
      </c>
      <c r="C83" s="23">
        <f>IFERROR(IF(ISBLANK(INDEX(Backlog[Stream],MATCH($A83,Backlog[Requirement ID],0))),"",INDEX(Backlog[Stream],MATCH($A83,Backlog[Requirement ID],0))),"")</f>
        <v/>
      </c>
      <c r="D83" s="23">
        <f>IFERROR(IF(ISBLANK(INDEX(Backlog[Jira Link],MATCH($A83,Backlog[Requirement ID],0))),"",INDEX(Backlog[Jira Link],MATCH($A83,Backlog[Requirement ID],0))),"")</f>
        <v/>
      </c>
      <c r="E83" s="23">
        <f>IFERROR(IF(ISBLANK(INDEX(Backlog[Status],MATCH($A83,Backlog[Requirement ID],0))),"",INDEX(Backlog[Status],MATCH($A83,Backlog[Requirement ID],0))),"")</f>
        <v/>
      </c>
      <c r="F83" s="23">
        <f>IFERROR(IF(ISBLANK(INDEX(SprintPlanning[Sprint],MATCH($A83,SprintPlanning[Requirement ID],0))),"",INDEX(SprintPlanning[Sprint],MATCH($A83,SprintPlanning[Requirement ID],0))),"")</f>
        <v/>
      </c>
      <c r="G83" s="21" t="n"/>
      <c r="H83" s="38" t="n"/>
      <c r="I83" s="21" t="n"/>
      <c r="J83" s="23">
        <f>IFERROR(IF(ISBLANK(INDEX(Backlog[Priority],MATCH($A83,Backlog[Requirement ID],0))),"",INDEX(Backlog[Priority],MATCH($A83,Backlog[Requirement ID],0))),"")</f>
        <v/>
      </c>
      <c r="K83" s="21" t="n"/>
      <c r="L83" s="21" t="n"/>
    </row>
    <row r="84" ht="15" customHeight="1">
      <c r="A84" s="21" t="inlineStr">
        <is>
          <t>NEW-0187</t>
        </is>
      </c>
      <c r="B84" s="23">
        <f>IFERROR(IF(ISBLANK(INDEX(Backlog[Requirement Name],MATCH($A84,Backlog[Requirement ID],0))),"",INDEX(Backlog[Requirement Name],MATCH($A84,Backlog[Requirement ID],0))),"")</f>
        <v/>
      </c>
      <c r="C84" s="23">
        <f>IFERROR(IF(ISBLANK(INDEX(Backlog[Stream],MATCH($A84,Backlog[Requirement ID],0))),"",INDEX(Backlog[Stream],MATCH($A84,Backlog[Requirement ID],0))),"")</f>
        <v/>
      </c>
      <c r="D84" s="23">
        <f>IFERROR(IF(ISBLANK(INDEX(Backlog[Jira Link],MATCH($A84,Backlog[Requirement ID],0))),"",INDEX(Backlog[Jira Link],MATCH($A84,Backlog[Requirement ID],0))),"")</f>
        <v/>
      </c>
      <c r="E84" s="23">
        <f>IFERROR(IF(ISBLANK(INDEX(Backlog[Status],MATCH($A84,Backlog[Requirement ID],0))),"",INDEX(Backlog[Status],MATCH($A84,Backlog[Requirement ID],0))),"")</f>
        <v/>
      </c>
      <c r="F84" s="23">
        <f>IFERROR(IF(ISBLANK(INDEX(SprintPlanning[Sprint],MATCH($A84,SprintPlanning[Requirement ID],0))),"",INDEX(SprintPlanning[Sprint],MATCH($A84,SprintPlanning[Requirement ID],0))),"")</f>
        <v/>
      </c>
      <c r="G84" s="21" t="n"/>
      <c r="H84" s="38" t="n"/>
      <c r="I84" s="21" t="n"/>
      <c r="J84" s="23">
        <f>IFERROR(IF(ISBLANK(INDEX(Backlog[Priority],MATCH($A84,Backlog[Requirement ID],0))),"",INDEX(Backlog[Priority],MATCH($A84,Backlog[Requirement ID],0))),"")</f>
        <v/>
      </c>
      <c r="K84" s="21" t="n"/>
      <c r="L84" s="21" t="n"/>
    </row>
    <row r="85" ht="15" customHeight="1">
      <c r="A85" s="21" t="inlineStr">
        <is>
          <t>NEW-0188</t>
        </is>
      </c>
      <c r="B85" s="23">
        <f>IFERROR(IF(ISBLANK(INDEX(Backlog[Requirement Name],MATCH($A85,Backlog[Requirement ID],0))),"",INDEX(Backlog[Requirement Name],MATCH($A85,Backlog[Requirement ID],0))),"")</f>
        <v/>
      </c>
      <c r="C85" s="23">
        <f>IFERROR(IF(ISBLANK(INDEX(Backlog[Stream],MATCH($A85,Backlog[Requirement ID],0))),"",INDEX(Backlog[Stream],MATCH($A85,Backlog[Requirement ID],0))),"")</f>
        <v/>
      </c>
      <c r="D85" s="23">
        <f>IFERROR(IF(ISBLANK(INDEX(Backlog[Jira Link],MATCH($A85,Backlog[Requirement ID],0))),"",INDEX(Backlog[Jira Link],MATCH($A85,Backlog[Requirement ID],0))),"")</f>
        <v/>
      </c>
      <c r="E85" s="23">
        <f>IFERROR(IF(ISBLANK(INDEX(Backlog[Status],MATCH($A85,Backlog[Requirement ID],0))),"",INDEX(Backlog[Status],MATCH($A85,Backlog[Requirement ID],0))),"")</f>
        <v/>
      </c>
      <c r="F85" s="23">
        <f>IFERROR(IF(ISBLANK(INDEX(SprintPlanning[Sprint],MATCH($A85,SprintPlanning[Requirement ID],0))),"",INDEX(SprintPlanning[Sprint],MATCH($A85,SprintPlanning[Requirement ID],0))),"")</f>
        <v/>
      </c>
      <c r="G85" s="21" t="n"/>
      <c r="H85" s="38" t="n"/>
      <c r="I85" s="21" t="n"/>
      <c r="J85" s="23">
        <f>IFERROR(IF(ISBLANK(INDEX(Backlog[Priority],MATCH($A85,Backlog[Requirement ID],0))),"",INDEX(Backlog[Priority],MATCH($A85,Backlog[Requirement ID],0))),"")</f>
        <v/>
      </c>
      <c r="K85" s="21" t="n"/>
      <c r="L85" s="21" t="n"/>
    </row>
    <row r="86" ht="15" customHeight="1">
      <c r="A86" s="21" t="inlineStr">
        <is>
          <t>NEW-0190</t>
        </is>
      </c>
      <c r="B86" s="23">
        <f>IFERROR(IF(ISBLANK(INDEX(Backlog[Requirement Name],MATCH($A86,Backlog[Requirement ID],0))),"",INDEX(Backlog[Requirement Name],MATCH($A86,Backlog[Requirement ID],0))),"")</f>
        <v/>
      </c>
      <c r="C86" s="23">
        <f>IFERROR(IF(ISBLANK(INDEX(Backlog[Stream],MATCH($A86,Backlog[Requirement ID],0))),"",INDEX(Backlog[Stream],MATCH($A86,Backlog[Requirement ID],0))),"")</f>
        <v/>
      </c>
      <c r="D86" s="23">
        <f>IFERROR(IF(ISBLANK(INDEX(Backlog[Jira Link],MATCH($A86,Backlog[Requirement ID],0))),"",INDEX(Backlog[Jira Link],MATCH($A86,Backlog[Requirement ID],0))),"")</f>
        <v/>
      </c>
      <c r="E86" s="23">
        <f>IFERROR(IF(ISBLANK(INDEX(Backlog[Status],MATCH($A86,Backlog[Requirement ID],0))),"",INDEX(Backlog[Status],MATCH($A86,Backlog[Requirement ID],0))),"")</f>
        <v/>
      </c>
      <c r="F86" s="23">
        <f>IFERROR(IF(ISBLANK(INDEX(SprintPlanning[Sprint],MATCH($A86,SprintPlanning[Requirement ID],0))),"",INDEX(SprintPlanning[Sprint],MATCH($A86,SprintPlanning[Requirement ID],0))),"")</f>
        <v/>
      </c>
      <c r="G86" s="21" t="n"/>
      <c r="H86" s="38" t="n"/>
      <c r="I86" s="21" t="n"/>
      <c r="J86" s="23">
        <f>IFERROR(IF(ISBLANK(INDEX(Backlog[Priority],MATCH($A86,Backlog[Requirement ID],0))),"",INDEX(Backlog[Priority],MATCH($A86,Backlog[Requirement ID],0))),"")</f>
        <v/>
      </c>
      <c r="K86" s="21" t="n"/>
      <c r="L86" s="21" t="n"/>
    </row>
    <row r="87" ht="15" customHeight="1">
      <c r="A87" s="21" t="inlineStr">
        <is>
          <t>NEW-0192</t>
        </is>
      </c>
      <c r="B87" s="23">
        <f>IFERROR(IF(ISBLANK(INDEX(Backlog[Requirement Name],MATCH($A87,Backlog[Requirement ID],0))),"",INDEX(Backlog[Requirement Name],MATCH($A87,Backlog[Requirement ID],0))),"")</f>
        <v/>
      </c>
      <c r="C87" s="23">
        <f>IFERROR(IF(ISBLANK(INDEX(Backlog[Stream],MATCH($A87,Backlog[Requirement ID],0))),"",INDEX(Backlog[Stream],MATCH($A87,Backlog[Requirement ID],0))),"")</f>
        <v/>
      </c>
      <c r="D87" s="23">
        <f>IFERROR(IF(ISBLANK(INDEX(Backlog[Jira Link],MATCH($A87,Backlog[Requirement ID],0))),"",INDEX(Backlog[Jira Link],MATCH($A87,Backlog[Requirement ID],0))),"")</f>
        <v/>
      </c>
      <c r="E87" s="23">
        <f>IFERROR(IF(ISBLANK(INDEX(Backlog[Status],MATCH($A87,Backlog[Requirement ID],0))),"",INDEX(Backlog[Status],MATCH($A87,Backlog[Requirement ID],0))),"")</f>
        <v/>
      </c>
      <c r="F87" s="23">
        <f>IFERROR(IF(ISBLANK(INDEX(SprintPlanning[Sprint],MATCH($A87,SprintPlanning[Requirement ID],0))),"",INDEX(SprintPlanning[Sprint],MATCH($A87,SprintPlanning[Requirement ID],0))),"")</f>
        <v/>
      </c>
      <c r="G87" s="21" t="n"/>
      <c r="H87" s="38" t="n"/>
      <c r="I87" s="21" t="n"/>
      <c r="J87" s="23">
        <f>IFERROR(IF(ISBLANK(INDEX(Backlog[Priority],MATCH($A87,Backlog[Requirement ID],0))),"",INDEX(Backlog[Priority],MATCH($A87,Backlog[Requirement ID],0))),"")</f>
        <v/>
      </c>
      <c r="K87" s="21" t="n"/>
      <c r="L87" s="21" t="n"/>
    </row>
    <row r="88" ht="15" customHeight="1">
      <c r="A88" s="21" t="inlineStr">
        <is>
          <t>NEW-0219</t>
        </is>
      </c>
      <c r="B88" s="23">
        <f>IFERROR(IF(ISBLANK(INDEX(Backlog[Requirement Name],MATCH($A88,Backlog[Requirement ID],0))),"",INDEX(Backlog[Requirement Name],MATCH($A88,Backlog[Requirement ID],0))),"")</f>
        <v/>
      </c>
      <c r="C88" s="23">
        <f>IFERROR(IF(ISBLANK(INDEX(Backlog[Stream],MATCH($A88,Backlog[Requirement ID],0))),"",INDEX(Backlog[Stream],MATCH($A88,Backlog[Requirement ID],0))),"")</f>
        <v/>
      </c>
      <c r="D88" s="23">
        <f>IFERROR(IF(ISBLANK(INDEX(Backlog[Jira Link],MATCH($A88,Backlog[Requirement ID],0))),"",INDEX(Backlog[Jira Link],MATCH($A88,Backlog[Requirement ID],0))),"")</f>
        <v/>
      </c>
      <c r="E88" s="23">
        <f>IFERROR(IF(ISBLANK(INDEX(Backlog[Status],MATCH($A88,Backlog[Requirement ID],0))),"",INDEX(Backlog[Status],MATCH($A88,Backlog[Requirement ID],0))),"")</f>
        <v/>
      </c>
      <c r="F88" s="23">
        <f>IFERROR(IF(ISBLANK(INDEX(SprintPlanning[Sprint],MATCH($A88,SprintPlanning[Requirement ID],0))),"",INDEX(SprintPlanning[Sprint],MATCH($A88,SprintPlanning[Requirement ID],0))),"")</f>
        <v/>
      </c>
      <c r="G88" s="21" t="n"/>
      <c r="H88" s="38" t="n"/>
      <c r="I88" s="21" t="n"/>
      <c r="J88" s="23">
        <f>IFERROR(IF(ISBLANK(INDEX(Backlog[Priority],MATCH($A88,Backlog[Requirement ID],0))),"",INDEX(Backlog[Priority],MATCH($A88,Backlog[Requirement ID],0))),"")</f>
        <v/>
      </c>
      <c r="K88" s="21" t="n"/>
      <c r="L88" s="21" t="n"/>
    </row>
    <row r="89" ht="15" customHeight="1">
      <c r="A89" s="21" t="inlineStr">
        <is>
          <t>NEW-0228</t>
        </is>
      </c>
      <c r="B89" s="23">
        <f>IFERROR(IF(ISBLANK(INDEX(Backlog[Requirement Name],MATCH($A89,Backlog[Requirement ID],0))),"",INDEX(Backlog[Requirement Name],MATCH($A89,Backlog[Requirement ID],0))),"")</f>
        <v/>
      </c>
      <c r="C89" s="23">
        <f>IFERROR(IF(ISBLANK(INDEX(Backlog[Stream],MATCH($A89,Backlog[Requirement ID],0))),"",INDEX(Backlog[Stream],MATCH($A89,Backlog[Requirement ID],0))),"")</f>
        <v/>
      </c>
      <c r="D89" s="23">
        <f>IFERROR(IF(ISBLANK(INDEX(Backlog[Jira Link],MATCH($A89,Backlog[Requirement ID],0))),"",INDEX(Backlog[Jira Link],MATCH($A89,Backlog[Requirement ID],0))),"")</f>
        <v/>
      </c>
      <c r="E89" s="23">
        <f>IFERROR(IF(ISBLANK(INDEX(Backlog[Status],MATCH($A89,Backlog[Requirement ID],0))),"",INDEX(Backlog[Status],MATCH($A89,Backlog[Requirement ID],0))),"")</f>
        <v/>
      </c>
      <c r="F89" s="23">
        <f>IFERROR(IF(ISBLANK(INDEX(SprintPlanning[Sprint],MATCH($A89,SprintPlanning[Requirement ID],0))),"",INDEX(SprintPlanning[Sprint],MATCH($A89,SprintPlanning[Requirement ID],0))),"")</f>
        <v/>
      </c>
      <c r="G89" s="21" t="n"/>
      <c r="H89" s="38" t="n"/>
      <c r="I89" s="21" t="n"/>
      <c r="J89" s="23">
        <f>IFERROR(IF(ISBLANK(INDEX(Backlog[Priority],MATCH($A89,Backlog[Requirement ID],0))),"",INDEX(Backlog[Priority],MATCH($A89,Backlog[Requirement ID],0))),"")</f>
        <v/>
      </c>
      <c r="K89" s="21" t="n"/>
      <c r="L89" s="21" t="n"/>
    </row>
    <row r="90" ht="15" customHeight="1">
      <c r="A90" s="21" t="inlineStr">
        <is>
          <t>NEW-0233</t>
        </is>
      </c>
      <c r="B90" s="23">
        <f>IFERROR(IF(ISBLANK(INDEX(Backlog[Requirement Name],MATCH($A90,Backlog[Requirement ID],0))),"",INDEX(Backlog[Requirement Name],MATCH($A90,Backlog[Requirement ID],0))),"")</f>
        <v/>
      </c>
      <c r="C90" s="23">
        <f>IFERROR(IF(ISBLANK(INDEX(Backlog[Stream],MATCH($A90,Backlog[Requirement ID],0))),"",INDEX(Backlog[Stream],MATCH($A90,Backlog[Requirement ID],0))),"")</f>
        <v/>
      </c>
      <c r="D90" s="23">
        <f>IFERROR(IF(ISBLANK(INDEX(Backlog[Jira Link],MATCH($A90,Backlog[Requirement ID],0))),"",INDEX(Backlog[Jira Link],MATCH($A90,Backlog[Requirement ID],0))),"")</f>
        <v/>
      </c>
      <c r="E90" s="23">
        <f>IFERROR(IF(ISBLANK(INDEX(Backlog[Status],MATCH($A90,Backlog[Requirement ID],0))),"",INDEX(Backlog[Status],MATCH($A90,Backlog[Requirement ID],0))),"")</f>
        <v/>
      </c>
      <c r="F90" s="23">
        <f>IFERROR(IF(ISBLANK(INDEX(SprintPlanning[Sprint],MATCH($A90,SprintPlanning[Requirement ID],0))),"",INDEX(SprintPlanning[Sprint],MATCH($A90,SprintPlanning[Requirement ID],0))),"")</f>
        <v/>
      </c>
      <c r="G90" s="21" t="n"/>
      <c r="H90" s="38" t="n"/>
      <c r="I90" s="21" t="n"/>
      <c r="J90" s="23">
        <f>IFERROR(IF(ISBLANK(INDEX(Backlog[Priority],MATCH($A90,Backlog[Requirement ID],0))),"",INDEX(Backlog[Priority],MATCH($A90,Backlog[Requirement ID],0))),"")</f>
        <v/>
      </c>
      <c r="K90" s="21" t="n"/>
      <c r="L90" s="21" t="n"/>
    </row>
    <row r="91" ht="15" customHeight="1">
      <c r="A91" s="21" t="inlineStr">
        <is>
          <t>NEW-0234</t>
        </is>
      </c>
      <c r="B91" s="23">
        <f>IFERROR(IF(ISBLANK(INDEX(Backlog[Requirement Name],MATCH($A91,Backlog[Requirement ID],0))),"",INDEX(Backlog[Requirement Name],MATCH($A91,Backlog[Requirement ID],0))),"")</f>
        <v/>
      </c>
      <c r="C91" s="23">
        <f>IFERROR(IF(ISBLANK(INDEX(Backlog[Stream],MATCH($A91,Backlog[Requirement ID],0))),"",INDEX(Backlog[Stream],MATCH($A91,Backlog[Requirement ID],0))),"")</f>
        <v/>
      </c>
      <c r="D91" s="23">
        <f>IFERROR(IF(ISBLANK(INDEX(Backlog[Jira Link],MATCH($A91,Backlog[Requirement ID],0))),"",INDEX(Backlog[Jira Link],MATCH($A91,Backlog[Requirement ID],0))),"")</f>
        <v/>
      </c>
      <c r="E91" s="23">
        <f>IFERROR(IF(ISBLANK(INDEX(Backlog[Status],MATCH($A91,Backlog[Requirement ID],0))),"",INDEX(Backlog[Status],MATCH($A91,Backlog[Requirement ID],0))),"")</f>
        <v/>
      </c>
      <c r="F91" s="23">
        <f>IFERROR(IF(ISBLANK(INDEX(SprintPlanning[Sprint],MATCH($A91,SprintPlanning[Requirement ID],0))),"",INDEX(SprintPlanning[Sprint],MATCH($A91,SprintPlanning[Requirement ID],0))),"")</f>
        <v/>
      </c>
      <c r="G91" s="21" t="n"/>
      <c r="H91" s="38" t="n"/>
      <c r="I91" s="21" t="n"/>
      <c r="J91" s="23">
        <f>IFERROR(IF(ISBLANK(INDEX(Backlog[Priority],MATCH($A91,Backlog[Requirement ID],0))),"",INDEX(Backlog[Priority],MATCH($A91,Backlog[Requirement ID],0))),"")</f>
        <v/>
      </c>
      <c r="K91" s="21" t="n"/>
      <c r="L91" s="21" t="n"/>
    </row>
    <row r="92" ht="15" customHeight="1">
      <c r="A92" s="21" t="inlineStr">
        <is>
          <t>NEW-0235</t>
        </is>
      </c>
      <c r="B92" s="23">
        <f>IFERROR(IF(ISBLANK(INDEX(Backlog[Requirement Name],MATCH($A92,Backlog[Requirement ID],0))),"",INDEX(Backlog[Requirement Name],MATCH($A92,Backlog[Requirement ID],0))),"")</f>
        <v/>
      </c>
      <c r="C92" s="23">
        <f>IFERROR(IF(ISBLANK(INDEX(Backlog[Stream],MATCH($A92,Backlog[Requirement ID],0))),"",INDEX(Backlog[Stream],MATCH($A92,Backlog[Requirement ID],0))),"")</f>
        <v/>
      </c>
      <c r="D92" s="23">
        <f>IFERROR(IF(ISBLANK(INDEX(Backlog[Jira Link],MATCH($A92,Backlog[Requirement ID],0))),"",INDEX(Backlog[Jira Link],MATCH($A92,Backlog[Requirement ID],0))),"")</f>
        <v/>
      </c>
      <c r="E92" s="23">
        <f>IFERROR(IF(ISBLANK(INDEX(Backlog[Status],MATCH($A92,Backlog[Requirement ID],0))),"",INDEX(Backlog[Status],MATCH($A92,Backlog[Requirement ID],0))),"")</f>
        <v/>
      </c>
      <c r="F92" s="23">
        <f>IFERROR(IF(ISBLANK(INDEX(SprintPlanning[Sprint],MATCH($A92,SprintPlanning[Requirement ID],0))),"",INDEX(SprintPlanning[Sprint],MATCH($A92,SprintPlanning[Requirement ID],0))),"")</f>
        <v/>
      </c>
      <c r="G92" s="21" t="n"/>
      <c r="H92" s="38" t="n"/>
      <c r="I92" s="21" t="n"/>
      <c r="J92" s="23">
        <f>IFERROR(IF(ISBLANK(INDEX(Backlog[Priority],MATCH($A92,Backlog[Requirement ID],0))),"",INDEX(Backlog[Priority],MATCH($A92,Backlog[Requirement ID],0))),"")</f>
        <v/>
      </c>
      <c r="K92" s="21" t="n"/>
      <c r="L92" s="21" t="n"/>
    </row>
    <row r="93" ht="15" customHeight="1">
      <c r="A93" s="21" t="inlineStr">
        <is>
          <t>NEW-0236</t>
        </is>
      </c>
      <c r="B93" s="23">
        <f>IFERROR(IF(ISBLANK(INDEX(Backlog[Requirement Name],MATCH($A93,Backlog[Requirement ID],0))),"",INDEX(Backlog[Requirement Name],MATCH($A93,Backlog[Requirement ID],0))),"")</f>
        <v/>
      </c>
      <c r="C93" s="23">
        <f>IFERROR(IF(ISBLANK(INDEX(Backlog[Stream],MATCH($A93,Backlog[Requirement ID],0))),"",INDEX(Backlog[Stream],MATCH($A93,Backlog[Requirement ID],0))),"")</f>
        <v/>
      </c>
      <c r="D93" s="23">
        <f>IFERROR(IF(ISBLANK(INDEX(Backlog[Jira Link],MATCH($A93,Backlog[Requirement ID],0))),"",INDEX(Backlog[Jira Link],MATCH($A93,Backlog[Requirement ID],0))),"")</f>
        <v/>
      </c>
      <c r="E93" s="23">
        <f>IFERROR(IF(ISBLANK(INDEX(Backlog[Status],MATCH($A93,Backlog[Requirement ID],0))),"",INDEX(Backlog[Status],MATCH($A93,Backlog[Requirement ID],0))),"")</f>
        <v/>
      </c>
      <c r="F93" s="23">
        <f>IFERROR(IF(ISBLANK(INDEX(SprintPlanning[Sprint],MATCH($A93,SprintPlanning[Requirement ID],0))),"",INDEX(SprintPlanning[Sprint],MATCH($A93,SprintPlanning[Requirement ID],0))),"")</f>
        <v/>
      </c>
      <c r="G93" s="21" t="n"/>
      <c r="H93" s="38" t="n"/>
      <c r="I93" s="21" t="n"/>
      <c r="J93" s="23">
        <f>IFERROR(IF(ISBLANK(INDEX(Backlog[Priority],MATCH($A93,Backlog[Requirement ID],0))),"",INDEX(Backlog[Priority],MATCH($A93,Backlog[Requirement ID],0))),"")</f>
        <v/>
      </c>
      <c r="K93" s="21" t="n"/>
      <c r="L93" s="21" t="n"/>
    </row>
    <row r="94" ht="15" customHeight="1">
      <c r="A94" s="21" t="inlineStr">
        <is>
          <t>NEW-0237</t>
        </is>
      </c>
      <c r="B94" s="23">
        <f>IFERROR(IF(ISBLANK(INDEX(Backlog[Requirement Name],MATCH($A94,Backlog[Requirement ID],0))),"",INDEX(Backlog[Requirement Name],MATCH($A94,Backlog[Requirement ID],0))),"")</f>
        <v/>
      </c>
      <c r="C94" s="23">
        <f>IFERROR(IF(ISBLANK(INDEX(Backlog[Stream],MATCH($A94,Backlog[Requirement ID],0))),"",INDEX(Backlog[Stream],MATCH($A94,Backlog[Requirement ID],0))),"")</f>
        <v/>
      </c>
      <c r="D94" s="23">
        <f>IFERROR(IF(ISBLANK(INDEX(Backlog[Jira Link],MATCH($A94,Backlog[Requirement ID],0))),"",INDEX(Backlog[Jira Link],MATCH($A94,Backlog[Requirement ID],0))),"")</f>
        <v/>
      </c>
      <c r="E94" s="23">
        <f>IFERROR(IF(ISBLANK(INDEX(Backlog[Status],MATCH($A94,Backlog[Requirement ID],0))),"",INDEX(Backlog[Status],MATCH($A94,Backlog[Requirement ID],0))),"")</f>
        <v/>
      </c>
      <c r="F94" s="23">
        <f>IFERROR(IF(ISBLANK(INDEX(SprintPlanning[Sprint],MATCH($A94,SprintPlanning[Requirement ID],0))),"",INDEX(SprintPlanning[Sprint],MATCH($A94,SprintPlanning[Requirement ID],0))),"")</f>
        <v/>
      </c>
      <c r="G94" s="21" t="n"/>
      <c r="H94" s="38" t="n"/>
      <c r="I94" s="21" t="n"/>
      <c r="J94" s="23">
        <f>IFERROR(IF(ISBLANK(INDEX(Backlog[Priority],MATCH($A94,Backlog[Requirement ID],0))),"",INDEX(Backlog[Priority],MATCH($A94,Backlog[Requirement ID],0))),"")</f>
        <v/>
      </c>
      <c r="K94" s="21" t="n"/>
      <c r="L94" s="21" t="n"/>
    </row>
    <row r="95" ht="15" customHeight="1">
      <c r="A95" s="21" t="inlineStr">
        <is>
          <t>NEW-0238</t>
        </is>
      </c>
      <c r="B95" s="23">
        <f>IFERROR(IF(ISBLANK(INDEX(Backlog[Requirement Name],MATCH($A95,Backlog[Requirement ID],0))),"",INDEX(Backlog[Requirement Name],MATCH($A95,Backlog[Requirement ID],0))),"")</f>
        <v/>
      </c>
      <c r="C95" s="23">
        <f>IFERROR(IF(ISBLANK(INDEX(Backlog[Stream],MATCH($A95,Backlog[Requirement ID],0))),"",INDEX(Backlog[Stream],MATCH($A95,Backlog[Requirement ID],0))),"")</f>
        <v/>
      </c>
      <c r="D95" s="23">
        <f>IFERROR(IF(ISBLANK(INDEX(Backlog[Jira Link],MATCH($A95,Backlog[Requirement ID],0))),"",INDEX(Backlog[Jira Link],MATCH($A95,Backlog[Requirement ID],0))),"")</f>
        <v/>
      </c>
      <c r="E95" s="23">
        <f>IFERROR(IF(ISBLANK(INDEX(Backlog[Status],MATCH($A95,Backlog[Requirement ID],0))),"",INDEX(Backlog[Status],MATCH($A95,Backlog[Requirement ID],0))),"")</f>
        <v/>
      </c>
      <c r="F95" s="23">
        <f>IFERROR(IF(ISBLANK(INDEX(SprintPlanning[Sprint],MATCH($A95,SprintPlanning[Requirement ID],0))),"",INDEX(SprintPlanning[Sprint],MATCH($A95,SprintPlanning[Requirement ID],0))),"")</f>
        <v/>
      </c>
      <c r="G95" s="21" t="n"/>
      <c r="H95" s="38" t="n"/>
      <c r="I95" s="21" t="n"/>
      <c r="J95" s="23">
        <f>IFERROR(IF(ISBLANK(INDEX(Backlog[Priority],MATCH($A95,Backlog[Requirement ID],0))),"",INDEX(Backlog[Priority],MATCH($A95,Backlog[Requirement ID],0))),"")</f>
        <v/>
      </c>
      <c r="K95" s="21" t="n"/>
      <c r="L95" s="21" t="n"/>
    </row>
    <row r="96" ht="15" customHeight="1">
      <c r="A96" s="21" t="inlineStr">
        <is>
          <t>NEW-0239</t>
        </is>
      </c>
      <c r="B96" s="23">
        <f>IFERROR(IF(ISBLANK(INDEX(Backlog[Requirement Name],MATCH($A96,Backlog[Requirement ID],0))),"",INDEX(Backlog[Requirement Name],MATCH($A96,Backlog[Requirement ID],0))),"")</f>
        <v/>
      </c>
      <c r="C96" s="23">
        <f>IFERROR(IF(ISBLANK(INDEX(Backlog[Stream],MATCH($A96,Backlog[Requirement ID],0))),"",INDEX(Backlog[Stream],MATCH($A96,Backlog[Requirement ID],0))),"")</f>
        <v/>
      </c>
      <c r="D96" s="23">
        <f>IFERROR(IF(ISBLANK(INDEX(Backlog[Jira Link],MATCH($A96,Backlog[Requirement ID],0))),"",INDEX(Backlog[Jira Link],MATCH($A96,Backlog[Requirement ID],0))),"")</f>
        <v/>
      </c>
      <c r="E96" s="23">
        <f>IFERROR(IF(ISBLANK(INDEX(Backlog[Status],MATCH($A96,Backlog[Requirement ID],0))),"",INDEX(Backlog[Status],MATCH($A96,Backlog[Requirement ID],0))),"")</f>
        <v/>
      </c>
      <c r="F96" s="23">
        <f>IFERROR(IF(ISBLANK(INDEX(SprintPlanning[Sprint],MATCH($A96,SprintPlanning[Requirement ID],0))),"",INDEX(SprintPlanning[Sprint],MATCH($A96,SprintPlanning[Requirement ID],0))),"")</f>
        <v/>
      </c>
      <c r="G96" s="21" t="n"/>
      <c r="H96" s="38" t="n"/>
      <c r="I96" s="21" t="n"/>
      <c r="J96" s="23">
        <f>IFERROR(IF(ISBLANK(INDEX(Backlog[Priority],MATCH($A96,Backlog[Requirement ID],0))),"",INDEX(Backlog[Priority],MATCH($A96,Backlog[Requirement ID],0))),"")</f>
        <v/>
      </c>
      <c r="K96" s="21" t="inlineStr">
        <is>
          <t>Ready for Development</t>
        </is>
      </c>
      <c r="L96" s="21" t="n"/>
    </row>
    <row r="97" ht="15" customHeight="1">
      <c r="A97" s="21" t="inlineStr">
        <is>
          <t>NEW-0240</t>
        </is>
      </c>
      <c r="B97" s="23">
        <f>IFERROR(IF(ISBLANK(INDEX(Backlog[Requirement Name],MATCH($A97,Backlog[Requirement ID],0))),"",INDEX(Backlog[Requirement Name],MATCH($A97,Backlog[Requirement ID],0))),"")</f>
        <v/>
      </c>
      <c r="C97" s="23">
        <f>IFERROR(IF(ISBLANK(INDEX(Backlog[Stream],MATCH($A97,Backlog[Requirement ID],0))),"",INDEX(Backlog[Stream],MATCH($A97,Backlog[Requirement ID],0))),"")</f>
        <v/>
      </c>
      <c r="D97" s="23">
        <f>IFERROR(IF(ISBLANK(INDEX(Backlog[Jira Link],MATCH($A97,Backlog[Requirement ID],0))),"",INDEX(Backlog[Jira Link],MATCH($A97,Backlog[Requirement ID],0))),"")</f>
        <v/>
      </c>
      <c r="E97" s="23">
        <f>IFERROR(IF(ISBLANK(INDEX(Backlog[Status],MATCH($A97,Backlog[Requirement ID],0))),"",INDEX(Backlog[Status],MATCH($A97,Backlog[Requirement ID],0))),"")</f>
        <v/>
      </c>
      <c r="F97" s="23">
        <f>IFERROR(IF(ISBLANK(INDEX(SprintPlanning[Sprint],MATCH($A97,SprintPlanning[Requirement ID],0))),"",INDEX(SprintPlanning[Sprint],MATCH($A97,SprintPlanning[Requirement ID],0))),"")</f>
        <v/>
      </c>
      <c r="G97" s="21" t="n"/>
      <c r="H97" s="38" t="n"/>
      <c r="I97" s="21" t="n"/>
      <c r="J97" s="23">
        <f>IFERROR(IF(ISBLANK(INDEX(Backlog[Priority],MATCH($A97,Backlog[Requirement ID],0))),"",INDEX(Backlog[Priority],MATCH($A97,Backlog[Requirement ID],0))),"")</f>
        <v/>
      </c>
      <c r="K97" s="21" t="inlineStr">
        <is>
          <t>Ready for Development</t>
        </is>
      </c>
      <c r="L97" s="21" t="n"/>
    </row>
    <row r="98" ht="15" customHeight="1">
      <c r="A98" s="21" t="inlineStr">
        <is>
          <t>NEW-0241</t>
        </is>
      </c>
      <c r="B98" s="23">
        <f>IFERROR(IF(ISBLANK(INDEX(Backlog[Requirement Name],MATCH($A98,Backlog[Requirement ID],0))),"",INDEX(Backlog[Requirement Name],MATCH($A98,Backlog[Requirement ID],0))),"")</f>
        <v/>
      </c>
      <c r="C98" s="23">
        <f>IFERROR(IF(ISBLANK(INDEX(Backlog[Stream],MATCH($A98,Backlog[Requirement ID],0))),"",INDEX(Backlog[Stream],MATCH($A98,Backlog[Requirement ID],0))),"")</f>
        <v/>
      </c>
      <c r="D98" s="23">
        <f>IFERROR(IF(ISBLANK(INDEX(Backlog[Jira Link],MATCH($A98,Backlog[Requirement ID],0))),"",INDEX(Backlog[Jira Link],MATCH($A98,Backlog[Requirement ID],0))),"")</f>
        <v/>
      </c>
      <c r="E98" s="23">
        <f>IFERROR(IF(ISBLANK(INDEX(Backlog[Status],MATCH($A98,Backlog[Requirement ID],0))),"",INDEX(Backlog[Status],MATCH($A98,Backlog[Requirement ID],0))),"")</f>
        <v/>
      </c>
      <c r="F98" s="23">
        <f>IFERROR(IF(ISBLANK(INDEX(SprintPlanning[Sprint],MATCH($A98,SprintPlanning[Requirement ID],0))),"",INDEX(SprintPlanning[Sprint],MATCH($A98,SprintPlanning[Requirement ID],0))),"")</f>
        <v/>
      </c>
      <c r="G98" s="21" t="n"/>
      <c r="H98" s="38" t="n"/>
      <c r="I98" s="21" t="n"/>
      <c r="J98" s="23">
        <f>IFERROR(IF(ISBLANK(INDEX(Backlog[Priority],MATCH($A98,Backlog[Requirement ID],0))),"",INDEX(Backlog[Priority],MATCH($A98,Backlog[Requirement ID],0))),"")</f>
        <v/>
      </c>
      <c r="K98" s="21" t="n"/>
      <c r="L98" s="21" t="n"/>
    </row>
    <row r="99" ht="15" customHeight="1">
      <c r="A99" s="21" t="inlineStr">
        <is>
          <t>NEW-0242</t>
        </is>
      </c>
      <c r="B99" s="23">
        <f>IFERROR(IF(ISBLANK(INDEX(Backlog[Requirement Name],MATCH($A99,Backlog[Requirement ID],0))),"",INDEX(Backlog[Requirement Name],MATCH($A99,Backlog[Requirement ID],0))),"")</f>
        <v/>
      </c>
      <c r="C99" s="23">
        <f>IFERROR(IF(ISBLANK(INDEX(Backlog[Stream],MATCH($A99,Backlog[Requirement ID],0))),"",INDEX(Backlog[Stream],MATCH($A99,Backlog[Requirement ID],0))),"")</f>
        <v/>
      </c>
      <c r="D99" s="23">
        <f>IFERROR(IF(ISBLANK(INDEX(Backlog[Jira Link],MATCH($A99,Backlog[Requirement ID],0))),"",INDEX(Backlog[Jira Link],MATCH($A99,Backlog[Requirement ID],0))),"")</f>
        <v/>
      </c>
      <c r="E99" s="23">
        <f>IFERROR(IF(ISBLANK(INDEX(Backlog[Status],MATCH($A99,Backlog[Requirement ID],0))),"",INDEX(Backlog[Status],MATCH($A99,Backlog[Requirement ID],0))),"")</f>
        <v/>
      </c>
      <c r="F99" s="23">
        <f>IFERROR(IF(ISBLANK(INDEX(SprintPlanning[Sprint],MATCH($A99,SprintPlanning[Requirement ID],0))),"",INDEX(SprintPlanning[Sprint],MATCH($A99,SprintPlanning[Requirement ID],0))),"")</f>
        <v/>
      </c>
      <c r="G99" s="21" t="n"/>
      <c r="H99" s="38" t="n"/>
      <c r="I99" s="21" t="n"/>
      <c r="J99" s="23">
        <f>IFERROR(IF(ISBLANK(INDEX(Backlog[Priority],MATCH($A99,Backlog[Requirement ID],0))),"",INDEX(Backlog[Priority],MATCH($A99,Backlog[Requirement ID],0))),"")</f>
        <v/>
      </c>
      <c r="K99" s="21" t="inlineStr">
        <is>
          <t>Ready for Development</t>
        </is>
      </c>
      <c r="L99" s="21" t="n"/>
    </row>
    <row r="100" ht="15" customHeight="1">
      <c r="A100" s="21" t="inlineStr">
        <is>
          <t>NEW-0243</t>
        </is>
      </c>
      <c r="B100" s="39">
        <f>IFERROR(IF(ISBLANK(INDEX(Backlog[Requirement Name],MATCH($A100,Backlog[Requirement ID],0))),"",INDEX(Backlog[Requirement Name],MATCH($A100,Backlog[Requirement ID],0))),"")</f>
        <v/>
      </c>
      <c r="C100" s="23">
        <f>IFERROR(IF(ISBLANK(INDEX(Backlog[Stream],MATCH($A100,Backlog[Requirement ID],0))),"",INDEX(Backlog[Stream],MATCH($A100,Backlog[Requirement ID],0))),"")</f>
        <v/>
      </c>
      <c r="D100" s="23">
        <f>IFERROR(IF(ISBLANK(INDEX(Backlog[Jira Link],MATCH($A100,Backlog[Requirement ID],0))),"",INDEX(Backlog[Jira Link],MATCH($A100,Backlog[Requirement ID],0))),"")</f>
        <v/>
      </c>
      <c r="E100" s="23">
        <f>IFERROR(IF(ISBLANK(INDEX(Backlog[Status],MATCH($A100,Backlog[Requirement ID],0))),"",INDEX(Backlog[Status],MATCH($A100,Backlog[Requirement ID],0))),"")</f>
        <v/>
      </c>
      <c r="F100" s="23">
        <f>IFERROR(IF(ISBLANK(INDEX(SprintPlanning[Sprint],MATCH($A100,SprintPlanning[Requirement ID],0))),"",INDEX(SprintPlanning[Sprint],MATCH($A100,SprintPlanning[Requirement ID],0))),"")</f>
        <v/>
      </c>
      <c r="G100" s="21" t="n"/>
      <c r="H100" s="38" t="n"/>
      <c r="I100" s="21" t="n"/>
      <c r="J100" s="23">
        <f>IFERROR(IF(ISBLANK(INDEX(Backlog[Priority],MATCH($A100,Backlog[Requirement ID],0))),"",INDEX(Backlog[Priority],MATCH($A100,Backlog[Requirement ID],0))),"")</f>
        <v/>
      </c>
      <c r="K100" s="21" t="inlineStr">
        <is>
          <t>Ready for Development</t>
        </is>
      </c>
      <c r="L100" s="21" t="n"/>
    </row>
    <row r="101" ht="15" customHeight="1">
      <c r="A101" s="21" t="inlineStr">
        <is>
          <t>NEW-0245</t>
        </is>
      </c>
      <c r="B101" s="39">
        <f>IFERROR(IF(ISBLANK(INDEX(Backlog[Requirement Name],MATCH($A101,Backlog[Requirement ID],0))),"",INDEX(Backlog[Requirement Name],MATCH($A101,Backlog[Requirement ID],0))),"")</f>
        <v/>
      </c>
      <c r="C101" s="23">
        <f>IFERROR(IF(ISBLANK(INDEX(Backlog[Stream],MATCH($A101,Backlog[Requirement ID],0))),"",INDEX(Backlog[Stream],MATCH($A101,Backlog[Requirement ID],0))),"")</f>
        <v/>
      </c>
      <c r="D101" s="23">
        <f>IFERROR(IF(ISBLANK(INDEX(Backlog[Jira Link],MATCH($A101,Backlog[Requirement ID],0))),"",INDEX(Backlog[Jira Link],MATCH($A101,Backlog[Requirement ID],0))),"")</f>
        <v/>
      </c>
      <c r="E101" s="23">
        <f>IFERROR(IF(ISBLANK(INDEX(Backlog[Status],MATCH($A101,Backlog[Requirement ID],0))),"",INDEX(Backlog[Status],MATCH($A101,Backlog[Requirement ID],0))),"")</f>
        <v/>
      </c>
      <c r="F101" s="23">
        <f>IFERROR(IF(ISBLANK(INDEX(SprintPlanning[Sprint],MATCH($A101,SprintPlanning[Requirement ID],0))),"",INDEX(SprintPlanning[Sprint],MATCH($A101,SprintPlanning[Requirement ID],0))),"")</f>
        <v/>
      </c>
      <c r="G101" s="21" t="n"/>
      <c r="H101" s="38" t="n"/>
      <c r="I101" s="21" t="n"/>
      <c r="J101" s="23">
        <f>IFERROR(IF(ISBLANK(INDEX(Backlog[Priority],MATCH($A101,Backlog[Requirement ID],0))),"",INDEX(Backlog[Priority],MATCH($A101,Backlog[Requirement ID],0))),"")</f>
        <v/>
      </c>
      <c r="K101" s="21" t="n"/>
      <c r="L101" s="21" t="n"/>
    </row>
    <row r="102" ht="15" customHeight="1">
      <c r="A102" s="21" t="inlineStr">
        <is>
          <t>NEW-0246</t>
        </is>
      </c>
      <c r="B102" s="23">
        <f>IFERROR(IF(ISBLANK(INDEX(Backlog[Requirement Name],MATCH($A102,Backlog[Requirement ID],0))),"",INDEX(Backlog[Requirement Name],MATCH($A102,Backlog[Requirement ID],0))),"")</f>
        <v/>
      </c>
      <c r="C102" s="23">
        <f>IFERROR(IF(ISBLANK(INDEX(Backlog[Stream],MATCH($A102,Backlog[Requirement ID],0))),"",INDEX(Backlog[Stream],MATCH($A102,Backlog[Requirement ID],0))),"")</f>
        <v/>
      </c>
      <c r="D102" s="23">
        <f>IFERROR(IF(ISBLANK(INDEX(Backlog[Jira Link],MATCH($A102,Backlog[Requirement ID],0))),"",INDEX(Backlog[Jira Link],MATCH($A102,Backlog[Requirement ID],0))),"")</f>
        <v/>
      </c>
      <c r="E102" s="23">
        <f>IFERROR(IF(ISBLANK(INDEX(Backlog[Status],MATCH($A102,Backlog[Requirement ID],0))),"",INDEX(Backlog[Status],MATCH($A102,Backlog[Requirement ID],0))),"")</f>
        <v/>
      </c>
      <c r="F102" s="23">
        <f>IFERROR(IF(ISBLANK(INDEX(SprintPlanning[Sprint],MATCH($A102,SprintPlanning[Requirement ID],0))),"",INDEX(SprintPlanning[Sprint],MATCH($A102,SprintPlanning[Requirement ID],0))),"")</f>
        <v/>
      </c>
      <c r="G102" s="21" t="n"/>
      <c r="H102" s="38" t="n"/>
      <c r="I102" s="21" t="n"/>
      <c r="J102" s="23">
        <f>IFERROR(IF(ISBLANK(INDEX(Backlog[Priority],MATCH($A102,Backlog[Requirement ID],0))),"",INDEX(Backlog[Priority],MATCH($A102,Backlog[Requirement ID],0))),"")</f>
        <v/>
      </c>
      <c r="K102" s="21" t="inlineStr">
        <is>
          <t>Ready for Development</t>
        </is>
      </c>
      <c r="L102" s="21" t="n"/>
    </row>
    <row r="103" ht="15" customHeight="1">
      <c r="A103" s="21" t="inlineStr">
        <is>
          <t>NEW-0247</t>
        </is>
      </c>
      <c r="B103" s="23">
        <f>IFERROR(IF(ISBLANK(INDEX(Backlog[Requirement Name],MATCH($A103,Backlog[Requirement ID],0))),"",INDEX(Backlog[Requirement Name],MATCH($A103,Backlog[Requirement ID],0))),"")</f>
        <v/>
      </c>
      <c r="C103" s="23">
        <f>IFERROR(IF(ISBLANK(INDEX(Backlog[Stream],MATCH($A103,Backlog[Requirement ID],0))),"",INDEX(Backlog[Stream],MATCH($A103,Backlog[Requirement ID],0))),"")</f>
        <v/>
      </c>
      <c r="D103" s="23">
        <f>IFERROR(IF(ISBLANK(INDEX(Backlog[Jira Link],MATCH($A103,Backlog[Requirement ID],0))),"",INDEX(Backlog[Jira Link],MATCH($A103,Backlog[Requirement ID],0))),"")</f>
        <v/>
      </c>
      <c r="E103" s="23">
        <f>IFERROR(IF(ISBLANK(INDEX(Backlog[Status],MATCH($A103,Backlog[Requirement ID],0))),"",INDEX(Backlog[Status],MATCH($A103,Backlog[Requirement ID],0))),"")</f>
        <v/>
      </c>
      <c r="F103" s="23">
        <f>IFERROR(IF(ISBLANK(INDEX(SprintPlanning[Sprint],MATCH($A103,SprintPlanning[Requirement ID],0))),"",INDEX(SprintPlanning[Sprint],MATCH($A103,SprintPlanning[Requirement ID],0))),"")</f>
        <v/>
      </c>
      <c r="G103" s="21" t="n"/>
      <c r="H103" s="38" t="n"/>
      <c r="I103" s="21" t="n"/>
      <c r="J103" s="23">
        <f>IFERROR(IF(ISBLANK(INDEX(Backlog[Priority],MATCH($A103,Backlog[Requirement ID],0))),"",INDEX(Backlog[Priority],MATCH($A103,Backlog[Requirement ID],0))),"")</f>
        <v/>
      </c>
      <c r="K103" s="21" t="inlineStr">
        <is>
          <t>Ready for Development</t>
        </is>
      </c>
      <c r="L103" s="21" t="inlineStr">
        <is>
          <t>Yes</t>
        </is>
      </c>
    </row>
    <row r="104" ht="15" customHeight="1">
      <c r="A104" s="21" t="inlineStr">
        <is>
          <t>NEW-0248</t>
        </is>
      </c>
      <c r="B104" s="23">
        <f>IFERROR(IF(ISBLANK(INDEX(Backlog[Requirement Name],MATCH($A104,Backlog[Requirement ID],0))),"",INDEX(Backlog[Requirement Name],MATCH($A104,Backlog[Requirement ID],0))),"")</f>
        <v/>
      </c>
      <c r="C104" s="23">
        <f>IFERROR(IF(ISBLANK(INDEX(Backlog[Stream],MATCH($A104,Backlog[Requirement ID],0))),"",INDEX(Backlog[Stream],MATCH($A104,Backlog[Requirement ID],0))),"")</f>
        <v/>
      </c>
      <c r="D104" s="23">
        <f>IFERROR(IF(ISBLANK(INDEX(Backlog[Jira Link],MATCH($A104,Backlog[Requirement ID],0))),"",INDEX(Backlog[Jira Link],MATCH($A104,Backlog[Requirement ID],0))),"")</f>
        <v/>
      </c>
      <c r="E104" s="23">
        <f>IFERROR(IF(ISBLANK(INDEX(Backlog[Status],MATCH($A104,Backlog[Requirement ID],0))),"",INDEX(Backlog[Status],MATCH($A104,Backlog[Requirement ID],0))),"")</f>
        <v/>
      </c>
      <c r="F104" s="23">
        <f>IFERROR(IF(ISBLANK(INDEX(SprintPlanning[Sprint],MATCH($A104,SprintPlanning[Requirement ID],0))),"",INDEX(SprintPlanning[Sprint],MATCH($A104,SprintPlanning[Requirement ID],0))),"")</f>
        <v/>
      </c>
      <c r="G104" s="21" t="n"/>
      <c r="H104" s="38" t="n"/>
      <c r="I104" s="21" t="n"/>
      <c r="J104" s="23">
        <f>IFERROR(IF(ISBLANK(INDEX(Backlog[Priority],MATCH($A104,Backlog[Requirement ID],0))),"",INDEX(Backlog[Priority],MATCH($A104,Backlog[Requirement ID],0))),"")</f>
        <v/>
      </c>
      <c r="K104" s="21" t="inlineStr">
        <is>
          <t>Ready for Development</t>
        </is>
      </c>
      <c r="L104" s="21" t="inlineStr">
        <is>
          <t>Yes</t>
        </is>
      </c>
    </row>
    <row r="105" ht="15" customHeight="1">
      <c r="A105" s="21" t="inlineStr">
        <is>
          <t>NEW-0249</t>
        </is>
      </c>
      <c r="B105" s="23">
        <f>IFERROR(IF(ISBLANK(INDEX(Backlog[Requirement Name],MATCH($A105,Backlog[Requirement ID],0))),"",INDEX(Backlog[Requirement Name],MATCH($A105,Backlog[Requirement ID],0))),"")</f>
        <v/>
      </c>
      <c r="C105" s="23">
        <f>IFERROR(IF(ISBLANK(INDEX(Backlog[Stream],MATCH($A105,Backlog[Requirement ID],0))),"",INDEX(Backlog[Stream],MATCH($A105,Backlog[Requirement ID],0))),"")</f>
        <v/>
      </c>
      <c r="D105" s="23">
        <f>IFERROR(IF(ISBLANK(INDEX(Backlog[Jira Link],MATCH($A105,Backlog[Requirement ID],0))),"",INDEX(Backlog[Jira Link],MATCH($A105,Backlog[Requirement ID],0))),"")</f>
        <v/>
      </c>
      <c r="E105" s="23">
        <f>IFERROR(IF(ISBLANK(INDEX(Backlog[Status],MATCH($A105,Backlog[Requirement ID],0))),"",INDEX(Backlog[Status],MATCH($A105,Backlog[Requirement ID],0))),"")</f>
        <v/>
      </c>
      <c r="F105" s="23">
        <f>IFERROR(IF(ISBLANK(INDEX(SprintPlanning[Sprint],MATCH($A105,SprintPlanning[Requirement ID],0))),"",INDEX(SprintPlanning[Sprint],MATCH($A105,SprintPlanning[Requirement ID],0))),"")</f>
        <v/>
      </c>
      <c r="G105" s="21" t="n"/>
      <c r="H105" s="38" t="n"/>
      <c r="I105" s="21" t="n"/>
      <c r="J105" s="23">
        <f>IFERROR(IF(ISBLANK(INDEX(Backlog[Priority],MATCH($A105,Backlog[Requirement ID],0))),"",INDEX(Backlog[Priority],MATCH($A105,Backlog[Requirement ID],0))),"")</f>
        <v/>
      </c>
      <c r="K105" s="21" t="inlineStr">
        <is>
          <t>Ready for Development</t>
        </is>
      </c>
      <c r="L105" s="21" t="n"/>
    </row>
    <row r="106" ht="15" customHeight="1">
      <c r="A106" s="21" t="inlineStr">
        <is>
          <t>NEW-0250</t>
        </is>
      </c>
      <c r="B106" s="23">
        <f>IFERROR(IF(ISBLANK(INDEX(Backlog[Requirement Name],MATCH($A106,Backlog[Requirement ID],0))),"",INDEX(Backlog[Requirement Name],MATCH($A106,Backlog[Requirement ID],0))),"")</f>
        <v/>
      </c>
      <c r="C106" s="23">
        <f>IFERROR(IF(ISBLANK(INDEX(Backlog[Stream],MATCH($A106,Backlog[Requirement ID],0))),"",INDEX(Backlog[Stream],MATCH($A106,Backlog[Requirement ID],0))),"")</f>
        <v/>
      </c>
      <c r="D106" s="23">
        <f>IFERROR(IF(ISBLANK(INDEX(Backlog[Jira Link],MATCH($A106,Backlog[Requirement ID],0))),"",INDEX(Backlog[Jira Link],MATCH($A106,Backlog[Requirement ID],0))),"")</f>
        <v/>
      </c>
      <c r="E106" s="23">
        <f>IFERROR(IF(ISBLANK(INDEX(Backlog[Status],MATCH($A106,Backlog[Requirement ID],0))),"",INDEX(Backlog[Status],MATCH($A106,Backlog[Requirement ID],0))),"")</f>
        <v/>
      </c>
      <c r="F106" s="23">
        <f>IFERROR(IF(ISBLANK(INDEX(SprintPlanning[Sprint],MATCH($A106,SprintPlanning[Requirement ID],0))),"",INDEX(SprintPlanning[Sprint],MATCH($A106,SprintPlanning[Requirement ID],0))),"")</f>
        <v/>
      </c>
      <c r="G106" s="21" t="n"/>
      <c r="H106" s="38" t="n"/>
      <c r="I106" s="21" t="n"/>
      <c r="J106" s="23">
        <f>IFERROR(IF(ISBLANK(INDEX(Backlog[Priority],MATCH($A106,Backlog[Requirement ID],0))),"",INDEX(Backlog[Priority],MATCH($A106,Backlog[Requirement ID],0))),"")</f>
        <v/>
      </c>
      <c r="K106" s="21" t="inlineStr">
        <is>
          <t>Ready for Development</t>
        </is>
      </c>
      <c r="L106" s="21" t="n"/>
    </row>
    <row r="107" ht="15" customHeight="1">
      <c r="A107" s="21" t="inlineStr">
        <is>
          <t>NEW-0251</t>
        </is>
      </c>
      <c r="B107" s="23">
        <f>IFERROR(IF(ISBLANK(INDEX(Backlog[Requirement Name],MATCH($A107,Backlog[Requirement ID],0))),"",INDEX(Backlog[Requirement Name],MATCH($A107,Backlog[Requirement ID],0))),"")</f>
        <v/>
      </c>
      <c r="C107" s="23">
        <f>IFERROR(IF(ISBLANK(INDEX(Backlog[Stream],MATCH($A107,Backlog[Requirement ID],0))),"",INDEX(Backlog[Stream],MATCH($A107,Backlog[Requirement ID],0))),"")</f>
        <v/>
      </c>
      <c r="D107" s="23">
        <f>IFERROR(IF(ISBLANK(INDEX(Backlog[Jira Link],MATCH($A107,Backlog[Requirement ID],0))),"",INDEX(Backlog[Jira Link],MATCH($A107,Backlog[Requirement ID],0))),"")</f>
        <v/>
      </c>
      <c r="E107" s="23">
        <f>IFERROR(IF(ISBLANK(INDEX(Backlog[Status],MATCH($A107,Backlog[Requirement ID],0))),"",INDEX(Backlog[Status],MATCH($A107,Backlog[Requirement ID],0))),"")</f>
        <v/>
      </c>
      <c r="F107" s="23">
        <f>IFERROR(IF(ISBLANK(INDEX(SprintPlanning[Sprint],MATCH($A107,SprintPlanning[Requirement ID],0))),"",INDEX(SprintPlanning[Sprint],MATCH($A107,SprintPlanning[Requirement ID],0))),"")</f>
        <v/>
      </c>
      <c r="G107" s="21" t="n"/>
      <c r="H107" s="38" t="n"/>
      <c r="I107" s="21" t="n"/>
      <c r="J107" s="23">
        <f>IFERROR(IF(ISBLANK(INDEX(Backlog[Priority],MATCH($A107,Backlog[Requirement ID],0))),"",INDEX(Backlog[Priority],MATCH($A107,Backlog[Requirement ID],0))),"")</f>
        <v/>
      </c>
      <c r="K107" s="21" t="inlineStr">
        <is>
          <t>Ready for Development</t>
        </is>
      </c>
      <c r="L107" s="21" t="n"/>
    </row>
    <row r="108" ht="15" customHeight="1">
      <c r="A108" s="21" t="inlineStr">
        <is>
          <t>NEW-0252</t>
        </is>
      </c>
      <c r="B108" s="23">
        <f>IFERROR(IF(ISBLANK(INDEX(Backlog[Requirement Name],MATCH($A108,Backlog[Requirement ID],0))),"",INDEX(Backlog[Requirement Name],MATCH($A108,Backlog[Requirement ID],0))),"")</f>
        <v/>
      </c>
      <c r="C108" s="23">
        <f>IFERROR(IF(ISBLANK(INDEX(Backlog[Stream],MATCH($A108,Backlog[Requirement ID],0))),"",INDEX(Backlog[Stream],MATCH($A108,Backlog[Requirement ID],0))),"")</f>
        <v/>
      </c>
      <c r="D108" s="23">
        <f>IFERROR(IF(ISBLANK(INDEX(Backlog[Jira Link],MATCH($A108,Backlog[Requirement ID],0))),"",INDEX(Backlog[Jira Link],MATCH($A108,Backlog[Requirement ID],0))),"")</f>
        <v/>
      </c>
      <c r="E108" s="23">
        <f>IFERROR(IF(ISBLANK(INDEX(Backlog[Status],MATCH($A108,Backlog[Requirement ID],0))),"",INDEX(Backlog[Status],MATCH($A108,Backlog[Requirement ID],0))),"")</f>
        <v/>
      </c>
      <c r="F108" s="23">
        <f>IFERROR(IF(ISBLANK(INDEX(SprintPlanning[Sprint],MATCH($A108,SprintPlanning[Requirement ID],0))),"",INDEX(SprintPlanning[Sprint],MATCH($A108,SprintPlanning[Requirement ID],0))),"")</f>
        <v/>
      </c>
      <c r="G108" s="21" t="n"/>
      <c r="H108" s="38" t="n"/>
      <c r="I108" s="21" t="n"/>
      <c r="J108" s="23">
        <f>IFERROR(IF(ISBLANK(INDEX(Backlog[Priority],MATCH($A108,Backlog[Requirement ID],0))),"",INDEX(Backlog[Priority],MATCH($A108,Backlog[Requirement ID],0))),"")</f>
        <v/>
      </c>
      <c r="K108" s="21" t="inlineStr">
        <is>
          <t>Ready for Development</t>
        </is>
      </c>
      <c r="L108" s="21" t="n"/>
    </row>
    <row r="109" ht="15" customHeight="1">
      <c r="A109" s="21" t="inlineStr">
        <is>
          <t>NEW-0253</t>
        </is>
      </c>
      <c r="B109" s="23">
        <f>IFERROR(IF(ISBLANK(INDEX(Backlog[Requirement Name],MATCH($A109,Backlog[Requirement ID],0))),"",INDEX(Backlog[Requirement Name],MATCH($A109,Backlog[Requirement ID],0))),"")</f>
        <v/>
      </c>
      <c r="C109" s="23">
        <f>IFERROR(IF(ISBLANK(INDEX(Backlog[Stream],MATCH($A109,Backlog[Requirement ID],0))),"",INDEX(Backlog[Stream],MATCH($A109,Backlog[Requirement ID],0))),"")</f>
        <v/>
      </c>
      <c r="D109" s="23">
        <f>IFERROR(IF(ISBLANK(INDEX(Backlog[Jira Link],MATCH($A109,Backlog[Requirement ID],0))),"",INDEX(Backlog[Jira Link],MATCH($A109,Backlog[Requirement ID],0))),"")</f>
        <v/>
      </c>
      <c r="E109" s="23">
        <f>IFERROR(IF(ISBLANK(INDEX(Backlog[Status],MATCH($A109,Backlog[Requirement ID],0))),"",INDEX(Backlog[Status],MATCH($A109,Backlog[Requirement ID],0))),"")</f>
        <v/>
      </c>
      <c r="F109" s="23">
        <f>IFERROR(IF(ISBLANK(INDEX(SprintPlanning[Sprint],MATCH($A109,SprintPlanning[Requirement ID],0))),"",INDEX(SprintPlanning[Sprint],MATCH($A109,SprintPlanning[Requirement ID],0))),"")</f>
        <v/>
      </c>
      <c r="G109" s="21" t="n"/>
      <c r="H109" s="38" t="n"/>
      <c r="I109" s="21" t="n"/>
      <c r="J109" s="23">
        <f>IFERROR(IF(ISBLANK(INDEX(Backlog[Priority],MATCH($A109,Backlog[Requirement ID],0))),"",INDEX(Backlog[Priority],MATCH($A109,Backlog[Requirement ID],0))),"")</f>
        <v/>
      </c>
      <c r="K109" s="21" t="inlineStr">
        <is>
          <t>Ready for Development</t>
        </is>
      </c>
      <c r="L109" s="21" t="n"/>
    </row>
    <row r="110" ht="15" customHeight="1">
      <c r="A110" s="21" t="inlineStr">
        <is>
          <t>NEW-0256</t>
        </is>
      </c>
      <c r="B110" s="23">
        <f>IFERROR(IF(ISBLANK(INDEX(Backlog[Requirement Name],MATCH($A110,Backlog[Requirement ID],0))),"",INDEX(Backlog[Requirement Name],MATCH($A110,Backlog[Requirement ID],0))),"")</f>
        <v/>
      </c>
      <c r="C110" s="23">
        <f>IFERROR(IF(ISBLANK(INDEX(Backlog[Stream],MATCH($A110,Backlog[Requirement ID],0))),"",INDEX(Backlog[Stream],MATCH($A110,Backlog[Requirement ID],0))),"")</f>
        <v/>
      </c>
      <c r="D110" s="23">
        <f>IFERROR(IF(ISBLANK(INDEX(Backlog[Jira Link],MATCH($A110,Backlog[Requirement ID],0))),"",INDEX(Backlog[Jira Link],MATCH($A110,Backlog[Requirement ID],0))),"")</f>
        <v/>
      </c>
      <c r="E110" s="23">
        <f>IFERROR(IF(ISBLANK(INDEX(Backlog[Status],MATCH($A110,Backlog[Requirement ID],0))),"",INDEX(Backlog[Status],MATCH($A110,Backlog[Requirement ID],0))),"")</f>
        <v/>
      </c>
      <c r="F110" s="23">
        <f>IFERROR(IF(ISBLANK(INDEX(SprintPlanning[Sprint],MATCH($A110,SprintPlanning[Requirement ID],0))),"",INDEX(SprintPlanning[Sprint],MATCH($A110,SprintPlanning[Requirement ID],0))),"")</f>
        <v/>
      </c>
      <c r="G110" s="21" t="n"/>
      <c r="H110" s="38" t="n"/>
      <c r="I110" s="21" t="n"/>
      <c r="J110" s="23">
        <f>IFERROR(IF(ISBLANK(INDEX(Backlog[Priority],MATCH($A110,Backlog[Requirement ID],0))),"",INDEX(Backlog[Priority],MATCH($A110,Backlog[Requirement ID],0))),"")</f>
        <v/>
      </c>
      <c r="K110" s="21" t="n"/>
      <c r="L110" s="21" t="n"/>
    </row>
    <row r="111" ht="15" customHeight="1">
      <c r="A111" s="21" t="inlineStr">
        <is>
          <t>NEW-0257</t>
        </is>
      </c>
      <c r="B111" s="23">
        <f>IFERROR(IF(ISBLANK(INDEX(Backlog[Requirement Name],MATCH($A111,Backlog[Requirement ID],0))),"",INDEX(Backlog[Requirement Name],MATCH($A111,Backlog[Requirement ID],0))),"")</f>
        <v/>
      </c>
      <c r="C111" s="23">
        <f>IFERROR(IF(ISBLANK(INDEX(Backlog[Stream],MATCH($A111,Backlog[Requirement ID],0))),"",INDEX(Backlog[Stream],MATCH($A111,Backlog[Requirement ID],0))),"")</f>
        <v/>
      </c>
      <c r="D111" s="23">
        <f>IFERROR(IF(ISBLANK(INDEX(Backlog[Jira Link],MATCH($A111,Backlog[Requirement ID],0))),"",INDEX(Backlog[Jira Link],MATCH($A111,Backlog[Requirement ID],0))),"")</f>
        <v/>
      </c>
      <c r="E111" s="23">
        <f>IFERROR(IF(ISBLANK(INDEX(Backlog[Status],MATCH($A111,Backlog[Requirement ID],0))),"",INDEX(Backlog[Status],MATCH($A111,Backlog[Requirement ID],0))),"")</f>
        <v/>
      </c>
      <c r="F111" s="23">
        <f>IFERROR(IF(ISBLANK(INDEX(SprintPlanning[Sprint],MATCH($A111,SprintPlanning[Requirement ID],0))),"",INDEX(SprintPlanning[Sprint],MATCH($A111,SprintPlanning[Requirement ID],0))),"")</f>
        <v/>
      </c>
      <c r="G111" s="21" t="n"/>
      <c r="H111" s="38" t="n"/>
      <c r="I111" s="21" t="n"/>
      <c r="J111" s="23">
        <f>IFERROR(IF(ISBLANK(INDEX(Backlog[Priority],MATCH($A111,Backlog[Requirement ID],0))),"",INDEX(Backlog[Priority],MATCH($A111,Backlog[Requirement ID],0))),"")</f>
        <v/>
      </c>
      <c r="K111" s="21" t="inlineStr">
        <is>
          <t>Ready for Development</t>
        </is>
      </c>
      <c r="L111" s="21" t="n"/>
    </row>
    <row r="112" ht="15" customHeight="1">
      <c r="A112" s="21" t="inlineStr">
        <is>
          <t>NEW-0260</t>
        </is>
      </c>
      <c r="B112" s="23">
        <f>IFERROR(IF(ISBLANK(INDEX(Backlog[Requirement Name],MATCH($A112,Backlog[Requirement ID],0))),"",INDEX(Backlog[Requirement Name],MATCH($A112,Backlog[Requirement ID],0))),"")</f>
        <v/>
      </c>
      <c r="C112" s="23">
        <f>IFERROR(IF(ISBLANK(INDEX(Backlog[Stream],MATCH($A112,Backlog[Requirement ID],0))),"",INDEX(Backlog[Stream],MATCH($A112,Backlog[Requirement ID],0))),"")</f>
        <v/>
      </c>
      <c r="D112" s="23">
        <f>IFERROR(IF(ISBLANK(INDEX(Backlog[Jira Link],MATCH($A112,Backlog[Requirement ID],0))),"",INDEX(Backlog[Jira Link],MATCH($A112,Backlog[Requirement ID],0))),"")</f>
        <v/>
      </c>
      <c r="E112" s="23">
        <f>IFERROR(IF(ISBLANK(INDEX(Backlog[Status],MATCH($A112,Backlog[Requirement ID],0))),"",INDEX(Backlog[Status],MATCH($A112,Backlog[Requirement ID],0))),"")</f>
        <v/>
      </c>
      <c r="F112" s="23">
        <f>IFERROR(IF(ISBLANK(INDEX(SprintPlanning[Sprint],MATCH($A112,SprintPlanning[Requirement ID],0))),"",INDEX(SprintPlanning[Sprint],MATCH($A112,SprintPlanning[Requirement ID],0))),"")</f>
        <v/>
      </c>
      <c r="G112" s="21" t="n"/>
      <c r="H112" s="38" t="n"/>
      <c r="I112" s="21" t="n"/>
      <c r="J112" s="23">
        <f>IFERROR(IF(ISBLANK(INDEX(Backlog[Priority],MATCH($A112,Backlog[Requirement ID],0))),"",INDEX(Backlog[Priority],MATCH($A112,Backlog[Requirement ID],0))),"")</f>
        <v/>
      </c>
      <c r="K112" s="21" t="inlineStr">
        <is>
          <t>Ready for Development</t>
        </is>
      </c>
      <c r="L112" s="21" t="n"/>
    </row>
    <row r="113" ht="15" customHeight="1">
      <c r="A113" s="21" t="inlineStr">
        <is>
          <t>NEW-0261</t>
        </is>
      </c>
      <c r="B113" s="23">
        <f>IFERROR(IF(ISBLANK(INDEX(Backlog[Requirement Name],MATCH($A113,Backlog[Requirement ID],0))),"",INDEX(Backlog[Requirement Name],MATCH($A113,Backlog[Requirement ID],0))),"")</f>
        <v/>
      </c>
      <c r="C113" s="23">
        <f>IFERROR(IF(ISBLANK(INDEX(Backlog[Stream],MATCH($A113,Backlog[Requirement ID],0))),"",INDEX(Backlog[Stream],MATCH($A113,Backlog[Requirement ID],0))),"")</f>
        <v/>
      </c>
      <c r="D113" s="23">
        <f>IFERROR(IF(ISBLANK(INDEX(Backlog[Jira Link],MATCH($A113,Backlog[Requirement ID],0))),"",INDEX(Backlog[Jira Link],MATCH($A113,Backlog[Requirement ID],0))),"")</f>
        <v/>
      </c>
      <c r="E113" s="23">
        <f>IFERROR(IF(ISBLANK(INDEX(Backlog[Status],MATCH($A113,Backlog[Requirement ID],0))),"",INDEX(Backlog[Status],MATCH($A113,Backlog[Requirement ID],0))),"")</f>
        <v/>
      </c>
      <c r="F113" s="23">
        <f>IFERROR(IF(ISBLANK(INDEX(SprintPlanning[Sprint],MATCH($A113,SprintPlanning[Requirement ID],0))),"",INDEX(SprintPlanning[Sprint],MATCH($A113,SprintPlanning[Requirement ID],0))),"")</f>
        <v/>
      </c>
      <c r="G113" s="21" t="n"/>
      <c r="H113" s="38" t="n"/>
      <c r="I113" s="21" t="n"/>
      <c r="J113" s="23">
        <f>IFERROR(IF(ISBLANK(INDEX(Backlog[Priority],MATCH($A113,Backlog[Requirement ID],0))),"",INDEX(Backlog[Priority],MATCH($A113,Backlog[Requirement ID],0))),"")</f>
        <v/>
      </c>
      <c r="K113" s="21" t="inlineStr">
        <is>
          <t>Ready for Development</t>
        </is>
      </c>
      <c r="L113" s="21" t="n"/>
    </row>
    <row r="114" ht="15" customHeight="1">
      <c r="A114" s="21" t="inlineStr">
        <is>
          <t>NEW-0262</t>
        </is>
      </c>
      <c r="B114" s="23">
        <f>IFERROR(IF(ISBLANK(INDEX(Backlog[Requirement Name],MATCH($A114,Backlog[Requirement ID],0))),"",INDEX(Backlog[Requirement Name],MATCH($A114,Backlog[Requirement ID],0))),"")</f>
        <v/>
      </c>
      <c r="C114" s="23">
        <f>IFERROR(IF(ISBLANK(INDEX(Backlog[Stream],MATCH($A114,Backlog[Requirement ID],0))),"",INDEX(Backlog[Stream],MATCH($A114,Backlog[Requirement ID],0))),"")</f>
        <v/>
      </c>
      <c r="D114" s="23">
        <f>IFERROR(IF(ISBLANK(INDEX(Backlog[Jira Link],MATCH($A114,Backlog[Requirement ID],0))),"",INDEX(Backlog[Jira Link],MATCH($A114,Backlog[Requirement ID],0))),"")</f>
        <v/>
      </c>
      <c r="E114" s="23">
        <f>IFERROR(IF(ISBLANK(INDEX(Backlog[Status],MATCH($A114,Backlog[Requirement ID],0))),"",INDEX(Backlog[Status],MATCH($A114,Backlog[Requirement ID],0))),"")</f>
        <v/>
      </c>
      <c r="F114" s="23">
        <f>IFERROR(IF(ISBLANK(INDEX(SprintPlanning[Sprint],MATCH($A114,SprintPlanning[Requirement ID],0))),"",INDEX(SprintPlanning[Sprint],MATCH($A114,SprintPlanning[Requirement ID],0))),"")</f>
        <v/>
      </c>
      <c r="G114" s="21" t="n"/>
      <c r="H114" s="38" t="n"/>
      <c r="I114" s="21" t="n"/>
      <c r="J114" s="23">
        <f>IFERROR(IF(ISBLANK(INDEX(Backlog[Priority],MATCH($A114,Backlog[Requirement ID],0))),"",INDEX(Backlog[Priority],MATCH($A114,Backlog[Requirement ID],0))),"")</f>
        <v/>
      </c>
      <c r="K114" s="21" t="inlineStr">
        <is>
          <t>Ready for Development</t>
        </is>
      </c>
      <c r="L114" s="21" t="n"/>
    </row>
    <row r="115" ht="15" customHeight="1">
      <c r="A115" s="21" t="inlineStr">
        <is>
          <t>NEW-0263</t>
        </is>
      </c>
      <c r="B115" s="23">
        <f>IFERROR(IF(ISBLANK(INDEX(Backlog[Requirement Name],MATCH($A115,Backlog[Requirement ID],0))),"",INDEX(Backlog[Requirement Name],MATCH($A115,Backlog[Requirement ID],0))),"")</f>
        <v/>
      </c>
      <c r="C115" s="23">
        <f>IFERROR(IF(ISBLANK(INDEX(Backlog[Stream],MATCH($A115,Backlog[Requirement ID],0))),"",INDEX(Backlog[Stream],MATCH($A115,Backlog[Requirement ID],0))),"")</f>
        <v/>
      </c>
      <c r="D115" s="23">
        <f>IFERROR(IF(ISBLANK(INDEX(Backlog[Jira Link],MATCH($A115,Backlog[Requirement ID],0))),"",INDEX(Backlog[Jira Link],MATCH($A115,Backlog[Requirement ID],0))),"")</f>
        <v/>
      </c>
      <c r="E115" s="23">
        <f>IFERROR(IF(ISBLANK(INDEX(Backlog[Status],MATCH($A115,Backlog[Requirement ID],0))),"",INDEX(Backlog[Status],MATCH($A115,Backlog[Requirement ID],0))),"")</f>
        <v/>
      </c>
      <c r="F115" s="23">
        <f>IFERROR(IF(ISBLANK(INDEX(SprintPlanning[Sprint],MATCH($A115,SprintPlanning[Requirement ID],0))),"",INDEX(SprintPlanning[Sprint],MATCH($A115,SprintPlanning[Requirement ID],0))),"")</f>
        <v/>
      </c>
      <c r="G115" s="21" t="n"/>
      <c r="H115" s="38" t="n"/>
      <c r="I115" s="21" t="n"/>
      <c r="J115" s="23">
        <f>IFERROR(IF(ISBLANK(INDEX(Backlog[Priority],MATCH($A115,Backlog[Requirement ID],0))),"",INDEX(Backlog[Priority],MATCH($A115,Backlog[Requirement ID],0))),"")</f>
        <v/>
      </c>
      <c r="K115" s="21" t="inlineStr">
        <is>
          <t>Ready for Development</t>
        </is>
      </c>
      <c r="L115" s="21" t="n"/>
    </row>
    <row r="116" ht="15" customHeight="1">
      <c r="A116" s="21" t="inlineStr">
        <is>
          <t>NEW-0264</t>
        </is>
      </c>
      <c r="B116" s="23">
        <f>IFERROR(IF(ISBLANK(INDEX(Backlog[Requirement Name],MATCH($A116,Backlog[Requirement ID],0))),"",INDEX(Backlog[Requirement Name],MATCH($A116,Backlog[Requirement ID],0))),"")</f>
        <v/>
      </c>
      <c r="C116" s="23">
        <f>IFERROR(IF(ISBLANK(INDEX(Backlog[Stream],MATCH($A116,Backlog[Requirement ID],0))),"",INDEX(Backlog[Stream],MATCH($A116,Backlog[Requirement ID],0))),"")</f>
        <v/>
      </c>
      <c r="D116" s="23">
        <f>IFERROR(IF(ISBLANK(INDEX(Backlog[Jira Link],MATCH($A116,Backlog[Requirement ID],0))),"",INDEX(Backlog[Jira Link],MATCH($A116,Backlog[Requirement ID],0))),"")</f>
        <v/>
      </c>
      <c r="E116" s="23">
        <f>IFERROR(IF(ISBLANK(INDEX(Backlog[Status],MATCH($A116,Backlog[Requirement ID],0))),"",INDEX(Backlog[Status],MATCH($A116,Backlog[Requirement ID],0))),"")</f>
        <v/>
      </c>
      <c r="F116" s="23">
        <f>IFERROR(IF(ISBLANK(INDEX(SprintPlanning[Sprint],MATCH($A116,SprintPlanning[Requirement ID],0))),"",INDEX(SprintPlanning[Sprint],MATCH($A116,SprintPlanning[Requirement ID],0))),"")</f>
        <v/>
      </c>
      <c r="G116" s="21" t="n"/>
      <c r="H116" s="38" t="n"/>
      <c r="I116" s="21" t="n"/>
      <c r="J116" s="23">
        <f>IFERROR(IF(ISBLANK(INDEX(Backlog[Priority],MATCH($A116,Backlog[Requirement ID],0))),"",INDEX(Backlog[Priority],MATCH($A116,Backlog[Requirement ID],0))),"")</f>
        <v/>
      </c>
      <c r="K116" s="21" t="inlineStr">
        <is>
          <t>Ready for Development</t>
        </is>
      </c>
      <c r="L116" s="21" t="inlineStr">
        <is>
          <t>Yes</t>
        </is>
      </c>
    </row>
    <row r="117" ht="15" customHeight="1">
      <c r="A117" s="21" t="inlineStr">
        <is>
          <t>NEW-0265</t>
        </is>
      </c>
      <c r="B117" s="23">
        <f>IFERROR(IF(ISBLANK(INDEX(Backlog[Requirement Name],MATCH($A117,Backlog[Requirement ID],0))),"",INDEX(Backlog[Requirement Name],MATCH($A117,Backlog[Requirement ID],0))),"")</f>
        <v/>
      </c>
      <c r="C117" s="23">
        <f>IFERROR(IF(ISBLANK(INDEX(Backlog[Stream],MATCH($A117,Backlog[Requirement ID],0))),"",INDEX(Backlog[Stream],MATCH($A117,Backlog[Requirement ID],0))),"")</f>
        <v/>
      </c>
      <c r="D117" s="23">
        <f>IFERROR(IF(ISBLANK(INDEX(Backlog[Jira Link],MATCH($A117,Backlog[Requirement ID],0))),"",INDEX(Backlog[Jira Link],MATCH($A117,Backlog[Requirement ID],0))),"")</f>
        <v/>
      </c>
      <c r="E117" s="23">
        <f>IFERROR(IF(ISBLANK(INDEX(Backlog[Status],MATCH($A117,Backlog[Requirement ID],0))),"",INDEX(Backlog[Status],MATCH($A117,Backlog[Requirement ID],0))),"")</f>
        <v/>
      </c>
      <c r="F117" s="23">
        <f>IFERROR(IF(ISBLANK(INDEX(SprintPlanning[Sprint],MATCH($A117,SprintPlanning[Requirement ID],0))),"",INDEX(SprintPlanning[Sprint],MATCH($A117,SprintPlanning[Requirement ID],0))),"")</f>
        <v/>
      </c>
      <c r="G117" s="21" t="n"/>
      <c r="H117" s="38" t="n"/>
      <c r="I117" s="21" t="n"/>
      <c r="J117" s="23">
        <f>IFERROR(IF(ISBLANK(INDEX(Backlog[Priority],MATCH($A117,Backlog[Requirement ID],0))),"",INDEX(Backlog[Priority],MATCH($A117,Backlog[Requirement ID],0))),"")</f>
        <v/>
      </c>
      <c r="K117" s="21" t="inlineStr">
        <is>
          <t>Pending Solution</t>
        </is>
      </c>
      <c r="L117" s="21" t="n"/>
    </row>
    <row r="118" ht="15" customHeight="1">
      <c r="A118" s="21" t="inlineStr">
        <is>
          <t>NEW-0266</t>
        </is>
      </c>
      <c r="B118" s="23">
        <f>IFERROR(IF(ISBLANK(INDEX(Backlog[Requirement Name],MATCH($A118,Backlog[Requirement ID],0))),"",INDEX(Backlog[Requirement Name],MATCH($A118,Backlog[Requirement ID],0))),"")</f>
        <v/>
      </c>
      <c r="C118" s="23">
        <f>IFERROR(IF(ISBLANK(INDEX(Backlog[Stream],MATCH($A118,Backlog[Requirement ID],0))),"",INDEX(Backlog[Stream],MATCH($A118,Backlog[Requirement ID],0))),"")</f>
        <v/>
      </c>
      <c r="D118" s="23">
        <f>IFERROR(IF(ISBLANK(INDEX(Backlog[Jira Link],MATCH($A118,Backlog[Requirement ID],0))),"",INDEX(Backlog[Jira Link],MATCH($A118,Backlog[Requirement ID],0))),"")</f>
        <v/>
      </c>
      <c r="E118" s="23">
        <f>IFERROR(IF(ISBLANK(INDEX(Backlog[Status],MATCH($A118,Backlog[Requirement ID],0))),"",INDEX(Backlog[Status],MATCH($A118,Backlog[Requirement ID],0))),"")</f>
        <v/>
      </c>
      <c r="F118" s="23">
        <f>IFERROR(IF(ISBLANK(INDEX(SprintPlanning[Sprint],MATCH($A118,SprintPlanning[Requirement ID],0))),"",INDEX(SprintPlanning[Sprint],MATCH($A118,SprintPlanning[Requirement ID],0))),"")</f>
        <v/>
      </c>
      <c r="G118" s="21" t="n"/>
      <c r="H118" s="38" t="n"/>
      <c r="I118" s="21" t="n"/>
      <c r="J118" s="23">
        <f>IFERROR(IF(ISBLANK(INDEX(Backlog[Priority],MATCH($A118,Backlog[Requirement ID],0))),"",INDEX(Backlog[Priority],MATCH($A118,Backlog[Requirement ID],0))),"")</f>
        <v/>
      </c>
      <c r="K118" s="21" t="inlineStr">
        <is>
          <t>Pending Solution</t>
        </is>
      </c>
      <c r="L118" s="21" t="n"/>
    </row>
    <row r="119" ht="15" customHeight="1">
      <c r="A119" s="21" t="inlineStr">
        <is>
          <t>NEW-0267</t>
        </is>
      </c>
      <c r="B119" s="23">
        <f>IFERROR(IF(ISBLANK(INDEX(Backlog[Requirement Name],MATCH($A119,Backlog[Requirement ID],0))),"",INDEX(Backlog[Requirement Name],MATCH($A119,Backlog[Requirement ID],0))),"")</f>
        <v/>
      </c>
      <c r="C119" s="23">
        <f>IFERROR(IF(ISBLANK(INDEX(Backlog[Stream],MATCH($A119,Backlog[Requirement ID],0))),"",INDEX(Backlog[Stream],MATCH($A119,Backlog[Requirement ID],0))),"")</f>
        <v/>
      </c>
      <c r="D119" s="23">
        <f>IFERROR(IF(ISBLANK(INDEX(Backlog[Jira Link],MATCH($A119,Backlog[Requirement ID],0))),"",INDEX(Backlog[Jira Link],MATCH($A119,Backlog[Requirement ID],0))),"")</f>
        <v/>
      </c>
      <c r="E119" s="23">
        <f>IFERROR(IF(ISBLANK(INDEX(Backlog[Status],MATCH($A119,Backlog[Requirement ID],0))),"",INDEX(Backlog[Status],MATCH($A119,Backlog[Requirement ID],0))),"")</f>
        <v/>
      </c>
      <c r="F119" s="23">
        <f>IFERROR(IF(ISBLANK(INDEX(SprintPlanning[Sprint],MATCH($A119,SprintPlanning[Requirement ID],0))),"",INDEX(SprintPlanning[Sprint],MATCH($A119,SprintPlanning[Requirement ID],0))),"")</f>
        <v/>
      </c>
      <c r="G119" s="21" t="n"/>
      <c r="H119" s="38" t="n"/>
      <c r="I119" s="21" t="n"/>
      <c r="J119" s="23">
        <f>IFERROR(IF(ISBLANK(INDEX(Backlog[Priority],MATCH($A119,Backlog[Requirement ID],0))),"",INDEX(Backlog[Priority],MATCH($A119,Backlog[Requirement ID],0))),"")</f>
        <v/>
      </c>
      <c r="K119" s="21" t="inlineStr">
        <is>
          <t>Pending Solution</t>
        </is>
      </c>
      <c r="L119" s="21" t="n"/>
    </row>
    <row r="120" ht="15" customHeight="1">
      <c r="A120" s="21" t="inlineStr">
        <is>
          <t>NEW-0268</t>
        </is>
      </c>
      <c r="B120" s="23">
        <f>IFERROR(IF(ISBLANK(INDEX(Backlog[Requirement Name],MATCH($A120,Backlog[Requirement ID],0))),"",INDEX(Backlog[Requirement Name],MATCH($A120,Backlog[Requirement ID],0))),"")</f>
        <v/>
      </c>
      <c r="C120" s="23">
        <f>IFERROR(IF(ISBLANK(INDEX(Backlog[Stream],MATCH($A120,Backlog[Requirement ID],0))),"",INDEX(Backlog[Stream],MATCH($A120,Backlog[Requirement ID],0))),"")</f>
        <v/>
      </c>
      <c r="D120" s="23">
        <f>IFERROR(IF(ISBLANK(INDEX(Backlog[Jira Link],MATCH($A120,Backlog[Requirement ID],0))),"",INDEX(Backlog[Jira Link],MATCH($A120,Backlog[Requirement ID],0))),"")</f>
        <v/>
      </c>
      <c r="E120" s="23">
        <f>IFERROR(IF(ISBLANK(INDEX(Backlog[Status],MATCH($A120,Backlog[Requirement ID],0))),"",INDEX(Backlog[Status],MATCH($A120,Backlog[Requirement ID],0))),"")</f>
        <v/>
      </c>
      <c r="F120" s="23">
        <f>IFERROR(IF(ISBLANK(INDEX(SprintPlanning[Sprint],MATCH($A120,SprintPlanning[Requirement ID],0))),"",INDEX(SprintPlanning[Sprint],MATCH($A120,SprintPlanning[Requirement ID],0))),"")</f>
        <v/>
      </c>
      <c r="G120" s="21" t="n"/>
      <c r="H120" s="38" t="n"/>
      <c r="I120" s="21" t="n"/>
      <c r="J120" s="23">
        <f>IFERROR(IF(ISBLANK(INDEX(Backlog[Priority],MATCH($A120,Backlog[Requirement ID],0))),"",INDEX(Backlog[Priority],MATCH($A120,Backlog[Requirement ID],0))),"")</f>
        <v/>
      </c>
      <c r="K120" s="21" t="inlineStr">
        <is>
          <t>Ready for Development</t>
        </is>
      </c>
      <c r="L120" s="21" t="n"/>
    </row>
    <row r="121" ht="15" customHeight="1">
      <c r="A121" s="21" t="inlineStr">
        <is>
          <t>NEW-0269</t>
        </is>
      </c>
      <c r="B121" s="23">
        <f>IFERROR(IF(ISBLANK(INDEX(Backlog[Requirement Name],MATCH($A121,Backlog[Requirement ID],0))),"",INDEX(Backlog[Requirement Name],MATCH($A121,Backlog[Requirement ID],0))),"")</f>
        <v/>
      </c>
      <c r="C121" s="23">
        <f>IFERROR(IF(ISBLANK(INDEX(Backlog[Stream],MATCH($A121,Backlog[Requirement ID],0))),"",INDEX(Backlog[Stream],MATCH($A121,Backlog[Requirement ID],0))),"")</f>
        <v/>
      </c>
      <c r="D121" s="23">
        <f>IFERROR(IF(ISBLANK(INDEX(Backlog[Jira Link],MATCH($A121,Backlog[Requirement ID],0))),"",INDEX(Backlog[Jira Link],MATCH($A121,Backlog[Requirement ID],0))),"")</f>
        <v/>
      </c>
      <c r="E121" s="23">
        <f>IFERROR(IF(ISBLANK(INDEX(Backlog[Status],MATCH($A121,Backlog[Requirement ID],0))),"",INDEX(Backlog[Status],MATCH($A121,Backlog[Requirement ID],0))),"")</f>
        <v/>
      </c>
      <c r="F121" s="23">
        <f>IFERROR(IF(ISBLANK(INDEX(SprintPlanning[Sprint],MATCH($A121,SprintPlanning[Requirement ID],0))),"",INDEX(SprintPlanning[Sprint],MATCH($A121,SprintPlanning[Requirement ID],0))),"")</f>
        <v/>
      </c>
      <c r="G121" s="21" t="n"/>
      <c r="H121" s="38" t="n"/>
      <c r="I121" s="21" t="n"/>
      <c r="J121" s="23">
        <f>IFERROR(IF(ISBLANK(INDEX(Backlog[Priority],MATCH($A121,Backlog[Requirement ID],0))),"",INDEX(Backlog[Priority],MATCH($A121,Backlog[Requirement ID],0))),"")</f>
        <v/>
      </c>
      <c r="K121" s="21" t="inlineStr">
        <is>
          <t>Ready for Development</t>
        </is>
      </c>
      <c r="L121" s="21" t="inlineStr">
        <is>
          <t>Yes</t>
        </is>
      </c>
    </row>
    <row r="122" ht="15" customHeight="1">
      <c r="A122" s="21" t="inlineStr">
        <is>
          <t>NEW-0270</t>
        </is>
      </c>
      <c r="B122" s="23">
        <f>IFERROR(IF(ISBLANK(INDEX(Backlog[Requirement Name],MATCH($A122,Backlog[Requirement ID],0))),"",INDEX(Backlog[Requirement Name],MATCH($A122,Backlog[Requirement ID],0))),"")</f>
        <v/>
      </c>
      <c r="C122" s="23">
        <f>IFERROR(IF(ISBLANK(INDEX(Backlog[Stream],MATCH($A122,Backlog[Requirement ID],0))),"",INDEX(Backlog[Stream],MATCH($A122,Backlog[Requirement ID],0))),"")</f>
        <v/>
      </c>
      <c r="D122" s="23">
        <f>IFERROR(IF(ISBLANK(INDEX(Backlog[Jira Link],MATCH($A122,Backlog[Requirement ID],0))),"",INDEX(Backlog[Jira Link],MATCH($A122,Backlog[Requirement ID],0))),"")</f>
        <v/>
      </c>
      <c r="E122" s="23">
        <f>IFERROR(IF(ISBLANK(INDEX(Backlog[Status],MATCH($A122,Backlog[Requirement ID],0))),"",INDEX(Backlog[Status],MATCH($A122,Backlog[Requirement ID],0))),"")</f>
        <v/>
      </c>
      <c r="F122" s="23">
        <f>IFERROR(IF(ISBLANK(INDEX(SprintPlanning[Sprint],MATCH($A122,SprintPlanning[Requirement ID],0))),"",INDEX(SprintPlanning[Sprint],MATCH($A122,SprintPlanning[Requirement ID],0))),"")</f>
        <v/>
      </c>
      <c r="G122" s="21" t="n"/>
      <c r="H122" s="38" t="n"/>
      <c r="I122" s="21" t="n"/>
      <c r="J122" s="23">
        <f>IFERROR(IF(ISBLANK(INDEX(Backlog[Priority],MATCH($A122,Backlog[Requirement ID],0))),"",INDEX(Backlog[Priority],MATCH($A122,Backlog[Requirement ID],0))),"")</f>
        <v/>
      </c>
      <c r="K122" s="21" t="inlineStr">
        <is>
          <t>Pending Solution</t>
        </is>
      </c>
      <c r="L122" s="21" t="n"/>
    </row>
    <row r="123" ht="15" customHeight="1">
      <c r="A123" s="21" t="inlineStr">
        <is>
          <t>NEW-0271</t>
        </is>
      </c>
      <c r="B123" s="23">
        <f>IFERROR(IF(ISBLANK(INDEX(Backlog[Requirement Name],MATCH($A123,Backlog[Requirement ID],0))),"",INDEX(Backlog[Requirement Name],MATCH($A123,Backlog[Requirement ID],0))),"")</f>
        <v/>
      </c>
      <c r="C123" s="23">
        <f>IFERROR(IF(ISBLANK(INDEX(Backlog[Stream],MATCH($A123,Backlog[Requirement ID],0))),"",INDEX(Backlog[Stream],MATCH($A123,Backlog[Requirement ID],0))),"")</f>
        <v/>
      </c>
      <c r="D123" s="23">
        <f>IFERROR(IF(ISBLANK(INDEX(Backlog[Jira Link],MATCH($A123,Backlog[Requirement ID],0))),"",INDEX(Backlog[Jira Link],MATCH($A123,Backlog[Requirement ID],0))),"")</f>
        <v/>
      </c>
      <c r="E123" s="23">
        <f>IFERROR(IF(ISBLANK(INDEX(Backlog[Status],MATCH($A123,Backlog[Requirement ID],0))),"",INDEX(Backlog[Status],MATCH($A123,Backlog[Requirement ID],0))),"")</f>
        <v/>
      </c>
      <c r="F123" s="23">
        <f>IFERROR(IF(ISBLANK(INDEX(SprintPlanning[Sprint],MATCH($A123,SprintPlanning[Requirement ID],0))),"",INDEX(SprintPlanning[Sprint],MATCH($A123,SprintPlanning[Requirement ID],0))),"")</f>
        <v/>
      </c>
      <c r="G123" s="21" t="n"/>
      <c r="H123" s="38" t="n"/>
      <c r="I123" s="21" t="n"/>
      <c r="J123" s="23">
        <f>IFERROR(IF(ISBLANK(INDEX(Backlog[Priority],MATCH($A123,Backlog[Requirement ID],0))),"",INDEX(Backlog[Priority],MATCH($A123,Backlog[Requirement ID],0))),"")</f>
        <v/>
      </c>
      <c r="K123" s="21" t="inlineStr">
        <is>
          <t>Ready for Development</t>
        </is>
      </c>
      <c r="L123" s="21" t="inlineStr">
        <is>
          <t>Yes</t>
        </is>
      </c>
    </row>
    <row r="124" ht="15" customHeight="1">
      <c r="A124" s="21" t="inlineStr">
        <is>
          <t>NEW-0272</t>
        </is>
      </c>
      <c r="B124" s="23">
        <f>IFERROR(IF(ISBLANK(INDEX(Backlog[Requirement Name],MATCH($A124,Backlog[Requirement ID],0))),"",INDEX(Backlog[Requirement Name],MATCH($A124,Backlog[Requirement ID],0))),"")</f>
        <v/>
      </c>
      <c r="C124" s="23">
        <f>IFERROR(IF(ISBLANK(INDEX(Backlog[Stream],MATCH($A124,Backlog[Requirement ID],0))),"",INDEX(Backlog[Stream],MATCH($A124,Backlog[Requirement ID],0))),"")</f>
        <v/>
      </c>
      <c r="D124" s="23">
        <f>IFERROR(IF(ISBLANK(INDEX(Backlog[Jira Link],MATCH($A124,Backlog[Requirement ID],0))),"",INDEX(Backlog[Jira Link],MATCH($A124,Backlog[Requirement ID],0))),"")</f>
        <v/>
      </c>
      <c r="E124" s="23">
        <f>IFERROR(IF(ISBLANK(INDEX(Backlog[Status],MATCH($A124,Backlog[Requirement ID],0))),"",INDEX(Backlog[Status],MATCH($A124,Backlog[Requirement ID],0))),"")</f>
        <v/>
      </c>
      <c r="F124" s="23">
        <f>IFERROR(IF(ISBLANK(INDEX(SprintPlanning[Sprint],MATCH($A124,SprintPlanning[Requirement ID],0))),"",INDEX(SprintPlanning[Sprint],MATCH($A124,SprintPlanning[Requirement ID],0))),"")</f>
        <v/>
      </c>
      <c r="G124" s="21" t="n"/>
      <c r="H124" s="38" t="n"/>
      <c r="I124" s="21" t="n"/>
      <c r="J124" s="23">
        <f>IFERROR(IF(ISBLANK(INDEX(Backlog[Priority],MATCH($A124,Backlog[Requirement ID],0))),"",INDEX(Backlog[Priority],MATCH($A124,Backlog[Requirement ID],0))),"")</f>
        <v/>
      </c>
      <c r="K124" s="21" t="inlineStr">
        <is>
          <t>Ready for Development</t>
        </is>
      </c>
      <c r="L124" s="21" t="inlineStr">
        <is>
          <t>Yes</t>
        </is>
      </c>
    </row>
    <row r="125" ht="15" customHeight="1">
      <c r="A125" s="21" t="inlineStr">
        <is>
          <t>NEW-0274</t>
        </is>
      </c>
      <c r="B125" s="23">
        <f>IFERROR(IF(ISBLANK(INDEX(Backlog[Requirement Name],MATCH($A125,Backlog[Requirement ID],0))),"",INDEX(Backlog[Requirement Name],MATCH($A125,Backlog[Requirement ID],0))),"")</f>
        <v/>
      </c>
      <c r="C125" s="23">
        <f>IFERROR(IF(ISBLANK(INDEX(Backlog[Stream],MATCH($A125,Backlog[Requirement ID],0))),"",INDEX(Backlog[Stream],MATCH($A125,Backlog[Requirement ID],0))),"")</f>
        <v/>
      </c>
      <c r="D125" s="23">
        <f>IFERROR(IF(ISBLANK(INDEX(Backlog[Jira Link],MATCH($A125,Backlog[Requirement ID],0))),"",INDEX(Backlog[Jira Link],MATCH($A125,Backlog[Requirement ID],0))),"")</f>
        <v/>
      </c>
      <c r="E125" s="23">
        <f>IFERROR(IF(ISBLANK(INDEX(Backlog[Status],MATCH($A125,Backlog[Requirement ID],0))),"",INDEX(Backlog[Status],MATCH($A125,Backlog[Requirement ID],0))),"")</f>
        <v/>
      </c>
      <c r="F125" s="23">
        <f>IFERROR(IF(ISBLANK(INDEX(SprintPlanning[Sprint],MATCH($A125,SprintPlanning[Requirement ID],0))),"",INDEX(SprintPlanning[Sprint],MATCH($A125,SprintPlanning[Requirement ID],0))),"")</f>
        <v/>
      </c>
      <c r="G125" s="21" t="n"/>
      <c r="H125" s="38" t="n"/>
      <c r="I125" s="21" t="n"/>
      <c r="J125" s="23">
        <f>IFERROR(IF(ISBLANK(INDEX(Backlog[Priority],MATCH($A125,Backlog[Requirement ID],0))),"",INDEX(Backlog[Priority],MATCH($A125,Backlog[Requirement ID],0))),"")</f>
        <v/>
      </c>
      <c r="K125" s="21" t="inlineStr">
        <is>
          <t>Pending Design</t>
        </is>
      </c>
      <c r="L125" s="21" t="inlineStr">
        <is>
          <t>Yes</t>
        </is>
      </c>
    </row>
    <row r="126" ht="15" customHeight="1">
      <c r="A126" s="21" t="inlineStr">
        <is>
          <t>NEW-0275</t>
        </is>
      </c>
      <c r="B126" s="23">
        <f>IFERROR(IF(ISBLANK(INDEX(Backlog[Requirement Name],MATCH($A126,Backlog[Requirement ID],0))),"",INDEX(Backlog[Requirement Name],MATCH($A126,Backlog[Requirement ID],0))),"")</f>
        <v/>
      </c>
      <c r="C126" s="23">
        <f>IFERROR(IF(ISBLANK(INDEX(Backlog[Stream],MATCH($A126,Backlog[Requirement ID],0))),"",INDEX(Backlog[Stream],MATCH($A126,Backlog[Requirement ID],0))),"")</f>
        <v/>
      </c>
      <c r="D126" s="23">
        <f>IFERROR(IF(ISBLANK(INDEX(Backlog[Jira Link],MATCH($A126,Backlog[Requirement ID],0))),"",INDEX(Backlog[Jira Link],MATCH($A126,Backlog[Requirement ID],0))),"")</f>
        <v/>
      </c>
      <c r="E126" s="23">
        <f>IFERROR(IF(ISBLANK(INDEX(Backlog[Status],MATCH($A126,Backlog[Requirement ID],0))),"",INDEX(Backlog[Status],MATCH($A126,Backlog[Requirement ID],0))),"")</f>
        <v/>
      </c>
      <c r="F126" s="23">
        <f>IFERROR(IF(ISBLANK(INDEX(SprintPlanning[Sprint],MATCH($A126,SprintPlanning[Requirement ID],0))),"",INDEX(SprintPlanning[Sprint],MATCH($A126,SprintPlanning[Requirement ID],0))),"")</f>
        <v/>
      </c>
      <c r="G126" s="21" t="n"/>
      <c r="H126" s="38" t="n"/>
      <c r="I126" s="21" t="n"/>
      <c r="J126" s="23">
        <f>IFERROR(IF(ISBLANK(INDEX(Backlog[Priority],MATCH($A126,Backlog[Requirement ID],0))),"",INDEX(Backlog[Priority],MATCH($A126,Backlog[Requirement ID],0))),"")</f>
        <v/>
      </c>
      <c r="K126" s="21" t="inlineStr">
        <is>
          <t>Ready for Development</t>
        </is>
      </c>
      <c r="L126" s="21" t="inlineStr">
        <is>
          <t>Yes</t>
        </is>
      </c>
    </row>
    <row r="127" ht="15" customHeight="1">
      <c r="A127" s="21" t="inlineStr">
        <is>
          <t>NEW-0282</t>
        </is>
      </c>
      <c r="B127" s="23">
        <f>IFERROR(IF(ISBLANK(INDEX(Backlog[Requirement Name],MATCH($A127,Backlog[Requirement ID],0))),"",INDEX(Backlog[Requirement Name],MATCH($A127,Backlog[Requirement ID],0))),"")</f>
        <v/>
      </c>
      <c r="C127" s="23">
        <f>IFERROR(IF(ISBLANK(INDEX(Backlog[Stream],MATCH($A127,Backlog[Requirement ID],0))),"",INDEX(Backlog[Stream],MATCH($A127,Backlog[Requirement ID],0))),"")</f>
        <v/>
      </c>
      <c r="D127" s="23">
        <f>IFERROR(IF(ISBLANK(INDEX(Backlog[Jira Link],MATCH($A127,Backlog[Requirement ID],0))),"",INDEX(Backlog[Jira Link],MATCH($A127,Backlog[Requirement ID],0))),"")</f>
        <v/>
      </c>
      <c r="E127" s="23">
        <f>IFERROR(IF(ISBLANK(INDEX(Backlog[Status],MATCH($A127,Backlog[Requirement ID],0))),"",INDEX(Backlog[Status],MATCH($A127,Backlog[Requirement ID],0))),"")</f>
        <v/>
      </c>
      <c r="F127" s="23">
        <f>IFERROR(IF(ISBLANK(INDEX(SprintPlanning[Sprint],MATCH($A127,SprintPlanning[Requirement ID],0))),"",INDEX(SprintPlanning[Sprint],MATCH($A127,SprintPlanning[Requirement ID],0))),"")</f>
        <v/>
      </c>
      <c r="G127" s="21" t="n"/>
      <c r="H127" s="38" t="n"/>
      <c r="I127" s="21" t="n"/>
      <c r="J127" s="23">
        <f>IFERROR(IF(ISBLANK(INDEX(Backlog[Priority],MATCH($A127,Backlog[Requirement ID],0))),"",INDEX(Backlog[Priority],MATCH($A127,Backlog[Requirement ID],0))),"")</f>
        <v/>
      </c>
      <c r="K127" s="21" t="n"/>
      <c r="L127" s="21" t="n"/>
    </row>
    <row r="128" ht="15" customHeight="1">
      <c r="A128" s="21" t="inlineStr">
        <is>
          <t>NEW-0283</t>
        </is>
      </c>
      <c r="B128" s="23">
        <f>IFERROR(IF(ISBLANK(INDEX(Backlog[Requirement Name],MATCH($A128,Backlog[Requirement ID],0))),"",INDEX(Backlog[Requirement Name],MATCH($A128,Backlog[Requirement ID],0))),"")</f>
        <v/>
      </c>
      <c r="C128" s="23">
        <f>IFERROR(IF(ISBLANK(INDEX(Backlog[Stream],MATCH($A128,Backlog[Requirement ID],0))),"",INDEX(Backlog[Stream],MATCH($A128,Backlog[Requirement ID],0))),"")</f>
        <v/>
      </c>
      <c r="D128" s="23">
        <f>IFERROR(IF(ISBLANK(INDEX(Backlog[Jira Link],MATCH($A128,Backlog[Requirement ID],0))),"",INDEX(Backlog[Jira Link],MATCH($A128,Backlog[Requirement ID],0))),"")</f>
        <v/>
      </c>
      <c r="E128" s="23">
        <f>IFERROR(IF(ISBLANK(INDEX(Backlog[Status],MATCH($A128,Backlog[Requirement ID],0))),"",INDEX(Backlog[Status],MATCH($A128,Backlog[Requirement ID],0))),"")</f>
        <v/>
      </c>
      <c r="F128" s="23">
        <f>IFERROR(IF(ISBLANK(INDEX(SprintPlanning[Sprint],MATCH($A128,SprintPlanning[Requirement ID],0))),"",INDEX(SprintPlanning[Sprint],MATCH($A128,SprintPlanning[Requirement ID],0))),"")</f>
        <v/>
      </c>
      <c r="G128" s="21" t="n"/>
      <c r="H128" s="38" t="n"/>
      <c r="I128" s="21" t="n"/>
      <c r="J128" s="23">
        <f>IFERROR(IF(ISBLANK(INDEX(Backlog[Priority],MATCH($A128,Backlog[Requirement ID],0))),"",INDEX(Backlog[Priority],MATCH($A128,Backlog[Requirement ID],0))),"")</f>
        <v/>
      </c>
      <c r="K128" s="21" t="n"/>
      <c r="L128" s="21" t="n"/>
    </row>
    <row r="129" ht="15" customHeight="1">
      <c r="A129" s="21" t="inlineStr">
        <is>
          <t>NEW-0284</t>
        </is>
      </c>
      <c r="B129" s="23">
        <f>IFERROR(IF(ISBLANK(INDEX(Backlog[Requirement Name],MATCH($A129,Backlog[Requirement ID],0))),"",INDEX(Backlog[Requirement Name],MATCH($A129,Backlog[Requirement ID],0))),"")</f>
        <v/>
      </c>
      <c r="C129" s="23">
        <f>IFERROR(IF(ISBLANK(INDEX(Backlog[Stream],MATCH($A129,Backlog[Requirement ID],0))),"",INDEX(Backlog[Stream],MATCH($A129,Backlog[Requirement ID],0))),"")</f>
        <v/>
      </c>
      <c r="D129" s="23">
        <f>IFERROR(IF(ISBLANK(INDEX(Backlog[Jira Link],MATCH($A129,Backlog[Requirement ID],0))),"",INDEX(Backlog[Jira Link],MATCH($A129,Backlog[Requirement ID],0))),"")</f>
        <v/>
      </c>
      <c r="E129" s="23">
        <f>IFERROR(IF(ISBLANK(INDEX(Backlog[Status],MATCH($A129,Backlog[Requirement ID],0))),"",INDEX(Backlog[Status],MATCH($A129,Backlog[Requirement ID],0))),"")</f>
        <v/>
      </c>
      <c r="F129" s="23">
        <f>IFERROR(IF(ISBLANK(INDEX(SprintPlanning[Sprint],MATCH($A129,SprintPlanning[Requirement ID],0))),"",INDEX(SprintPlanning[Sprint],MATCH($A129,SprintPlanning[Requirement ID],0))),"")</f>
        <v/>
      </c>
      <c r="G129" s="21" t="n"/>
      <c r="H129" s="38" t="n"/>
      <c r="I129" s="21" t="n"/>
      <c r="J129" s="23">
        <f>IFERROR(IF(ISBLANK(INDEX(Backlog[Priority],MATCH($A129,Backlog[Requirement ID],0))),"",INDEX(Backlog[Priority],MATCH($A129,Backlog[Requirement ID],0))),"")</f>
        <v/>
      </c>
      <c r="K129" s="21" t="inlineStr">
        <is>
          <t>Ready for Development</t>
        </is>
      </c>
      <c r="L129" s="21" t="n"/>
    </row>
    <row r="130" ht="15" customHeight="1">
      <c r="A130" s="21" t="inlineStr">
        <is>
          <t>NEW-0285</t>
        </is>
      </c>
      <c r="B130" s="23">
        <f>IFERROR(IF(ISBLANK(INDEX(Backlog[Requirement Name],MATCH($A130,Backlog[Requirement ID],0))),"",INDEX(Backlog[Requirement Name],MATCH($A130,Backlog[Requirement ID],0))),"")</f>
        <v/>
      </c>
      <c r="C130" s="23">
        <f>IFERROR(IF(ISBLANK(INDEX(Backlog[Stream],MATCH($A130,Backlog[Requirement ID],0))),"",INDEX(Backlog[Stream],MATCH($A130,Backlog[Requirement ID],0))),"")</f>
        <v/>
      </c>
      <c r="D130" s="23">
        <f>IFERROR(IF(ISBLANK(INDEX(Backlog[Jira Link],MATCH($A130,Backlog[Requirement ID],0))),"",INDEX(Backlog[Jira Link],MATCH($A130,Backlog[Requirement ID],0))),"")</f>
        <v/>
      </c>
      <c r="E130" s="23">
        <f>IFERROR(IF(ISBLANK(INDEX(Backlog[Status],MATCH($A130,Backlog[Requirement ID],0))),"",INDEX(Backlog[Status],MATCH($A130,Backlog[Requirement ID],0))),"")</f>
        <v/>
      </c>
      <c r="F130" s="23">
        <f>IFERROR(IF(ISBLANK(INDEX(SprintPlanning[Sprint],MATCH($A130,SprintPlanning[Requirement ID],0))),"",INDEX(SprintPlanning[Sprint],MATCH($A130,SprintPlanning[Requirement ID],0))),"")</f>
        <v/>
      </c>
      <c r="G130" s="21" t="n"/>
      <c r="H130" s="38" t="n"/>
      <c r="I130" s="21" t="n"/>
      <c r="J130" s="23">
        <f>IFERROR(IF(ISBLANK(INDEX(Backlog[Priority],MATCH($A130,Backlog[Requirement ID],0))),"",INDEX(Backlog[Priority],MATCH($A130,Backlog[Requirement ID],0))),"")</f>
        <v/>
      </c>
      <c r="K130" s="21" t="n"/>
      <c r="L130" s="21" t="n"/>
    </row>
    <row r="131" ht="15" customHeight="1">
      <c r="A131" s="21" t="inlineStr">
        <is>
          <t>NEW-0286</t>
        </is>
      </c>
      <c r="B131" s="23">
        <f>IFERROR(IF(ISBLANK(INDEX(Backlog[Requirement Name],MATCH($A131,Backlog[Requirement ID],0))),"",INDEX(Backlog[Requirement Name],MATCH($A131,Backlog[Requirement ID],0))),"")</f>
        <v/>
      </c>
      <c r="C131" s="23">
        <f>IFERROR(IF(ISBLANK(INDEX(Backlog[Stream],MATCH($A131,Backlog[Requirement ID],0))),"",INDEX(Backlog[Stream],MATCH($A131,Backlog[Requirement ID],0))),"")</f>
        <v/>
      </c>
      <c r="D131" s="23">
        <f>IFERROR(IF(ISBLANK(INDEX(Backlog[Jira Link],MATCH($A131,Backlog[Requirement ID],0))),"",INDEX(Backlog[Jira Link],MATCH($A131,Backlog[Requirement ID],0))),"")</f>
        <v/>
      </c>
      <c r="E131" s="23">
        <f>IFERROR(IF(ISBLANK(INDEX(Backlog[Status],MATCH($A131,Backlog[Requirement ID],0))),"",INDEX(Backlog[Status],MATCH($A131,Backlog[Requirement ID],0))),"")</f>
        <v/>
      </c>
      <c r="F131" s="23">
        <f>IFERROR(IF(ISBLANK(INDEX(SprintPlanning[Sprint],MATCH($A131,SprintPlanning[Requirement ID],0))),"",INDEX(SprintPlanning[Sprint],MATCH($A131,SprintPlanning[Requirement ID],0))),"")</f>
        <v/>
      </c>
      <c r="G131" s="21" t="n"/>
      <c r="H131" s="38" t="n"/>
      <c r="I131" s="21" t="n"/>
      <c r="J131" s="23">
        <f>IFERROR(IF(ISBLANK(INDEX(Backlog[Priority],MATCH($A131,Backlog[Requirement ID],0))),"",INDEX(Backlog[Priority],MATCH($A131,Backlog[Requirement ID],0))),"")</f>
        <v/>
      </c>
      <c r="K131" s="21" t="n"/>
      <c r="L131" s="21" t="n"/>
    </row>
    <row r="132" ht="15" customHeight="1">
      <c r="A132" s="21" t="inlineStr">
        <is>
          <t>NEW-0287</t>
        </is>
      </c>
      <c r="B132" s="23">
        <f>IFERROR(IF(ISBLANK(INDEX(Backlog[Requirement Name],MATCH($A132,Backlog[Requirement ID],0))),"",INDEX(Backlog[Requirement Name],MATCH($A132,Backlog[Requirement ID],0))),"")</f>
        <v/>
      </c>
      <c r="C132" s="23">
        <f>IFERROR(IF(ISBLANK(INDEX(Backlog[Stream],MATCH($A132,Backlog[Requirement ID],0))),"",INDEX(Backlog[Stream],MATCH($A132,Backlog[Requirement ID],0))),"")</f>
        <v/>
      </c>
      <c r="D132" s="23">
        <f>IFERROR(IF(ISBLANK(INDEX(Backlog[Jira Link],MATCH($A132,Backlog[Requirement ID],0))),"",INDEX(Backlog[Jira Link],MATCH($A132,Backlog[Requirement ID],0))),"")</f>
        <v/>
      </c>
      <c r="E132" s="23">
        <f>IFERROR(IF(ISBLANK(INDEX(Backlog[Status],MATCH($A132,Backlog[Requirement ID],0))),"",INDEX(Backlog[Status],MATCH($A132,Backlog[Requirement ID],0))),"")</f>
        <v/>
      </c>
      <c r="F132" s="23">
        <f>IFERROR(IF(ISBLANK(INDEX(SprintPlanning[Sprint],MATCH($A132,SprintPlanning[Requirement ID],0))),"",INDEX(SprintPlanning[Sprint],MATCH($A132,SprintPlanning[Requirement ID],0))),"")</f>
        <v/>
      </c>
      <c r="G132" s="21" t="n"/>
      <c r="H132" s="38" t="n"/>
      <c r="I132" s="21" t="n"/>
      <c r="J132" s="23">
        <f>IFERROR(IF(ISBLANK(INDEX(Backlog[Priority],MATCH($A132,Backlog[Requirement ID],0))),"",INDEX(Backlog[Priority],MATCH($A132,Backlog[Requirement ID],0))),"")</f>
        <v/>
      </c>
      <c r="K132" s="21" t="n"/>
      <c r="L132" s="21" t="n"/>
    </row>
    <row r="133" ht="15" customHeight="1">
      <c r="A133" s="21" t="inlineStr">
        <is>
          <t>NEW-0288</t>
        </is>
      </c>
      <c r="B133" s="23">
        <f>IFERROR(IF(ISBLANK(INDEX(Backlog[Requirement Name],MATCH($A133,Backlog[Requirement ID],0))),"",INDEX(Backlog[Requirement Name],MATCH($A133,Backlog[Requirement ID],0))),"")</f>
        <v/>
      </c>
      <c r="C133" s="23">
        <f>IFERROR(IF(ISBLANK(INDEX(Backlog[Stream],MATCH($A133,Backlog[Requirement ID],0))),"",INDEX(Backlog[Stream],MATCH($A133,Backlog[Requirement ID],0))),"")</f>
        <v/>
      </c>
      <c r="D133" s="23">
        <f>IFERROR(IF(ISBLANK(INDEX(Backlog[Jira Link],MATCH($A133,Backlog[Requirement ID],0))),"",INDEX(Backlog[Jira Link],MATCH($A133,Backlog[Requirement ID],0))),"")</f>
        <v/>
      </c>
      <c r="E133" s="23">
        <f>IFERROR(IF(ISBLANK(INDEX(Backlog[Status],MATCH($A133,Backlog[Requirement ID],0))),"",INDEX(Backlog[Status],MATCH($A133,Backlog[Requirement ID],0))),"")</f>
        <v/>
      </c>
      <c r="F133" s="23">
        <f>IFERROR(IF(ISBLANK(INDEX(SprintPlanning[Sprint],MATCH($A133,SprintPlanning[Requirement ID],0))),"",INDEX(SprintPlanning[Sprint],MATCH($A133,SprintPlanning[Requirement ID],0))),"")</f>
        <v/>
      </c>
      <c r="G133" s="21" t="n"/>
      <c r="H133" s="38" t="n"/>
      <c r="I133" s="21" t="n"/>
      <c r="J133" s="23">
        <f>IFERROR(IF(ISBLANK(INDEX(Backlog[Priority],MATCH($A133,Backlog[Requirement ID],0))),"",INDEX(Backlog[Priority],MATCH($A133,Backlog[Requirement ID],0))),"")</f>
        <v/>
      </c>
      <c r="K133" s="21" t="inlineStr">
        <is>
          <t>Ready for Development</t>
        </is>
      </c>
      <c r="L133" s="21" t="inlineStr">
        <is>
          <t>Yes</t>
        </is>
      </c>
    </row>
    <row r="134" ht="15" customHeight="1">
      <c r="A134" s="21" t="inlineStr">
        <is>
          <t>NEW-0289</t>
        </is>
      </c>
      <c r="B134" s="23">
        <f>IFERROR(IF(ISBLANK(INDEX(Backlog[Requirement Name],MATCH($A134,Backlog[Requirement ID],0))),"",INDEX(Backlog[Requirement Name],MATCH($A134,Backlog[Requirement ID],0))),"")</f>
        <v/>
      </c>
      <c r="C134" s="23">
        <f>IFERROR(IF(ISBLANK(INDEX(Backlog[Stream],MATCH($A134,Backlog[Requirement ID],0))),"",INDEX(Backlog[Stream],MATCH($A134,Backlog[Requirement ID],0))),"")</f>
        <v/>
      </c>
      <c r="D134" s="23">
        <f>IFERROR(IF(ISBLANK(INDEX(Backlog[Jira Link],MATCH($A134,Backlog[Requirement ID],0))),"",INDEX(Backlog[Jira Link],MATCH($A134,Backlog[Requirement ID],0))),"")</f>
        <v/>
      </c>
      <c r="E134" s="23">
        <f>IFERROR(IF(ISBLANK(INDEX(Backlog[Status],MATCH($A134,Backlog[Requirement ID],0))),"",INDEX(Backlog[Status],MATCH($A134,Backlog[Requirement ID],0))),"")</f>
        <v/>
      </c>
      <c r="F134" s="23">
        <f>IFERROR(IF(ISBLANK(INDEX(SprintPlanning[Sprint],MATCH($A134,SprintPlanning[Requirement ID],0))),"",INDEX(SprintPlanning[Sprint],MATCH($A134,SprintPlanning[Requirement ID],0))),"")</f>
        <v/>
      </c>
      <c r="G134" s="21" t="n"/>
      <c r="H134" s="38" t="n"/>
      <c r="I134" s="21" t="n"/>
      <c r="J134" s="23">
        <f>IFERROR(IF(ISBLANK(INDEX(Backlog[Priority],MATCH($A134,Backlog[Requirement ID],0))),"",INDEX(Backlog[Priority],MATCH($A134,Backlog[Requirement ID],0))),"")</f>
        <v/>
      </c>
      <c r="K134" s="21" t="n"/>
      <c r="L134" s="21" t="n"/>
    </row>
    <row r="135" ht="23.25" customHeight="1">
      <c r="A135" s="21" t="inlineStr">
        <is>
          <t>NEW-0290</t>
        </is>
      </c>
      <c r="B135" s="23">
        <f>IFERROR(IF(ISBLANK(INDEX(Backlog[Requirement Name],MATCH($A135,Backlog[Requirement ID],0))),"",INDEX(Backlog[Requirement Name],MATCH($A135,Backlog[Requirement ID],0))),"")</f>
        <v/>
      </c>
      <c r="C135" s="23">
        <f>IFERROR(IF(ISBLANK(INDEX(Backlog[Stream],MATCH($A135,Backlog[Requirement ID],0))),"",INDEX(Backlog[Stream],MATCH($A135,Backlog[Requirement ID],0))),"")</f>
        <v/>
      </c>
      <c r="D135" s="23">
        <f>IFERROR(IF(ISBLANK(INDEX(Backlog[Jira Link],MATCH($A135,Backlog[Requirement ID],0))),"",INDEX(Backlog[Jira Link],MATCH($A135,Backlog[Requirement ID],0))),"")</f>
        <v/>
      </c>
      <c r="E135" s="23">
        <f>IFERROR(IF(ISBLANK(INDEX(Backlog[Status],MATCH($A135,Backlog[Requirement ID],0))),"",INDEX(Backlog[Status],MATCH($A135,Backlog[Requirement ID],0))),"")</f>
        <v/>
      </c>
      <c r="F135" s="23">
        <f>IFERROR(IF(ISBLANK(INDEX(SprintPlanning[Sprint],MATCH($A135,SprintPlanning[Requirement ID],0))),"",INDEX(SprintPlanning[Sprint],MATCH($A135,SprintPlanning[Requirement ID],0))),"")</f>
        <v/>
      </c>
      <c r="G135" s="21" t="n"/>
      <c r="H135" s="38" t="n"/>
      <c r="I135" s="21" t="n"/>
      <c r="J135" s="23">
        <f>IFERROR(IF(ISBLANK(INDEX(Backlog[Priority],MATCH($A135,Backlog[Requirement ID],0))),"",INDEX(Backlog[Priority],MATCH($A135,Backlog[Requirement ID],0))),"")</f>
        <v/>
      </c>
      <c r="K135" s="21" t="inlineStr">
        <is>
          <t>Ready for Development</t>
        </is>
      </c>
      <c r="L135" s="21" t="inlineStr">
        <is>
          <t>Yes</t>
        </is>
      </c>
    </row>
    <row r="136" ht="15" customHeight="1">
      <c r="A136" s="21" t="inlineStr">
        <is>
          <t>NEW-0291</t>
        </is>
      </c>
      <c r="B136" s="23">
        <f>IFERROR(IF(ISBLANK(INDEX(Backlog[Requirement Name],MATCH($A136,Backlog[Requirement ID],0))),"",INDEX(Backlog[Requirement Name],MATCH($A136,Backlog[Requirement ID],0))),"")</f>
        <v/>
      </c>
      <c r="C136" s="23">
        <f>IFERROR(IF(ISBLANK(INDEX(Backlog[Stream],MATCH($A136,Backlog[Requirement ID],0))),"",INDEX(Backlog[Stream],MATCH($A136,Backlog[Requirement ID],0))),"")</f>
        <v/>
      </c>
      <c r="D136" s="23">
        <f>IFERROR(IF(ISBLANK(INDEX(Backlog[Jira Link],MATCH($A136,Backlog[Requirement ID],0))),"",INDEX(Backlog[Jira Link],MATCH($A136,Backlog[Requirement ID],0))),"")</f>
        <v/>
      </c>
      <c r="E136" s="23">
        <f>IFERROR(IF(ISBLANK(INDEX(Backlog[Status],MATCH($A136,Backlog[Requirement ID],0))),"",INDEX(Backlog[Status],MATCH($A136,Backlog[Requirement ID],0))),"")</f>
        <v/>
      </c>
      <c r="F136" s="23">
        <f>IFERROR(IF(ISBLANK(INDEX(SprintPlanning[Sprint],MATCH($A136,SprintPlanning[Requirement ID],0))),"",INDEX(SprintPlanning[Sprint],MATCH($A136,SprintPlanning[Requirement ID],0))),"")</f>
        <v/>
      </c>
      <c r="G136" s="21" t="n"/>
      <c r="H136" s="38" t="n"/>
      <c r="I136" s="21" t="n"/>
      <c r="J136" s="23">
        <f>IFERROR(IF(ISBLANK(INDEX(Backlog[Priority],MATCH($A136,Backlog[Requirement ID],0))),"",INDEX(Backlog[Priority],MATCH($A136,Backlog[Requirement ID],0))),"")</f>
        <v/>
      </c>
      <c r="K136" s="21" t="inlineStr">
        <is>
          <t>Ready for Development</t>
        </is>
      </c>
      <c r="L136" s="21" t="n"/>
    </row>
    <row r="137" ht="15" customHeight="1">
      <c r="A137" s="21" t="inlineStr">
        <is>
          <t>NEW-0292</t>
        </is>
      </c>
      <c r="B137" s="23">
        <f>IFERROR(IF(ISBLANK(INDEX(Backlog[Requirement Name],MATCH($A137,Backlog[Requirement ID],0))),"",INDEX(Backlog[Requirement Name],MATCH($A137,Backlog[Requirement ID],0))),"")</f>
        <v/>
      </c>
      <c r="C137" s="23">
        <f>IFERROR(IF(ISBLANK(INDEX(Backlog[Stream],MATCH($A137,Backlog[Requirement ID],0))),"",INDEX(Backlog[Stream],MATCH($A137,Backlog[Requirement ID],0))),"")</f>
        <v/>
      </c>
      <c r="D137" s="23">
        <f>IFERROR(IF(ISBLANK(INDEX(Backlog[Jira Link],MATCH($A137,Backlog[Requirement ID],0))),"",INDEX(Backlog[Jira Link],MATCH($A137,Backlog[Requirement ID],0))),"")</f>
        <v/>
      </c>
      <c r="E137" s="23">
        <f>IFERROR(IF(ISBLANK(INDEX(Backlog[Status],MATCH($A137,Backlog[Requirement ID],0))),"",INDEX(Backlog[Status],MATCH($A137,Backlog[Requirement ID],0))),"")</f>
        <v/>
      </c>
      <c r="F137" s="23">
        <f>IFERROR(IF(ISBLANK(INDEX(SprintPlanning[Sprint],MATCH($A137,SprintPlanning[Requirement ID],0))),"",INDEX(SprintPlanning[Sprint],MATCH($A137,SprintPlanning[Requirement ID],0))),"")</f>
        <v/>
      </c>
      <c r="G137" s="21" t="n"/>
      <c r="H137" s="38" t="n"/>
      <c r="I137" s="21" t="n"/>
      <c r="J137" s="23">
        <f>IFERROR(IF(ISBLANK(INDEX(Backlog[Priority],MATCH($A137,Backlog[Requirement ID],0))),"",INDEX(Backlog[Priority],MATCH($A137,Backlog[Requirement ID],0))),"")</f>
        <v/>
      </c>
      <c r="K137" s="21" t="inlineStr">
        <is>
          <t>Ready for Development</t>
        </is>
      </c>
      <c r="L137" s="21" t="inlineStr">
        <is>
          <t>Yes</t>
        </is>
      </c>
    </row>
    <row r="138" ht="15" customHeight="1">
      <c r="A138" s="21" t="inlineStr">
        <is>
          <t>NEW-0293</t>
        </is>
      </c>
      <c r="B138" s="23">
        <f>IFERROR(IF(ISBLANK(INDEX(Backlog[Requirement Name],MATCH($A138,Backlog[Requirement ID],0))),"",INDEX(Backlog[Requirement Name],MATCH($A138,Backlog[Requirement ID],0))),"")</f>
        <v/>
      </c>
      <c r="C138" s="23">
        <f>IFERROR(IF(ISBLANK(INDEX(Backlog[Stream],MATCH($A138,Backlog[Requirement ID],0))),"",INDEX(Backlog[Stream],MATCH($A138,Backlog[Requirement ID],0))),"")</f>
        <v/>
      </c>
      <c r="D138" s="23">
        <f>IFERROR(IF(ISBLANK(INDEX(Backlog[Jira Link],MATCH($A138,Backlog[Requirement ID],0))),"",INDEX(Backlog[Jira Link],MATCH($A138,Backlog[Requirement ID],0))),"")</f>
        <v/>
      </c>
      <c r="E138" s="23">
        <f>IFERROR(IF(ISBLANK(INDEX(Backlog[Status],MATCH($A138,Backlog[Requirement ID],0))),"",INDEX(Backlog[Status],MATCH($A138,Backlog[Requirement ID],0))),"")</f>
        <v/>
      </c>
      <c r="F138" s="23">
        <f>IFERROR(IF(ISBLANK(INDEX(SprintPlanning[Sprint],MATCH($A138,SprintPlanning[Requirement ID],0))),"",INDEX(SprintPlanning[Sprint],MATCH($A138,SprintPlanning[Requirement ID],0))),"")</f>
        <v/>
      </c>
      <c r="G138" s="21" t="n"/>
      <c r="H138" s="38" t="n"/>
      <c r="I138" s="21" t="n"/>
      <c r="J138" s="23">
        <f>IFERROR(IF(ISBLANK(INDEX(Backlog[Priority],MATCH($A138,Backlog[Requirement ID],0))),"",INDEX(Backlog[Priority],MATCH($A138,Backlog[Requirement ID],0))),"")</f>
        <v/>
      </c>
      <c r="K138" s="21" t="inlineStr">
        <is>
          <t>Ready for Development</t>
        </is>
      </c>
      <c r="L138" s="21" t="inlineStr">
        <is>
          <t>Yes</t>
        </is>
      </c>
    </row>
    <row r="139" ht="15" customHeight="1">
      <c r="A139" s="21" t="inlineStr">
        <is>
          <t>NEW-0294</t>
        </is>
      </c>
      <c r="B139" s="23">
        <f>IFERROR(IF(ISBLANK(INDEX(Backlog[Requirement Name],MATCH($A139,Backlog[Requirement ID],0))),"",INDEX(Backlog[Requirement Name],MATCH($A139,Backlog[Requirement ID],0))),"")</f>
        <v/>
      </c>
      <c r="C139" s="23">
        <f>IFERROR(IF(ISBLANK(INDEX(Backlog[Stream],MATCH($A139,Backlog[Requirement ID],0))),"",INDEX(Backlog[Stream],MATCH($A139,Backlog[Requirement ID],0))),"")</f>
        <v/>
      </c>
      <c r="D139" s="23">
        <f>IFERROR(IF(ISBLANK(INDEX(Backlog[Jira Link],MATCH($A139,Backlog[Requirement ID],0))),"",INDEX(Backlog[Jira Link],MATCH($A139,Backlog[Requirement ID],0))),"")</f>
        <v/>
      </c>
      <c r="E139" s="23">
        <f>IFERROR(IF(ISBLANK(INDEX(Backlog[Status],MATCH($A139,Backlog[Requirement ID],0))),"",INDEX(Backlog[Status],MATCH($A139,Backlog[Requirement ID],0))),"")</f>
        <v/>
      </c>
      <c r="F139" s="23">
        <f>IFERROR(IF(ISBLANK(INDEX(SprintPlanning[Sprint],MATCH($A139,SprintPlanning[Requirement ID],0))),"",INDEX(SprintPlanning[Sprint],MATCH($A139,SprintPlanning[Requirement ID],0))),"")</f>
        <v/>
      </c>
      <c r="G139" s="21" t="n"/>
      <c r="H139" s="38" t="n"/>
      <c r="I139" s="21" t="n"/>
      <c r="J139" s="23">
        <f>IFERROR(IF(ISBLANK(INDEX(Backlog[Priority],MATCH($A139,Backlog[Requirement ID],0))),"",INDEX(Backlog[Priority],MATCH($A139,Backlog[Requirement ID],0))),"")</f>
        <v/>
      </c>
      <c r="K139" s="21" t="inlineStr">
        <is>
          <t>Ready for Development</t>
        </is>
      </c>
      <c r="L139" s="21" t="n"/>
    </row>
    <row r="140" ht="15" customHeight="1">
      <c r="A140" s="21" t="inlineStr">
        <is>
          <t>NEW-0295</t>
        </is>
      </c>
      <c r="B140" s="23">
        <f>IFERROR(IF(ISBLANK(INDEX(Backlog[Requirement Name],MATCH($A140,Backlog[Requirement ID],0))),"",INDEX(Backlog[Requirement Name],MATCH($A140,Backlog[Requirement ID],0))),"")</f>
        <v/>
      </c>
      <c r="C140" s="23">
        <f>IFERROR(IF(ISBLANK(INDEX(Backlog[Stream],MATCH($A140,Backlog[Requirement ID],0))),"",INDEX(Backlog[Stream],MATCH($A140,Backlog[Requirement ID],0))),"")</f>
        <v/>
      </c>
      <c r="D140" s="23">
        <f>IFERROR(IF(ISBLANK(INDEX(Backlog[Jira Link],MATCH($A140,Backlog[Requirement ID],0))),"",INDEX(Backlog[Jira Link],MATCH($A140,Backlog[Requirement ID],0))),"")</f>
        <v/>
      </c>
      <c r="E140" s="23">
        <f>IFERROR(IF(ISBLANK(INDEX(Backlog[Status],MATCH($A140,Backlog[Requirement ID],0))),"",INDEX(Backlog[Status],MATCH($A140,Backlog[Requirement ID],0))),"")</f>
        <v/>
      </c>
      <c r="F140" s="23">
        <f>IFERROR(IF(ISBLANK(INDEX(SprintPlanning[Sprint],MATCH($A140,SprintPlanning[Requirement ID],0))),"",INDEX(SprintPlanning[Sprint],MATCH($A140,SprintPlanning[Requirement ID],0))),"")</f>
        <v/>
      </c>
      <c r="G140" s="21" t="n"/>
      <c r="H140" s="38" t="n"/>
      <c r="I140" s="21" t="n"/>
      <c r="J140" s="23">
        <f>IFERROR(IF(ISBLANK(INDEX(Backlog[Priority],MATCH($A140,Backlog[Requirement ID],0))),"",INDEX(Backlog[Priority],MATCH($A140,Backlog[Requirement ID],0))),"")</f>
        <v/>
      </c>
      <c r="K140" s="21" t="n"/>
      <c r="L140" s="21" t="n"/>
    </row>
    <row r="141" ht="15" customHeight="1">
      <c r="A141" s="21" t="inlineStr">
        <is>
          <t>NEW-0296</t>
        </is>
      </c>
      <c r="B141" s="23">
        <f>IFERROR(IF(ISBLANK(INDEX(Backlog[Requirement Name],MATCH($A141,Backlog[Requirement ID],0))),"",INDEX(Backlog[Requirement Name],MATCH($A141,Backlog[Requirement ID],0))),"")</f>
        <v/>
      </c>
      <c r="C141" s="23">
        <f>IFERROR(IF(ISBLANK(INDEX(Backlog[Stream],MATCH($A141,Backlog[Requirement ID],0))),"",INDEX(Backlog[Stream],MATCH($A141,Backlog[Requirement ID],0))),"")</f>
        <v/>
      </c>
      <c r="D141" s="23">
        <f>IFERROR(IF(ISBLANK(INDEX(Backlog[Jira Link],MATCH($A141,Backlog[Requirement ID],0))),"",INDEX(Backlog[Jira Link],MATCH($A141,Backlog[Requirement ID],0))),"")</f>
        <v/>
      </c>
      <c r="E141" s="23">
        <f>IFERROR(IF(ISBLANK(INDEX(Backlog[Status],MATCH($A141,Backlog[Requirement ID],0))),"",INDEX(Backlog[Status],MATCH($A141,Backlog[Requirement ID],0))),"")</f>
        <v/>
      </c>
      <c r="F141" s="23">
        <f>IFERROR(IF(ISBLANK(INDEX(SprintPlanning[Sprint],MATCH($A141,SprintPlanning[Requirement ID],0))),"",INDEX(SprintPlanning[Sprint],MATCH($A141,SprintPlanning[Requirement ID],0))),"")</f>
        <v/>
      </c>
      <c r="G141" s="21" t="n"/>
      <c r="H141" s="38" t="n"/>
      <c r="I141" s="21" t="n"/>
      <c r="J141" s="23">
        <f>IFERROR(IF(ISBLANK(INDEX(Backlog[Priority],MATCH($A141,Backlog[Requirement ID],0))),"",INDEX(Backlog[Priority],MATCH($A141,Backlog[Requirement ID],0))),"")</f>
        <v/>
      </c>
      <c r="K141" s="21" t="n"/>
      <c r="L141" s="21" t="n"/>
    </row>
    <row r="142" ht="15" customHeight="1">
      <c r="A142" s="21" t="inlineStr">
        <is>
          <t>NEW-0298</t>
        </is>
      </c>
      <c r="B142" s="23">
        <f>IFERROR(IF(ISBLANK(INDEX(Backlog[Requirement Name],MATCH($A142,Backlog[Requirement ID],0))),"",INDEX(Backlog[Requirement Name],MATCH($A142,Backlog[Requirement ID],0))),"")</f>
        <v/>
      </c>
      <c r="C142" s="23">
        <f>IFERROR(IF(ISBLANK(INDEX(Backlog[Stream],MATCH($A142,Backlog[Requirement ID],0))),"",INDEX(Backlog[Stream],MATCH($A142,Backlog[Requirement ID],0))),"")</f>
        <v/>
      </c>
      <c r="D142" s="23">
        <f>IFERROR(IF(ISBLANK(INDEX(Backlog[Jira Link],MATCH($A142,Backlog[Requirement ID],0))),"",INDEX(Backlog[Jira Link],MATCH($A142,Backlog[Requirement ID],0))),"")</f>
        <v/>
      </c>
      <c r="E142" s="23">
        <f>IFERROR(IF(ISBLANK(INDEX(Backlog[Status],MATCH($A142,Backlog[Requirement ID],0))),"",INDEX(Backlog[Status],MATCH($A142,Backlog[Requirement ID],0))),"")</f>
        <v/>
      </c>
      <c r="F142" s="23">
        <f>IFERROR(IF(ISBLANK(INDEX(SprintPlanning[Sprint],MATCH($A142,SprintPlanning[Requirement ID],0))),"",INDEX(SprintPlanning[Sprint],MATCH($A142,SprintPlanning[Requirement ID],0))),"")</f>
        <v/>
      </c>
      <c r="G142" s="21" t="n"/>
      <c r="H142" s="38" t="n"/>
      <c r="I142" s="21" t="n"/>
      <c r="J142" s="23">
        <f>IFERROR(IF(ISBLANK(INDEX(Backlog[Priority],MATCH($A142,Backlog[Requirement ID],0))),"",INDEX(Backlog[Priority],MATCH($A142,Backlog[Requirement ID],0))),"")</f>
        <v/>
      </c>
      <c r="K142" s="21" t="n"/>
      <c r="L142" s="21" t="n"/>
    </row>
    <row r="143" ht="15" customHeight="1">
      <c r="A143" s="21" t="inlineStr">
        <is>
          <t>NEW-0299</t>
        </is>
      </c>
      <c r="B143" s="23">
        <f>IFERROR(IF(ISBLANK(INDEX(Backlog[Requirement Name],MATCH($A143,Backlog[Requirement ID],0))),"",INDEX(Backlog[Requirement Name],MATCH($A143,Backlog[Requirement ID],0))),"")</f>
        <v/>
      </c>
      <c r="C143" s="23">
        <f>IFERROR(IF(ISBLANK(INDEX(Backlog[Stream],MATCH($A143,Backlog[Requirement ID],0))),"",INDEX(Backlog[Stream],MATCH($A143,Backlog[Requirement ID],0))),"")</f>
        <v/>
      </c>
      <c r="D143" s="23">
        <f>IFERROR(IF(ISBLANK(INDEX(Backlog[Jira Link],MATCH($A143,Backlog[Requirement ID],0))),"",INDEX(Backlog[Jira Link],MATCH($A143,Backlog[Requirement ID],0))),"")</f>
        <v/>
      </c>
      <c r="E143" s="23">
        <f>IFERROR(IF(ISBLANK(INDEX(Backlog[Status],MATCH($A143,Backlog[Requirement ID],0))),"",INDEX(Backlog[Status],MATCH($A143,Backlog[Requirement ID],0))),"")</f>
        <v/>
      </c>
      <c r="F143" s="23">
        <f>IFERROR(IF(ISBLANK(INDEX(SprintPlanning[Sprint],MATCH($A143,SprintPlanning[Requirement ID],0))),"",INDEX(SprintPlanning[Sprint],MATCH($A143,SprintPlanning[Requirement ID],0))),"")</f>
        <v/>
      </c>
      <c r="G143" s="21" t="n"/>
      <c r="H143" s="38" t="n"/>
      <c r="I143" s="21" t="n"/>
      <c r="J143" s="23">
        <f>IFERROR(IF(ISBLANK(INDEX(Backlog[Priority],MATCH($A143,Backlog[Requirement ID],0))),"",INDEX(Backlog[Priority],MATCH($A143,Backlog[Requirement ID],0))),"")</f>
        <v/>
      </c>
      <c r="K143" s="21" t="inlineStr">
        <is>
          <t>Pending Solution</t>
        </is>
      </c>
      <c r="L143" s="21" t="n"/>
    </row>
    <row r="144" ht="15" customHeight="1">
      <c r="A144" s="21" t="inlineStr">
        <is>
          <t>NEW-0300</t>
        </is>
      </c>
      <c r="B144" s="23">
        <f>IFERROR(IF(ISBLANK(INDEX(Backlog[Requirement Name],MATCH($A144,Backlog[Requirement ID],0))),"",INDEX(Backlog[Requirement Name],MATCH($A144,Backlog[Requirement ID],0))),"")</f>
        <v/>
      </c>
      <c r="C144" s="23">
        <f>IFERROR(IF(ISBLANK(INDEX(Backlog[Stream],MATCH($A144,Backlog[Requirement ID],0))),"",INDEX(Backlog[Stream],MATCH($A144,Backlog[Requirement ID],0))),"")</f>
        <v/>
      </c>
      <c r="D144" s="23">
        <f>IFERROR(IF(ISBLANK(INDEX(Backlog[Jira Link],MATCH($A144,Backlog[Requirement ID],0))),"",INDEX(Backlog[Jira Link],MATCH($A144,Backlog[Requirement ID],0))),"")</f>
        <v/>
      </c>
      <c r="E144" s="23">
        <f>IFERROR(IF(ISBLANK(INDEX(Backlog[Status],MATCH($A144,Backlog[Requirement ID],0))),"",INDEX(Backlog[Status],MATCH($A144,Backlog[Requirement ID],0))),"")</f>
        <v/>
      </c>
      <c r="F144" s="23">
        <f>IFERROR(IF(ISBLANK(INDEX(SprintPlanning[Sprint],MATCH($A144,SprintPlanning[Requirement ID],0))),"",INDEX(SprintPlanning[Sprint],MATCH($A144,SprintPlanning[Requirement ID],0))),"")</f>
        <v/>
      </c>
      <c r="G144" s="21" t="n"/>
      <c r="H144" s="38" t="n"/>
      <c r="I144" s="21" t="n"/>
      <c r="J144" s="23">
        <f>IFERROR(IF(ISBLANK(INDEX(Backlog[Priority],MATCH($A144,Backlog[Requirement ID],0))),"",INDEX(Backlog[Priority],MATCH($A144,Backlog[Requirement ID],0))),"")</f>
        <v/>
      </c>
      <c r="K144" s="21" t="n"/>
      <c r="L144" s="21" t="n"/>
    </row>
    <row r="145" ht="15" customHeight="1">
      <c r="A145" s="21" t="inlineStr">
        <is>
          <t>NEW-0303</t>
        </is>
      </c>
      <c r="B145" s="23">
        <f>IFERROR(IF(ISBLANK(INDEX(Backlog[Requirement Name],MATCH($A145,Backlog[Requirement ID],0))),"",INDEX(Backlog[Requirement Name],MATCH($A145,Backlog[Requirement ID],0))),"")</f>
        <v/>
      </c>
      <c r="C145" s="23">
        <f>IFERROR(IF(ISBLANK(INDEX(Backlog[Stream],MATCH($A145,Backlog[Requirement ID],0))),"",INDEX(Backlog[Stream],MATCH($A145,Backlog[Requirement ID],0))),"")</f>
        <v/>
      </c>
      <c r="D145" s="23">
        <f>IFERROR(IF(ISBLANK(INDEX(Backlog[Jira Link],MATCH($A145,Backlog[Requirement ID],0))),"",INDEX(Backlog[Jira Link],MATCH($A145,Backlog[Requirement ID],0))),"")</f>
        <v/>
      </c>
      <c r="E145" s="23">
        <f>IFERROR(IF(ISBLANK(INDEX(Backlog[Status],MATCH($A145,Backlog[Requirement ID],0))),"",INDEX(Backlog[Status],MATCH($A145,Backlog[Requirement ID],0))),"")</f>
        <v/>
      </c>
      <c r="F145" s="23">
        <f>IFERROR(IF(ISBLANK(INDEX(SprintPlanning[Sprint],MATCH($A145,SprintPlanning[Requirement ID],0))),"",INDEX(SprintPlanning[Sprint],MATCH($A145,SprintPlanning[Requirement ID],0))),"")</f>
        <v/>
      </c>
      <c r="G145" s="21" t="n"/>
      <c r="H145" s="38" t="n"/>
      <c r="I145" s="21" t="n"/>
      <c r="J145" s="23">
        <f>IFERROR(IF(ISBLANK(INDEX(Backlog[Priority],MATCH($A145,Backlog[Requirement ID],0))),"",INDEX(Backlog[Priority],MATCH($A145,Backlog[Requirement ID],0))),"")</f>
        <v/>
      </c>
      <c r="K145" s="21" t="inlineStr">
        <is>
          <t>Ready for Development</t>
        </is>
      </c>
      <c r="L145" s="21" t="n"/>
    </row>
    <row r="146" ht="15" customHeight="1">
      <c r="A146" s="21" t="inlineStr">
        <is>
          <t>NEW-0304</t>
        </is>
      </c>
      <c r="B146" s="23">
        <f>IFERROR(IF(ISBLANK(INDEX(Backlog[Requirement Name],MATCH($A146,Backlog[Requirement ID],0))),"",INDEX(Backlog[Requirement Name],MATCH($A146,Backlog[Requirement ID],0))),"")</f>
        <v/>
      </c>
      <c r="C146" s="23">
        <f>IFERROR(IF(ISBLANK(INDEX(Backlog[Stream],MATCH($A146,Backlog[Requirement ID],0))),"",INDEX(Backlog[Stream],MATCH($A146,Backlog[Requirement ID],0))),"")</f>
        <v/>
      </c>
      <c r="D146" s="23">
        <f>IFERROR(IF(ISBLANK(INDEX(Backlog[Jira Link],MATCH($A146,Backlog[Requirement ID],0))),"",INDEX(Backlog[Jira Link],MATCH($A146,Backlog[Requirement ID],0))),"")</f>
        <v/>
      </c>
      <c r="E146" s="23">
        <f>IFERROR(IF(ISBLANK(INDEX(Backlog[Status],MATCH($A146,Backlog[Requirement ID],0))),"",INDEX(Backlog[Status],MATCH($A146,Backlog[Requirement ID],0))),"")</f>
        <v/>
      </c>
      <c r="F146" s="23">
        <f>IFERROR(IF(ISBLANK(INDEX(SprintPlanning[Sprint],MATCH($A146,SprintPlanning[Requirement ID],0))),"",INDEX(SprintPlanning[Sprint],MATCH($A146,SprintPlanning[Requirement ID],0))),"")</f>
        <v/>
      </c>
      <c r="G146" s="21" t="n"/>
      <c r="H146" s="38" t="n"/>
      <c r="I146" s="21" t="n"/>
      <c r="J146" s="23">
        <f>IFERROR(IF(ISBLANK(INDEX(Backlog[Priority],MATCH($A146,Backlog[Requirement ID],0))),"",INDEX(Backlog[Priority],MATCH($A146,Backlog[Requirement ID],0))),"")</f>
        <v/>
      </c>
      <c r="K146" s="21" t="inlineStr">
        <is>
          <t>Ready for Development</t>
        </is>
      </c>
      <c r="L146" s="21" t="n"/>
    </row>
    <row r="147" ht="15" customHeight="1">
      <c r="A147" s="21" t="inlineStr">
        <is>
          <t>NEW-0305</t>
        </is>
      </c>
      <c r="B147" s="23">
        <f>IFERROR(IF(ISBLANK(INDEX(Backlog[Requirement Name],MATCH($A147,Backlog[Requirement ID],0))),"",INDEX(Backlog[Requirement Name],MATCH($A147,Backlog[Requirement ID],0))),"")</f>
        <v/>
      </c>
      <c r="C147" s="23">
        <f>IFERROR(IF(ISBLANK(INDEX(Backlog[Stream],MATCH($A147,Backlog[Requirement ID],0))),"",INDEX(Backlog[Stream],MATCH($A147,Backlog[Requirement ID],0))),"")</f>
        <v/>
      </c>
      <c r="D147" s="23">
        <f>IFERROR(IF(ISBLANK(INDEX(Backlog[Jira Link],MATCH($A147,Backlog[Requirement ID],0))),"",INDEX(Backlog[Jira Link],MATCH($A147,Backlog[Requirement ID],0))),"")</f>
        <v/>
      </c>
      <c r="E147" s="23">
        <f>IFERROR(IF(ISBLANK(INDEX(Backlog[Status],MATCH($A147,Backlog[Requirement ID],0))),"",INDEX(Backlog[Status],MATCH($A147,Backlog[Requirement ID],0))),"")</f>
        <v/>
      </c>
      <c r="F147" s="23">
        <f>IFERROR(IF(ISBLANK(INDEX(SprintPlanning[Sprint],MATCH($A147,SprintPlanning[Requirement ID],0))),"",INDEX(SprintPlanning[Sprint],MATCH($A147,SprintPlanning[Requirement ID],0))),"")</f>
        <v/>
      </c>
      <c r="G147" s="21" t="n"/>
      <c r="H147" s="38" t="n"/>
      <c r="I147" s="21" t="n"/>
      <c r="J147" s="23">
        <f>IFERROR(IF(ISBLANK(INDEX(Backlog[Priority],MATCH($A147,Backlog[Requirement ID],0))),"",INDEX(Backlog[Priority],MATCH($A147,Backlog[Requirement ID],0))),"")</f>
        <v/>
      </c>
      <c r="K147" s="21" t="inlineStr">
        <is>
          <t>Ready for Development</t>
        </is>
      </c>
      <c r="L147" s="21" t="n"/>
    </row>
    <row r="148" ht="15" customHeight="1">
      <c r="A148" s="21" t="inlineStr">
        <is>
          <t>NEW-0306</t>
        </is>
      </c>
      <c r="B148" s="23">
        <f>IFERROR(IF(ISBLANK(INDEX(Backlog[Requirement Name],MATCH($A148,Backlog[Requirement ID],0))),"",INDEX(Backlog[Requirement Name],MATCH($A148,Backlog[Requirement ID],0))),"")</f>
        <v/>
      </c>
      <c r="C148" s="23">
        <f>IFERROR(IF(ISBLANK(INDEX(Backlog[Stream],MATCH($A148,Backlog[Requirement ID],0))),"",INDEX(Backlog[Stream],MATCH($A148,Backlog[Requirement ID],0))),"")</f>
        <v/>
      </c>
      <c r="D148" s="23">
        <f>IFERROR(IF(ISBLANK(INDEX(Backlog[Jira Link],MATCH($A148,Backlog[Requirement ID],0))),"",INDEX(Backlog[Jira Link],MATCH($A148,Backlog[Requirement ID],0))),"")</f>
        <v/>
      </c>
      <c r="E148" s="23">
        <f>IFERROR(IF(ISBLANK(INDEX(Backlog[Status],MATCH($A148,Backlog[Requirement ID],0))),"",INDEX(Backlog[Status],MATCH($A148,Backlog[Requirement ID],0))),"")</f>
        <v/>
      </c>
      <c r="F148" s="23">
        <f>IFERROR(IF(ISBLANK(INDEX(SprintPlanning[Sprint],MATCH($A148,SprintPlanning[Requirement ID],0))),"",INDEX(SprintPlanning[Sprint],MATCH($A148,SprintPlanning[Requirement ID],0))),"")</f>
        <v/>
      </c>
      <c r="G148" s="21" t="n"/>
      <c r="H148" s="38" t="n"/>
      <c r="I148" s="21" t="n"/>
      <c r="J148" s="23">
        <f>IFERROR(IF(ISBLANK(INDEX(Backlog[Priority],MATCH($A148,Backlog[Requirement ID],0))),"",INDEX(Backlog[Priority],MATCH($A148,Backlog[Requirement ID],0))),"")</f>
        <v/>
      </c>
      <c r="K148" s="21" t="n"/>
      <c r="L148" s="21" t="n"/>
    </row>
    <row r="149" ht="15" customHeight="1">
      <c r="A149" s="21" t="inlineStr">
        <is>
          <t>NEW-0307</t>
        </is>
      </c>
      <c r="B149" s="23">
        <f>IFERROR(IF(ISBLANK(INDEX(Backlog[Requirement Name],MATCH($A149,Backlog[Requirement ID],0))),"",INDEX(Backlog[Requirement Name],MATCH($A149,Backlog[Requirement ID],0))),"")</f>
        <v/>
      </c>
      <c r="C149" s="23">
        <f>IFERROR(IF(ISBLANK(INDEX(Backlog[Stream],MATCH($A149,Backlog[Requirement ID],0))),"",INDEX(Backlog[Stream],MATCH($A149,Backlog[Requirement ID],0))),"")</f>
        <v/>
      </c>
      <c r="D149" s="23">
        <f>IFERROR(IF(ISBLANK(INDEX(Backlog[Jira Link],MATCH($A149,Backlog[Requirement ID],0))),"",INDEX(Backlog[Jira Link],MATCH($A149,Backlog[Requirement ID],0))),"")</f>
        <v/>
      </c>
      <c r="E149" s="23">
        <f>IFERROR(IF(ISBLANK(INDEX(Backlog[Status],MATCH($A149,Backlog[Requirement ID],0))),"",INDEX(Backlog[Status],MATCH($A149,Backlog[Requirement ID],0))),"")</f>
        <v/>
      </c>
      <c r="F149" s="23">
        <f>IFERROR(IF(ISBLANK(INDEX(SprintPlanning[Sprint],MATCH($A149,SprintPlanning[Requirement ID],0))),"",INDEX(SprintPlanning[Sprint],MATCH($A149,SprintPlanning[Requirement ID],0))),"")</f>
        <v/>
      </c>
      <c r="G149" s="21" t="n"/>
      <c r="H149" s="38" t="n"/>
      <c r="I149" s="21" t="n"/>
      <c r="J149" s="23">
        <f>IFERROR(IF(ISBLANK(INDEX(Backlog[Priority],MATCH($A149,Backlog[Requirement ID],0))),"",INDEX(Backlog[Priority],MATCH($A149,Backlog[Requirement ID],0))),"")</f>
        <v/>
      </c>
      <c r="K149" s="21" t="inlineStr">
        <is>
          <t>Ready for Development</t>
        </is>
      </c>
      <c r="L149" s="21" t="n"/>
    </row>
    <row r="150" ht="15" customHeight="1">
      <c r="A150" s="21" t="inlineStr">
        <is>
          <t>NEW-0308</t>
        </is>
      </c>
      <c r="B150" s="23">
        <f>IFERROR(IF(ISBLANK(INDEX(Backlog[Requirement Name],MATCH($A150,Backlog[Requirement ID],0))),"",INDEX(Backlog[Requirement Name],MATCH($A150,Backlog[Requirement ID],0))),"")</f>
        <v/>
      </c>
      <c r="C150" s="23">
        <f>IFERROR(IF(ISBLANK(INDEX(Backlog[Stream],MATCH($A150,Backlog[Requirement ID],0))),"",INDEX(Backlog[Stream],MATCH($A150,Backlog[Requirement ID],0))),"")</f>
        <v/>
      </c>
      <c r="D150" s="23">
        <f>IFERROR(IF(ISBLANK(INDEX(Backlog[Jira Link],MATCH($A150,Backlog[Requirement ID],0))),"",INDEX(Backlog[Jira Link],MATCH($A150,Backlog[Requirement ID],0))),"")</f>
        <v/>
      </c>
      <c r="E150" s="23">
        <f>IFERROR(IF(ISBLANK(INDEX(Backlog[Status],MATCH($A150,Backlog[Requirement ID],0))),"",INDEX(Backlog[Status],MATCH($A150,Backlog[Requirement ID],0))),"")</f>
        <v/>
      </c>
      <c r="F150" s="23">
        <f>IFERROR(IF(ISBLANK(INDEX(SprintPlanning[Sprint],MATCH($A150,SprintPlanning[Requirement ID],0))),"",INDEX(SprintPlanning[Sprint],MATCH($A150,SprintPlanning[Requirement ID],0))),"")</f>
        <v/>
      </c>
      <c r="G150" s="21" t="n"/>
      <c r="H150" s="38" t="n"/>
      <c r="I150" s="21" t="n"/>
      <c r="J150" s="23">
        <f>IFERROR(IF(ISBLANK(INDEX(Backlog[Priority],MATCH($A150,Backlog[Requirement ID],0))),"",INDEX(Backlog[Priority],MATCH($A150,Backlog[Requirement ID],0))),"")</f>
        <v/>
      </c>
      <c r="K150" s="21" t="n"/>
      <c r="L150" s="21" t="n"/>
    </row>
    <row r="151" ht="15" customHeight="1">
      <c r="A151" s="21" t="inlineStr">
        <is>
          <t>NEW-0309</t>
        </is>
      </c>
      <c r="B151" s="39">
        <f>IFERROR(IF(ISBLANK(INDEX(Backlog[Requirement Name],MATCH($A151,Backlog[Requirement ID],0))),"",INDEX(Backlog[Requirement Name],MATCH($A151,Backlog[Requirement ID],0))),"")</f>
        <v/>
      </c>
      <c r="C151" s="23">
        <f>IFERROR(IF(ISBLANK(INDEX(Backlog[Stream],MATCH($A151,Backlog[Requirement ID],0))),"",INDEX(Backlog[Stream],MATCH($A151,Backlog[Requirement ID],0))),"")</f>
        <v/>
      </c>
      <c r="D151" s="23">
        <f>IFERROR(IF(ISBLANK(INDEX(Backlog[Jira Link],MATCH($A151,Backlog[Requirement ID],0))),"",INDEX(Backlog[Jira Link],MATCH($A151,Backlog[Requirement ID],0))),"")</f>
        <v/>
      </c>
      <c r="E151" s="23">
        <f>IFERROR(IF(ISBLANK(INDEX(Backlog[Status],MATCH($A151,Backlog[Requirement ID],0))),"",INDEX(Backlog[Status],MATCH($A151,Backlog[Requirement ID],0))),"")</f>
        <v/>
      </c>
      <c r="F151" s="23">
        <f>IFERROR(IF(ISBLANK(INDEX(SprintPlanning[Sprint],MATCH($A151,SprintPlanning[Requirement ID],0))),"",INDEX(SprintPlanning[Sprint],MATCH($A151,SprintPlanning[Requirement ID],0))),"")</f>
        <v/>
      </c>
      <c r="G151" s="21" t="n"/>
      <c r="H151" s="38" t="n"/>
      <c r="I151" s="21" t="n"/>
      <c r="J151" s="23">
        <f>IFERROR(IF(ISBLANK(INDEX(Backlog[Priority],MATCH($A151,Backlog[Requirement ID],0))),"",INDEX(Backlog[Priority],MATCH($A151,Backlog[Requirement ID],0))),"")</f>
        <v/>
      </c>
      <c r="K151" s="21" t="n"/>
      <c r="L151" s="21" t="n"/>
    </row>
    <row r="152" ht="15" customHeight="1">
      <c r="A152" s="21" t="inlineStr">
        <is>
          <t>NEW-0310</t>
        </is>
      </c>
      <c r="B152" s="39">
        <f>IFERROR(IF(ISBLANK(INDEX(Backlog[Requirement Name],MATCH($A152,Backlog[Requirement ID],0))),"",INDEX(Backlog[Requirement Name],MATCH($A152,Backlog[Requirement ID],0))),"")</f>
        <v/>
      </c>
      <c r="C152" s="23">
        <f>IFERROR(IF(ISBLANK(INDEX(Backlog[Stream],MATCH($A152,Backlog[Requirement ID],0))),"",INDEX(Backlog[Stream],MATCH($A152,Backlog[Requirement ID],0))),"")</f>
        <v/>
      </c>
      <c r="D152" s="23">
        <f>IFERROR(IF(ISBLANK(INDEX(Backlog[Jira Link],MATCH($A152,Backlog[Requirement ID],0))),"",INDEX(Backlog[Jira Link],MATCH($A152,Backlog[Requirement ID],0))),"")</f>
        <v/>
      </c>
      <c r="E152" s="23">
        <f>IFERROR(IF(ISBLANK(INDEX(Backlog[Status],MATCH($A152,Backlog[Requirement ID],0))),"",INDEX(Backlog[Status],MATCH($A152,Backlog[Requirement ID],0))),"")</f>
        <v/>
      </c>
      <c r="F152" s="23">
        <f>IFERROR(IF(ISBLANK(INDEX(SprintPlanning[Sprint],MATCH($A152,SprintPlanning[Requirement ID],0))),"",INDEX(SprintPlanning[Sprint],MATCH($A152,SprintPlanning[Requirement ID],0))),"")</f>
        <v/>
      </c>
      <c r="G152" s="21" t="n"/>
      <c r="H152" s="38" t="n"/>
      <c r="I152" s="21" t="n"/>
      <c r="J152" s="23">
        <f>IFERROR(IF(ISBLANK(INDEX(Backlog[Priority],MATCH($A152,Backlog[Requirement ID],0))),"",INDEX(Backlog[Priority],MATCH($A152,Backlog[Requirement ID],0))),"")</f>
        <v/>
      </c>
      <c r="K152" s="21" t="inlineStr">
        <is>
          <t>Ready for Development</t>
        </is>
      </c>
      <c r="L152" s="21" t="n"/>
    </row>
    <row r="153" ht="15" customHeight="1">
      <c r="A153" s="21" t="inlineStr">
        <is>
          <t>NEW-0312</t>
        </is>
      </c>
      <c r="B153" s="23">
        <f>IFERROR(IF(ISBLANK(INDEX(Backlog[Requirement Name],MATCH($A153,Backlog[Requirement ID],0))),"",INDEX(Backlog[Requirement Name],MATCH($A153,Backlog[Requirement ID],0))),"")</f>
        <v/>
      </c>
      <c r="C153" s="23">
        <f>IFERROR(IF(ISBLANK(INDEX(Backlog[Stream],MATCH($A153,Backlog[Requirement ID],0))),"",INDEX(Backlog[Stream],MATCH($A153,Backlog[Requirement ID],0))),"")</f>
        <v/>
      </c>
      <c r="D153" s="23">
        <f>IFERROR(IF(ISBLANK(INDEX(Backlog[Jira Link],MATCH($A153,Backlog[Requirement ID],0))),"",INDEX(Backlog[Jira Link],MATCH($A153,Backlog[Requirement ID],0))),"")</f>
        <v/>
      </c>
      <c r="E153" s="23">
        <f>IFERROR(IF(ISBLANK(INDEX(Backlog[Status],MATCH($A153,Backlog[Requirement ID],0))),"",INDEX(Backlog[Status],MATCH($A153,Backlog[Requirement ID],0))),"")</f>
        <v/>
      </c>
      <c r="F153" s="23">
        <f>IFERROR(IF(ISBLANK(INDEX(SprintPlanning[Sprint],MATCH($A153,SprintPlanning[Requirement ID],0))),"",INDEX(SprintPlanning[Sprint],MATCH($A153,SprintPlanning[Requirement ID],0))),"")</f>
        <v/>
      </c>
      <c r="G153" s="21" t="n"/>
      <c r="H153" s="38" t="n"/>
      <c r="I153" s="21" t="n"/>
      <c r="J153" s="23">
        <f>IFERROR(IF(ISBLANK(INDEX(Backlog[Priority],MATCH($A153,Backlog[Requirement ID],0))),"",INDEX(Backlog[Priority],MATCH($A153,Backlog[Requirement ID],0))),"")</f>
        <v/>
      </c>
      <c r="K153" s="21" t="inlineStr">
        <is>
          <t>Ready for Development</t>
        </is>
      </c>
      <c r="L153" s="21" t="n"/>
    </row>
    <row r="154" ht="15" customHeight="1">
      <c r="A154" s="21" t="inlineStr">
        <is>
          <t>NEW-0313</t>
        </is>
      </c>
      <c r="B154" s="23">
        <f>IFERROR(IF(ISBLANK(INDEX(Backlog[Requirement Name],MATCH($A154,Backlog[Requirement ID],0))),"",INDEX(Backlog[Requirement Name],MATCH($A154,Backlog[Requirement ID],0))),"")</f>
        <v/>
      </c>
      <c r="C154" s="23">
        <f>IFERROR(IF(ISBLANK(INDEX(Backlog[Stream],MATCH($A154,Backlog[Requirement ID],0))),"",INDEX(Backlog[Stream],MATCH($A154,Backlog[Requirement ID],0))),"")</f>
        <v/>
      </c>
      <c r="D154" s="23">
        <f>IFERROR(IF(ISBLANK(INDEX(Backlog[Jira Link],MATCH($A154,Backlog[Requirement ID],0))),"",INDEX(Backlog[Jira Link],MATCH($A154,Backlog[Requirement ID],0))),"")</f>
        <v/>
      </c>
      <c r="E154" s="23">
        <f>IFERROR(IF(ISBLANK(INDEX(Backlog[Status],MATCH($A154,Backlog[Requirement ID],0))),"",INDEX(Backlog[Status],MATCH($A154,Backlog[Requirement ID],0))),"")</f>
        <v/>
      </c>
      <c r="F154" s="23">
        <f>IFERROR(IF(ISBLANK(INDEX(SprintPlanning[Sprint],MATCH($A154,SprintPlanning[Requirement ID],0))),"",INDEX(SprintPlanning[Sprint],MATCH($A154,SprintPlanning[Requirement ID],0))),"")</f>
        <v/>
      </c>
      <c r="G154" s="21" t="n"/>
      <c r="H154" s="38" t="n"/>
      <c r="I154" s="21" t="n"/>
      <c r="J154" s="23">
        <f>IFERROR(IF(ISBLANK(INDEX(Backlog[Priority],MATCH($A154,Backlog[Requirement ID],0))),"",INDEX(Backlog[Priority],MATCH($A154,Backlog[Requirement ID],0))),"")</f>
        <v/>
      </c>
      <c r="K154" s="21" t="inlineStr">
        <is>
          <t>Ready for Development</t>
        </is>
      </c>
      <c r="L154" s="21" t="n"/>
    </row>
    <row r="155" ht="15" customHeight="1">
      <c r="A155" s="21" t="inlineStr">
        <is>
          <t>NEW-0315</t>
        </is>
      </c>
      <c r="B155" s="23">
        <f>IFERROR(IF(ISBLANK(INDEX(Backlog[Requirement Name],MATCH($A155,Backlog[Requirement ID],0))),"",INDEX(Backlog[Requirement Name],MATCH($A155,Backlog[Requirement ID],0))),"")</f>
        <v/>
      </c>
      <c r="C155" s="23">
        <f>IFERROR(IF(ISBLANK(INDEX(Backlog[Stream],MATCH($A155,Backlog[Requirement ID],0))),"",INDEX(Backlog[Stream],MATCH($A155,Backlog[Requirement ID],0))),"")</f>
        <v/>
      </c>
      <c r="D155" s="23">
        <f>IFERROR(IF(ISBLANK(INDEX(Backlog[Jira Link],MATCH($A155,Backlog[Requirement ID],0))),"",INDEX(Backlog[Jira Link],MATCH($A155,Backlog[Requirement ID],0))),"")</f>
        <v/>
      </c>
      <c r="E155" s="23">
        <f>IFERROR(IF(ISBLANK(INDEX(Backlog[Status],MATCH($A155,Backlog[Requirement ID],0))),"",INDEX(Backlog[Status],MATCH($A155,Backlog[Requirement ID],0))),"")</f>
        <v/>
      </c>
      <c r="F155" s="23">
        <f>IFERROR(IF(ISBLANK(INDEX(SprintPlanning[Sprint],MATCH($A155,SprintPlanning[Requirement ID],0))),"",INDEX(SprintPlanning[Sprint],MATCH($A155,SprintPlanning[Requirement ID],0))),"")</f>
        <v/>
      </c>
      <c r="G155" s="21" t="n"/>
      <c r="H155" s="38" t="n"/>
      <c r="I155" s="21" t="n"/>
      <c r="J155" s="23">
        <f>IFERROR(IF(ISBLANK(INDEX(Backlog[Priority],MATCH($A155,Backlog[Requirement ID],0))),"",INDEX(Backlog[Priority],MATCH($A155,Backlog[Requirement ID],0))),"")</f>
        <v/>
      </c>
      <c r="K155" s="21" t="inlineStr">
        <is>
          <t>Pending Solution</t>
        </is>
      </c>
      <c r="L155" s="21" t="n"/>
    </row>
    <row r="156" ht="15" customHeight="1">
      <c r="A156" s="21" t="inlineStr">
        <is>
          <t>NEW-0316</t>
        </is>
      </c>
      <c r="B156" s="23">
        <f>IFERROR(IF(ISBLANK(INDEX(Backlog[Requirement Name],MATCH($A156,Backlog[Requirement ID],0))),"",INDEX(Backlog[Requirement Name],MATCH($A156,Backlog[Requirement ID],0))),"")</f>
        <v/>
      </c>
      <c r="C156" s="23">
        <f>IFERROR(IF(ISBLANK(INDEX(Backlog[Stream],MATCH($A156,Backlog[Requirement ID],0))),"",INDEX(Backlog[Stream],MATCH($A156,Backlog[Requirement ID],0))),"")</f>
        <v/>
      </c>
      <c r="D156" s="23">
        <f>IFERROR(IF(ISBLANK(INDEX(Backlog[Jira Link],MATCH($A156,Backlog[Requirement ID],0))),"",INDEX(Backlog[Jira Link],MATCH($A156,Backlog[Requirement ID],0))),"")</f>
        <v/>
      </c>
      <c r="E156" s="23">
        <f>IFERROR(IF(ISBLANK(INDEX(Backlog[Status],MATCH($A156,Backlog[Requirement ID],0))),"",INDEX(Backlog[Status],MATCH($A156,Backlog[Requirement ID],0))),"")</f>
        <v/>
      </c>
      <c r="F156" s="23">
        <f>IFERROR(IF(ISBLANK(INDEX(SprintPlanning[Sprint],MATCH($A156,SprintPlanning[Requirement ID],0))),"",INDEX(SprintPlanning[Sprint],MATCH($A156,SprintPlanning[Requirement ID],0))),"")</f>
        <v/>
      </c>
      <c r="G156" s="21" t="n"/>
      <c r="H156" s="38" t="n"/>
      <c r="I156" s="21" t="n"/>
      <c r="J156" s="23">
        <f>IFERROR(IF(ISBLANK(INDEX(Backlog[Priority],MATCH($A156,Backlog[Requirement ID],0))),"",INDEX(Backlog[Priority],MATCH($A156,Backlog[Requirement ID],0))),"")</f>
        <v/>
      </c>
      <c r="K156" s="21" t="inlineStr">
        <is>
          <t>Pending Solution</t>
        </is>
      </c>
      <c r="L156" s="21" t="n"/>
    </row>
    <row r="157" ht="15" customHeight="1">
      <c r="A157" s="21" t="inlineStr">
        <is>
          <t>NEW-0319</t>
        </is>
      </c>
      <c r="B157" s="23">
        <f>IFERROR(IF(ISBLANK(INDEX(Backlog[Requirement Name],MATCH($A157,Backlog[Requirement ID],0))),"",INDEX(Backlog[Requirement Name],MATCH($A157,Backlog[Requirement ID],0))),"")</f>
        <v/>
      </c>
      <c r="C157" s="23">
        <f>IFERROR(IF(ISBLANK(INDEX(Backlog[Stream],MATCH($A157,Backlog[Requirement ID],0))),"",INDEX(Backlog[Stream],MATCH($A157,Backlog[Requirement ID],0))),"")</f>
        <v/>
      </c>
      <c r="D157" s="23">
        <f>IFERROR(IF(ISBLANK(INDEX(Backlog[Jira Link],MATCH($A157,Backlog[Requirement ID],0))),"",INDEX(Backlog[Jira Link],MATCH($A157,Backlog[Requirement ID],0))),"")</f>
        <v/>
      </c>
      <c r="E157" s="23">
        <f>IFERROR(IF(ISBLANK(INDEX(Backlog[Status],MATCH($A157,Backlog[Requirement ID],0))),"",INDEX(Backlog[Status],MATCH($A157,Backlog[Requirement ID],0))),"")</f>
        <v/>
      </c>
      <c r="F157" s="23">
        <f>IFERROR(IF(ISBLANK(INDEX(SprintPlanning[Sprint],MATCH($A157,SprintPlanning[Requirement ID],0))),"",INDEX(SprintPlanning[Sprint],MATCH($A157,SprintPlanning[Requirement ID],0))),"")</f>
        <v/>
      </c>
      <c r="G157" s="21" t="n"/>
      <c r="H157" s="38" t="n"/>
      <c r="I157" s="21" t="n"/>
      <c r="J157" s="23">
        <f>IFERROR(IF(ISBLANK(INDEX(Backlog[Priority],MATCH($A157,Backlog[Requirement ID],0))),"",INDEX(Backlog[Priority],MATCH($A157,Backlog[Requirement ID],0))),"")</f>
        <v/>
      </c>
      <c r="K157" s="21" t="n"/>
      <c r="L157" s="21" t="n"/>
    </row>
    <row r="158" ht="15" customHeight="1">
      <c r="A158" s="21" t="inlineStr">
        <is>
          <t>NEW-0322</t>
        </is>
      </c>
      <c r="B158" s="23">
        <f>IFERROR(IF(ISBLANK(INDEX(Backlog[Requirement Name],MATCH($A158,Backlog[Requirement ID],0))),"",INDEX(Backlog[Requirement Name],MATCH($A158,Backlog[Requirement ID],0))),"")</f>
        <v/>
      </c>
      <c r="C158" s="23">
        <f>IFERROR(IF(ISBLANK(INDEX(Backlog[Stream],MATCH($A158,Backlog[Requirement ID],0))),"",INDEX(Backlog[Stream],MATCH($A158,Backlog[Requirement ID],0))),"")</f>
        <v/>
      </c>
      <c r="D158" s="23">
        <f>IFERROR(IF(ISBLANK(INDEX(Backlog[Jira Link],MATCH($A158,Backlog[Requirement ID],0))),"",INDEX(Backlog[Jira Link],MATCH($A158,Backlog[Requirement ID],0))),"")</f>
        <v/>
      </c>
      <c r="E158" s="23">
        <f>IFERROR(IF(ISBLANK(INDEX(Backlog[Status],MATCH($A158,Backlog[Requirement ID],0))),"",INDEX(Backlog[Status],MATCH($A158,Backlog[Requirement ID],0))),"")</f>
        <v/>
      </c>
      <c r="F158" s="23">
        <f>IFERROR(IF(ISBLANK(INDEX(SprintPlanning[Sprint],MATCH($A158,SprintPlanning[Requirement ID],0))),"",INDEX(SprintPlanning[Sprint],MATCH($A158,SprintPlanning[Requirement ID],0))),"")</f>
        <v/>
      </c>
      <c r="G158" s="21" t="n"/>
      <c r="H158" s="38" t="n"/>
      <c r="I158" s="21" t="n"/>
      <c r="J158" s="23">
        <f>IFERROR(IF(ISBLANK(INDEX(Backlog[Priority],MATCH($A158,Backlog[Requirement ID],0))),"",INDEX(Backlog[Priority],MATCH($A158,Backlog[Requirement ID],0))),"")</f>
        <v/>
      </c>
      <c r="K158" s="21" t="inlineStr">
        <is>
          <t>Pending Design</t>
        </is>
      </c>
      <c r="L158" s="21" t="n"/>
    </row>
    <row r="159" ht="15" customHeight="1">
      <c r="A159" s="21" t="inlineStr">
        <is>
          <t>NEW-0324</t>
        </is>
      </c>
      <c r="B159" s="23">
        <f>IFERROR(IF(ISBLANK(INDEX(Backlog[Requirement Name],MATCH($A159,Backlog[Requirement ID],0))),"",INDEX(Backlog[Requirement Name],MATCH($A159,Backlog[Requirement ID],0))),"")</f>
        <v/>
      </c>
      <c r="C159" s="23">
        <f>IFERROR(IF(ISBLANK(INDEX(Backlog[Stream],MATCH($A159,Backlog[Requirement ID],0))),"",INDEX(Backlog[Stream],MATCH($A159,Backlog[Requirement ID],0))),"")</f>
        <v/>
      </c>
      <c r="D159" s="23">
        <f>IFERROR(IF(ISBLANK(INDEX(Backlog[Jira Link],MATCH($A159,Backlog[Requirement ID],0))),"",INDEX(Backlog[Jira Link],MATCH($A159,Backlog[Requirement ID],0))),"")</f>
        <v/>
      </c>
      <c r="E159" s="23">
        <f>IFERROR(IF(ISBLANK(INDEX(Backlog[Status],MATCH($A159,Backlog[Requirement ID],0))),"",INDEX(Backlog[Status],MATCH($A159,Backlog[Requirement ID],0))),"")</f>
        <v/>
      </c>
      <c r="F159" s="23">
        <f>IFERROR(IF(ISBLANK(INDEX(SprintPlanning[Sprint],MATCH($A159,SprintPlanning[Requirement ID],0))),"",INDEX(SprintPlanning[Sprint],MATCH($A159,SprintPlanning[Requirement ID],0))),"")</f>
        <v/>
      </c>
      <c r="G159" s="21" t="n"/>
      <c r="H159" s="38" t="n"/>
      <c r="I159" s="21" t="n"/>
      <c r="J159" s="23">
        <f>IFERROR(IF(ISBLANK(INDEX(Backlog[Priority],MATCH($A159,Backlog[Requirement ID],0))),"",INDEX(Backlog[Priority],MATCH($A159,Backlog[Requirement ID],0))),"")</f>
        <v/>
      </c>
      <c r="K159" s="21" t="inlineStr">
        <is>
          <t>Pending Solution</t>
        </is>
      </c>
      <c r="L159" s="21" t="n"/>
    </row>
    <row r="160" ht="15" customHeight="1">
      <c r="A160" s="21" t="inlineStr">
        <is>
          <t>NEW-0329</t>
        </is>
      </c>
      <c r="B160" s="23">
        <f>IFERROR(IF(ISBLANK(INDEX(Backlog[Requirement Name],MATCH($A160,Backlog[Requirement ID],0))),"",INDEX(Backlog[Requirement Name],MATCH($A160,Backlog[Requirement ID],0))),"")</f>
        <v/>
      </c>
      <c r="C160" s="23">
        <f>IFERROR(IF(ISBLANK(INDEX(Backlog[Stream],MATCH($A160,Backlog[Requirement ID],0))),"",INDEX(Backlog[Stream],MATCH($A160,Backlog[Requirement ID],0))),"")</f>
        <v/>
      </c>
      <c r="D160" s="23">
        <f>IFERROR(IF(ISBLANK(INDEX(Backlog[Jira Link],MATCH($A160,Backlog[Requirement ID],0))),"",INDEX(Backlog[Jira Link],MATCH($A160,Backlog[Requirement ID],0))),"")</f>
        <v/>
      </c>
      <c r="E160" s="23">
        <f>IFERROR(IF(ISBLANK(INDEX(Backlog[Status],MATCH($A160,Backlog[Requirement ID],0))),"",INDEX(Backlog[Status],MATCH($A160,Backlog[Requirement ID],0))),"")</f>
        <v/>
      </c>
      <c r="F160" s="23">
        <f>IFERROR(IF(ISBLANK(INDEX(SprintPlanning[Sprint],MATCH($A160,SprintPlanning[Requirement ID],0))),"",INDEX(SprintPlanning[Sprint],MATCH($A160,SprintPlanning[Requirement ID],0))),"")</f>
        <v/>
      </c>
      <c r="G160" s="21" t="n"/>
      <c r="H160" s="38" t="n"/>
      <c r="I160" s="21" t="n"/>
      <c r="J160" s="23">
        <f>IFERROR(IF(ISBLANK(INDEX(Backlog[Priority],MATCH($A160,Backlog[Requirement ID],0))),"",INDEX(Backlog[Priority],MATCH($A160,Backlog[Requirement ID],0))),"")</f>
        <v/>
      </c>
      <c r="K160" s="21" t="inlineStr">
        <is>
          <t>No Design Required</t>
        </is>
      </c>
      <c r="L160" s="21" t="n"/>
    </row>
    <row r="161" ht="15" customHeight="1">
      <c r="A161" s="21" t="inlineStr">
        <is>
          <t>NEW-0330</t>
        </is>
      </c>
      <c r="B161" s="39">
        <f>IFERROR(IF(ISBLANK(INDEX(Backlog[Requirement Name],MATCH($A161,Backlog[Requirement ID],0))),"",INDEX(Backlog[Requirement Name],MATCH($A161,Backlog[Requirement ID],0))),"")</f>
        <v/>
      </c>
      <c r="C161" s="23">
        <f>IFERROR(IF(ISBLANK(INDEX(Backlog[Stream],MATCH($A161,Backlog[Requirement ID],0))),"",INDEX(Backlog[Stream],MATCH($A161,Backlog[Requirement ID],0))),"")</f>
        <v/>
      </c>
      <c r="D161" s="23">
        <f>IFERROR(IF(ISBLANK(INDEX(Backlog[Jira Link],MATCH($A161,Backlog[Requirement ID],0))),"",INDEX(Backlog[Jira Link],MATCH($A161,Backlog[Requirement ID],0))),"")</f>
        <v/>
      </c>
      <c r="E161" s="23">
        <f>IFERROR(IF(ISBLANK(INDEX(Backlog[Status],MATCH($A161,Backlog[Requirement ID],0))),"",INDEX(Backlog[Status],MATCH($A161,Backlog[Requirement ID],0))),"")</f>
        <v/>
      </c>
      <c r="F161" s="23">
        <f>IFERROR(IF(ISBLANK(INDEX(SprintPlanning[Sprint],MATCH($A161,SprintPlanning[Requirement ID],0))),"",INDEX(SprintPlanning[Sprint],MATCH($A161,SprintPlanning[Requirement ID],0))),"")</f>
        <v/>
      </c>
      <c r="G161" s="21" t="n"/>
      <c r="H161" s="38" t="n"/>
      <c r="I161" s="21" t="n"/>
      <c r="J161" s="23">
        <f>IFERROR(IF(ISBLANK(INDEX(Backlog[Priority],MATCH($A161,Backlog[Requirement ID],0))),"",INDEX(Backlog[Priority],MATCH($A161,Backlog[Requirement ID],0))),"")</f>
        <v/>
      </c>
      <c r="K161" s="21" t="inlineStr">
        <is>
          <t>No Design Required</t>
        </is>
      </c>
      <c r="L161" s="21" t="n"/>
    </row>
    <row r="162" ht="15" customHeight="1">
      <c r="A162" s="21" t="inlineStr">
        <is>
          <t>NEW-0331</t>
        </is>
      </c>
      <c r="B162" s="23">
        <f>IFERROR(IF(ISBLANK(INDEX(Backlog[Requirement Name],MATCH($A162,Backlog[Requirement ID],0))),"",INDEX(Backlog[Requirement Name],MATCH($A162,Backlog[Requirement ID],0))),"")</f>
        <v/>
      </c>
      <c r="C162" s="23">
        <f>IFERROR(IF(ISBLANK(INDEX(Backlog[Stream],MATCH($A162,Backlog[Requirement ID],0))),"",INDEX(Backlog[Stream],MATCH($A162,Backlog[Requirement ID],0))),"")</f>
        <v/>
      </c>
      <c r="D162" s="23">
        <f>IFERROR(IF(ISBLANK(INDEX(Backlog[Jira Link],MATCH($A162,Backlog[Requirement ID],0))),"",INDEX(Backlog[Jira Link],MATCH($A162,Backlog[Requirement ID],0))),"")</f>
        <v/>
      </c>
      <c r="E162" s="23">
        <f>IFERROR(IF(ISBLANK(INDEX(Backlog[Status],MATCH($A162,Backlog[Requirement ID],0))),"",INDEX(Backlog[Status],MATCH($A162,Backlog[Requirement ID],0))),"")</f>
        <v/>
      </c>
      <c r="F162" s="23">
        <f>IFERROR(IF(ISBLANK(INDEX(SprintPlanning[Sprint],MATCH($A162,SprintPlanning[Requirement ID],0))),"",INDEX(SprintPlanning[Sprint],MATCH($A162,SprintPlanning[Requirement ID],0))),"")</f>
        <v/>
      </c>
      <c r="G162" s="21" t="n"/>
      <c r="H162" s="38" t="n"/>
      <c r="I162" s="21" t="n"/>
      <c r="J162" s="23">
        <f>IFERROR(IF(ISBLANK(INDEX(Backlog[Priority],MATCH($A162,Backlog[Requirement ID],0))),"",INDEX(Backlog[Priority],MATCH($A162,Backlog[Requirement ID],0))),"")</f>
        <v/>
      </c>
      <c r="K162" s="21" t="n"/>
      <c r="L162" s="21" t="n"/>
    </row>
    <row r="163" ht="15" customHeight="1">
      <c r="A163" s="21" t="inlineStr">
        <is>
          <t>NEW-0336</t>
        </is>
      </c>
      <c r="B163" s="39">
        <f>IFERROR(IF(ISBLANK(INDEX(Backlog[Requirement Name],MATCH($A163,Backlog[Requirement ID],0))),"",INDEX(Backlog[Requirement Name],MATCH($A163,Backlog[Requirement ID],0))),"")</f>
        <v/>
      </c>
      <c r="C163" s="23">
        <f>IFERROR(IF(ISBLANK(INDEX(Backlog[Stream],MATCH($A163,Backlog[Requirement ID],0))),"",INDEX(Backlog[Stream],MATCH($A163,Backlog[Requirement ID],0))),"")</f>
        <v/>
      </c>
      <c r="D163" s="23">
        <f>IFERROR(IF(ISBLANK(INDEX(Backlog[Jira Link],MATCH($A163,Backlog[Requirement ID],0))),"",INDEX(Backlog[Jira Link],MATCH($A163,Backlog[Requirement ID],0))),"")</f>
        <v/>
      </c>
      <c r="E163" s="23">
        <f>IFERROR(IF(ISBLANK(INDEX(Backlog[Status],MATCH($A163,Backlog[Requirement ID],0))),"",INDEX(Backlog[Status],MATCH($A163,Backlog[Requirement ID],0))),"")</f>
        <v/>
      </c>
      <c r="F163" s="23">
        <f>IFERROR(IF(ISBLANK(INDEX(SprintPlanning[Sprint],MATCH($A163,SprintPlanning[Requirement ID],0))),"",INDEX(SprintPlanning[Sprint],MATCH($A163,SprintPlanning[Requirement ID],0))),"")</f>
        <v/>
      </c>
      <c r="G163" s="21" t="n"/>
      <c r="H163" s="38" t="n"/>
      <c r="I163" s="21" t="n"/>
      <c r="J163" s="23">
        <f>IFERROR(IF(ISBLANK(INDEX(Backlog[Priority],MATCH($A163,Backlog[Requirement ID],0))),"",INDEX(Backlog[Priority],MATCH($A163,Backlog[Requirement ID],0))),"")</f>
        <v/>
      </c>
      <c r="K163" s="21" t="n"/>
      <c r="L163" s="21" t="n"/>
    </row>
    <row r="164" ht="15" customHeight="1">
      <c r="A164" s="21" t="inlineStr">
        <is>
          <t>NEW-0337</t>
        </is>
      </c>
      <c r="B164" s="23">
        <f>IFERROR(IF(ISBLANK(INDEX(Backlog[Requirement Name],MATCH($A164,Backlog[Requirement ID],0))),"",INDEX(Backlog[Requirement Name],MATCH($A164,Backlog[Requirement ID],0))),"")</f>
        <v/>
      </c>
      <c r="C164" s="23">
        <f>IFERROR(IF(ISBLANK(INDEX(Backlog[Stream],MATCH($A164,Backlog[Requirement ID],0))),"",INDEX(Backlog[Stream],MATCH($A164,Backlog[Requirement ID],0))),"")</f>
        <v/>
      </c>
      <c r="D164" s="23">
        <f>IFERROR(IF(ISBLANK(INDEX(Backlog[Jira Link],MATCH($A164,Backlog[Requirement ID],0))),"",INDEX(Backlog[Jira Link],MATCH($A164,Backlog[Requirement ID],0))),"")</f>
        <v/>
      </c>
      <c r="E164" s="23">
        <f>IFERROR(IF(ISBLANK(INDEX(Backlog[Status],MATCH($A164,Backlog[Requirement ID],0))),"",INDEX(Backlog[Status],MATCH($A164,Backlog[Requirement ID],0))),"")</f>
        <v/>
      </c>
      <c r="F164" s="23">
        <f>IFERROR(IF(ISBLANK(INDEX(SprintPlanning[Sprint],MATCH($A164,SprintPlanning[Requirement ID],0))),"",INDEX(SprintPlanning[Sprint],MATCH($A164,SprintPlanning[Requirement ID],0))),"")</f>
        <v/>
      </c>
      <c r="G164" s="21" t="n"/>
      <c r="H164" s="38" t="n"/>
      <c r="I164" s="21" t="n"/>
      <c r="J164" s="23">
        <f>IFERROR(IF(ISBLANK(INDEX(Backlog[Priority],MATCH($A164,Backlog[Requirement ID],0))),"",INDEX(Backlog[Priority],MATCH($A164,Backlog[Requirement ID],0))),"")</f>
        <v/>
      </c>
      <c r="K164" s="21" t="n"/>
      <c r="L164" s="21" t="n"/>
    </row>
    <row r="165" ht="15" customHeight="1">
      <c r="A165" s="21" t="inlineStr">
        <is>
          <t>NEW-0338</t>
        </is>
      </c>
      <c r="B165" s="39">
        <f>IFERROR(IF(ISBLANK(INDEX(Backlog[Requirement Name],MATCH($A165,Backlog[Requirement ID],0))),"",INDEX(Backlog[Requirement Name],MATCH($A165,Backlog[Requirement ID],0))),"")</f>
        <v/>
      </c>
      <c r="C165" s="23">
        <f>IFERROR(IF(ISBLANK(INDEX(Backlog[Stream],MATCH($A165,Backlog[Requirement ID],0))),"",INDEX(Backlog[Stream],MATCH($A165,Backlog[Requirement ID],0))),"")</f>
        <v/>
      </c>
      <c r="D165" s="23">
        <f>IFERROR(IF(ISBLANK(INDEX(Backlog[Jira Link],MATCH($A165,Backlog[Requirement ID],0))),"",INDEX(Backlog[Jira Link],MATCH($A165,Backlog[Requirement ID],0))),"")</f>
        <v/>
      </c>
      <c r="E165" s="23">
        <f>IFERROR(IF(ISBLANK(INDEX(Backlog[Status],MATCH($A165,Backlog[Requirement ID],0))),"",INDEX(Backlog[Status],MATCH($A165,Backlog[Requirement ID],0))),"")</f>
        <v/>
      </c>
      <c r="F165" s="23">
        <f>IFERROR(IF(ISBLANK(INDEX(SprintPlanning[Sprint],MATCH($A165,SprintPlanning[Requirement ID],0))),"",INDEX(SprintPlanning[Sprint],MATCH($A165,SprintPlanning[Requirement ID],0))),"")</f>
        <v/>
      </c>
      <c r="G165" s="21" t="n"/>
      <c r="H165" s="38" t="n"/>
      <c r="I165" s="21" t="n"/>
      <c r="J165" s="23">
        <f>IFERROR(IF(ISBLANK(INDEX(Backlog[Priority],MATCH($A165,Backlog[Requirement ID],0))),"",INDEX(Backlog[Priority],MATCH($A165,Backlog[Requirement ID],0))),"")</f>
        <v/>
      </c>
      <c r="K165" s="21" t="n"/>
      <c r="L165" s="21" t="n"/>
    </row>
    <row r="166" ht="15" customHeight="1">
      <c r="A166" s="21" t="inlineStr">
        <is>
          <t>NEW-0339</t>
        </is>
      </c>
      <c r="B166" s="23">
        <f>IFERROR(IF(ISBLANK(INDEX(Backlog[Requirement Name],MATCH($A166,Backlog[Requirement ID],0))),"",INDEX(Backlog[Requirement Name],MATCH($A166,Backlog[Requirement ID],0))),"")</f>
        <v/>
      </c>
      <c r="C166" s="23">
        <f>IFERROR(IF(ISBLANK(INDEX(Backlog[Stream],MATCH($A166,Backlog[Requirement ID],0))),"",INDEX(Backlog[Stream],MATCH($A166,Backlog[Requirement ID],0))),"")</f>
        <v/>
      </c>
      <c r="D166" s="23">
        <f>IFERROR(IF(ISBLANK(INDEX(Backlog[Jira Link],MATCH($A166,Backlog[Requirement ID],0))),"",INDEX(Backlog[Jira Link],MATCH($A166,Backlog[Requirement ID],0))),"")</f>
        <v/>
      </c>
      <c r="E166" s="23">
        <f>IFERROR(IF(ISBLANK(INDEX(Backlog[Status],MATCH($A166,Backlog[Requirement ID],0))),"",INDEX(Backlog[Status],MATCH($A166,Backlog[Requirement ID],0))),"")</f>
        <v/>
      </c>
      <c r="F166" s="23">
        <f>IFERROR(IF(ISBLANK(INDEX(SprintPlanning[Sprint],MATCH($A166,SprintPlanning[Requirement ID],0))),"",INDEX(SprintPlanning[Sprint],MATCH($A166,SprintPlanning[Requirement ID],0))),"")</f>
        <v/>
      </c>
      <c r="G166" s="21" t="n"/>
      <c r="H166" s="38" t="n"/>
      <c r="I166" s="21" t="n"/>
      <c r="J166" s="23">
        <f>IFERROR(IF(ISBLANK(INDEX(Backlog[Priority],MATCH($A166,Backlog[Requirement ID],0))),"",INDEX(Backlog[Priority],MATCH($A166,Backlog[Requirement ID],0))),"")</f>
        <v/>
      </c>
      <c r="K166" s="21" t="inlineStr">
        <is>
          <t>Ready for Development</t>
        </is>
      </c>
      <c r="L166" s="21" t="n"/>
    </row>
    <row r="167" ht="15" customHeight="1">
      <c r="A167" s="21" t="inlineStr">
        <is>
          <t>NEW-0341</t>
        </is>
      </c>
      <c r="B167" s="23">
        <f>IFERROR(IF(ISBLANK(INDEX(Backlog[Requirement Name],MATCH($A167,Backlog[Requirement ID],0))),"",INDEX(Backlog[Requirement Name],MATCH($A167,Backlog[Requirement ID],0))),"")</f>
        <v/>
      </c>
      <c r="C167" s="23">
        <f>IFERROR(IF(ISBLANK(INDEX(Backlog[Stream],MATCH($A167,Backlog[Requirement ID],0))),"",INDEX(Backlog[Stream],MATCH($A167,Backlog[Requirement ID],0))),"")</f>
        <v/>
      </c>
      <c r="D167" s="23">
        <f>IFERROR(IF(ISBLANK(INDEX(Backlog[Jira Link],MATCH($A167,Backlog[Requirement ID],0))),"",INDEX(Backlog[Jira Link],MATCH($A167,Backlog[Requirement ID],0))),"")</f>
        <v/>
      </c>
      <c r="E167" s="23">
        <f>IFERROR(IF(ISBLANK(INDEX(Backlog[Status],MATCH($A167,Backlog[Requirement ID],0))),"",INDEX(Backlog[Status],MATCH($A167,Backlog[Requirement ID],0))),"")</f>
        <v/>
      </c>
      <c r="F167" s="23">
        <f>IFERROR(IF(ISBLANK(INDEX(SprintPlanning[Sprint],MATCH($A167,SprintPlanning[Requirement ID],0))),"",INDEX(SprintPlanning[Sprint],MATCH($A167,SprintPlanning[Requirement ID],0))),"")</f>
        <v/>
      </c>
      <c r="G167" s="21" t="n"/>
      <c r="H167" s="38" t="n"/>
      <c r="I167" s="21" t="n"/>
      <c r="J167" s="23">
        <f>IFERROR(IF(ISBLANK(INDEX(Backlog[Priority],MATCH($A167,Backlog[Requirement ID],0))),"",INDEX(Backlog[Priority],MATCH($A167,Backlog[Requirement ID],0))),"")</f>
        <v/>
      </c>
      <c r="K167" s="21" t="inlineStr">
        <is>
          <t>Ready for Development</t>
        </is>
      </c>
      <c r="L167" s="21" t="inlineStr">
        <is>
          <t>Yes</t>
        </is>
      </c>
    </row>
    <row r="168" ht="15" customHeight="1">
      <c r="A168" s="21" t="inlineStr">
        <is>
          <t>NEW-0342</t>
        </is>
      </c>
      <c r="B168" s="23">
        <f>IFERROR(IF(ISBLANK(INDEX(Backlog[Requirement Name],MATCH($A168,Backlog[Requirement ID],0))),"",INDEX(Backlog[Requirement Name],MATCH($A168,Backlog[Requirement ID],0))),"")</f>
        <v/>
      </c>
      <c r="C168" s="23">
        <f>IFERROR(IF(ISBLANK(INDEX(Backlog[Stream],MATCH($A168,Backlog[Requirement ID],0))),"",INDEX(Backlog[Stream],MATCH($A168,Backlog[Requirement ID],0))),"")</f>
        <v/>
      </c>
      <c r="D168" s="23">
        <f>IFERROR(IF(ISBLANK(INDEX(Backlog[Jira Link],MATCH($A168,Backlog[Requirement ID],0))),"",INDEX(Backlog[Jira Link],MATCH($A168,Backlog[Requirement ID],0))),"")</f>
        <v/>
      </c>
      <c r="E168" s="23">
        <f>IFERROR(IF(ISBLANK(INDEX(Backlog[Status],MATCH($A168,Backlog[Requirement ID],0))),"",INDEX(Backlog[Status],MATCH($A168,Backlog[Requirement ID],0))),"")</f>
        <v/>
      </c>
      <c r="F168" s="23">
        <f>IFERROR(IF(ISBLANK(INDEX(SprintPlanning[Sprint],MATCH($A168,SprintPlanning[Requirement ID],0))),"",INDEX(SprintPlanning[Sprint],MATCH($A168,SprintPlanning[Requirement ID],0))),"")</f>
        <v/>
      </c>
      <c r="G168" s="21" t="n"/>
      <c r="H168" s="38" t="n"/>
      <c r="I168" s="21" t="n"/>
      <c r="J168" s="23">
        <f>IFERROR(IF(ISBLANK(INDEX(Backlog[Priority],MATCH($A168,Backlog[Requirement ID],0))),"",INDEX(Backlog[Priority],MATCH($A168,Backlog[Requirement ID],0))),"")</f>
        <v/>
      </c>
      <c r="K168" s="21" t="inlineStr">
        <is>
          <t>Ready for Development</t>
        </is>
      </c>
      <c r="L168" s="21" t="inlineStr">
        <is>
          <t>Yes</t>
        </is>
      </c>
    </row>
    <row r="169" ht="15" customHeight="1">
      <c r="A169" s="21" t="inlineStr">
        <is>
          <t>NEW-0343</t>
        </is>
      </c>
      <c r="B169" s="23">
        <f>IFERROR(IF(ISBLANK(INDEX(Backlog[Requirement Name],MATCH($A169,Backlog[Requirement ID],0))),"",INDEX(Backlog[Requirement Name],MATCH($A169,Backlog[Requirement ID],0))),"")</f>
        <v/>
      </c>
      <c r="C169" s="23">
        <f>IFERROR(IF(ISBLANK(INDEX(Backlog[Stream],MATCH($A169,Backlog[Requirement ID],0))),"",INDEX(Backlog[Stream],MATCH($A169,Backlog[Requirement ID],0))),"")</f>
        <v/>
      </c>
      <c r="D169" s="23">
        <f>IFERROR(IF(ISBLANK(INDEX(Backlog[Jira Link],MATCH($A169,Backlog[Requirement ID],0))),"",INDEX(Backlog[Jira Link],MATCH($A169,Backlog[Requirement ID],0))),"")</f>
        <v/>
      </c>
      <c r="E169" s="23">
        <f>IFERROR(IF(ISBLANK(INDEX(Backlog[Status],MATCH($A169,Backlog[Requirement ID],0))),"",INDEX(Backlog[Status],MATCH($A169,Backlog[Requirement ID],0))),"")</f>
        <v/>
      </c>
      <c r="F169" s="23">
        <f>IFERROR(IF(ISBLANK(INDEX(SprintPlanning[Sprint],MATCH($A169,SprintPlanning[Requirement ID],0))),"",INDEX(SprintPlanning[Sprint],MATCH($A169,SprintPlanning[Requirement ID],0))),"")</f>
        <v/>
      </c>
      <c r="G169" s="21" t="n"/>
      <c r="H169" s="38" t="n"/>
      <c r="I169" s="21" t="n"/>
      <c r="J169" s="23">
        <f>IFERROR(IF(ISBLANK(INDEX(Backlog[Priority],MATCH($A169,Backlog[Requirement ID],0))),"",INDEX(Backlog[Priority],MATCH($A169,Backlog[Requirement ID],0))),"")</f>
        <v/>
      </c>
      <c r="K169" s="21" t="n"/>
      <c r="L169" s="21" t="n"/>
    </row>
    <row r="170" ht="15" customHeight="1">
      <c r="A170" s="21" t="inlineStr">
        <is>
          <t>NEW-0344</t>
        </is>
      </c>
      <c r="B170" s="23">
        <f>IFERROR(IF(ISBLANK(INDEX(Backlog[Requirement Name],MATCH($A170,Backlog[Requirement ID],0))),"",INDEX(Backlog[Requirement Name],MATCH($A170,Backlog[Requirement ID],0))),"")</f>
        <v/>
      </c>
      <c r="C170" s="23">
        <f>IFERROR(IF(ISBLANK(INDEX(Backlog[Stream],MATCH($A170,Backlog[Requirement ID],0))),"",INDEX(Backlog[Stream],MATCH($A170,Backlog[Requirement ID],0))),"")</f>
        <v/>
      </c>
      <c r="D170" s="23">
        <f>IFERROR(IF(ISBLANK(INDEX(Backlog[Jira Link],MATCH($A170,Backlog[Requirement ID],0))),"",INDEX(Backlog[Jira Link],MATCH($A170,Backlog[Requirement ID],0))),"")</f>
        <v/>
      </c>
      <c r="E170" s="23">
        <f>IFERROR(IF(ISBLANK(INDEX(Backlog[Status],MATCH($A170,Backlog[Requirement ID],0))),"",INDEX(Backlog[Status],MATCH($A170,Backlog[Requirement ID],0))),"")</f>
        <v/>
      </c>
      <c r="F170" s="23">
        <f>IFERROR(IF(ISBLANK(INDEX(SprintPlanning[Sprint],MATCH($A170,SprintPlanning[Requirement ID],0))),"",INDEX(SprintPlanning[Sprint],MATCH($A170,SprintPlanning[Requirement ID],0))),"")</f>
        <v/>
      </c>
      <c r="G170" s="21" t="n"/>
      <c r="H170" s="38" t="n"/>
      <c r="I170" s="21" t="n"/>
      <c r="J170" s="23">
        <f>IFERROR(IF(ISBLANK(INDEX(Backlog[Priority],MATCH($A170,Backlog[Requirement ID],0))),"",INDEX(Backlog[Priority],MATCH($A170,Backlog[Requirement ID],0))),"")</f>
        <v/>
      </c>
      <c r="K170" s="21" t="inlineStr">
        <is>
          <t>Pending Solution</t>
        </is>
      </c>
      <c r="L170" s="21" t="n"/>
    </row>
    <row r="171" ht="15" customHeight="1">
      <c r="A171" s="21" t="inlineStr">
        <is>
          <t>NEW-0345</t>
        </is>
      </c>
      <c r="B171" s="23">
        <f>IFERROR(IF(ISBLANK(INDEX(Backlog[Requirement Name],MATCH($A171,Backlog[Requirement ID],0))),"",INDEX(Backlog[Requirement Name],MATCH($A171,Backlog[Requirement ID],0))),"")</f>
        <v/>
      </c>
      <c r="C171" s="23">
        <f>IFERROR(IF(ISBLANK(INDEX(Backlog[Stream],MATCH($A171,Backlog[Requirement ID],0))),"",INDEX(Backlog[Stream],MATCH($A171,Backlog[Requirement ID],0))),"")</f>
        <v/>
      </c>
      <c r="D171" s="23">
        <f>IFERROR(IF(ISBLANK(INDEX(Backlog[Jira Link],MATCH($A171,Backlog[Requirement ID],0))),"",INDEX(Backlog[Jira Link],MATCH($A171,Backlog[Requirement ID],0))),"")</f>
        <v/>
      </c>
      <c r="E171" s="23">
        <f>IFERROR(IF(ISBLANK(INDEX(Backlog[Status],MATCH($A171,Backlog[Requirement ID],0))),"",INDEX(Backlog[Status],MATCH($A171,Backlog[Requirement ID],0))),"")</f>
        <v/>
      </c>
      <c r="F171" s="23">
        <f>IFERROR(IF(ISBLANK(INDEX(SprintPlanning[Sprint],MATCH($A171,SprintPlanning[Requirement ID],0))),"",INDEX(SprintPlanning[Sprint],MATCH($A171,SprintPlanning[Requirement ID],0))),"")</f>
        <v/>
      </c>
      <c r="G171" s="21" t="n"/>
      <c r="H171" s="38" t="n"/>
      <c r="I171" s="21" t="n"/>
      <c r="J171" s="23">
        <f>IFERROR(IF(ISBLANK(INDEX(Backlog[Priority],MATCH($A171,Backlog[Requirement ID],0))),"",INDEX(Backlog[Priority],MATCH($A171,Backlog[Requirement ID],0))),"")</f>
        <v/>
      </c>
      <c r="K171" s="21" t="inlineStr">
        <is>
          <t>Pending Solution</t>
        </is>
      </c>
      <c r="L171" s="21" t="n"/>
    </row>
    <row r="172" ht="15" customHeight="1">
      <c r="A172" s="21" t="inlineStr">
        <is>
          <t>NEW-0346</t>
        </is>
      </c>
      <c r="B172" s="23">
        <f>IFERROR(IF(ISBLANK(INDEX(Backlog[Requirement Name],MATCH($A172,Backlog[Requirement ID],0))),"",INDEX(Backlog[Requirement Name],MATCH($A172,Backlog[Requirement ID],0))),"")</f>
        <v/>
      </c>
      <c r="C172" s="23">
        <f>IFERROR(IF(ISBLANK(INDEX(Backlog[Stream],MATCH($A172,Backlog[Requirement ID],0))),"",INDEX(Backlog[Stream],MATCH($A172,Backlog[Requirement ID],0))),"")</f>
        <v/>
      </c>
      <c r="D172" s="23">
        <f>IFERROR(IF(ISBLANK(INDEX(Backlog[Jira Link],MATCH($A172,Backlog[Requirement ID],0))),"",INDEX(Backlog[Jira Link],MATCH($A172,Backlog[Requirement ID],0))),"")</f>
        <v/>
      </c>
      <c r="E172" s="23">
        <f>IFERROR(IF(ISBLANK(INDEX(Backlog[Status],MATCH($A172,Backlog[Requirement ID],0))),"",INDEX(Backlog[Status],MATCH($A172,Backlog[Requirement ID],0))),"")</f>
        <v/>
      </c>
      <c r="F172" s="23">
        <f>IFERROR(IF(ISBLANK(INDEX(SprintPlanning[Sprint],MATCH($A172,SprintPlanning[Requirement ID],0))),"",INDEX(SprintPlanning[Sprint],MATCH($A172,SprintPlanning[Requirement ID],0))),"")</f>
        <v/>
      </c>
      <c r="G172" s="21" t="n"/>
      <c r="H172" s="38" t="n"/>
      <c r="I172" s="21" t="n"/>
      <c r="J172" s="23">
        <f>IFERROR(IF(ISBLANK(INDEX(Backlog[Priority],MATCH($A172,Backlog[Requirement ID],0))),"",INDEX(Backlog[Priority],MATCH($A172,Backlog[Requirement ID],0))),"")</f>
        <v/>
      </c>
      <c r="K172" s="21" t="inlineStr">
        <is>
          <t>Pending Solution</t>
        </is>
      </c>
      <c r="L172" s="21" t="n"/>
    </row>
    <row r="173" ht="15" customHeight="1">
      <c r="A173" s="21" t="inlineStr">
        <is>
          <t>NEW-0350</t>
        </is>
      </c>
      <c r="B173" s="23">
        <f>IFERROR(IF(ISBLANK(INDEX(Backlog[Requirement Name],MATCH($A173,Backlog[Requirement ID],0))),"",INDEX(Backlog[Requirement Name],MATCH($A173,Backlog[Requirement ID],0))),"")</f>
        <v/>
      </c>
      <c r="C173" s="23">
        <f>IFERROR(IF(ISBLANK(INDEX(Backlog[Stream],MATCH($A173,Backlog[Requirement ID],0))),"",INDEX(Backlog[Stream],MATCH($A173,Backlog[Requirement ID],0))),"")</f>
        <v/>
      </c>
      <c r="D173" s="23">
        <f>IFERROR(IF(ISBLANK(INDEX(Backlog[Jira Link],MATCH($A173,Backlog[Requirement ID],0))),"",INDEX(Backlog[Jira Link],MATCH($A173,Backlog[Requirement ID],0))),"")</f>
        <v/>
      </c>
      <c r="E173" s="23">
        <f>IFERROR(IF(ISBLANK(INDEX(Backlog[Status],MATCH($A173,Backlog[Requirement ID],0))),"",INDEX(Backlog[Status],MATCH($A173,Backlog[Requirement ID],0))),"")</f>
        <v/>
      </c>
      <c r="F173" s="23">
        <f>IFERROR(IF(ISBLANK(INDEX(SprintPlanning[Sprint],MATCH($A173,SprintPlanning[Requirement ID],0))),"",INDEX(SprintPlanning[Sprint],MATCH($A173,SprintPlanning[Requirement ID],0))),"")</f>
        <v/>
      </c>
      <c r="G173" s="21" t="n"/>
      <c r="H173" s="38" t="n"/>
      <c r="I173" s="21" t="n"/>
      <c r="J173" s="23">
        <f>IFERROR(IF(ISBLANK(INDEX(Backlog[Priority],MATCH($A173,Backlog[Requirement ID],0))),"",INDEX(Backlog[Priority],MATCH($A173,Backlog[Requirement ID],0))),"")</f>
        <v/>
      </c>
      <c r="K173" s="21" t="n"/>
      <c r="L173" s="21" t="n"/>
    </row>
    <row r="174" ht="15" customHeight="1">
      <c r="A174" s="21" t="inlineStr">
        <is>
          <t>NEW-0351</t>
        </is>
      </c>
      <c r="B174" s="23">
        <f>IFERROR(IF(ISBLANK(INDEX(Backlog[Requirement Name],MATCH($A174,Backlog[Requirement ID],0))),"",INDEX(Backlog[Requirement Name],MATCH($A174,Backlog[Requirement ID],0))),"")</f>
        <v/>
      </c>
      <c r="C174" s="23">
        <f>IFERROR(IF(ISBLANK(INDEX(Backlog[Stream],MATCH($A174,Backlog[Requirement ID],0))),"",INDEX(Backlog[Stream],MATCH($A174,Backlog[Requirement ID],0))),"")</f>
        <v/>
      </c>
      <c r="D174" s="23">
        <f>IFERROR(IF(ISBLANK(INDEX(Backlog[Jira Link],MATCH($A174,Backlog[Requirement ID],0))),"",INDEX(Backlog[Jira Link],MATCH($A174,Backlog[Requirement ID],0))),"")</f>
        <v/>
      </c>
      <c r="E174" s="23">
        <f>IFERROR(IF(ISBLANK(INDEX(Backlog[Status],MATCH($A174,Backlog[Requirement ID],0))),"",INDEX(Backlog[Status],MATCH($A174,Backlog[Requirement ID],0))),"")</f>
        <v/>
      </c>
      <c r="F174" s="23">
        <f>IFERROR(IF(ISBLANK(INDEX(SprintPlanning[Sprint],MATCH($A174,SprintPlanning[Requirement ID],0))),"",INDEX(SprintPlanning[Sprint],MATCH($A174,SprintPlanning[Requirement ID],0))),"")</f>
        <v/>
      </c>
      <c r="G174" s="21" t="n"/>
      <c r="H174" s="38" t="n"/>
      <c r="I174" s="21" t="n"/>
      <c r="J174" s="23">
        <f>IFERROR(IF(ISBLANK(INDEX(Backlog[Priority],MATCH($A174,Backlog[Requirement ID],0))),"",INDEX(Backlog[Priority],MATCH($A174,Backlog[Requirement ID],0))),"")</f>
        <v/>
      </c>
      <c r="K174" s="21" t="n"/>
      <c r="L174" s="21" t="n"/>
    </row>
    <row r="175" ht="15" customHeight="1">
      <c r="A175" s="21" t="inlineStr">
        <is>
          <t>NEW-0352</t>
        </is>
      </c>
      <c r="B175" s="23">
        <f>IFERROR(IF(ISBLANK(INDEX(Backlog[Requirement Name],MATCH($A175,Backlog[Requirement ID],0))),"",INDEX(Backlog[Requirement Name],MATCH($A175,Backlog[Requirement ID],0))),"")</f>
        <v/>
      </c>
      <c r="C175" s="23">
        <f>IFERROR(IF(ISBLANK(INDEX(Backlog[Stream],MATCH($A175,Backlog[Requirement ID],0))),"",INDEX(Backlog[Stream],MATCH($A175,Backlog[Requirement ID],0))),"")</f>
        <v/>
      </c>
      <c r="D175" s="23">
        <f>IFERROR(IF(ISBLANK(INDEX(Backlog[Jira Link],MATCH($A175,Backlog[Requirement ID],0))),"",INDEX(Backlog[Jira Link],MATCH($A175,Backlog[Requirement ID],0))),"")</f>
        <v/>
      </c>
      <c r="E175" s="23">
        <f>IFERROR(IF(ISBLANK(INDEX(Backlog[Status],MATCH($A175,Backlog[Requirement ID],0))),"",INDEX(Backlog[Status],MATCH($A175,Backlog[Requirement ID],0))),"")</f>
        <v/>
      </c>
      <c r="F175" s="23">
        <f>IFERROR(IF(ISBLANK(INDEX(SprintPlanning[Sprint],MATCH($A175,SprintPlanning[Requirement ID],0))),"",INDEX(SprintPlanning[Sprint],MATCH($A175,SprintPlanning[Requirement ID],0))),"")</f>
        <v/>
      </c>
      <c r="G175" s="21" t="n"/>
      <c r="H175" s="38" t="n"/>
      <c r="I175" s="21" t="n"/>
      <c r="J175" s="23">
        <f>IFERROR(IF(ISBLANK(INDEX(Backlog[Priority],MATCH($A175,Backlog[Requirement ID],0))),"",INDEX(Backlog[Priority],MATCH($A175,Backlog[Requirement ID],0))),"")</f>
        <v/>
      </c>
      <c r="K175" s="21" t="inlineStr">
        <is>
          <t>Ready for Development</t>
        </is>
      </c>
      <c r="L175" s="21" t="n"/>
    </row>
    <row r="176" ht="15" customHeight="1">
      <c r="A176" s="21" t="inlineStr">
        <is>
          <t>NEW-0356</t>
        </is>
      </c>
      <c r="B176" s="23">
        <f>IFERROR(IF(ISBLANK(INDEX(Backlog[Requirement Name],MATCH($A176,Backlog[Requirement ID],0))),"",INDEX(Backlog[Requirement Name],MATCH($A176,Backlog[Requirement ID],0))),"")</f>
        <v/>
      </c>
      <c r="C176" s="23">
        <f>IFERROR(IF(ISBLANK(INDEX(Backlog[Stream],MATCH($A176,Backlog[Requirement ID],0))),"",INDEX(Backlog[Stream],MATCH($A176,Backlog[Requirement ID],0))),"")</f>
        <v/>
      </c>
      <c r="D176" s="23">
        <f>IFERROR(IF(ISBLANK(INDEX(Backlog[Jira Link],MATCH($A176,Backlog[Requirement ID],0))),"",INDEX(Backlog[Jira Link],MATCH($A176,Backlog[Requirement ID],0))),"")</f>
        <v/>
      </c>
      <c r="E176" s="23">
        <f>IFERROR(IF(ISBLANK(INDEX(Backlog[Status],MATCH($A176,Backlog[Requirement ID],0))),"",INDEX(Backlog[Status],MATCH($A176,Backlog[Requirement ID],0))),"")</f>
        <v/>
      </c>
      <c r="F176" s="23">
        <f>IFERROR(IF(ISBLANK(INDEX(SprintPlanning[Sprint],MATCH($A176,SprintPlanning[Requirement ID],0))),"",INDEX(SprintPlanning[Sprint],MATCH($A176,SprintPlanning[Requirement ID],0))),"")</f>
        <v/>
      </c>
      <c r="G176" s="21" t="n"/>
      <c r="H176" s="38" t="n"/>
      <c r="I176" s="21" t="n"/>
      <c r="J176" s="23">
        <f>IFERROR(IF(ISBLANK(INDEX(Backlog[Priority],MATCH($A176,Backlog[Requirement ID],0))),"",INDEX(Backlog[Priority],MATCH($A176,Backlog[Requirement ID],0))),"")</f>
        <v/>
      </c>
      <c r="K176" s="21" t="n"/>
      <c r="L176" s="21" t="n"/>
    </row>
    <row r="177" ht="15" customHeight="1">
      <c r="A177" s="21" t="inlineStr">
        <is>
          <t>NEW-0357</t>
        </is>
      </c>
      <c r="B177" s="23">
        <f>IFERROR(IF(ISBLANK(INDEX(Backlog[Requirement Name],MATCH($A177,Backlog[Requirement ID],0))),"",INDEX(Backlog[Requirement Name],MATCH($A177,Backlog[Requirement ID],0))),"")</f>
        <v/>
      </c>
      <c r="C177" s="23">
        <f>IFERROR(IF(ISBLANK(INDEX(Backlog[Stream],MATCH($A177,Backlog[Requirement ID],0))),"",INDEX(Backlog[Stream],MATCH($A177,Backlog[Requirement ID],0))),"")</f>
        <v/>
      </c>
      <c r="D177" s="23">
        <f>IFERROR(IF(ISBLANK(INDEX(Backlog[Jira Link],MATCH($A177,Backlog[Requirement ID],0))),"",INDEX(Backlog[Jira Link],MATCH($A177,Backlog[Requirement ID],0))),"")</f>
        <v/>
      </c>
      <c r="E177" s="23">
        <f>IFERROR(IF(ISBLANK(INDEX(Backlog[Status],MATCH($A177,Backlog[Requirement ID],0))),"",INDEX(Backlog[Status],MATCH($A177,Backlog[Requirement ID],0))),"")</f>
        <v/>
      </c>
      <c r="F177" s="23">
        <f>IFERROR(IF(ISBLANK(INDEX(SprintPlanning[Sprint],MATCH($A177,SprintPlanning[Requirement ID],0))),"",INDEX(SprintPlanning[Sprint],MATCH($A177,SprintPlanning[Requirement ID],0))),"")</f>
        <v/>
      </c>
      <c r="G177" s="21" t="n"/>
      <c r="H177" s="38" t="n"/>
      <c r="I177" s="21" t="n"/>
      <c r="J177" s="23">
        <f>IFERROR(IF(ISBLANK(INDEX(Backlog[Priority],MATCH($A177,Backlog[Requirement ID],0))),"",INDEX(Backlog[Priority],MATCH($A177,Backlog[Requirement ID],0))),"")</f>
        <v/>
      </c>
      <c r="K177" s="21" t="inlineStr">
        <is>
          <t>Ready for Development</t>
        </is>
      </c>
      <c r="L177" s="21" t="n"/>
    </row>
    <row r="178" ht="15" customHeight="1">
      <c r="A178" s="21" t="inlineStr">
        <is>
          <t>NEW-0358</t>
        </is>
      </c>
      <c r="B178" s="23">
        <f>IFERROR(IF(ISBLANK(INDEX(Backlog[Requirement Name],MATCH($A178,Backlog[Requirement ID],0))),"",INDEX(Backlog[Requirement Name],MATCH($A178,Backlog[Requirement ID],0))),"")</f>
        <v/>
      </c>
      <c r="C178" s="23">
        <f>IFERROR(IF(ISBLANK(INDEX(Backlog[Stream],MATCH($A178,Backlog[Requirement ID],0))),"",INDEX(Backlog[Stream],MATCH($A178,Backlog[Requirement ID],0))),"")</f>
        <v/>
      </c>
      <c r="D178" s="23">
        <f>IFERROR(IF(ISBLANK(INDEX(Backlog[Jira Link],MATCH($A178,Backlog[Requirement ID],0))),"",INDEX(Backlog[Jira Link],MATCH($A178,Backlog[Requirement ID],0))),"")</f>
        <v/>
      </c>
      <c r="E178" s="23">
        <f>IFERROR(IF(ISBLANK(INDEX(Backlog[Status],MATCH($A178,Backlog[Requirement ID],0))),"",INDEX(Backlog[Status],MATCH($A178,Backlog[Requirement ID],0))),"")</f>
        <v/>
      </c>
      <c r="F178" s="23">
        <f>IFERROR(IF(ISBLANK(INDEX(SprintPlanning[Sprint],MATCH($A178,SprintPlanning[Requirement ID],0))),"",INDEX(SprintPlanning[Sprint],MATCH($A178,SprintPlanning[Requirement ID],0))),"")</f>
        <v/>
      </c>
      <c r="G178" s="21" t="n"/>
      <c r="H178" s="38" t="n"/>
      <c r="I178" s="21" t="n"/>
      <c r="J178" s="23">
        <f>IFERROR(IF(ISBLANK(INDEX(Backlog[Priority],MATCH($A178,Backlog[Requirement ID],0))),"",INDEX(Backlog[Priority],MATCH($A178,Backlog[Requirement ID],0))),"")</f>
        <v/>
      </c>
      <c r="K178" s="21" t="n"/>
      <c r="L178" s="21" t="n"/>
    </row>
    <row r="179" ht="15" customHeight="1">
      <c r="A179" s="21" t="inlineStr">
        <is>
          <t>NEW-0359</t>
        </is>
      </c>
      <c r="B179" s="39">
        <f>IFERROR(IF(ISBLANK(INDEX(Backlog[Requirement Name],MATCH($A179,Backlog[Requirement ID],0))),"",INDEX(Backlog[Requirement Name],MATCH($A179,Backlog[Requirement ID],0))),"")</f>
        <v/>
      </c>
      <c r="C179" s="23">
        <f>IFERROR(IF(ISBLANK(INDEX(Backlog[Stream],MATCH($A179,Backlog[Requirement ID],0))),"",INDEX(Backlog[Stream],MATCH($A179,Backlog[Requirement ID],0))),"")</f>
        <v/>
      </c>
      <c r="D179" s="23">
        <f>IFERROR(IF(ISBLANK(INDEX(Backlog[Jira Link],MATCH($A179,Backlog[Requirement ID],0))),"",INDEX(Backlog[Jira Link],MATCH($A179,Backlog[Requirement ID],0))),"")</f>
        <v/>
      </c>
      <c r="E179" s="23" t="inlineStr">
        <is>
          <t>DONE</t>
        </is>
      </c>
      <c r="F179" s="23">
        <f>IFERROR(IF(ISBLANK(INDEX(SprintPlanning[Sprint],MATCH($A179,SprintPlanning[Requirement ID],0))),"",INDEX(SprintPlanning[Sprint],MATCH($A179,SprintPlanning[Requirement ID],0))),"")</f>
        <v/>
      </c>
      <c r="G179" s="21" t="n"/>
      <c r="H179" s="38" t="n"/>
      <c r="I179" s="21" t="n"/>
      <c r="J179" s="23">
        <f>IFERROR(IF(ISBLANK(INDEX(Backlog[Priority],MATCH($A179,Backlog[Requirement ID],0))),"",INDEX(Backlog[Priority],MATCH($A179,Backlog[Requirement ID],0))),"")</f>
        <v/>
      </c>
      <c r="K179" s="21" t="inlineStr">
        <is>
          <t>Ready for Development</t>
        </is>
      </c>
      <c r="L179" s="21" t="n"/>
    </row>
    <row r="180" ht="15" customHeight="1">
      <c r="A180" s="21" t="inlineStr">
        <is>
          <t>NEW-0360</t>
        </is>
      </c>
      <c r="B180" s="23">
        <f>IFERROR(IF(ISBLANK(INDEX(Backlog[Requirement Name],MATCH($A180,Backlog[Requirement ID],0))),"",INDEX(Backlog[Requirement Name],MATCH($A180,Backlog[Requirement ID],0))),"")</f>
        <v/>
      </c>
      <c r="C180" s="23">
        <f>IFERROR(IF(ISBLANK(INDEX(Backlog[Stream],MATCH($A180,Backlog[Requirement ID],0))),"",INDEX(Backlog[Stream],MATCH($A180,Backlog[Requirement ID],0))),"")</f>
        <v/>
      </c>
      <c r="D180" s="23">
        <f>IFERROR(IF(ISBLANK(INDEX(Backlog[Jira Link],MATCH($A180,Backlog[Requirement ID],0))),"",INDEX(Backlog[Jira Link],MATCH($A180,Backlog[Requirement ID],0))),"")</f>
        <v/>
      </c>
      <c r="E180" s="23">
        <f>IFERROR(IF(ISBLANK(INDEX(Backlog[Status],MATCH($A180,Backlog[Requirement ID],0))),"",INDEX(Backlog[Status],MATCH($A180,Backlog[Requirement ID],0))),"")</f>
        <v/>
      </c>
      <c r="F180" s="23">
        <f>IFERROR(IF(ISBLANK(INDEX(SprintPlanning[Sprint],MATCH($A180,SprintPlanning[Requirement ID],0))),"",INDEX(SprintPlanning[Sprint],MATCH($A180,SprintPlanning[Requirement ID],0))),"")</f>
        <v/>
      </c>
      <c r="G180" s="21" t="n"/>
      <c r="H180" s="38" t="n"/>
      <c r="I180" s="21" t="n"/>
      <c r="J180" s="23">
        <f>IFERROR(IF(ISBLANK(INDEX(Backlog[Priority],MATCH($A180,Backlog[Requirement ID],0))),"",INDEX(Backlog[Priority],MATCH($A180,Backlog[Requirement ID],0))),"")</f>
        <v/>
      </c>
      <c r="K180" s="21" t="inlineStr">
        <is>
          <t>Pending Solution</t>
        </is>
      </c>
      <c r="L180" s="21" t="n"/>
    </row>
    <row r="181" ht="15" customHeight="1">
      <c r="A181" s="21" t="inlineStr">
        <is>
          <t>NEW-0361</t>
        </is>
      </c>
      <c r="B181" s="39">
        <f>IFERROR(IF(ISBLANK(INDEX(Backlog[Requirement Name],MATCH($A181,Backlog[Requirement ID],0))),"",INDEX(Backlog[Requirement Name],MATCH($A181,Backlog[Requirement ID],0))),"")</f>
        <v/>
      </c>
      <c r="C181" s="23">
        <f>IFERROR(IF(ISBLANK(INDEX(Backlog[Stream],MATCH($A181,Backlog[Requirement ID],0))),"",INDEX(Backlog[Stream],MATCH($A181,Backlog[Requirement ID],0))),"")</f>
        <v/>
      </c>
      <c r="D181" s="23">
        <f>IFERROR(IF(ISBLANK(INDEX(Backlog[Jira Link],MATCH($A181,Backlog[Requirement ID],0))),"",INDEX(Backlog[Jira Link],MATCH($A181,Backlog[Requirement ID],0))),"")</f>
        <v/>
      </c>
      <c r="E181" s="23">
        <f>IFERROR(IF(ISBLANK(INDEX(Backlog[Status],MATCH($A181,Backlog[Requirement ID],0))),"",INDEX(Backlog[Status],MATCH($A181,Backlog[Requirement ID],0))),"")</f>
        <v/>
      </c>
      <c r="F181" s="23">
        <f>IFERROR(IF(ISBLANK(INDEX(SprintPlanning[Sprint],MATCH($A181,SprintPlanning[Requirement ID],0))),"",INDEX(SprintPlanning[Sprint],MATCH($A181,SprintPlanning[Requirement ID],0))),"")</f>
        <v/>
      </c>
      <c r="G181" s="21" t="n"/>
      <c r="H181" s="38" t="n"/>
      <c r="I181" s="21" t="n"/>
      <c r="J181" s="23">
        <f>IFERROR(IF(ISBLANK(INDEX(Backlog[Priority],MATCH($A181,Backlog[Requirement ID],0))),"",INDEX(Backlog[Priority],MATCH($A181,Backlog[Requirement ID],0))),"")</f>
        <v/>
      </c>
      <c r="K181" s="21" t="inlineStr">
        <is>
          <t>Pending Solution</t>
        </is>
      </c>
      <c r="L181" s="21" t="n"/>
    </row>
    <row r="182" ht="15" customHeight="1">
      <c r="A182" s="21" t="inlineStr">
        <is>
          <t>NEW-0362</t>
        </is>
      </c>
      <c r="B182" s="23">
        <f>IFERROR(IF(ISBLANK(INDEX(Backlog[Requirement Name],MATCH($A182,Backlog[Requirement ID],0))),"",INDEX(Backlog[Requirement Name],MATCH($A182,Backlog[Requirement ID],0))),"")</f>
        <v/>
      </c>
      <c r="C182" s="23">
        <f>IFERROR(IF(ISBLANK(INDEX(Backlog[Stream],MATCH($A182,Backlog[Requirement ID],0))),"",INDEX(Backlog[Stream],MATCH($A182,Backlog[Requirement ID],0))),"")</f>
        <v/>
      </c>
      <c r="D182" s="23">
        <f>IFERROR(IF(ISBLANK(INDEX(Backlog[Jira Link],MATCH($A182,Backlog[Requirement ID],0))),"",INDEX(Backlog[Jira Link],MATCH($A182,Backlog[Requirement ID],0))),"")</f>
        <v/>
      </c>
      <c r="E182" s="23">
        <f>IFERROR(IF(ISBLANK(INDEX(Backlog[Status],MATCH($A182,Backlog[Requirement ID],0))),"",INDEX(Backlog[Status],MATCH($A182,Backlog[Requirement ID],0))),"")</f>
        <v/>
      </c>
      <c r="F182" s="23">
        <f>IFERROR(IF(ISBLANK(INDEX(SprintPlanning[Sprint],MATCH($A182,SprintPlanning[Requirement ID],0))),"",INDEX(SprintPlanning[Sprint],MATCH($A182,SprintPlanning[Requirement ID],0))),"")</f>
        <v/>
      </c>
      <c r="G182" s="21" t="n"/>
      <c r="H182" s="38" t="n"/>
      <c r="I182" s="21" t="n"/>
      <c r="J182" s="23">
        <f>IFERROR(IF(ISBLANK(INDEX(Backlog[Priority],MATCH($A182,Backlog[Requirement ID],0))),"",INDEX(Backlog[Priority],MATCH($A182,Backlog[Requirement ID],0))),"")</f>
        <v/>
      </c>
      <c r="K182" s="21" t="inlineStr">
        <is>
          <t>Pending Solution</t>
        </is>
      </c>
      <c r="L182" s="21" t="n"/>
    </row>
    <row r="183" ht="15" customHeight="1">
      <c r="A183" s="21" t="inlineStr">
        <is>
          <t>NEW-0363</t>
        </is>
      </c>
      <c r="B183" s="23">
        <f>IFERROR(IF(ISBLANK(INDEX(Backlog[Requirement Name],MATCH($A183,Backlog[Requirement ID],0))),"",INDEX(Backlog[Requirement Name],MATCH($A183,Backlog[Requirement ID],0))),"")</f>
        <v/>
      </c>
      <c r="C183" s="23">
        <f>IFERROR(IF(ISBLANK(INDEX(Backlog[Stream],MATCH($A183,Backlog[Requirement ID],0))),"",INDEX(Backlog[Stream],MATCH($A183,Backlog[Requirement ID],0))),"")</f>
        <v/>
      </c>
      <c r="D183" s="23">
        <f>IFERROR(IF(ISBLANK(INDEX(Backlog[Jira Link],MATCH($A183,Backlog[Requirement ID],0))),"",INDEX(Backlog[Jira Link],MATCH($A183,Backlog[Requirement ID],0))),"")</f>
        <v/>
      </c>
      <c r="E183" s="23">
        <f>IFERROR(IF(ISBLANK(INDEX(Backlog[Status],MATCH($A183,Backlog[Requirement ID],0))),"",INDEX(Backlog[Status],MATCH($A183,Backlog[Requirement ID],0))),"")</f>
        <v/>
      </c>
      <c r="F183" s="23">
        <f>IFERROR(IF(ISBLANK(INDEX(SprintPlanning[Sprint],MATCH($A183,SprintPlanning[Requirement ID],0))),"",INDEX(SprintPlanning[Sprint],MATCH($A183,SprintPlanning[Requirement ID],0))),"")</f>
        <v/>
      </c>
      <c r="G183" s="21" t="n"/>
      <c r="H183" s="38" t="n"/>
      <c r="I183" s="21" t="n"/>
      <c r="J183" s="23">
        <f>IFERROR(IF(ISBLANK(INDEX(Backlog[Priority],MATCH($A183,Backlog[Requirement ID],0))),"",INDEX(Backlog[Priority],MATCH($A183,Backlog[Requirement ID],0))),"")</f>
        <v/>
      </c>
      <c r="K183" s="21" t="n"/>
      <c r="L183" s="21" t="n"/>
    </row>
    <row r="184" ht="15" customHeight="1">
      <c r="A184" s="21" t="inlineStr">
        <is>
          <t>NEW-0364</t>
        </is>
      </c>
      <c r="B184" s="23">
        <f>IFERROR(IF(ISBLANK(INDEX(Backlog[Requirement Name],MATCH($A184,Backlog[Requirement ID],0))),"",INDEX(Backlog[Requirement Name],MATCH($A184,Backlog[Requirement ID],0))),"")</f>
        <v/>
      </c>
      <c r="C184" s="23">
        <f>IFERROR(IF(ISBLANK(INDEX(Backlog[Stream],MATCH($A184,Backlog[Requirement ID],0))),"",INDEX(Backlog[Stream],MATCH($A184,Backlog[Requirement ID],0))),"")</f>
        <v/>
      </c>
      <c r="D184" s="23">
        <f>IFERROR(IF(ISBLANK(INDEX(Backlog[Jira Link],MATCH($A184,Backlog[Requirement ID],0))),"",INDEX(Backlog[Jira Link],MATCH($A184,Backlog[Requirement ID],0))),"")</f>
        <v/>
      </c>
      <c r="E184" s="23">
        <f>IFERROR(IF(ISBLANK(INDEX(Backlog[Status],MATCH($A184,Backlog[Requirement ID],0))),"",INDEX(Backlog[Status],MATCH($A184,Backlog[Requirement ID],0))),"")</f>
        <v/>
      </c>
      <c r="F184" s="23">
        <f>IFERROR(IF(ISBLANK(INDEX(SprintPlanning[Sprint],MATCH($A184,SprintPlanning[Requirement ID],0))),"",INDEX(SprintPlanning[Sprint],MATCH($A184,SprintPlanning[Requirement ID],0))),"")</f>
        <v/>
      </c>
      <c r="G184" s="21" t="n"/>
      <c r="H184" s="38" t="n"/>
      <c r="I184" s="21" t="n"/>
      <c r="J184" s="23">
        <f>IFERROR(IF(ISBLANK(INDEX(Backlog[Priority],MATCH($A184,Backlog[Requirement ID],0))),"",INDEX(Backlog[Priority],MATCH($A184,Backlog[Requirement ID],0))),"")</f>
        <v/>
      </c>
      <c r="K184" s="21" t="n"/>
      <c r="L184" s="21" t="n"/>
    </row>
    <row r="185" ht="15" customHeight="1">
      <c r="A185" s="21" t="inlineStr">
        <is>
          <t>NEW-0366</t>
        </is>
      </c>
      <c r="B185" s="23">
        <f>IFERROR(IF(ISBLANK(INDEX(Backlog[Requirement Name],MATCH($A185,Backlog[Requirement ID],0))),"",INDEX(Backlog[Requirement Name],MATCH($A185,Backlog[Requirement ID],0))),"")</f>
        <v/>
      </c>
      <c r="C185" s="23">
        <f>IFERROR(IF(ISBLANK(INDEX(Backlog[Stream],MATCH($A185,Backlog[Requirement ID],0))),"",INDEX(Backlog[Stream],MATCH($A185,Backlog[Requirement ID],0))),"")</f>
        <v/>
      </c>
      <c r="D185" s="23">
        <f>IFERROR(IF(ISBLANK(INDEX(Backlog[Jira Link],MATCH($A185,Backlog[Requirement ID],0))),"",INDEX(Backlog[Jira Link],MATCH($A185,Backlog[Requirement ID],0))),"")</f>
        <v/>
      </c>
      <c r="E185" s="23">
        <f>IFERROR(IF(ISBLANK(INDEX(Backlog[Status],MATCH($A185,Backlog[Requirement ID],0))),"",INDEX(Backlog[Status],MATCH($A185,Backlog[Requirement ID],0))),"")</f>
        <v/>
      </c>
      <c r="F185" s="23">
        <f>IFERROR(IF(ISBLANK(INDEX(SprintPlanning[Sprint],MATCH($A185,SprintPlanning[Requirement ID],0))),"",INDEX(SprintPlanning[Sprint],MATCH($A185,SprintPlanning[Requirement ID],0))),"")</f>
        <v/>
      </c>
      <c r="G185" s="21" t="n"/>
      <c r="H185" s="38" t="n"/>
      <c r="I185" s="21" t="n"/>
      <c r="J185" s="23">
        <f>IFERROR(IF(ISBLANK(INDEX(Backlog[Priority],MATCH($A185,Backlog[Requirement ID],0))),"",INDEX(Backlog[Priority],MATCH($A185,Backlog[Requirement ID],0))),"")</f>
        <v/>
      </c>
      <c r="K185" s="21" t="inlineStr">
        <is>
          <t>Pending Solution</t>
        </is>
      </c>
      <c r="L185" s="21" t="n"/>
    </row>
    <row r="186" ht="15" customHeight="1">
      <c r="A186" s="21" t="inlineStr">
        <is>
          <t>NEW-0367</t>
        </is>
      </c>
      <c r="B186" s="23">
        <f>IFERROR(IF(ISBLANK(INDEX(Backlog[Requirement Name],MATCH($A186,Backlog[Requirement ID],0))),"",INDEX(Backlog[Requirement Name],MATCH($A186,Backlog[Requirement ID],0))),"")</f>
        <v/>
      </c>
      <c r="C186" s="23">
        <f>IFERROR(IF(ISBLANK(INDEX(Backlog[Stream],MATCH($A186,Backlog[Requirement ID],0))),"",INDEX(Backlog[Stream],MATCH($A186,Backlog[Requirement ID],0))),"")</f>
        <v/>
      </c>
      <c r="D186" s="23">
        <f>IFERROR(IF(ISBLANK(INDEX(Backlog[Jira Link],MATCH($A186,Backlog[Requirement ID],0))),"",INDEX(Backlog[Jira Link],MATCH($A186,Backlog[Requirement ID],0))),"")</f>
        <v/>
      </c>
      <c r="E186" s="23">
        <f>IFERROR(IF(ISBLANK(INDEX(Backlog[Status],MATCH($A186,Backlog[Requirement ID],0))),"",INDEX(Backlog[Status],MATCH($A186,Backlog[Requirement ID],0))),"")</f>
        <v/>
      </c>
      <c r="F186" s="23">
        <f>IFERROR(IF(ISBLANK(INDEX(SprintPlanning[Sprint],MATCH($A186,SprintPlanning[Requirement ID],0))),"",INDEX(SprintPlanning[Sprint],MATCH($A186,SprintPlanning[Requirement ID],0))),"")</f>
        <v/>
      </c>
      <c r="G186" s="21" t="n"/>
      <c r="H186" s="38" t="n"/>
      <c r="I186" s="21" t="n"/>
      <c r="J186" s="23">
        <f>IFERROR(IF(ISBLANK(INDEX(Backlog[Priority],MATCH($A186,Backlog[Requirement ID],0))),"",INDEX(Backlog[Priority],MATCH($A186,Backlog[Requirement ID],0))),"")</f>
        <v/>
      </c>
      <c r="K186" s="21" t="inlineStr">
        <is>
          <t>Pending Solution</t>
        </is>
      </c>
      <c r="L186" s="21" t="n"/>
    </row>
    <row r="187" ht="15" customHeight="1">
      <c r="A187" s="21" t="inlineStr">
        <is>
          <t>NEW-0368</t>
        </is>
      </c>
      <c r="B187" s="23">
        <f>IFERROR(IF(ISBLANK(INDEX(Backlog[Requirement Name],MATCH($A187,Backlog[Requirement ID],0))),"",INDEX(Backlog[Requirement Name],MATCH($A187,Backlog[Requirement ID],0))),"")</f>
        <v/>
      </c>
      <c r="C187" s="23">
        <f>IFERROR(IF(ISBLANK(INDEX(Backlog[Stream],MATCH($A187,Backlog[Requirement ID],0))),"",INDEX(Backlog[Stream],MATCH($A187,Backlog[Requirement ID],0))),"")</f>
        <v/>
      </c>
      <c r="D187" s="23">
        <f>IFERROR(IF(ISBLANK(INDEX(Backlog[Jira Link],MATCH($A187,Backlog[Requirement ID],0))),"",INDEX(Backlog[Jira Link],MATCH($A187,Backlog[Requirement ID],0))),"")</f>
        <v/>
      </c>
      <c r="E187" s="23">
        <f>IFERROR(IF(ISBLANK(INDEX(Backlog[Status],MATCH($A187,Backlog[Requirement ID],0))),"",INDEX(Backlog[Status],MATCH($A187,Backlog[Requirement ID],0))),"")</f>
        <v/>
      </c>
      <c r="F187" s="23">
        <f>IFERROR(IF(ISBLANK(INDEX(SprintPlanning[Sprint],MATCH($A187,SprintPlanning[Requirement ID],0))),"",INDEX(SprintPlanning[Sprint],MATCH($A187,SprintPlanning[Requirement ID],0))),"")</f>
        <v/>
      </c>
      <c r="G187" s="21" t="n"/>
      <c r="H187" s="38" t="n"/>
      <c r="I187" s="21" t="n"/>
      <c r="J187" s="23">
        <f>IFERROR(IF(ISBLANK(INDEX(Backlog[Priority],MATCH($A187,Backlog[Requirement ID],0))),"",INDEX(Backlog[Priority],MATCH($A187,Backlog[Requirement ID],0))),"")</f>
        <v/>
      </c>
      <c r="K187" s="21" t="inlineStr">
        <is>
          <t>Pending Design</t>
        </is>
      </c>
      <c r="L187" s="21" t="n"/>
    </row>
    <row r="188" ht="15" customHeight="1">
      <c r="A188" s="21" t="inlineStr">
        <is>
          <t>NEW-0370</t>
        </is>
      </c>
      <c r="B188" s="23">
        <f>IFERROR(IF(ISBLANK(INDEX(Backlog[Requirement Name],MATCH($A188,Backlog[Requirement ID],0))),"",INDEX(Backlog[Requirement Name],MATCH($A188,Backlog[Requirement ID],0))),"")</f>
        <v/>
      </c>
      <c r="C188" s="23">
        <f>IFERROR(IF(ISBLANK(INDEX(Backlog[Stream],MATCH($A188,Backlog[Requirement ID],0))),"",INDEX(Backlog[Stream],MATCH($A188,Backlog[Requirement ID],0))),"")</f>
        <v/>
      </c>
      <c r="D188" s="23">
        <f>IFERROR(IF(ISBLANK(INDEX(Backlog[Jira Link],MATCH($A188,Backlog[Requirement ID],0))),"",INDEX(Backlog[Jira Link],MATCH($A188,Backlog[Requirement ID],0))),"")</f>
        <v/>
      </c>
      <c r="E188" s="23">
        <f>IFERROR(IF(ISBLANK(INDEX(Backlog[Status],MATCH($A188,Backlog[Requirement ID],0))),"",INDEX(Backlog[Status],MATCH($A188,Backlog[Requirement ID],0))),"")</f>
        <v/>
      </c>
      <c r="F188" s="23">
        <f>IFERROR(IF(ISBLANK(INDEX(SprintPlanning[Sprint],MATCH($A188,SprintPlanning[Requirement ID],0))),"",INDEX(SprintPlanning[Sprint],MATCH($A188,SprintPlanning[Requirement ID],0))),"")</f>
        <v/>
      </c>
      <c r="G188" s="21" t="n"/>
      <c r="H188" s="38" t="n"/>
      <c r="I188" s="21" t="n"/>
      <c r="J188" s="23">
        <f>IFERROR(IF(ISBLANK(INDEX(Backlog[Priority],MATCH($A188,Backlog[Requirement ID],0))),"",INDEX(Backlog[Priority],MATCH($A188,Backlog[Requirement ID],0))),"")</f>
        <v/>
      </c>
      <c r="K188" s="21" t="n"/>
      <c r="L188" s="21" t="n"/>
    </row>
    <row r="189" ht="15" customHeight="1">
      <c r="A189" s="21" t="inlineStr">
        <is>
          <t>NEW-0371</t>
        </is>
      </c>
      <c r="B189" s="23">
        <f>IFERROR(IF(ISBLANK(INDEX(Backlog[Requirement Name],MATCH($A189,Backlog[Requirement ID],0))),"",INDEX(Backlog[Requirement Name],MATCH($A189,Backlog[Requirement ID],0))),"")</f>
        <v/>
      </c>
      <c r="C189" s="23">
        <f>IFERROR(IF(ISBLANK(INDEX(Backlog[Stream],MATCH($A189,Backlog[Requirement ID],0))),"",INDEX(Backlog[Stream],MATCH($A189,Backlog[Requirement ID],0))),"")</f>
        <v/>
      </c>
      <c r="D189" s="23">
        <f>IFERROR(IF(ISBLANK(INDEX(Backlog[Jira Link],MATCH($A189,Backlog[Requirement ID],0))),"",INDEX(Backlog[Jira Link],MATCH($A189,Backlog[Requirement ID],0))),"")</f>
        <v/>
      </c>
      <c r="E189" s="23">
        <f>IFERROR(IF(ISBLANK(INDEX(Backlog[Status],MATCH($A189,Backlog[Requirement ID],0))),"",INDEX(Backlog[Status],MATCH($A189,Backlog[Requirement ID],0))),"")</f>
        <v/>
      </c>
      <c r="F189" s="23">
        <f>IFERROR(IF(ISBLANK(INDEX(SprintPlanning[Sprint],MATCH($A189,SprintPlanning[Requirement ID],0))),"",INDEX(SprintPlanning[Sprint],MATCH($A189,SprintPlanning[Requirement ID],0))),"")</f>
        <v/>
      </c>
      <c r="G189" s="21" t="n"/>
      <c r="H189" s="38" t="n"/>
      <c r="I189" s="21" t="n"/>
      <c r="J189" s="23">
        <f>IFERROR(IF(ISBLANK(INDEX(Backlog[Priority],MATCH($A189,Backlog[Requirement ID],0))),"",INDEX(Backlog[Priority],MATCH($A189,Backlog[Requirement ID],0))),"")</f>
        <v/>
      </c>
      <c r="K189" s="21" t="inlineStr">
        <is>
          <t>Pending Solution</t>
        </is>
      </c>
      <c r="L189" s="21" t="n"/>
    </row>
    <row r="190" ht="15" customHeight="1">
      <c r="A190" s="21" t="inlineStr">
        <is>
          <t>NEW-0372</t>
        </is>
      </c>
      <c r="B190" s="23">
        <f>IFERROR(IF(ISBLANK(INDEX(Backlog[Requirement Name],MATCH($A190,Backlog[Requirement ID],0))),"",INDEX(Backlog[Requirement Name],MATCH($A190,Backlog[Requirement ID],0))),"")</f>
        <v/>
      </c>
      <c r="C190" s="23">
        <f>IFERROR(IF(ISBLANK(INDEX(Backlog[Stream],MATCH($A190,Backlog[Requirement ID],0))),"",INDEX(Backlog[Stream],MATCH($A190,Backlog[Requirement ID],0))),"")</f>
        <v/>
      </c>
      <c r="D190" s="23">
        <f>IFERROR(IF(ISBLANK(INDEX(Backlog[Jira Link],MATCH($A190,Backlog[Requirement ID],0))),"",INDEX(Backlog[Jira Link],MATCH($A190,Backlog[Requirement ID],0))),"")</f>
        <v/>
      </c>
      <c r="E190" s="23">
        <f>IFERROR(IF(ISBLANK(INDEX(Backlog[Status],MATCH($A190,Backlog[Requirement ID],0))),"",INDEX(Backlog[Status],MATCH($A190,Backlog[Requirement ID],0))),"")</f>
        <v/>
      </c>
      <c r="F190" s="23">
        <f>IFERROR(IF(ISBLANK(INDEX(SprintPlanning[Sprint],MATCH($A190,SprintPlanning[Requirement ID],0))),"",INDEX(SprintPlanning[Sprint],MATCH($A190,SprintPlanning[Requirement ID],0))),"")</f>
        <v/>
      </c>
      <c r="G190" s="21" t="n"/>
      <c r="H190" s="38" t="n"/>
      <c r="I190" s="21" t="n"/>
      <c r="J190" s="23">
        <f>IFERROR(IF(ISBLANK(INDEX(Backlog[Priority],MATCH($A190,Backlog[Requirement ID],0))),"",INDEX(Backlog[Priority],MATCH($A190,Backlog[Requirement ID],0))),"")</f>
        <v/>
      </c>
      <c r="K190" s="21" t="n"/>
      <c r="L190" s="21" t="n"/>
    </row>
    <row r="191" ht="15" customHeight="1">
      <c r="A191" s="21" t="inlineStr">
        <is>
          <t>NEW-0373</t>
        </is>
      </c>
      <c r="B191" s="23">
        <f>IFERROR(IF(ISBLANK(INDEX(Backlog[Requirement Name],MATCH($A191,Backlog[Requirement ID],0))),"",INDEX(Backlog[Requirement Name],MATCH($A191,Backlog[Requirement ID],0))),"")</f>
        <v/>
      </c>
      <c r="C191" s="23">
        <f>IFERROR(IF(ISBLANK(INDEX(Backlog[Stream],MATCH($A191,Backlog[Requirement ID],0))),"",INDEX(Backlog[Stream],MATCH($A191,Backlog[Requirement ID],0))),"")</f>
        <v/>
      </c>
      <c r="D191" s="23">
        <f>IFERROR(IF(ISBLANK(INDEX(Backlog[Jira Link],MATCH($A191,Backlog[Requirement ID],0))),"",INDEX(Backlog[Jira Link],MATCH($A191,Backlog[Requirement ID],0))),"")</f>
        <v/>
      </c>
      <c r="E191" s="23">
        <f>IFERROR(IF(ISBLANK(INDEX(Backlog[Status],MATCH($A191,Backlog[Requirement ID],0))),"",INDEX(Backlog[Status],MATCH($A191,Backlog[Requirement ID],0))),"")</f>
        <v/>
      </c>
      <c r="F191" s="23">
        <f>IFERROR(IF(ISBLANK(INDEX(SprintPlanning[Sprint],MATCH($A191,SprintPlanning[Requirement ID],0))),"",INDEX(SprintPlanning[Sprint],MATCH($A191,SprintPlanning[Requirement ID],0))),"")</f>
        <v/>
      </c>
      <c r="G191" s="21" t="n"/>
      <c r="H191" s="38" t="n"/>
      <c r="I191" s="21" t="n"/>
      <c r="J191" s="23">
        <f>IFERROR(IF(ISBLANK(INDEX(Backlog[Priority],MATCH($A191,Backlog[Requirement ID],0))),"",INDEX(Backlog[Priority],MATCH($A191,Backlog[Requirement ID],0))),"")</f>
        <v/>
      </c>
      <c r="K191" s="21" t="inlineStr">
        <is>
          <t>Ready for Development</t>
        </is>
      </c>
      <c r="L191" s="21" t="n"/>
    </row>
    <row r="192" ht="15" customHeight="1">
      <c r="A192" s="21" t="inlineStr">
        <is>
          <t>NEW-0374</t>
        </is>
      </c>
      <c r="B192" s="23">
        <f>IFERROR(IF(ISBLANK(INDEX(Backlog[Requirement Name],MATCH($A192,Backlog[Requirement ID],0))),"",INDEX(Backlog[Requirement Name],MATCH($A192,Backlog[Requirement ID],0))),"")</f>
        <v/>
      </c>
      <c r="C192" s="23">
        <f>IFERROR(IF(ISBLANK(INDEX(Backlog[Stream],MATCH($A192,Backlog[Requirement ID],0))),"",INDEX(Backlog[Stream],MATCH($A192,Backlog[Requirement ID],0))),"")</f>
        <v/>
      </c>
      <c r="D192" s="23">
        <f>IFERROR(IF(ISBLANK(INDEX(Backlog[Jira Link],MATCH($A192,Backlog[Requirement ID],0))),"",INDEX(Backlog[Jira Link],MATCH($A192,Backlog[Requirement ID],0))),"")</f>
        <v/>
      </c>
      <c r="E192" s="23">
        <f>IFERROR(IF(ISBLANK(INDEX(Backlog[Status],MATCH($A192,Backlog[Requirement ID],0))),"",INDEX(Backlog[Status],MATCH($A192,Backlog[Requirement ID],0))),"")</f>
        <v/>
      </c>
      <c r="F192" s="23">
        <f>IFERROR(IF(ISBLANK(INDEX(SprintPlanning[Sprint],MATCH($A192,SprintPlanning[Requirement ID],0))),"",INDEX(SprintPlanning[Sprint],MATCH($A192,SprintPlanning[Requirement ID],0))),"")</f>
        <v/>
      </c>
      <c r="G192" s="21" t="n"/>
      <c r="H192" s="38" t="n"/>
      <c r="I192" s="21" t="n"/>
      <c r="J192" s="23">
        <f>IFERROR(IF(ISBLANK(INDEX(Backlog[Priority],MATCH($A192,Backlog[Requirement ID],0))),"",INDEX(Backlog[Priority],MATCH($A192,Backlog[Requirement ID],0))),"")</f>
        <v/>
      </c>
      <c r="K192" s="21" t="n"/>
      <c r="L192" s="21" t="n"/>
    </row>
    <row r="193" ht="15" customHeight="1">
      <c r="A193" s="21" t="inlineStr">
        <is>
          <t>NEW-0375</t>
        </is>
      </c>
      <c r="B193" s="23">
        <f>IFERROR(IF(ISBLANK(INDEX(Backlog[Requirement Name],MATCH($A193,Backlog[Requirement ID],0))),"",INDEX(Backlog[Requirement Name],MATCH($A193,Backlog[Requirement ID],0))),"")</f>
        <v/>
      </c>
      <c r="C193" s="23">
        <f>IFERROR(IF(ISBLANK(INDEX(Backlog[Stream],MATCH($A193,Backlog[Requirement ID],0))),"",INDEX(Backlog[Stream],MATCH($A193,Backlog[Requirement ID],0))),"")</f>
        <v/>
      </c>
      <c r="D193" s="23">
        <f>IFERROR(IF(ISBLANK(INDEX(Backlog[Jira Link],MATCH($A193,Backlog[Requirement ID],0))),"",INDEX(Backlog[Jira Link],MATCH($A193,Backlog[Requirement ID],0))),"")</f>
        <v/>
      </c>
      <c r="E193" s="23">
        <f>IFERROR(IF(ISBLANK(INDEX(Backlog[Status],MATCH($A193,Backlog[Requirement ID],0))),"",INDEX(Backlog[Status],MATCH($A193,Backlog[Requirement ID],0))),"")</f>
        <v/>
      </c>
      <c r="F193" s="23">
        <f>IFERROR(IF(ISBLANK(INDEX(SprintPlanning[Sprint],MATCH($A193,SprintPlanning[Requirement ID],0))),"",INDEX(SprintPlanning[Sprint],MATCH($A193,SprintPlanning[Requirement ID],0))),"")</f>
        <v/>
      </c>
      <c r="G193" s="21" t="n"/>
      <c r="H193" s="38" t="n"/>
      <c r="I193" s="21" t="n"/>
      <c r="J193" s="23">
        <f>IFERROR(IF(ISBLANK(INDEX(Backlog[Priority],MATCH($A193,Backlog[Requirement ID],0))),"",INDEX(Backlog[Priority],MATCH($A193,Backlog[Requirement ID],0))),"")</f>
        <v/>
      </c>
      <c r="K193" s="21" t="n"/>
      <c r="L193" s="21" t="n"/>
    </row>
    <row r="194" ht="15" customHeight="1">
      <c r="A194" s="21" t="inlineStr">
        <is>
          <t>NEW-0376</t>
        </is>
      </c>
      <c r="B194" s="23">
        <f>IFERROR(IF(ISBLANK(INDEX(Backlog[Requirement Name],MATCH($A194,Backlog[Requirement ID],0))),"",INDEX(Backlog[Requirement Name],MATCH($A194,Backlog[Requirement ID],0))),"")</f>
        <v/>
      </c>
      <c r="C194" s="23">
        <f>IFERROR(IF(ISBLANK(INDEX(Backlog[Stream],MATCH($A194,Backlog[Requirement ID],0))),"",INDEX(Backlog[Stream],MATCH($A194,Backlog[Requirement ID],0))),"")</f>
        <v/>
      </c>
      <c r="D194" s="23">
        <f>IFERROR(IF(ISBLANK(INDEX(Backlog[Jira Link],MATCH($A194,Backlog[Requirement ID],0))),"",INDEX(Backlog[Jira Link],MATCH($A194,Backlog[Requirement ID],0))),"")</f>
        <v/>
      </c>
      <c r="E194" s="23">
        <f>IFERROR(IF(ISBLANK(INDEX(Backlog[Status],MATCH($A194,Backlog[Requirement ID],0))),"",INDEX(Backlog[Status],MATCH($A194,Backlog[Requirement ID],0))),"")</f>
        <v/>
      </c>
      <c r="F194" s="23">
        <f>IFERROR(IF(ISBLANK(INDEX(SprintPlanning[Sprint],MATCH($A194,SprintPlanning[Requirement ID],0))),"",INDEX(SprintPlanning[Sprint],MATCH($A194,SprintPlanning[Requirement ID],0))),"")</f>
        <v/>
      </c>
      <c r="G194" s="21" t="n"/>
      <c r="H194" s="38" t="n"/>
      <c r="I194" s="21" t="n"/>
      <c r="J194" s="23">
        <f>IFERROR(IF(ISBLANK(INDEX(Backlog[Priority],MATCH($A194,Backlog[Requirement ID],0))),"",INDEX(Backlog[Priority],MATCH($A194,Backlog[Requirement ID],0))),"")</f>
        <v/>
      </c>
      <c r="K194" s="21" t="inlineStr">
        <is>
          <t>Pending Solution</t>
        </is>
      </c>
      <c r="L194" s="21" t="n"/>
    </row>
    <row r="195" ht="15" customHeight="1">
      <c r="A195" s="21" t="inlineStr">
        <is>
          <t>NEW-0377</t>
        </is>
      </c>
      <c r="B195" s="23">
        <f>IFERROR(IF(ISBLANK(INDEX(Backlog[Requirement Name],MATCH($A195,Backlog[Requirement ID],0))),"",INDEX(Backlog[Requirement Name],MATCH($A195,Backlog[Requirement ID],0))),"")</f>
        <v/>
      </c>
      <c r="C195" s="23">
        <f>IFERROR(IF(ISBLANK(INDEX(Backlog[Stream],MATCH($A195,Backlog[Requirement ID],0))),"",INDEX(Backlog[Stream],MATCH($A195,Backlog[Requirement ID],0))),"")</f>
        <v/>
      </c>
      <c r="D195" s="23">
        <f>IFERROR(IF(ISBLANK(INDEX(Backlog[Jira Link],MATCH($A195,Backlog[Requirement ID],0))),"",INDEX(Backlog[Jira Link],MATCH($A195,Backlog[Requirement ID],0))),"")</f>
        <v/>
      </c>
      <c r="E195" s="23">
        <f>IFERROR(IF(ISBLANK(INDEX(Backlog[Status],MATCH($A195,Backlog[Requirement ID],0))),"",INDEX(Backlog[Status],MATCH($A195,Backlog[Requirement ID],0))),"")</f>
        <v/>
      </c>
      <c r="F195" s="23">
        <f>IFERROR(IF(ISBLANK(INDEX(SprintPlanning[Sprint],MATCH($A195,SprintPlanning[Requirement ID],0))),"",INDEX(SprintPlanning[Sprint],MATCH($A195,SprintPlanning[Requirement ID],0))),"")</f>
        <v/>
      </c>
      <c r="G195" s="21" t="n"/>
      <c r="H195" s="38" t="n"/>
      <c r="I195" s="21" t="n"/>
      <c r="J195" s="23">
        <f>IFERROR(IF(ISBLANK(INDEX(Backlog[Priority],MATCH($A195,Backlog[Requirement ID],0))),"",INDEX(Backlog[Priority],MATCH($A195,Backlog[Requirement ID],0))),"")</f>
        <v/>
      </c>
      <c r="K195" s="21" t="n"/>
      <c r="L195" s="21" t="n"/>
    </row>
    <row r="196" ht="15" customHeight="1">
      <c r="A196" s="21" t="inlineStr">
        <is>
          <t>NEW-0379</t>
        </is>
      </c>
      <c r="B196" s="23">
        <f>IFERROR(IF(ISBLANK(INDEX(Backlog[Requirement Name],MATCH($A196,Backlog[Requirement ID],0))),"",INDEX(Backlog[Requirement Name],MATCH($A196,Backlog[Requirement ID],0))),"")</f>
        <v/>
      </c>
      <c r="C196" s="23">
        <f>IFERROR(IF(ISBLANK(INDEX(Backlog[Stream],MATCH($A196,Backlog[Requirement ID],0))),"",INDEX(Backlog[Stream],MATCH($A196,Backlog[Requirement ID],0))),"")</f>
        <v/>
      </c>
      <c r="D196" s="23">
        <f>IFERROR(IF(ISBLANK(INDEX(Backlog[Jira Link],MATCH($A196,Backlog[Requirement ID],0))),"",INDEX(Backlog[Jira Link],MATCH($A196,Backlog[Requirement ID],0))),"")</f>
        <v/>
      </c>
      <c r="E196" s="23">
        <f>IFERROR(IF(ISBLANK(INDEX(Backlog[Status],MATCH($A196,Backlog[Requirement ID],0))),"",INDEX(Backlog[Status],MATCH($A196,Backlog[Requirement ID],0))),"")</f>
        <v/>
      </c>
      <c r="F196" s="23">
        <f>IFERROR(IF(ISBLANK(INDEX(SprintPlanning[Sprint],MATCH($A196,SprintPlanning[Requirement ID],0))),"",INDEX(SprintPlanning[Sprint],MATCH($A196,SprintPlanning[Requirement ID],0))),"")</f>
        <v/>
      </c>
      <c r="G196" s="21" t="n"/>
      <c r="H196" s="38" t="n"/>
      <c r="I196" s="21" t="n"/>
      <c r="J196" s="23">
        <f>IFERROR(IF(ISBLANK(INDEX(Backlog[Priority],MATCH($A196,Backlog[Requirement ID],0))),"",INDEX(Backlog[Priority],MATCH($A196,Backlog[Requirement ID],0))),"")</f>
        <v/>
      </c>
      <c r="K196" s="21" t="n"/>
      <c r="L196" s="21" t="n"/>
    </row>
    <row r="197" ht="15" customHeight="1">
      <c r="A197" s="21" t="inlineStr">
        <is>
          <t>NEW-0380</t>
        </is>
      </c>
      <c r="B197" s="23">
        <f>IFERROR(IF(ISBLANK(INDEX(Backlog[Requirement Name],MATCH($A197,Backlog[Requirement ID],0))),"",INDEX(Backlog[Requirement Name],MATCH($A197,Backlog[Requirement ID],0))),"")</f>
        <v/>
      </c>
      <c r="C197" s="23">
        <f>IFERROR(IF(ISBLANK(INDEX(Backlog[Stream],MATCH($A197,Backlog[Requirement ID],0))),"",INDEX(Backlog[Stream],MATCH($A197,Backlog[Requirement ID],0))),"")</f>
        <v/>
      </c>
      <c r="D197" s="23">
        <f>IFERROR(IF(ISBLANK(INDEX(Backlog[Jira Link],MATCH($A197,Backlog[Requirement ID],0))),"",INDEX(Backlog[Jira Link],MATCH($A197,Backlog[Requirement ID],0))),"")</f>
        <v/>
      </c>
      <c r="E197" s="23">
        <f>IFERROR(IF(ISBLANK(INDEX(Backlog[Status],MATCH($A197,Backlog[Requirement ID],0))),"",INDEX(Backlog[Status],MATCH($A197,Backlog[Requirement ID],0))),"")</f>
        <v/>
      </c>
      <c r="F197" s="23">
        <f>IFERROR(IF(ISBLANK(INDEX(SprintPlanning[Sprint],MATCH($A197,SprintPlanning[Requirement ID],0))),"",INDEX(SprintPlanning[Sprint],MATCH($A197,SprintPlanning[Requirement ID],0))),"")</f>
        <v/>
      </c>
      <c r="G197" s="21" t="n"/>
      <c r="H197" s="38" t="n"/>
      <c r="I197" s="21" t="n"/>
      <c r="J197" s="23">
        <f>IFERROR(IF(ISBLANK(INDEX(Backlog[Priority],MATCH($A197,Backlog[Requirement ID],0))),"",INDEX(Backlog[Priority],MATCH($A197,Backlog[Requirement ID],0))),"")</f>
        <v/>
      </c>
      <c r="K197" s="21" t="n"/>
      <c r="L197" s="21" t="n"/>
    </row>
    <row r="198" ht="15" customHeight="1">
      <c r="A198" s="21" t="inlineStr">
        <is>
          <t>NEW-0381</t>
        </is>
      </c>
      <c r="B198" s="23">
        <f>IFERROR(IF(ISBLANK(INDEX(Backlog[Requirement Name],MATCH($A198,Backlog[Requirement ID],0))),"",INDEX(Backlog[Requirement Name],MATCH($A198,Backlog[Requirement ID],0))),"")</f>
        <v/>
      </c>
      <c r="C198" s="23">
        <f>IFERROR(IF(ISBLANK(INDEX(Backlog[Stream],MATCH($A198,Backlog[Requirement ID],0))),"",INDEX(Backlog[Stream],MATCH($A198,Backlog[Requirement ID],0))),"")</f>
        <v/>
      </c>
      <c r="D198" s="23">
        <f>IFERROR(IF(ISBLANK(INDEX(Backlog[Jira Link],MATCH($A198,Backlog[Requirement ID],0))),"",INDEX(Backlog[Jira Link],MATCH($A198,Backlog[Requirement ID],0))),"")</f>
        <v/>
      </c>
      <c r="E198" s="23">
        <f>IFERROR(IF(ISBLANK(INDEX(Backlog[Status],MATCH($A198,Backlog[Requirement ID],0))),"",INDEX(Backlog[Status],MATCH($A198,Backlog[Requirement ID],0))),"")</f>
        <v/>
      </c>
      <c r="F198" s="23">
        <f>IFERROR(IF(ISBLANK(INDEX(SprintPlanning[Sprint],MATCH($A198,SprintPlanning[Requirement ID],0))),"",INDEX(SprintPlanning[Sprint],MATCH($A198,SprintPlanning[Requirement ID],0))),"")</f>
        <v/>
      </c>
      <c r="G198" s="21" t="n"/>
      <c r="H198" s="38" t="n"/>
      <c r="I198" s="21" t="n"/>
      <c r="J198" s="23">
        <f>IFERROR(IF(ISBLANK(INDEX(Backlog[Priority],MATCH($A198,Backlog[Requirement ID],0))),"",INDEX(Backlog[Priority],MATCH($A198,Backlog[Requirement ID],0))),"")</f>
        <v/>
      </c>
      <c r="K198" s="21" t="n"/>
      <c r="L198" s="21" t="n"/>
    </row>
    <row r="199" ht="15" customHeight="1">
      <c r="A199" s="21" t="inlineStr">
        <is>
          <t>NEW-0382</t>
        </is>
      </c>
      <c r="B199" s="23">
        <f>IFERROR(IF(ISBLANK(INDEX(Backlog[Requirement Name],MATCH($A199,Backlog[Requirement ID],0))),"",INDEX(Backlog[Requirement Name],MATCH($A199,Backlog[Requirement ID],0))),"")</f>
        <v/>
      </c>
      <c r="C199" s="23">
        <f>IFERROR(IF(ISBLANK(INDEX(Backlog[Stream],MATCH($A199,Backlog[Requirement ID],0))),"",INDEX(Backlog[Stream],MATCH($A199,Backlog[Requirement ID],0))),"")</f>
        <v/>
      </c>
      <c r="D199" s="23">
        <f>IFERROR(IF(ISBLANK(INDEX(Backlog[Jira Link],MATCH($A199,Backlog[Requirement ID],0))),"",INDEX(Backlog[Jira Link],MATCH($A199,Backlog[Requirement ID],0))),"")</f>
        <v/>
      </c>
      <c r="E199" s="23">
        <f>IFERROR(IF(ISBLANK(INDEX(Backlog[Status],MATCH($A199,Backlog[Requirement ID],0))),"",INDEX(Backlog[Status],MATCH($A199,Backlog[Requirement ID],0))),"")</f>
        <v/>
      </c>
      <c r="F199" s="23">
        <f>IFERROR(IF(ISBLANK(INDEX(SprintPlanning[Sprint],MATCH($A199,SprintPlanning[Requirement ID],0))),"",INDEX(SprintPlanning[Sprint],MATCH($A199,SprintPlanning[Requirement ID],0))),"")</f>
        <v/>
      </c>
      <c r="G199" s="21" t="n"/>
      <c r="H199" s="38" t="n"/>
      <c r="I199" s="21" t="n"/>
      <c r="J199" s="23">
        <f>IFERROR(IF(ISBLANK(INDEX(Backlog[Priority],MATCH($A199,Backlog[Requirement ID],0))),"",INDEX(Backlog[Priority],MATCH($A199,Backlog[Requirement ID],0))),"")</f>
        <v/>
      </c>
      <c r="K199" s="21" t="n"/>
      <c r="L199" s="21" t="n"/>
    </row>
    <row r="200" ht="15" customHeight="1">
      <c r="A200" s="21" t="inlineStr">
        <is>
          <t>NEW-0383</t>
        </is>
      </c>
      <c r="B200" s="23">
        <f>IFERROR(IF(ISBLANK(INDEX(Backlog[Requirement Name],MATCH($A200,Backlog[Requirement ID],0))),"",INDEX(Backlog[Requirement Name],MATCH($A200,Backlog[Requirement ID],0))),"")</f>
        <v/>
      </c>
      <c r="C200" s="23">
        <f>IFERROR(IF(ISBLANK(INDEX(Backlog[Stream],MATCH($A200,Backlog[Requirement ID],0))),"",INDEX(Backlog[Stream],MATCH($A200,Backlog[Requirement ID],0))),"")</f>
        <v/>
      </c>
      <c r="D200" s="23">
        <f>IFERROR(IF(ISBLANK(INDEX(Backlog[Jira Link],MATCH($A200,Backlog[Requirement ID],0))),"",INDEX(Backlog[Jira Link],MATCH($A200,Backlog[Requirement ID],0))),"")</f>
        <v/>
      </c>
      <c r="E200" s="23">
        <f>IFERROR(IF(ISBLANK(INDEX(Backlog[Status],MATCH($A200,Backlog[Requirement ID],0))),"",INDEX(Backlog[Status],MATCH($A200,Backlog[Requirement ID],0))),"")</f>
        <v/>
      </c>
      <c r="F200" s="23">
        <f>IFERROR(IF(ISBLANK(INDEX(SprintPlanning[Sprint],MATCH($A200,SprintPlanning[Requirement ID],0))),"",INDEX(SprintPlanning[Sprint],MATCH($A200,SprintPlanning[Requirement ID],0))),"")</f>
        <v/>
      </c>
      <c r="G200" s="21" t="n"/>
      <c r="H200" s="38" t="n"/>
      <c r="I200" s="21" t="n"/>
      <c r="J200" s="23">
        <f>IFERROR(IF(ISBLANK(INDEX(Backlog[Priority],MATCH($A200,Backlog[Requirement ID],0))),"",INDEX(Backlog[Priority],MATCH($A200,Backlog[Requirement ID],0))),"")</f>
        <v/>
      </c>
      <c r="K200" s="21" t="n"/>
      <c r="L200" s="21" t="n"/>
    </row>
    <row r="201" ht="15" customHeight="1">
      <c r="A201" s="21" t="inlineStr">
        <is>
          <t>NEW-0384</t>
        </is>
      </c>
      <c r="B201" s="23">
        <f>IFERROR(IF(ISBLANK(INDEX(Backlog[Requirement Name],MATCH($A201,Backlog[Requirement ID],0))),"",INDEX(Backlog[Requirement Name],MATCH($A201,Backlog[Requirement ID],0))),"")</f>
        <v/>
      </c>
      <c r="C201" s="23">
        <f>IFERROR(IF(ISBLANK(INDEX(Backlog[Stream],MATCH($A201,Backlog[Requirement ID],0))),"",INDEX(Backlog[Stream],MATCH($A201,Backlog[Requirement ID],0))),"")</f>
        <v/>
      </c>
      <c r="D201" s="23">
        <f>IFERROR(IF(ISBLANK(INDEX(Backlog[Jira Link],MATCH($A201,Backlog[Requirement ID],0))),"",INDEX(Backlog[Jira Link],MATCH($A201,Backlog[Requirement ID],0))),"")</f>
        <v/>
      </c>
      <c r="E201" s="23">
        <f>IFERROR(IF(ISBLANK(INDEX(Backlog[Status],MATCH($A201,Backlog[Requirement ID],0))),"",INDEX(Backlog[Status],MATCH($A201,Backlog[Requirement ID],0))),"")</f>
        <v/>
      </c>
      <c r="F201" s="23">
        <f>IFERROR(IF(ISBLANK(INDEX(SprintPlanning[Sprint],MATCH($A201,SprintPlanning[Requirement ID],0))),"",INDEX(SprintPlanning[Sprint],MATCH($A201,SprintPlanning[Requirement ID],0))),"")</f>
        <v/>
      </c>
      <c r="G201" s="21" t="n"/>
      <c r="H201" s="38" t="n"/>
      <c r="I201" s="21" t="n"/>
      <c r="J201" s="23">
        <f>IFERROR(IF(ISBLANK(INDEX(Backlog[Priority],MATCH($A201,Backlog[Requirement ID],0))),"",INDEX(Backlog[Priority],MATCH($A201,Backlog[Requirement ID],0))),"")</f>
        <v/>
      </c>
      <c r="K201" s="21" t="n"/>
      <c r="L201" s="21" t="n"/>
    </row>
    <row r="202" ht="15" customHeight="1">
      <c r="A202" s="21" t="inlineStr">
        <is>
          <t>NEW-0386</t>
        </is>
      </c>
      <c r="B202" s="23">
        <f>IFERROR(IF(ISBLANK(INDEX(Backlog[Requirement Name],MATCH($A202,Backlog[Requirement ID],0))),"",INDEX(Backlog[Requirement Name],MATCH($A202,Backlog[Requirement ID],0))),"")</f>
        <v/>
      </c>
      <c r="C202" s="23">
        <f>IFERROR(IF(ISBLANK(INDEX(Backlog[Stream],MATCH($A202,Backlog[Requirement ID],0))),"",INDEX(Backlog[Stream],MATCH($A202,Backlog[Requirement ID],0))),"")</f>
        <v/>
      </c>
      <c r="D202" s="23">
        <f>IFERROR(IF(ISBLANK(INDEX(Backlog[Jira Link],MATCH($A202,Backlog[Requirement ID],0))),"",INDEX(Backlog[Jira Link],MATCH($A202,Backlog[Requirement ID],0))),"")</f>
        <v/>
      </c>
      <c r="E202" s="23">
        <f>IFERROR(IF(ISBLANK(INDEX(Backlog[Status],MATCH($A202,Backlog[Requirement ID],0))),"",INDEX(Backlog[Status],MATCH($A202,Backlog[Requirement ID],0))),"")</f>
        <v/>
      </c>
      <c r="F202" s="23">
        <f>IFERROR(IF(ISBLANK(INDEX(SprintPlanning[Sprint],MATCH($A202,SprintPlanning[Requirement ID],0))),"",INDEX(SprintPlanning[Sprint],MATCH($A202,SprintPlanning[Requirement ID],0))),"")</f>
        <v/>
      </c>
      <c r="G202" s="21" t="n"/>
      <c r="H202" s="38" t="n"/>
      <c r="I202" s="21" t="n"/>
      <c r="J202" s="23">
        <f>IFERROR(IF(ISBLANK(INDEX(Backlog[Priority],MATCH($A202,Backlog[Requirement ID],0))),"",INDEX(Backlog[Priority],MATCH($A202,Backlog[Requirement ID],0))),"")</f>
        <v/>
      </c>
      <c r="K202" s="21" t="n"/>
      <c r="L202" s="21" t="n"/>
    </row>
    <row r="203" ht="15" customHeight="1">
      <c r="A203" s="21" t="inlineStr">
        <is>
          <t>NEW-0387</t>
        </is>
      </c>
      <c r="B203" s="23">
        <f>IFERROR(IF(ISBLANK(INDEX(Backlog[Requirement Name],MATCH($A203,Backlog[Requirement ID],0))),"",INDEX(Backlog[Requirement Name],MATCH($A203,Backlog[Requirement ID],0))),"")</f>
        <v/>
      </c>
      <c r="C203" s="23">
        <f>IFERROR(IF(ISBLANK(INDEX(Backlog[Stream],MATCH($A203,Backlog[Requirement ID],0))),"",INDEX(Backlog[Stream],MATCH($A203,Backlog[Requirement ID],0))),"")</f>
        <v/>
      </c>
      <c r="D203" s="23">
        <f>IFERROR(IF(ISBLANK(INDEX(Backlog[Jira Link],MATCH($A203,Backlog[Requirement ID],0))),"",INDEX(Backlog[Jira Link],MATCH($A203,Backlog[Requirement ID],0))),"")</f>
        <v/>
      </c>
      <c r="E203" s="23">
        <f>IFERROR(IF(ISBLANK(INDEX(Backlog[Status],MATCH($A203,Backlog[Requirement ID],0))),"",INDEX(Backlog[Status],MATCH($A203,Backlog[Requirement ID],0))),"")</f>
        <v/>
      </c>
      <c r="F203" s="23">
        <f>IFERROR(IF(ISBLANK(INDEX(SprintPlanning[Sprint],MATCH($A203,SprintPlanning[Requirement ID],0))),"",INDEX(SprintPlanning[Sprint],MATCH($A203,SprintPlanning[Requirement ID],0))),"")</f>
        <v/>
      </c>
      <c r="G203" s="21" t="n"/>
      <c r="H203" s="38" t="n"/>
      <c r="I203" s="21" t="n"/>
      <c r="J203" s="23">
        <f>IFERROR(IF(ISBLANK(INDEX(Backlog[Priority],MATCH($A203,Backlog[Requirement ID],0))),"",INDEX(Backlog[Priority],MATCH($A203,Backlog[Requirement ID],0))),"")</f>
        <v/>
      </c>
      <c r="K203" s="21" t="n"/>
      <c r="L203" s="21" t="n"/>
    </row>
    <row r="204" ht="15" customHeight="1">
      <c r="A204" s="21" t="inlineStr">
        <is>
          <t>NEW-0388</t>
        </is>
      </c>
      <c r="B204" s="23">
        <f>IFERROR(IF(ISBLANK(INDEX(Backlog[Requirement Name],MATCH($A204,Backlog[Requirement ID],0))),"",INDEX(Backlog[Requirement Name],MATCH($A204,Backlog[Requirement ID],0))),"")</f>
        <v/>
      </c>
      <c r="C204" s="23">
        <f>IFERROR(IF(ISBLANK(INDEX(Backlog[Stream],MATCH($A204,Backlog[Requirement ID],0))),"",INDEX(Backlog[Stream],MATCH($A204,Backlog[Requirement ID],0))),"")</f>
        <v/>
      </c>
      <c r="D204" s="23">
        <f>IFERROR(IF(ISBLANK(INDEX(Backlog[Jira Link],MATCH($A204,Backlog[Requirement ID],0))),"",INDEX(Backlog[Jira Link],MATCH($A204,Backlog[Requirement ID],0))),"")</f>
        <v/>
      </c>
      <c r="E204" s="23">
        <f>IFERROR(IF(ISBLANK(INDEX(Backlog[Status],MATCH($A204,Backlog[Requirement ID],0))),"",INDEX(Backlog[Status],MATCH($A204,Backlog[Requirement ID],0))),"")</f>
        <v/>
      </c>
      <c r="F204" s="23">
        <f>IFERROR(IF(ISBLANK(INDEX(SprintPlanning[Sprint],MATCH($A204,SprintPlanning[Requirement ID],0))),"",INDEX(SprintPlanning[Sprint],MATCH($A204,SprintPlanning[Requirement ID],0))),"")</f>
        <v/>
      </c>
      <c r="G204" s="21" t="n"/>
      <c r="H204" s="38" t="n"/>
      <c r="I204" s="21" t="n"/>
      <c r="J204" s="23">
        <f>IFERROR(IF(ISBLANK(INDEX(Backlog[Priority],MATCH($A204,Backlog[Requirement ID],0))),"",INDEX(Backlog[Priority],MATCH($A204,Backlog[Requirement ID],0))),"")</f>
        <v/>
      </c>
      <c r="K204" s="21" t="inlineStr">
        <is>
          <t>Pending Solution</t>
        </is>
      </c>
      <c r="L204" s="21" t="inlineStr">
        <is>
          <t>Yes</t>
        </is>
      </c>
    </row>
    <row r="205" ht="15" customHeight="1">
      <c r="A205" s="21" t="inlineStr">
        <is>
          <t>NEW-0389</t>
        </is>
      </c>
      <c r="B205" s="23">
        <f>IFERROR(IF(ISBLANK(INDEX(Backlog[Requirement Name],MATCH($A205,Backlog[Requirement ID],0))),"",INDEX(Backlog[Requirement Name],MATCH($A205,Backlog[Requirement ID],0))),"")</f>
        <v/>
      </c>
      <c r="C205" s="23">
        <f>IFERROR(IF(ISBLANK(INDEX(Backlog[Stream],MATCH($A205,Backlog[Requirement ID],0))),"",INDEX(Backlog[Stream],MATCH($A205,Backlog[Requirement ID],0))),"")</f>
        <v/>
      </c>
      <c r="D205" s="23">
        <f>IFERROR(IF(ISBLANK(INDEX(Backlog[Jira Link],MATCH($A205,Backlog[Requirement ID],0))),"",INDEX(Backlog[Jira Link],MATCH($A205,Backlog[Requirement ID],0))),"")</f>
        <v/>
      </c>
      <c r="E205" s="23">
        <f>IFERROR(IF(ISBLANK(INDEX(Backlog[Status],MATCH($A205,Backlog[Requirement ID],0))),"",INDEX(Backlog[Status],MATCH($A205,Backlog[Requirement ID],0))),"")</f>
        <v/>
      </c>
      <c r="F205" s="23">
        <f>IFERROR(IF(ISBLANK(INDEX(SprintPlanning[Sprint],MATCH($A205,SprintPlanning[Requirement ID],0))),"",INDEX(SprintPlanning[Sprint],MATCH($A205,SprintPlanning[Requirement ID],0))),"")</f>
        <v/>
      </c>
      <c r="G205" s="21" t="n"/>
      <c r="H205" s="38" t="n"/>
      <c r="I205" s="21" t="n"/>
      <c r="J205" s="23">
        <f>IFERROR(IF(ISBLANK(INDEX(Backlog[Priority],MATCH($A205,Backlog[Requirement ID],0))),"",INDEX(Backlog[Priority],MATCH($A205,Backlog[Requirement ID],0))),"")</f>
        <v/>
      </c>
      <c r="K205" s="21" t="inlineStr">
        <is>
          <t>Ready for Development</t>
        </is>
      </c>
      <c r="L205" s="21" t="n"/>
    </row>
    <row r="206" ht="23.25" customHeight="1">
      <c r="A206" s="21" t="inlineStr">
        <is>
          <t>NEW-0390</t>
        </is>
      </c>
      <c r="B206" s="23">
        <f>IFERROR(IF(ISBLANK(INDEX(Backlog[Requirement Name],MATCH($A206,Backlog[Requirement ID],0))),"",INDEX(Backlog[Requirement Name],MATCH($A206,Backlog[Requirement ID],0))),"")</f>
        <v/>
      </c>
      <c r="C206" s="23">
        <f>IFERROR(IF(ISBLANK(INDEX(Backlog[Stream],MATCH($A206,Backlog[Requirement ID],0))),"",INDEX(Backlog[Stream],MATCH($A206,Backlog[Requirement ID],0))),"")</f>
        <v/>
      </c>
      <c r="D206" s="23">
        <f>IFERROR(IF(ISBLANK(INDEX(Backlog[Jira Link],MATCH($A206,Backlog[Requirement ID],0))),"",INDEX(Backlog[Jira Link],MATCH($A206,Backlog[Requirement ID],0))),"")</f>
        <v/>
      </c>
      <c r="E206" s="23">
        <f>IFERROR(IF(ISBLANK(INDEX(Backlog[Status],MATCH($A206,Backlog[Requirement ID],0))),"",INDEX(Backlog[Status],MATCH($A206,Backlog[Requirement ID],0))),"")</f>
        <v/>
      </c>
      <c r="F206" s="23">
        <f>IFERROR(IF(ISBLANK(INDEX(SprintPlanning[Sprint],MATCH($A206,SprintPlanning[Requirement ID],0))),"",INDEX(SprintPlanning[Sprint],MATCH($A206,SprintPlanning[Requirement ID],0))),"")</f>
        <v/>
      </c>
      <c r="G206" s="21" t="n"/>
      <c r="H206" s="38" t="n"/>
      <c r="I206" s="21" t="n"/>
      <c r="J206" s="23">
        <f>IFERROR(IF(ISBLANK(INDEX(Backlog[Priority],MATCH($A206,Backlog[Requirement ID],0))),"",INDEX(Backlog[Priority],MATCH($A206,Backlog[Requirement ID],0))),"")</f>
        <v/>
      </c>
      <c r="K206" s="21" t="inlineStr">
        <is>
          <t>Pending Solution</t>
        </is>
      </c>
      <c r="L206" s="21" t="inlineStr">
        <is>
          <t>Yes</t>
        </is>
      </c>
    </row>
    <row r="207" ht="15" customHeight="1">
      <c r="A207" s="21" t="inlineStr">
        <is>
          <t>NEW-0391</t>
        </is>
      </c>
      <c r="B207" s="23">
        <f>IFERROR(IF(ISBLANK(INDEX(Backlog[Requirement Name],MATCH($A207,Backlog[Requirement ID],0))),"",INDEX(Backlog[Requirement Name],MATCH($A207,Backlog[Requirement ID],0))),"")</f>
        <v/>
      </c>
      <c r="C207" s="23">
        <f>IFERROR(IF(ISBLANK(INDEX(Backlog[Stream],MATCH($A207,Backlog[Requirement ID],0))),"",INDEX(Backlog[Stream],MATCH($A207,Backlog[Requirement ID],0))),"")</f>
        <v/>
      </c>
      <c r="D207" s="23">
        <f>IFERROR(IF(ISBLANK(INDEX(Backlog[Jira Link],MATCH($A207,Backlog[Requirement ID],0))),"",INDEX(Backlog[Jira Link],MATCH($A207,Backlog[Requirement ID],0))),"")</f>
        <v/>
      </c>
      <c r="E207" s="23">
        <f>IFERROR(IF(ISBLANK(INDEX(Backlog[Status],MATCH($A207,Backlog[Requirement ID],0))),"",INDEX(Backlog[Status],MATCH($A207,Backlog[Requirement ID],0))),"")</f>
        <v/>
      </c>
      <c r="F207" s="23">
        <f>IFERROR(IF(ISBLANK(INDEX(SprintPlanning[Sprint],MATCH($A207,SprintPlanning[Requirement ID],0))),"",INDEX(SprintPlanning[Sprint],MATCH($A207,SprintPlanning[Requirement ID],0))),"")</f>
        <v/>
      </c>
      <c r="G207" s="21" t="n"/>
      <c r="H207" s="38" t="n"/>
      <c r="I207" s="21" t="n"/>
      <c r="J207" s="23">
        <f>IFERROR(IF(ISBLANK(INDEX(Backlog[Priority],MATCH($A207,Backlog[Requirement ID],0))),"",INDEX(Backlog[Priority],MATCH($A207,Backlog[Requirement ID],0))),"")</f>
        <v/>
      </c>
      <c r="K207" s="21" t="n"/>
      <c r="L207" s="21" t="n"/>
    </row>
    <row r="208" ht="15" customHeight="1">
      <c r="A208" s="21" t="inlineStr">
        <is>
          <t>NEW-0392</t>
        </is>
      </c>
      <c r="B208" s="23">
        <f>IFERROR(IF(ISBLANK(INDEX(Backlog[Requirement Name],MATCH($A208,Backlog[Requirement ID],0))),"",INDEX(Backlog[Requirement Name],MATCH($A208,Backlog[Requirement ID],0))),"")</f>
        <v/>
      </c>
      <c r="C208" s="23">
        <f>IFERROR(IF(ISBLANK(INDEX(Backlog[Stream],MATCH($A208,Backlog[Requirement ID],0))),"",INDEX(Backlog[Stream],MATCH($A208,Backlog[Requirement ID],0))),"")</f>
        <v/>
      </c>
      <c r="D208" s="23">
        <f>IFERROR(IF(ISBLANK(INDEX(Backlog[Jira Link],MATCH($A208,Backlog[Requirement ID],0))),"",INDEX(Backlog[Jira Link],MATCH($A208,Backlog[Requirement ID],0))),"")</f>
        <v/>
      </c>
      <c r="E208" s="23">
        <f>IFERROR(IF(ISBLANK(INDEX(Backlog[Status],MATCH($A208,Backlog[Requirement ID],0))),"",INDEX(Backlog[Status],MATCH($A208,Backlog[Requirement ID],0))),"")</f>
        <v/>
      </c>
      <c r="F208" s="23">
        <f>IFERROR(IF(ISBLANK(INDEX(SprintPlanning[Sprint],MATCH($A208,SprintPlanning[Requirement ID],0))),"",INDEX(SprintPlanning[Sprint],MATCH($A208,SprintPlanning[Requirement ID],0))),"")</f>
        <v/>
      </c>
      <c r="G208" s="21" t="n"/>
      <c r="H208" s="38" t="n"/>
      <c r="I208" s="21" t="n"/>
      <c r="J208" s="23">
        <f>IFERROR(IF(ISBLANK(INDEX(Backlog[Priority],MATCH($A208,Backlog[Requirement ID],0))),"",INDEX(Backlog[Priority],MATCH($A208,Backlog[Requirement ID],0))),"")</f>
        <v/>
      </c>
      <c r="K208" s="21" t="inlineStr">
        <is>
          <t>Ready for Development</t>
        </is>
      </c>
      <c r="L208" s="21" t="n"/>
    </row>
    <row r="209" ht="15" customHeight="1">
      <c r="A209" s="21" t="inlineStr">
        <is>
          <t>NEW-0395</t>
        </is>
      </c>
      <c r="B209" s="23">
        <f>IFERROR(IF(ISBLANK(INDEX(Backlog[Requirement Name],MATCH($A209,Backlog[Requirement ID],0))),"",INDEX(Backlog[Requirement Name],MATCH($A209,Backlog[Requirement ID],0))),"")</f>
        <v/>
      </c>
      <c r="C209" s="23">
        <f>IFERROR(IF(ISBLANK(INDEX(Backlog[Stream],MATCH($A209,Backlog[Requirement ID],0))),"",INDEX(Backlog[Stream],MATCH($A209,Backlog[Requirement ID],0))),"")</f>
        <v/>
      </c>
      <c r="D209" s="23">
        <f>IFERROR(IF(ISBLANK(INDEX(Backlog[Jira Link],MATCH($A209,Backlog[Requirement ID],0))),"",INDEX(Backlog[Jira Link],MATCH($A209,Backlog[Requirement ID],0))),"")</f>
        <v/>
      </c>
      <c r="E209" s="23">
        <f>IFERROR(IF(ISBLANK(INDEX(Backlog[Status],MATCH($A209,Backlog[Requirement ID],0))),"",INDEX(Backlog[Status],MATCH($A209,Backlog[Requirement ID],0))),"")</f>
        <v/>
      </c>
      <c r="F209" s="23">
        <f>IFERROR(IF(ISBLANK(INDEX(SprintPlanning[Sprint],MATCH($A209,SprintPlanning[Requirement ID],0))),"",INDEX(SprintPlanning[Sprint],MATCH($A209,SprintPlanning[Requirement ID],0))),"")</f>
        <v/>
      </c>
      <c r="G209" s="21" t="n"/>
      <c r="H209" s="38" t="n"/>
      <c r="I209" s="21" t="n"/>
      <c r="J209" s="23">
        <f>IFERROR(IF(ISBLANK(INDEX(Backlog[Priority],MATCH($A209,Backlog[Requirement ID],0))),"",INDEX(Backlog[Priority],MATCH($A209,Backlog[Requirement ID],0))),"")</f>
        <v/>
      </c>
      <c r="K209" s="21" t="n"/>
      <c r="L209" s="21" t="n"/>
    </row>
    <row r="210" ht="15" customHeight="1">
      <c r="A210" s="21" t="inlineStr">
        <is>
          <t>NEW-0397</t>
        </is>
      </c>
      <c r="B210" s="23">
        <f>IFERROR(IF(ISBLANK(INDEX(Backlog[Requirement Name],MATCH($A210,Backlog[Requirement ID],0))),"",INDEX(Backlog[Requirement Name],MATCH($A210,Backlog[Requirement ID],0))),"")</f>
        <v/>
      </c>
      <c r="C210" s="23">
        <f>IFERROR(IF(ISBLANK(INDEX(Backlog[Stream],MATCH($A210,Backlog[Requirement ID],0))),"",INDEX(Backlog[Stream],MATCH($A210,Backlog[Requirement ID],0))),"")</f>
        <v/>
      </c>
      <c r="D210" s="23">
        <f>IFERROR(IF(ISBLANK(INDEX(Backlog[Jira Link],MATCH($A210,Backlog[Requirement ID],0))),"",INDEX(Backlog[Jira Link],MATCH($A210,Backlog[Requirement ID],0))),"")</f>
        <v/>
      </c>
      <c r="E210" s="23">
        <f>IFERROR(IF(ISBLANK(INDEX(Backlog[Status],MATCH($A210,Backlog[Requirement ID],0))),"",INDEX(Backlog[Status],MATCH($A210,Backlog[Requirement ID],0))),"")</f>
        <v/>
      </c>
      <c r="F210" s="23">
        <f>IFERROR(IF(ISBLANK(INDEX(SprintPlanning[Sprint],MATCH($A210,SprintPlanning[Requirement ID],0))),"",INDEX(SprintPlanning[Sprint],MATCH($A210,SprintPlanning[Requirement ID],0))),"")</f>
        <v/>
      </c>
      <c r="G210" s="21" t="n"/>
      <c r="H210" s="38" t="n"/>
      <c r="I210" s="21" t="n"/>
      <c r="J210" s="23">
        <f>IFERROR(IF(ISBLANK(INDEX(Backlog[Priority],MATCH($A210,Backlog[Requirement ID],0))),"",INDEX(Backlog[Priority],MATCH($A210,Backlog[Requirement ID],0))),"")</f>
        <v/>
      </c>
      <c r="K210" s="21" t="n"/>
      <c r="L210" s="21" t="n"/>
    </row>
    <row r="211" ht="15" customHeight="1">
      <c r="A211" s="21" t="inlineStr">
        <is>
          <t>NEW-0398</t>
        </is>
      </c>
      <c r="B211" s="23">
        <f>IFERROR(IF(ISBLANK(INDEX(Backlog[Requirement Name],MATCH($A211,Backlog[Requirement ID],0))),"",INDEX(Backlog[Requirement Name],MATCH($A211,Backlog[Requirement ID],0))),"")</f>
        <v/>
      </c>
      <c r="C211" s="23">
        <f>IFERROR(IF(ISBLANK(INDEX(Backlog[Stream],MATCH($A211,Backlog[Requirement ID],0))),"",INDEX(Backlog[Stream],MATCH($A211,Backlog[Requirement ID],0))),"")</f>
        <v/>
      </c>
      <c r="D211" s="23">
        <f>IFERROR(IF(ISBLANK(INDEX(Backlog[Jira Link],MATCH($A211,Backlog[Requirement ID],0))),"",INDEX(Backlog[Jira Link],MATCH($A211,Backlog[Requirement ID],0))),"")</f>
        <v/>
      </c>
      <c r="E211" s="23">
        <f>IFERROR(IF(ISBLANK(INDEX(Backlog[Status],MATCH($A211,Backlog[Requirement ID],0))),"",INDEX(Backlog[Status],MATCH($A211,Backlog[Requirement ID],0))),"")</f>
        <v/>
      </c>
      <c r="F211" s="23">
        <f>IFERROR(IF(ISBLANK(INDEX(SprintPlanning[Sprint],MATCH($A211,SprintPlanning[Requirement ID],0))),"",INDEX(SprintPlanning[Sprint],MATCH($A211,SprintPlanning[Requirement ID],0))),"")</f>
        <v/>
      </c>
      <c r="G211" s="21" t="n"/>
      <c r="H211" s="38" t="n"/>
      <c r="I211" s="21" t="n"/>
      <c r="J211" s="23">
        <f>IFERROR(IF(ISBLANK(INDEX(Backlog[Priority],MATCH($A211,Backlog[Requirement ID],0))),"",INDEX(Backlog[Priority],MATCH($A211,Backlog[Requirement ID],0))),"")</f>
        <v/>
      </c>
      <c r="K211" s="21" t="n"/>
      <c r="L211" s="21" t="n"/>
    </row>
    <row r="212" ht="15" customHeight="1">
      <c r="A212" s="21" t="inlineStr">
        <is>
          <t>NEW-0399</t>
        </is>
      </c>
      <c r="B212" s="23">
        <f>IFERROR(IF(ISBLANK(INDEX(Backlog[Requirement Name],MATCH($A212,Backlog[Requirement ID],0))),"",INDEX(Backlog[Requirement Name],MATCH($A212,Backlog[Requirement ID],0))),"")</f>
        <v/>
      </c>
      <c r="C212" s="23">
        <f>IFERROR(IF(ISBLANK(INDEX(Backlog[Stream],MATCH($A212,Backlog[Requirement ID],0))),"",INDEX(Backlog[Stream],MATCH($A212,Backlog[Requirement ID],0))),"")</f>
        <v/>
      </c>
      <c r="D212" s="23">
        <f>IFERROR(IF(ISBLANK(INDEX(Backlog[Jira Link],MATCH($A212,Backlog[Requirement ID],0))),"",INDEX(Backlog[Jira Link],MATCH($A212,Backlog[Requirement ID],0))),"")</f>
        <v/>
      </c>
      <c r="E212" s="23">
        <f>IFERROR(IF(ISBLANK(INDEX(Backlog[Status],MATCH($A212,Backlog[Requirement ID],0))),"",INDEX(Backlog[Status],MATCH($A212,Backlog[Requirement ID],0))),"")</f>
        <v/>
      </c>
      <c r="F212" s="23">
        <f>IFERROR(IF(ISBLANK(INDEX(SprintPlanning[Sprint],MATCH($A212,SprintPlanning[Requirement ID],0))),"",INDEX(SprintPlanning[Sprint],MATCH($A212,SprintPlanning[Requirement ID],0))),"")</f>
        <v/>
      </c>
      <c r="G212" s="21" t="n"/>
      <c r="H212" s="38" t="n"/>
      <c r="I212" s="21" t="n"/>
      <c r="J212" s="23">
        <f>IFERROR(IF(ISBLANK(INDEX(Backlog[Priority],MATCH($A212,Backlog[Requirement ID],0))),"",INDEX(Backlog[Priority],MATCH($A212,Backlog[Requirement ID],0))),"")</f>
        <v/>
      </c>
      <c r="K212" s="21" t="n"/>
      <c r="L212" s="21" t="n"/>
    </row>
    <row r="213" ht="15" customHeight="1">
      <c r="A213" s="21" t="inlineStr">
        <is>
          <t>NEW-0400</t>
        </is>
      </c>
      <c r="B213" s="23">
        <f>IFERROR(IF(ISBLANK(INDEX(Backlog[Requirement Name],MATCH($A213,Backlog[Requirement ID],0))),"",INDEX(Backlog[Requirement Name],MATCH($A213,Backlog[Requirement ID],0))),"")</f>
        <v/>
      </c>
      <c r="C213" s="23">
        <f>IFERROR(IF(ISBLANK(INDEX(Backlog[Stream],MATCH($A213,Backlog[Requirement ID],0))),"",INDEX(Backlog[Stream],MATCH($A213,Backlog[Requirement ID],0))),"")</f>
        <v/>
      </c>
      <c r="D213" s="23">
        <f>IFERROR(IF(ISBLANK(INDEX(Backlog[Jira Link],MATCH($A213,Backlog[Requirement ID],0))),"",INDEX(Backlog[Jira Link],MATCH($A213,Backlog[Requirement ID],0))),"")</f>
        <v/>
      </c>
      <c r="E213" s="23">
        <f>IFERROR(IF(ISBLANK(INDEX(Backlog[Status],MATCH($A213,Backlog[Requirement ID],0))),"",INDEX(Backlog[Status],MATCH($A213,Backlog[Requirement ID],0))),"")</f>
        <v/>
      </c>
      <c r="F213" s="23">
        <f>IFERROR(IF(ISBLANK(INDEX(SprintPlanning[Sprint],MATCH($A213,SprintPlanning[Requirement ID],0))),"",INDEX(SprintPlanning[Sprint],MATCH($A213,SprintPlanning[Requirement ID],0))),"")</f>
        <v/>
      </c>
      <c r="G213" s="21" t="n"/>
      <c r="H213" s="38" t="n"/>
      <c r="I213" s="21" t="n"/>
      <c r="J213" s="23">
        <f>IFERROR(IF(ISBLANK(INDEX(Backlog[Priority],MATCH($A213,Backlog[Requirement ID],0))),"",INDEX(Backlog[Priority],MATCH($A213,Backlog[Requirement ID],0))),"")</f>
        <v/>
      </c>
      <c r="K213" s="21" t="n"/>
      <c r="L213" s="21" t="n"/>
    </row>
    <row r="214" ht="15" customHeight="1">
      <c r="A214" s="21" t="inlineStr">
        <is>
          <t>NEW-0401</t>
        </is>
      </c>
      <c r="B214" s="23">
        <f>IFERROR(IF(ISBLANK(INDEX(Backlog[Requirement Name],MATCH($A214,Backlog[Requirement ID],0))),"",INDEX(Backlog[Requirement Name],MATCH($A214,Backlog[Requirement ID],0))),"")</f>
        <v/>
      </c>
      <c r="C214" s="23">
        <f>IFERROR(IF(ISBLANK(INDEX(Backlog[Stream],MATCH($A214,Backlog[Requirement ID],0))),"",INDEX(Backlog[Stream],MATCH($A214,Backlog[Requirement ID],0))),"")</f>
        <v/>
      </c>
      <c r="D214" s="23">
        <f>IFERROR(IF(ISBLANK(INDEX(Backlog[Jira Link],MATCH($A214,Backlog[Requirement ID],0))),"",INDEX(Backlog[Jira Link],MATCH($A214,Backlog[Requirement ID],0))),"")</f>
        <v/>
      </c>
      <c r="E214" s="23">
        <f>IFERROR(IF(ISBLANK(INDEX(Backlog[Status],MATCH($A214,Backlog[Requirement ID],0))),"",INDEX(Backlog[Status],MATCH($A214,Backlog[Requirement ID],0))),"")</f>
        <v/>
      </c>
      <c r="F214" s="23">
        <f>IFERROR(IF(ISBLANK(INDEX(SprintPlanning[Sprint],MATCH($A214,SprintPlanning[Requirement ID],0))),"",INDEX(SprintPlanning[Sprint],MATCH($A214,SprintPlanning[Requirement ID],0))),"")</f>
        <v/>
      </c>
      <c r="G214" s="21" t="n"/>
      <c r="H214" s="38" t="n"/>
      <c r="I214" s="21" t="n"/>
      <c r="J214" s="23">
        <f>IFERROR(IF(ISBLANK(INDEX(Backlog[Priority],MATCH($A214,Backlog[Requirement ID],0))),"",INDEX(Backlog[Priority],MATCH($A214,Backlog[Requirement ID],0))),"")</f>
        <v/>
      </c>
      <c r="K214" s="21" t="n"/>
      <c r="L214" s="21" t="n"/>
    </row>
    <row r="215" ht="15" customHeight="1">
      <c r="A215" s="21" t="inlineStr">
        <is>
          <t>NEW-0402</t>
        </is>
      </c>
      <c r="B215" s="23">
        <f>IFERROR(IF(ISBLANK(INDEX(Backlog[Requirement Name],MATCH($A215,Backlog[Requirement ID],0))),"",INDEX(Backlog[Requirement Name],MATCH($A215,Backlog[Requirement ID],0))),"")</f>
        <v/>
      </c>
      <c r="C215" s="23">
        <f>IFERROR(IF(ISBLANK(INDEX(Backlog[Stream],MATCH($A215,Backlog[Requirement ID],0))),"",INDEX(Backlog[Stream],MATCH($A215,Backlog[Requirement ID],0))),"")</f>
        <v/>
      </c>
      <c r="D215" s="23">
        <f>IFERROR(IF(ISBLANK(INDEX(Backlog[Jira Link],MATCH($A215,Backlog[Requirement ID],0))),"",INDEX(Backlog[Jira Link],MATCH($A215,Backlog[Requirement ID],0))),"")</f>
        <v/>
      </c>
      <c r="E215" s="23">
        <f>IFERROR(IF(ISBLANK(INDEX(Backlog[Status],MATCH($A215,Backlog[Requirement ID],0))),"",INDEX(Backlog[Status],MATCH($A215,Backlog[Requirement ID],0))),"")</f>
        <v/>
      </c>
      <c r="F215" s="23">
        <f>IFERROR(IF(ISBLANK(INDEX(SprintPlanning[Sprint],MATCH($A215,SprintPlanning[Requirement ID],0))),"",INDEX(SprintPlanning[Sprint],MATCH($A215,SprintPlanning[Requirement ID],0))),"")</f>
        <v/>
      </c>
      <c r="G215" s="21" t="n"/>
      <c r="H215" s="38" t="n"/>
      <c r="I215" s="21" t="n"/>
      <c r="J215" s="23">
        <f>IFERROR(IF(ISBLANK(INDEX(Backlog[Priority],MATCH($A215,Backlog[Requirement ID],0))),"",INDEX(Backlog[Priority],MATCH($A215,Backlog[Requirement ID],0))),"")</f>
        <v/>
      </c>
      <c r="K215" s="21" t="n"/>
      <c r="L215" s="21" t="n"/>
    </row>
    <row r="216" ht="15" customHeight="1">
      <c r="A216" s="21" t="inlineStr">
        <is>
          <t>NEW-0403</t>
        </is>
      </c>
      <c r="B216" s="23">
        <f>IFERROR(IF(ISBLANK(INDEX(Backlog[Requirement Name],MATCH($A216,Backlog[Requirement ID],0))),"",INDEX(Backlog[Requirement Name],MATCH($A216,Backlog[Requirement ID],0))),"")</f>
        <v/>
      </c>
      <c r="C216" s="23">
        <f>IFERROR(IF(ISBLANK(INDEX(Backlog[Stream],MATCH($A216,Backlog[Requirement ID],0))),"",INDEX(Backlog[Stream],MATCH($A216,Backlog[Requirement ID],0))),"")</f>
        <v/>
      </c>
      <c r="D216" s="23">
        <f>IFERROR(IF(ISBLANK(INDEX(Backlog[Jira Link],MATCH($A216,Backlog[Requirement ID],0))),"",INDEX(Backlog[Jira Link],MATCH($A216,Backlog[Requirement ID],0))),"")</f>
        <v/>
      </c>
      <c r="E216" s="23">
        <f>IFERROR(IF(ISBLANK(INDEX(Backlog[Status],MATCH($A216,Backlog[Requirement ID],0))),"",INDEX(Backlog[Status],MATCH($A216,Backlog[Requirement ID],0))),"")</f>
        <v/>
      </c>
      <c r="F216" s="23">
        <f>IFERROR(IF(ISBLANK(INDEX(SprintPlanning[Sprint],MATCH($A216,SprintPlanning[Requirement ID],0))),"",INDEX(SprintPlanning[Sprint],MATCH($A216,SprintPlanning[Requirement ID],0))),"")</f>
        <v/>
      </c>
      <c r="G216" s="21" t="n"/>
      <c r="H216" s="38" t="n"/>
      <c r="I216" s="21" t="n"/>
      <c r="J216" s="23">
        <f>IFERROR(IF(ISBLANK(INDEX(Backlog[Priority],MATCH($A216,Backlog[Requirement ID],0))),"",INDEX(Backlog[Priority],MATCH($A216,Backlog[Requirement ID],0))),"")</f>
        <v/>
      </c>
      <c r="K216" s="21" t="n"/>
      <c r="L216" s="21" t="n"/>
    </row>
    <row r="217" ht="15" customHeight="1">
      <c r="A217" s="21" t="inlineStr">
        <is>
          <t>NEW-0404</t>
        </is>
      </c>
      <c r="B217" s="23">
        <f>IFERROR(IF(ISBLANK(INDEX(Backlog[Requirement Name],MATCH($A217,Backlog[Requirement ID],0))),"",INDEX(Backlog[Requirement Name],MATCH($A217,Backlog[Requirement ID],0))),"")</f>
        <v/>
      </c>
      <c r="C217" s="23">
        <f>IFERROR(IF(ISBLANK(INDEX(Backlog[Stream],MATCH($A217,Backlog[Requirement ID],0))),"",INDEX(Backlog[Stream],MATCH($A217,Backlog[Requirement ID],0))),"")</f>
        <v/>
      </c>
      <c r="D217" s="23">
        <f>IFERROR(IF(ISBLANK(INDEX(Backlog[Jira Link],MATCH($A217,Backlog[Requirement ID],0))),"",INDEX(Backlog[Jira Link],MATCH($A217,Backlog[Requirement ID],0))),"")</f>
        <v/>
      </c>
      <c r="E217" s="23">
        <f>IFERROR(IF(ISBLANK(INDEX(Backlog[Status],MATCH($A217,Backlog[Requirement ID],0))),"",INDEX(Backlog[Status],MATCH($A217,Backlog[Requirement ID],0))),"")</f>
        <v/>
      </c>
      <c r="F217" s="23">
        <f>IFERROR(IF(ISBLANK(INDEX(SprintPlanning[Sprint],MATCH($A217,SprintPlanning[Requirement ID],0))),"",INDEX(SprintPlanning[Sprint],MATCH($A217,SprintPlanning[Requirement ID],0))),"")</f>
        <v/>
      </c>
      <c r="G217" s="21" t="n"/>
      <c r="H217" s="38" t="n"/>
      <c r="I217" s="21" t="n"/>
      <c r="J217" s="23">
        <f>IFERROR(IF(ISBLANK(INDEX(Backlog[Priority],MATCH($A217,Backlog[Requirement ID],0))),"",INDEX(Backlog[Priority],MATCH($A217,Backlog[Requirement ID],0))),"")</f>
        <v/>
      </c>
      <c r="K217" s="21" t="n"/>
      <c r="L217" s="21" t="n"/>
    </row>
    <row r="218" ht="15" customHeight="1">
      <c r="A218" s="21" t="inlineStr">
        <is>
          <t>NEW-0042</t>
        </is>
      </c>
      <c r="B218" s="23">
        <f>IFERROR(IF(ISBLANK(INDEX(Backlog[Requirement Name],MATCH($A218,Backlog[Requirement ID],0))),"",INDEX(Backlog[Requirement Name],MATCH($A218,Backlog[Requirement ID],0))),"")</f>
        <v/>
      </c>
      <c r="C218" s="23">
        <f>IFERROR(IF(ISBLANK(INDEX(Backlog[Stream],MATCH($A218,Backlog[Requirement ID],0))),"",INDEX(Backlog[Stream],MATCH($A218,Backlog[Requirement ID],0))),"")</f>
        <v/>
      </c>
      <c r="D218" s="23">
        <f>IFERROR(IF(ISBLANK(INDEX(Backlog[Jira Link],MATCH($A218,Backlog[Requirement ID],0))),"",INDEX(Backlog[Jira Link],MATCH($A218,Backlog[Requirement ID],0))),"")</f>
        <v/>
      </c>
      <c r="E218" s="23">
        <f>IFERROR(IF(ISBLANK(INDEX(Backlog[Status],MATCH($A218,Backlog[Requirement ID],0))),"",INDEX(Backlog[Status],MATCH($A218,Backlog[Requirement ID],0))),"")</f>
        <v/>
      </c>
      <c r="F218" s="23">
        <f>IFERROR(IF(ISBLANK(INDEX(SprintPlanning[Sprint],MATCH($A218,SprintPlanning[Requirement ID],0))),"",INDEX(SprintPlanning[Sprint],MATCH($A218,SprintPlanning[Requirement ID],0))),"")</f>
        <v/>
      </c>
      <c r="G218" s="21" t="n"/>
      <c r="H218" s="38" t="n"/>
      <c r="I218" s="21" t="n"/>
      <c r="J218" s="23">
        <f>IFERROR(IF(ISBLANK(INDEX(Backlog[Priority],MATCH($A218,Backlog[Requirement ID],0))),"",INDEX(Backlog[Priority],MATCH($A218,Backlog[Requirement ID],0))),"")</f>
        <v/>
      </c>
      <c r="K218" s="21" t="inlineStr">
        <is>
          <t>Ready for Development</t>
        </is>
      </c>
      <c r="L218" s="21" t="n"/>
    </row>
    <row r="219" ht="15" customHeight="1">
      <c r="A219" s="21" t="inlineStr">
        <is>
          <t>NEW-0405</t>
        </is>
      </c>
      <c r="B219" s="23">
        <f>IFERROR(IF(ISBLANK(INDEX(Backlog[Requirement Name],MATCH($A219,Backlog[Requirement ID],0))),"",INDEX(Backlog[Requirement Name],MATCH($A219,Backlog[Requirement ID],0))),"")</f>
        <v/>
      </c>
      <c r="C219" s="23">
        <f>IFERROR(IF(ISBLANK(INDEX(Backlog[Stream],MATCH($A219,Backlog[Requirement ID],0))),"",INDEX(Backlog[Stream],MATCH($A219,Backlog[Requirement ID],0))),"")</f>
        <v/>
      </c>
      <c r="D219" s="23">
        <f>IFERROR(IF(ISBLANK(INDEX(Backlog[Jira Link],MATCH($A219,Backlog[Requirement ID],0))),"",INDEX(Backlog[Jira Link],MATCH($A219,Backlog[Requirement ID],0))),"")</f>
        <v/>
      </c>
      <c r="E219" s="23">
        <f>IFERROR(IF(ISBLANK(INDEX(Backlog[Status],MATCH($A219,Backlog[Requirement ID],0))),"",INDEX(Backlog[Status],MATCH($A219,Backlog[Requirement ID],0))),"")</f>
        <v/>
      </c>
      <c r="F219" s="23">
        <f>IFERROR(IF(ISBLANK(INDEX(SprintPlanning[Sprint],MATCH($A219,SprintPlanning[Requirement ID],0))),"",INDEX(SprintPlanning[Sprint],MATCH($A219,SprintPlanning[Requirement ID],0))),"")</f>
        <v/>
      </c>
      <c r="G219" s="21" t="n"/>
      <c r="H219" s="38" t="n"/>
      <c r="I219" s="21" t="n"/>
      <c r="J219" s="23">
        <f>IFERROR(IF(ISBLANK(INDEX(Backlog[Priority],MATCH($A219,Backlog[Requirement ID],0))),"",INDEX(Backlog[Priority],MATCH($A219,Backlog[Requirement ID],0))),"")</f>
        <v/>
      </c>
      <c r="K219" s="21" t="n"/>
      <c r="L219" s="21" t="n"/>
    </row>
    <row r="220" ht="15" customHeight="1">
      <c r="A220" t="inlineStr">
        <is>
          <t>NEW-0416</t>
        </is>
      </c>
      <c r="B220">
        <f>IFERROR(IF(ISBLANK(INDEX(Backlog[Requirement Name],MATCH($A220,Backlog[Requirement ID],0))),"",INDEX(Backlog[Requirement Name],MATCH($A220,Backlog[Requirement ID],0))),"")</f>
        <v/>
      </c>
      <c r="C220">
        <f>IFERROR(IF(ISBLANK(INDEX(Backlog[Stream],MATCH($A220,Backlog[Requirement ID],0))),"",INDEX(Backlog[Stream],MATCH($A220,Backlog[Requirement ID],0))),"")</f>
        <v/>
      </c>
      <c r="D220">
        <f>IFERROR(IF(ISBLANK(INDEX(Backlog[Jira Link],MATCH($A220,Backlog[Requirement ID],0))),"",INDEX(Backlog[Jira Link],MATCH($A220,Backlog[Requirement ID],0))),"")</f>
        <v/>
      </c>
      <c r="E220">
        <f>IFERROR(IF(ISBLANK(INDEX(Backlog[Status],MATCH($A220,Backlog[Requirement ID],0))),"",INDEX(Backlog[Status],MATCH($A220,Backlog[Requirement ID],0))),"")</f>
        <v/>
      </c>
      <c r="F220">
        <f>IFERROR(IF(ISBLANK(INDEX(SprintPlanning[Sprint],MATCH($A220,SprintPlanning[Requirement ID],0))),"",INDEX(SprintPlanning[Sprint],MATCH($A220,SprintPlanning[Requirement ID],0))),"")</f>
        <v/>
      </c>
      <c r="H220" s="40" t="n"/>
      <c r="J220">
        <f>IFERROR(IF(ISBLANK(INDEX(Backlog[Priority],MATCH($A220,Backlog[Requirement ID],0))),"",INDEX(Backlog[Priority],MATCH($A220,Backlog[Requirement ID],0))),"")</f>
        <v/>
      </c>
    </row>
    <row r="221" ht="15" customHeight="1">
      <c r="A221" t="inlineStr">
        <is>
          <t>NEW-0417</t>
        </is>
      </c>
      <c r="B221">
        <f>IFERROR(IF(ISBLANK(INDEX(Backlog[Requirement Name],MATCH($A221,Backlog[Requirement ID],0))),"",INDEX(Backlog[Requirement Name],MATCH($A221,Backlog[Requirement ID],0))),"")</f>
        <v/>
      </c>
      <c r="C221">
        <f>IFERROR(IF(ISBLANK(INDEX(Backlog[Stream],MATCH($A221,Backlog[Requirement ID],0))),"",INDEX(Backlog[Stream],MATCH($A221,Backlog[Requirement ID],0))),"")</f>
        <v/>
      </c>
      <c r="D221">
        <f>IFERROR(IF(ISBLANK(INDEX(Backlog[Jira Link],MATCH($A221,Backlog[Requirement ID],0))),"",INDEX(Backlog[Jira Link],MATCH($A221,Backlog[Requirement ID],0))),"")</f>
        <v/>
      </c>
      <c r="E221">
        <f>IFERROR(IF(ISBLANK(INDEX(Backlog[Status],MATCH($A221,Backlog[Requirement ID],0))),"",INDEX(Backlog[Status],MATCH($A221,Backlog[Requirement ID],0))),"")</f>
        <v/>
      </c>
      <c r="F221">
        <f>IFERROR(IF(ISBLANK(INDEX(SprintPlanning[Sprint],MATCH($A221,SprintPlanning[Requirement ID],0))),"",INDEX(SprintPlanning[Sprint],MATCH($A221,SprintPlanning[Requirement ID],0))),"")</f>
        <v/>
      </c>
      <c r="H221" s="40" t="n"/>
      <c r="J221">
        <f>IFERROR(IF(ISBLANK(INDEX(Backlog[Priority],MATCH($A221,Backlog[Requirement ID],0))),"",INDEX(Backlog[Priority],MATCH($A221,Backlog[Requirement ID],0))),"")</f>
        <v/>
      </c>
    </row>
    <row r="222" ht="15" customHeight="1">
      <c r="A222" t="inlineStr">
        <is>
          <t>NEW-0418</t>
        </is>
      </c>
      <c r="B222">
        <f>IFERROR(IF(ISBLANK(INDEX(Backlog[Requirement Name],MATCH($A222,Backlog[Requirement ID],0))),"",INDEX(Backlog[Requirement Name],MATCH($A222,Backlog[Requirement ID],0))),"")</f>
        <v/>
      </c>
      <c r="C222">
        <f>IFERROR(IF(ISBLANK(INDEX(Backlog[Stream],MATCH($A222,Backlog[Requirement ID],0))),"",INDEX(Backlog[Stream],MATCH($A222,Backlog[Requirement ID],0))),"")</f>
        <v/>
      </c>
      <c r="D222">
        <f>IFERROR(IF(ISBLANK(INDEX(Backlog[Jira Link],MATCH($A222,Backlog[Requirement ID],0))),"",INDEX(Backlog[Jira Link],MATCH($A222,Backlog[Requirement ID],0))),"")</f>
        <v/>
      </c>
      <c r="E222">
        <f>IFERROR(IF(ISBLANK(INDEX(Backlog[Status],MATCH($A222,Backlog[Requirement ID],0))),"",INDEX(Backlog[Status],MATCH($A222,Backlog[Requirement ID],0))),"")</f>
        <v/>
      </c>
      <c r="F222">
        <f>IFERROR(IF(ISBLANK(INDEX(SprintPlanning[Sprint],MATCH($A222,SprintPlanning[Requirement ID],0))),"",INDEX(SprintPlanning[Sprint],MATCH($A222,SprintPlanning[Requirement ID],0))),"")</f>
        <v/>
      </c>
      <c r="G222" t="inlineStr">
        <is>
          <t>Yes</t>
        </is>
      </c>
      <c r="H222" s="40" t="n"/>
      <c r="J222">
        <f>IFERROR(IF(ISBLANK(INDEX(Backlog[Priority],MATCH($A222,Backlog[Requirement ID],0))),"",INDEX(Backlog[Priority],MATCH($A222,Backlog[Requirement ID],0))),"")</f>
        <v/>
      </c>
      <c r="K222" t="inlineStr">
        <is>
          <t>Ready for Development</t>
        </is>
      </c>
    </row>
    <row r="223" ht="15" customHeight="1">
      <c r="A223" t="inlineStr">
        <is>
          <t>NEW-0419</t>
        </is>
      </c>
      <c r="B223">
        <f>IFERROR(IF(ISBLANK(INDEX(Backlog[Requirement Name],MATCH($A223,Backlog[Requirement ID],0))),"",INDEX(Backlog[Requirement Name],MATCH($A223,Backlog[Requirement ID],0))),"")</f>
        <v/>
      </c>
      <c r="C223">
        <f>IFERROR(IF(ISBLANK(INDEX(Backlog[Stream],MATCH($A223,Backlog[Requirement ID],0))),"",INDEX(Backlog[Stream],MATCH($A223,Backlog[Requirement ID],0))),"")</f>
        <v/>
      </c>
      <c r="D223">
        <f>IFERROR(IF(ISBLANK(INDEX(Backlog[Jira Link],MATCH($A223,Backlog[Requirement ID],0))),"",INDEX(Backlog[Jira Link],MATCH($A223,Backlog[Requirement ID],0))),"")</f>
        <v/>
      </c>
      <c r="E223">
        <f>IFERROR(IF(ISBLANK(INDEX(Backlog[Status],MATCH($A223,Backlog[Requirement ID],0))),"",INDEX(Backlog[Status],MATCH($A223,Backlog[Requirement ID],0))),"")</f>
        <v/>
      </c>
      <c r="F223">
        <f>IFERROR(IF(ISBLANK(INDEX(SprintPlanning[Sprint],MATCH($A223,SprintPlanning[Requirement ID],0))),"",INDEX(SprintPlanning[Sprint],MATCH($A223,SprintPlanning[Requirement ID],0))),"")</f>
        <v/>
      </c>
      <c r="H223" s="40" t="n"/>
      <c r="J223">
        <f>IFERROR(IF(ISBLANK(INDEX(Backlog[Priority],MATCH($A223,Backlog[Requirement ID],0))),"",INDEX(Backlog[Priority],MATCH($A223,Backlog[Requirement ID],0))),"")</f>
        <v/>
      </c>
    </row>
    <row r="224" ht="15" customHeight="1">
      <c r="A224" t="inlineStr">
        <is>
          <t>NEW-0420</t>
        </is>
      </c>
      <c r="B224">
        <f>IFERROR(IF(ISBLANK(INDEX(Backlog[Requirement Name],MATCH($A224,Backlog[Requirement ID],0))),"",INDEX(Backlog[Requirement Name],MATCH($A224,Backlog[Requirement ID],0))),"")</f>
        <v/>
      </c>
      <c r="C224">
        <f>IFERROR(IF(ISBLANK(INDEX(Backlog[Stream],MATCH($A224,Backlog[Requirement ID],0))),"",INDEX(Backlog[Stream],MATCH($A224,Backlog[Requirement ID],0))),"")</f>
        <v/>
      </c>
      <c r="D224">
        <f>IFERROR(IF(ISBLANK(INDEX(Backlog[Jira Link],MATCH($A224,Backlog[Requirement ID],0))),"",INDEX(Backlog[Jira Link],MATCH($A224,Backlog[Requirement ID],0))),"")</f>
        <v/>
      </c>
      <c r="E224">
        <f>IFERROR(IF(ISBLANK(INDEX(Backlog[Status],MATCH($A224,Backlog[Requirement ID],0))),"",INDEX(Backlog[Status],MATCH($A224,Backlog[Requirement ID],0))),"")</f>
        <v/>
      </c>
      <c r="F224">
        <f>IFERROR(IF(ISBLANK(INDEX(SprintPlanning[Sprint],MATCH($A224,SprintPlanning[Requirement ID],0))),"",INDEX(SprintPlanning[Sprint],MATCH($A224,SprintPlanning[Requirement ID],0))),"")</f>
        <v/>
      </c>
      <c r="H224" s="40" t="n"/>
      <c r="J224">
        <f>IFERROR(IF(ISBLANK(INDEX(Backlog[Priority],MATCH($A224,Backlog[Requirement ID],0))),"",INDEX(Backlog[Priority],MATCH($A224,Backlog[Requirement ID],0))),"")</f>
        <v/>
      </c>
    </row>
    <row r="225" ht="15" customHeight="1">
      <c r="A225" t="inlineStr">
        <is>
          <t>NEW-0421</t>
        </is>
      </c>
      <c r="B225">
        <f>IFERROR(IF(ISBLANK(INDEX(Backlog[Requirement Name],MATCH($A225,Backlog[Requirement ID],0))),"",INDEX(Backlog[Requirement Name],MATCH($A225,Backlog[Requirement ID],0))),"")</f>
        <v/>
      </c>
      <c r="C225">
        <f>IFERROR(IF(ISBLANK(INDEX(Backlog[Stream],MATCH($A225,Backlog[Requirement ID],0))),"",INDEX(Backlog[Stream],MATCH($A225,Backlog[Requirement ID],0))),"")</f>
        <v/>
      </c>
      <c r="D225">
        <f>IFERROR(IF(ISBLANK(INDEX(Backlog[Jira Link],MATCH($A225,Backlog[Requirement ID],0))),"",INDEX(Backlog[Jira Link],MATCH($A225,Backlog[Requirement ID],0))),"")</f>
        <v/>
      </c>
      <c r="E225">
        <f>IFERROR(IF(ISBLANK(INDEX(Backlog[Status],MATCH($A225,Backlog[Requirement ID],0))),"",INDEX(Backlog[Status],MATCH($A225,Backlog[Requirement ID],0))),"")</f>
        <v/>
      </c>
      <c r="F225">
        <f>IFERROR(IF(ISBLANK(INDEX(SprintPlanning[Sprint],MATCH($A225,SprintPlanning[Requirement ID],0))),"",INDEX(SprintPlanning[Sprint],MATCH($A225,SprintPlanning[Requirement ID],0))),"")</f>
        <v/>
      </c>
      <c r="H225" s="40" t="n"/>
      <c r="J225">
        <f>IFERROR(IF(ISBLANK(INDEX(Backlog[Priority],MATCH($A225,Backlog[Requirement ID],0))),"",INDEX(Backlog[Priority],MATCH($A225,Backlog[Requirement ID],0))),"")</f>
        <v/>
      </c>
    </row>
    <row r="226" ht="23.25" customHeight="1">
      <c r="A226" t="inlineStr">
        <is>
          <t>NEW-0422</t>
        </is>
      </c>
      <c r="B226">
        <f>IFERROR(IF(ISBLANK(INDEX(Backlog[Requirement Name],MATCH($A226,Backlog[Requirement ID],0))),"",INDEX(Backlog[Requirement Name],MATCH($A226,Backlog[Requirement ID],0))),"")</f>
        <v/>
      </c>
      <c r="C226">
        <f>IFERROR(IF(ISBLANK(INDEX(Backlog[Stream],MATCH($A226,Backlog[Requirement ID],0))),"",INDEX(Backlog[Stream],MATCH($A226,Backlog[Requirement ID],0))),"")</f>
        <v/>
      </c>
      <c r="D226">
        <f>IFERROR(IF(ISBLANK(INDEX(Backlog[Jira Link],MATCH($A226,Backlog[Requirement ID],0))),"",INDEX(Backlog[Jira Link],MATCH($A226,Backlog[Requirement ID],0))),"")</f>
        <v/>
      </c>
      <c r="E226">
        <f>IFERROR(IF(ISBLANK(INDEX(Backlog[Status],MATCH($A226,Backlog[Requirement ID],0))),"",INDEX(Backlog[Status],MATCH($A226,Backlog[Requirement ID],0))),"")</f>
        <v/>
      </c>
      <c r="F226">
        <f>IFERROR(IF(ISBLANK(INDEX(SprintPlanning[Sprint],MATCH($A226,SprintPlanning[Requirement ID],0))),"",INDEX(SprintPlanning[Sprint],MATCH($A226,SprintPlanning[Requirement ID],0))),"")</f>
        <v/>
      </c>
      <c r="H226" s="40" t="n"/>
      <c r="J226">
        <f>IFERROR(IF(ISBLANK(INDEX(Backlog[Priority],MATCH($A226,Backlog[Requirement ID],0))),"",INDEX(Backlog[Priority],MATCH($A226,Backlog[Requirement ID],0))),"")</f>
        <v/>
      </c>
    </row>
    <row r="227" ht="15" customHeight="1">
      <c r="A227" t="inlineStr">
        <is>
          <t>NEW-0423</t>
        </is>
      </c>
      <c r="B227">
        <f>IFERROR(IF(ISBLANK(INDEX(Backlog[Requirement Name],MATCH($A227,Backlog[Requirement ID],0))),"",INDEX(Backlog[Requirement Name],MATCH($A227,Backlog[Requirement ID],0))),"")</f>
        <v/>
      </c>
      <c r="C227">
        <f>IFERROR(IF(ISBLANK(INDEX(Backlog[Stream],MATCH($A227,Backlog[Requirement ID],0))),"",INDEX(Backlog[Stream],MATCH($A227,Backlog[Requirement ID],0))),"")</f>
        <v/>
      </c>
      <c r="D227">
        <f>IFERROR(IF(ISBLANK(INDEX(Backlog[Jira Link],MATCH($A227,Backlog[Requirement ID],0))),"",INDEX(Backlog[Jira Link],MATCH($A227,Backlog[Requirement ID],0))),"")</f>
        <v/>
      </c>
      <c r="E227">
        <f>IFERROR(IF(ISBLANK(INDEX(Backlog[Status],MATCH($A227,Backlog[Requirement ID],0))),"",INDEX(Backlog[Status],MATCH($A227,Backlog[Requirement ID],0))),"")</f>
        <v/>
      </c>
      <c r="F227">
        <f>IFERROR(IF(ISBLANK(INDEX(SprintPlanning[Sprint],MATCH($A227,SprintPlanning[Requirement ID],0))),"",INDEX(SprintPlanning[Sprint],MATCH($A227,SprintPlanning[Requirement ID],0))),"")</f>
        <v/>
      </c>
      <c r="H227" s="40" t="n"/>
      <c r="J227">
        <f>IFERROR(IF(ISBLANK(INDEX(Backlog[Priority],MATCH($A227,Backlog[Requirement ID],0))),"",INDEX(Backlog[Priority],MATCH($A227,Backlog[Requirement ID],0))),"")</f>
        <v/>
      </c>
    </row>
    <row r="228" ht="15" customHeight="1">
      <c r="A228" t="inlineStr">
        <is>
          <t>NEW-0406</t>
        </is>
      </c>
      <c r="B228">
        <f>IFERROR(IF(ISBLANK(INDEX(Backlog[Requirement Name],MATCH($A228,Backlog[Requirement ID],0))),"",INDEX(Backlog[Requirement Name],MATCH($A228,Backlog[Requirement ID],0))),"")</f>
        <v/>
      </c>
      <c r="C228">
        <f>IFERROR(IF(ISBLANK(INDEX(Backlog[Stream],MATCH($A228,Backlog[Requirement ID],0))),"",INDEX(Backlog[Stream],MATCH($A228,Backlog[Requirement ID],0))),"")</f>
        <v/>
      </c>
      <c r="D228">
        <f>IFERROR(IF(ISBLANK(INDEX(Backlog[Jira Link],MATCH($A228,Backlog[Requirement ID],0))),"",INDEX(Backlog[Jira Link],MATCH($A228,Backlog[Requirement ID],0))),"")</f>
        <v/>
      </c>
      <c r="E228">
        <f>IFERROR(IF(ISBLANK(INDEX(Backlog[Status],MATCH($A228,Backlog[Requirement ID],0))),"",INDEX(Backlog[Status],MATCH($A228,Backlog[Requirement ID],0))),"")</f>
        <v/>
      </c>
      <c r="F228">
        <f>IFERROR(IF(ISBLANK(INDEX(SprintPlanning[Sprint],MATCH($A228,SprintPlanning[Requirement ID],0))),"",INDEX(SprintPlanning[Sprint],MATCH($A228,SprintPlanning[Requirement ID],0))),"")</f>
        <v/>
      </c>
      <c r="H228" s="40" t="n"/>
      <c r="J228">
        <f>IFERROR(IF(ISBLANK(INDEX(Backlog[Priority],MATCH($A228,Backlog[Requirement ID],0))),"",INDEX(Backlog[Priority],MATCH($A228,Backlog[Requirement ID],0))),"")</f>
        <v/>
      </c>
    </row>
    <row r="229" ht="15" customHeight="1">
      <c r="A229" t="inlineStr">
        <is>
          <t>NEW-0407</t>
        </is>
      </c>
      <c r="B229">
        <f>IFERROR(IF(ISBLANK(INDEX(Backlog[Requirement Name],MATCH($A229,Backlog[Requirement ID],0))),"",INDEX(Backlog[Requirement Name],MATCH($A229,Backlog[Requirement ID],0))),"")</f>
        <v/>
      </c>
      <c r="C229">
        <f>IFERROR(IF(ISBLANK(INDEX(Backlog[Stream],MATCH($A229,Backlog[Requirement ID],0))),"",INDEX(Backlog[Stream],MATCH($A229,Backlog[Requirement ID],0))),"")</f>
        <v/>
      </c>
      <c r="D229">
        <f>IFERROR(IF(ISBLANK(INDEX(Backlog[Jira Link],MATCH($A229,Backlog[Requirement ID],0))),"",INDEX(Backlog[Jira Link],MATCH($A229,Backlog[Requirement ID],0))),"")</f>
        <v/>
      </c>
      <c r="E229">
        <f>IFERROR(IF(ISBLANK(INDEX(Backlog[Status],MATCH($A229,Backlog[Requirement ID],0))),"",INDEX(Backlog[Status],MATCH($A229,Backlog[Requirement ID],0))),"")</f>
        <v/>
      </c>
      <c r="F229">
        <f>IFERROR(IF(ISBLANK(INDEX(SprintPlanning[Sprint],MATCH($A229,SprintPlanning[Requirement ID],0))),"",INDEX(SprintPlanning[Sprint],MATCH($A229,SprintPlanning[Requirement ID],0))),"")</f>
        <v/>
      </c>
      <c r="H229" s="40" t="n"/>
      <c r="J229">
        <f>IFERROR(IF(ISBLANK(INDEX(Backlog[Priority],MATCH($A229,Backlog[Requirement ID],0))),"",INDEX(Backlog[Priority],MATCH($A229,Backlog[Requirement ID],0))),"")</f>
        <v/>
      </c>
    </row>
    <row r="230" ht="15" customHeight="1">
      <c r="A230" t="inlineStr">
        <is>
          <t>NEW-0408</t>
        </is>
      </c>
      <c r="B230">
        <f>IFERROR(IF(ISBLANK(INDEX(Backlog[Requirement Name],MATCH($A230,Backlog[Requirement ID],0))),"",INDEX(Backlog[Requirement Name],MATCH($A230,Backlog[Requirement ID],0))),"")</f>
        <v/>
      </c>
      <c r="C230">
        <f>IFERROR(IF(ISBLANK(INDEX(Backlog[Stream],MATCH($A230,Backlog[Requirement ID],0))),"",INDEX(Backlog[Stream],MATCH($A230,Backlog[Requirement ID],0))),"")</f>
        <v/>
      </c>
      <c r="D230">
        <f>IFERROR(IF(ISBLANK(INDEX(Backlog[Jira Link],MATCH($A230,Backlog[Requirement ID],0))),"",INDEX(Backlog[Jira Link],MATCH($A230,Backlog[Requirement ID],0))),"")</f>
        <v/>
      </c>
      <c r="E230">
        <f>IFERROR(IF(ISBLANK(INDEX(Backlog[Status],MATCH($A230,Backlog[Requirement ID],0))),"",INDEX(Backlog[Status],MATCH($A230,Backlog[Requirement ID],0))),"")</f>
        <v/>
      </c>
      <c r="F230">
        <f>IFERROR(IF(ISBLANK(INDEX(SprintPlanning[Sprint],MATCH($A230,SprintPlanning[Requirement ID],0))),"",INDEX(SprintPlanning[Sprint],MATCH($A230,SprintPlanning[Requirement ID],0))),"")</f>
        <v/>
      </c>
      <c r="H230" s="40" t="n"/>
      <c r="J230">
        <f>IFERROR(IF(ISBLANK(INDEX(Backlog[Priority],MATCH($A230,Backlog[Requirement ID],0))),"",INDEX(Backlog[Priority],MATCH($A230,Backlog[Requirement ID],0))),"")</f>
        <v/>
      </c>
    </row>
    <row r="231" ht="15" customHeight="1">
      <c r="A231" t="inlineStr">
        <is>
          <t>NEW-0409</t>
        </is>
      </c>
      <c r="B231">
        <f>IFERROR(IF(ISBLANK(INDEX(Backlog[Requirement Name],MATCH($A231,Backlog[Requirement ID],0))),"",INDEX(Backlog[Requirement Name],MATCH($A231,Backlog[Requirement ID],0))),"")</f>
        <v/>
      </c>
      <c r="C231">
        <f>IFERROR(IF(ISBLANK(INDEX(Backlog[Stream],MATCH($A231,Backlog[Requirement ID],0))),"",INDEX(Backlog[Stream],MATCH($A231,Backlog[Requirement ID],0))),"")</f>
        <v/>
      </c>
      <c r="D231">
        <f>IFERROR(IF(ISBLANK(INDEX(Backlog[Jira Link],MATCH($A231,Backlog[Requirement ID],0))),"",INDEX(Backlog[Jira Link],MATCH($A231,Backlog[Requirement ID],0))),"")</f>
        <v/>
      </c>
      <c r="E231">
        <f>IFERROR(IF(ISBLANK(INDEX(Backlog[Status],MATCH($A231,Backlog[Requirement ID],0))),"",INDEX(Backlog[Status],MATCH($A231,Backlog[Requirement ID],0))),"")</f>
        <v/>
      </c>
      <c r="F231">
        <f>IFERROR(IF(ISBLANK(INDEX(SprintPlanning[Sprint],MATCH($A231,SprintPlanning[Requirement ID],0))),"",INDEX(SprintPlanning[Sprint],MATCH($A231,SprintPlanning[Requirement ID],0))),"")</f>
        <v/>
      </c>
      <c r="H231" s="40" t="n"/>
      <c r="J231">
        <f>IFERROR(IF(ISBLANK(INDEX(Backlog[Priority],MATCH($A231,Backlog[Requirement ID],0))),"",INDEX(Backlog[Priority],MATCH($A231,Backlog[Requirement ID],0))),"")</f>
        <v/>
      </c>
    </row>
    <row r="232" ht="15" customHeight="1">
      <c r="A232" t="inlineStr">
        <is>
          <t>NEW-0410</t>
        </is>
      </c>
      <c r="B232">
        <f>IFERROR(IF(ISBLANK(INDEX(Backlog[Requirement Name],MATCH($A232,Backlog[Requirement ID],0))),"",INDEX(Backlog[Requirement Name],MATCH($A232,Backlog[Requirement ID],0))),"")</f>
        <v/>
      </c>
      <c r="C232">
        <f>IFERROR(IF(ISBLANK(INDEX(Backlog[Stream],MATCH($A232,Backlog[Requirement ID],0))),"",INDEX(Backlog[Stream],MATCH($A232,Backlog[Requirement ID],0))),"")</f>
        <v/>
      </c>
      <c r="D232">
        <f>IFERROR(IF(ISBLANK(INDEX(Backlog[Jira Link],MATCH($A232,Backlog[Requirement ID],0))),"",INDEX(Backlog[Jira Link],MATCH($A232,Backlog[Requirement ID],0))),"")</f>
        <v/>
      </c>
      <c r="E232">
        <f>IFERROR(IF(ISBLANK(INDEX(Backlog[Status],MATCH($A232,Backlog[Requirement ID],0))),"",INDEX(Backlog[Status],MATCH($A232,Backlog[Requirement ID],0))),"")</f>
        <v/>
      </c>
      <c r="F232">
        <f>IFERROR(IF(ISBLANK(INDEX(SprintPlanning[Sprint],MATCH($A232,SprintPlanning[Requirement ID],0))),"",INDEX(SprintPlanning[Sprint],MATCH($A232,SprintPlanning[Requirement ID],0))),"")</f>
        <v/>
      </c>
      <c r="H232" s="40" t="n"/>
      <c r="J232">
        <f>IFERROR(IF(ISBLANK(INDEX(Backlog[Priority],MATCH($A232,Backlog[Requirement ID],0))),"",INDEX(Backlog[Priority],MATCH($A232,Backlog[Requirement ID],0))),"")</f>
        <v/>
      </c>
    </row>
    <row r="233" ht="15" customHeight="1">
      <c r="A233" t="inlineStr">
        <is>
          <t>NEW-0411</t>
        </is>
      </c>
      <c r="B233">
        <f>IFERROR(IF(ISBLANK(INDEX(Backlog[Requirement Name],MATCH($A233,Backlog[Requirement ID],0))),"",INDEX(Backlog[Requirement Name],MATCH($A233,Backlog[Requirement ID],0))),"")</f>
        <v/>
      </c>
      <c r="C233">
        <f>IFERROR(IF(ISBLANK(INDEX(Backlog[Stream],MATCH($A233,Backlog[Requirement ID],0))),"",INDEX(Backlog[Stream],MATCH($A233,Backlog[Requirement ID],0))),"")</f>
        <v/>
      </c>
      <c r="D233">
        <f>IFERROR(IF(ISBLANK(INDEX(Backlog[Jira Link],MATCH($A233,Backlog[Requirement ID],0))),"",INDEX(Backlog[Jira Link],MATCH($A233,Backlog[Requirement ID],0))),"")</f>
        <v/>
      </c>
      <c r="E233">
        <f>IFERROR(IF(ISBLANK(INDEX(Backlog[Status],MATCH($A233,Backlog[Requirement ID],0))),"",INDEX(Backlog[Status],MATCH($A233,Backlog[Requirement ID],0))),"")</f>
        <v/>
      </c>
      <c r="F233">
        <f>IFERROR(IF(ISBLANK(INDEX(SprintPlanning[Sprint],MATCH($A233,SprintPlanning[Requirement ID],0))),"",INDEX(SprintPlanning[Sprint],MATCH($A233,SprintPlanning[Requirement ID],0))),"")</f>
        <v/>
      </c>
      <c r="H233" s="40" t="n"/>
      <c r="J233">
        <f>IFERROR(IF(ISBLANK(INDEX(Backlog[Priority],MATCH($A233,Backlog[Requirement ID],0))),"",INDEX(Backlog[Priority],MATCH($A233,Backlog[Requirement ID],0))),"")</f>
        <v/>
      </c>
    </row>
    <row r="234" ht="15" customHeight="1">
      <c r="A234" t="inlineStr">
        <is>
          <t>NEW-0412</t>
        </is>
      </c>
      <c r="B234">
        <f>IFERROR(IF(ISBLANK(INDEX(Backlog[Requirement Name],MATCH($A234,Backlog[Requirement ID],0))),"",INDEX(Backlog[Requirement Name],MATCH($A234,Backlog[Requirement ID],0))),"")</f>
        <v/>
      </c>
      <c r="C234">
        <f>IFERROR(IF(ISBLANK(INDEX(Backlog[Stream],MATCH($A234,Backlog[Requirement ID],0))),"",INDEX(Backlog[Stream],MATCH($A234,Backlog[Requirement ID],0))),"")</f>
        <v/>
      </c>
      <c r="D234">
        <f>IFERROR(IF(ISBLANK(INDEX(Backlog[Jira Link],MATCH($A234,Backlog[Requirement ID],0))),"",INDEX(Backlog[Jira Link],MATCH($A234,Backlog[Requirement ID],0))),"")</f>
        <v/>
      </c>
      <c r="E234">
        <f>IFERROR(IF(ISBLANK(INDEX(Backlog[Status],MATCH($A234,Backlog[Requirement ID],0))),"",INDEX(Backlog[Status],MATCH($A234,Backlog[Requirement ID],0))),"")</f>
        <v/>
      </c>
      <c r="F234">
        <f>IFERROR(IF(ISBLANK(INDEX(SprintPlanning[Sprint],MATCH($A234,SprintPlanning[Requirement ID],0))),"",INDEX(SprintPlanning[Sprint],MATCH($A234,SprintPlanning[Requirement ID],0))),"")</f>
        <v/>
      </c>
      <c r="H234" s="40" t="n"/>
      <c r="J234">
        <f>IFERROR(IF(ISBLANK(INDEX(Backlog[Priority],MATCH($A234,Backlog[Requirement ID],0))),"",INDEX(Backlog[Priority],MATCH($A234,Backlog[Requirement ID],0))),"")</f>
        <v/>
      </c>
    </row>
    <row r="235" ht="15" customHeight="1">
      <c r="A235" t="inlineStr">
        <is>
          <t>NEW-0413</t>
        </is>
      </c>
      <c r="B235">
        <f>IFERROR(IF(ISBLANK(INDEX(Backlog[Requirement Name],MATCH($A235,Backlog[Requirement ID],0))),"",INDEX(Backlog[Requirement Name],MATCH($A235,Backlog[Requirement ID],0))),"")</f>
        <v/>
      </c>
      <c r="C235">
        <f>IFERROR(IF(ISBLANK(INDEX(Backlog[Stream],MATCH($A235,Backlog[Requirement ID],0))),"",INDEX(Backlog[Stream],MATCH($A235,Backlog[Requirement ID],0))),"")</f>
        <v/>
      </c>
      <c r="D235">
        <f>IFERROR(IF(ISBLANK(INDEX(Backlog[Jira Link],MATCH($A235,Backlog[Requirement ID],0))),"",INDEX(Backlog[Jira Link],MATCH($A235,Backlog[Requirement ID],0))),"")</f>
        <v/>
      </c>
      <c r="E235">
        <f>IFERROR(IF(ISBLANK(INDEX(Backlog[Status],MATCH($A235,Backlog[Requirement ID],0))),"",INDEX(Backlog[Status],MATCH($A235,Backlog[Requirement ID],0))),"")</f>
        <v/>
      </c>
      <c r="F235">
        <f>IFERROR(IF(ISBLANK(INDEX(SprintPlanning[Sprint],MATCH($A235,SprintPlanning[Requirement ID],0))),"",INDEX(SprintPlanning[Sprint],MATCH($A235,SprintPlanning[Requirement ID],0))),"")</f>
        <v/>
      </c>
      <c r="H235" s="40" t="n"/>
      <c r="J235">
        <f>IFERROR(IF(ISBLANK(INDEX(Backlog[Priority],MATCH($A235,Backlog[Requirement ID],0))),"",INDEX(Backlog[Priority],MATCH($A235,Backlog[Requirement ID],0))),"")</f>
        <v/>
      </c>
    </row>
    <row r="236" ht="15" customHeight="1">
      <c r="A236" t="inlineStr">
        <is>
          <t>NEW-0414</t>
        </is>
      </c>
      <c r="B236">
        <f>IFERROR(IF(ISBLANK(INDEX(Backlog[Requirement Name],MATCH($A236,Backlog[Requirement ID],0))),"",INDEX(Backlog[Requirement Name],MATCH($A236,Backlog[Requirement ID],0))),"")</f>
        <v/>
      </c>
      <c r="C236">
        <f>IFERROR(IF(ISBLANK(INDEX(Backlog[Stream],MATCH($A236,Backlog[Requirement ID],0))),"",INDEX(Backlog[Stream],MATCH($A236,Backlog[Requirement ID],0))),"")</f>
        <v/>
      </c>
      <c r="D236">
        <f>IFERROR(IF(ISBLANK(INDEX(Backlog[Jira Link],MATCH($A236,Backlog[Requirement ID],0))),"",INDEX(Backlog[Jira Link],MATCH($A236,Backlog[Requirement ID],0))),"")</f>
        <v/>
      </c>
      <c r="E236">
        <f>IFERROR(IF(ISBLANK(INDEX(Backlog[Status],MATCH($A236,Backlog[Requirement ID],0))),"",INDEX(Backlog[Status],MATCH($A236,Backlog[Requirement ID],0))),"")</f>
        <v/>
      </c>
      <c r="F236">
        <f>IFERROR(IF(ISBLANK(INDEX(SprintPlanning[Sprint],MATCH($A236,SprintPlanning[Requirement ID],0))),"",INDEX(SprintPlanning[Sprint],MATCH($A236,SprintPlanning[Requirement ID],0))),"")</f>
        <v/>
      </c>
      <c r="H236" s="40" t="n"/>
      <c r="J236">
        <f>IFERROR(IF(ISBLANK(INDEX(Backlog[Priority],MATCH($A236,Backlog[Requirement ID],0))),"",INDEX(Backlog[Priority],MATCH($A236,Backlog[Requirement ID],0))),"")</f>
        <v/>
      </c>
    </row>
    <row r="237" ht="15" customHeight="1">
      <c r="A237" t="inlineStr">
        <is>
          <t>NEW-0415</t>
        </is>
      </c>
      <c r="B237">
        <f>IFERROR(IF(ISBLANK(INDEX(Backlog[Requirement Name],MATCH($A237,Backlog[Requirement ID],0))),"",INDEX(Backlog[Requirement Name],MATCH($A237,Backlog[Requirement ID],0))),"")</f>
        <v/>
      </c>
      <c r="C237">
        <f>IFERROR(IF(ISBLANK(INDEX(Backlog[Stream],MATCH($A237,Backlog[Requirement ID],0))),"",INDEX(Backlog[Stream],MATCH($A237,Backlog[Requirement ID],0))),"")</f>
        <v/>
      </c>
      <c r="D237">
        <f>IFERROR(IF(ISBLANK(INDEX(Backlog[Jira Link],MATCH($A237,Backlog[Requirement ID],0))),"",INDEX(Backlog[Jira Link],MATCH($A237,Backlog[Requirement ID],0))),"")</f>
        <v/>
      </c>
      <c r="E237">
        <f>IFERROR(IF(ISBLANK(INDEX(Backlog[Status],MATCH($A237,Backlog[Requirement ID],0))),"",INDEX(Backlog[Status],MATCH($A237,Backlog[Requirement ID],0))),"")</f>
        <v/>
      </c>
      <c r="F237">
        <f>IFERROR(IF(ISBLANK(INDEX(SprintPlanning[Sprint],MATCH($A237,SprintPlanning[Requirement ID],0))),"",INDEX(SprintPlanning[Sprint],MATCH($A237,SprintPlanning[Requirement ID],0))),"")</f>
        <v/>
      </c>
      <c r="H237" s="40" t="n"/>
      <c r="J237">
        <f>IFERROR(IF(ISBLANK(INDEX(Backlog[Priority],MATCH($A237,Backlog[Requirement ID],0))),"",INDEX(Backlog[Priority],MATCH($A237,Backlog[Requirement ID],0))),"")</f>
        <v/>
      </c>
    </row>
    <row r="238" ht="15" customHeight="1">
      <c r="A238" t="inlineStr">
        <is>
          <t>NEW-0424</t>
        </is>
      </c>
      <c r="B238">
        <f>IFERROR(IF(ISBLANK(INDEX(Backlog[Requirement Name],MATCH($A238,Backlog[Requirement ID],0))),"",INDEX(Backlog[Requirement Name],MATCH($A238,Backlog[Requirement ID],0))),"")</f>
        <v/>
      </c>
      <c r="C238">
        <f>IFERROR(IF(ISBLANK(INDEX(Backlog[Stream],MATCH($A238,Backlog[Requirement ID],0))),"",INDEX(Backlog[Stream],MATCH($A238,Backlog[Requirement ID],0))),"")</f>
        <v/>
      </c>
      <c r="D238">
        <f>IFERROR(IF(ISBLANK(INDEX(Backlog[Jira Link],MATCH($A238,Backlog[Requirement ID],0))),"",INDEX(Backlog[Jira Link],MATCH($A238,Backlog[Requirement ID],0))),"")</f>
        <v/>
      </c>
      <c r="E238">
        <f>IFERROR(IF(ISBLANK(INDEX(Backlog[Status],MATCH($A238,Backlog[Requirement ID],0))),"",INDEX(Backlog[Status],MATCH($A238,Backlog[Requirement ID],0))),"")</f>
        <v/>
      </c>
      <c r="F238">
        <f>IFERROR(IF(ISBLANK(INDEX(SprintPlanning[Sprint],MATCH($A238,SprintPlanning[Requirement ID],0))),"",INDEX(SprintPlanning[Sprint],MATCH($A238,SprintPlanning[Requirement ID],0))),"")</f>
        <v/>
      </c>
      <c r="H238" s="40" t="n"/>
      <c r="J238">
        <f>IFERROR(IF(ISBLANK(INDEX(Backlog[Priority],MATCH($A238,Backlog[Requirement ID],0))),"",INDEX(Backlog[Priority],MATCH($A238,Backlog[Requirement ID],0))),"")</f>
        <v/>
      </c>
    </row>
    <row r="239" ht="15" customHeight="1">
      <c r="A239" t="inlineStr">
        <is>
          <t>NEW-0425</t>
        </is>
      </c>
      <c r="B239">
        <f>IFERROR(IF(ISBLANK(INDEX(Backlog[Requirement Name],MATCH($A239,Backlog[Requirement ID],0))),"",INDEX(Backlog[Requirement Name],MATCH($A239,Backlog[Requirement ID],0))),"")</f>
        <v/>
      </c>
      <c r="C239">
        <f>IFERROR(IF(ISBLANK(INDEX(Backlog[Stream],MATCH($A239,Backlog[Requirement ID],0))),"",INDEX(Backlog[Stream],MATCH($A239,Backlog[Requirement ID],0))),"")</f>
        <v/>
      </c>
      <c r="D239">
        <f>IFERROR(IF(ISBLANK(INDEX(Backlog[Jira Link],MATCH($A239,Backlog[Requirement ID],0))),"",INDEX(Backlog[Jira Link],MATCH($A239,Backlog[Requirement ID],0))),"")</f>
        <v/>
      </c>
      <c r="E239">
        <f>IFERROR(IF(ISBLANK(INDEX(Backlog[Status],MATCH($A239,Backlog[Requirement ID],0))),"",INDEX(Backlog[Status],MATCH($A239,Backlog[Requirement ID],0))),"")</f>
        <v/>
      </c>
      <c r="F239">
        <f>IFERROR(IF(ISBLANK(INDEX(SprintPlanning[Sprint],MATCH($A239,SprintPlanning[Requirement ID],0))),"",INDEX(SprintPlanning[Sprint],MATCH($A239,SprintPlanning[Requirement ID],0))),"")</f>
        <v/>
      </c>
      <c r="H239" s="40" t="n"/>
      <c r="J239">
        <f>IFERROR(IF(ISBLANK(INDEX(Backlog[Priority],MATCH($A239,Backlog[Requirement ID],0))),"",INDEX(Backlog[Priority],MATCH($A239,Backlog[Requirement ID],0))),"")</f>
        <v/>
      </c>
    </row>
    <row r="240" ht="15" customHeight="1">
      <c r="A240" t="inlineStr">
        <is>
          <t>NEW-0426</t>
        </is>
      </c>
      <c r="B240">
        <f>IFERROR(IF(ISBLANK(INDEX(Backlog[Requirement Name],MATCH($A240,Backlog[Requirement ID],0))),"",INDEX(Backlog[Requirement Name],MATCH($A240,Backlog[Requirement ID],0))),"")</f>
        <v/>
      </c>
      <c r="C240">
        <f>IFERROR(IF(ISBLANK(INDEX(Backlog[Stream],MATCH($A240,Backlog[Requirement ID],0))),"",INDEX(Backlog[Stream],MATCH($A240,Backlog[Requirement ID],0))),"")</f>
        <v/>
      </c>
      <c r="D240">
        <f>IFERROR(IF(ISBLANK(INDEX(Backlog[Jira Link],MATCH($A240,Backlog[Requirement ID],0))),"",INDEX(Backlog[Jira Link],MATCH($A240,Backlog[Requirement ID],0))),"")</f>
        <v/>
      </c>
      <c r="E240">
        <f>IFERROR(IF(ISBLANK(INDEX(Backlog[Status],MATCH($A240,Backlog[Requirement ID],0))),"",INDEX(Backlog[Status],MATCH($A240,Backlog[Requirement ID],0))),"")</f>
        <v/>
      </c>
      <c r="F240">
        <f>IFERROR(IF(ISBLANK(INDEX(SprintPlanning[Sprint],MATCH($A240,SprintPlanning[Requirement ID],0))),"",INDEX(SprintPlanning[Sprint],MATCH($A240,SprintPlanning[Requirement ID],0))),"")</f>
        <v/>
      </c>
      <c r="H240" s="40" t="n"/>
      <c r="J240">
        <f>IFERROR(IF(ISBLANK(INDEX(Backlog[Priority],MATCH($A240,Backlog[Requirement ID],0))),"",INDEX(Backlog[Priority],MATCH($A240,Backlog[Requirement ID],0))),"")</f>
        <v/>
      </c>
      <c r="K240" t="inlineStr">
        <is>
          <t>Ready for Development</t>
        </is>
      </c>
    </row>
    <row r="241" ht="15" customHeight="1">
      <c r="A241" t="inlineStr">
        <is>
          <t>NEW-0427</t>
        </is>
      </c>
      <c r="B241">
        <f>IFERROR(IF(ISBLANK(INDEX(Backlog[Requirement Name],MATCH($A241,Backlog[Requirement ID],0))),"",INDEX(Backlog[Requirement Name],MATCH($A241,Backlog[Requirement ID],0))),"")</f>
        <v/>
      </c>
      <c r="C241">
        <f>IFERROR(IF(ISBLANK(INDEX(Backlog[Stream],MATCH($A241,Backlog[Requirement ID],0))),"",INDEX(Backlog[Stream],MATCH($A241,Backlog[Requirement ID],0))),"")</f>
        <v/>
      </c>
      <c r="D241">
        <f>IFERROR(IF(ISBLANK(INDEX(Backlog[Jira Link],MATCH($A241,Backlog[Requirement ID],0))),"",INDEX(Backlog[Jira Link],MATCH($A241,Backlog[Requirement ID],0))),"")</f>
        <v/>
      </c>
      <c r="E241">
        <f>IFERROR(IF(ISBLANK(INDEX(Backlog[Status],MATCH($A241,Backlog[Requirement ID],0))),"",INDEX(Backlog[Status],MATCH($A241,Backlog[Requirement ID],0))),"")</f>
        <v/>
      </c>
      <c r="F241">
        <f>IFERROR(IF(ISBLANK(INDEX(SprintPlanning[Sprint],MATCH($A241,SprintPlanning[Requirement ID],0))),"",INDEX(SprintPlanning[Sprint],MATCH($A241,SprintPlanning[Requirement ID],0))),"")</f>
        <v/>
      </c>
      <c r="H241" s="40" t="n"/>
      <c r="J241">
        <f>IFERROR(IF(ISBLANK(INDEX(Backlog[Priority],MATCH($A241,Backlog[Requirement ID],0))),"",INDEX(Backlog[Priority],MATCH($A241,Backlog[Requirement ID],0))),"")</f>
        <v/>
      </c>
      <c r="K241" t="inlineStr">
        <is>
          <t>Ready for Development</t>
        </is>
      </c>
    </row>
    <row r="242" ht="15" customHeight="1">
      <c r="A242" t="inlineStr">
        <is>
          <t>NEW-0428</t>
        </is>
      </c>
      <c r="B242">
        <f>IFERROR(IF(ISBLANK(INDEX(Backlog[Requirement Name],MATCH($A242,Backlog[Requirement ID],0))),"",INDEX(Backlog[Requirement Name],MATCH($A242,Backlog[Requirement ID],0))),"")</f>
        <v/>
      </c>
      <c r="C242">
        <f>IFERROR(IF(ISBLANK(INDEX(Backlog[Stream],MATCH($A242,Backlog[Requirement ID],0))),"",INDEX(Backlog[Stream],MATCH($A242,Backlog[Requirement ID],0))),"")</f>
        <v/>
      </c>
      <c r="D242">
        <f>IFERROR(IF(ISBLANK(INDEX(Backlog[Jira Link],MATCH($A242,Backlog[Requirement ID],0))),"",INDEX(Backlog[Jira Link],MATCH($A242,Backlog[Requirement ID],0))),"")</f>
        <v/>
      </c>
      <c r="E242">
        <f>IFERROR(IF(ISBLANK(INDEX(Backlog[Status],MATCH($A242,Backlog[Requirement ID],0))),"",INDEX(Backlog[Status],MATCH($A242,Backlog[Requirement ID],0))),"")</f>
        <v/>
      </c>
      <c r="F242">
        <f>IFERROR(IF(ISBLANK(INDEX(SprintPlanning[Sprint],MATCH($A242,SprintPlanning[Requirement ID],0))),"",INDEX(SprintPlanning[Sprint],MATCH($A242,SprintPlanning[Requirement ID],0))),"")</f>
        <v/>
      </c>
      <c r="H242" s="40" t="n"/>
      <c r="J242">
        <f>IFERROR(IF(ISBLANK(INDEX(Backlog[Priority],MATCH($A242,Backlog[Requirement ID],0))),"",INDEX(Backlog[Priority],MATCH($A242,Backlog[Requirement ID],0))),"")</f>
        <v/>
      </c>
      <c r="K242" t="inlineStr">
        <is>
          <t>Ready for Development</t>
        </is>
      </c>
    </row>
    <row r="243" ht="15" customHeight="1">
      <c r="H243" s="40" t="n"/>
    </row>
    <row r="244" ht="15" customHeight="1">
      <c r="H244" s="40" t="n"/>
    </row>
    <row r="245" ht="15" customHeight="1">
      <c r="H245" s="40" t="n"/>
    </row>
    <row r="246" ht="15" customHeight="1">
      <c r="H246" s="40" t="n"/>
    </row>
    <row r="247" ht="15" customHeight="1">
      <c r="H247" s="40" t="n"/>
    </row>
    <row r="248" ht="15" customHeight="1">
      <c r="H248" s="40" t="n"/>
    </row>
    <row r="249" ht="15" customHeight="1">
      <c r="H249" s="40" t="n"/>
    </row>
    <row r="250" ht="15" customHeight="1">
      <c r="H250" s="40" t="n"/>
    </row>
    <row r="251" ht="15" customHeight="1">
      <c r="H251" s="40" t="n"/>
    </row>
    <row r="252" ht="15" customHeight="1">
      <c r="H252" s="40" t="n"/>
    </row>
    <row r="253" ht="15" customHeight="1">
      <c r="H253" s="40" t="n"/>
    </row>
    <row r="254" ht="15" customHeight="1">
      <c r="H254" s="40" t="n"/>
    </row>
    <row r="255" ht="15" customHeight="1">
      <c r="H255" s="40" t="n"/>
    </row>
    <row r="256" ht="15" customHeight="1">
      <c r="H256" s="40" t="n"/>
    </row>
    <row r="257" ht="15" customHeight="1">
      <c r="H257" s="40" t="n"/>
    </row>
    <row r="258" ht="15" customHeight="1">
      <c r="H258" s="40" t="n"/>
    </row>
    <row r="259" ht="15" customHeight="1">
      <c r="H259" s="40" t="n"/>
    </row>
    <row r="260" ht="15" customHeight="1">
      <c r="H260" s="40" t="n"/>
    </row>
    <row r="261" ht="15" customHeight="1">
      <c r="H261" s="40" t="n"/>
    </row>
    <row r="262" ht="15" customHeight="1">
      <c r="H262" s="40" t="n"/>
    </row>
    <row r="263" ht="15" customHeight="1">
      <c r="H263" s="40" t="n"/>
    </row>
    <row r="264" ht="15" customHeight="1">
      <c r="H264" s="40" t="n"/>
    </row>
    <row r="265" ht="15" customHeight="1">
      <c r="H265" s="40" t="n"/>
    </row>
    <row r="266" ht="15" customHeight="1">
      <c r="H266" s="40" t="n"/>
    </row>
    <row r="267" ht="15" customHeight="1">
      <c r="H267" s="40" t="n"/>
    </row>
    <row r="268" ht="15" customHeight="1">
      <c r="H268" s="40" t="n"/>
    </row>
    <row r="269" ht="15" customHeight="1">
      <c r="H269" s="40" t="n"/>
    </row>
    <row r="270" ht="15" customHeight="1">
      <c r="H270" s="40" t="n"/>
    </row>
    <row r="271" ht="15" customHeight="1">
      <c r="H271" s="40" t="n"/>
    </row>
    <row r="272" ht="15" customHeight="1">
      <c r="H272" s="40" t="n"/>
    </row>
    <row r="273" ht="15" customHeight="1">
      <c r="H273" s="40" t="n"/>
    </row>
    <row r="274" ht="15" customHeight="1">
      <c r="H274" s="40" t="n"/>
    </row>
    <row r="275" ht="15" customHeight="1">
      <c r="H275" s="40" t="n"/>
    </row>
    <row r="276" ht="15" customHeight="1">
      <c r="H276" s="40" t="n"/>
    </row>
    <row r="277" ht="15" customHeight="1">
      <c r="H277" s="40" t="n"/>
    </row>
    <row r="278" ht="15" customHeight="1">
      <c r="H278" s="40" t="n"/>
    </row>
    <row r="279" ht="15" customHeight="1">
      <c r="H279" s="40" t="n"/>
    </row>
    <row r="280" ht="15" customHeight="1">
      <c r="H280" s="40" t="n"/>
    </row>
    <row r="281" ht="15" customHeight="1">
      <c r="H281" s="40" t="n"/>
    </row>
    <row r="282" ht="15" customHeight="1">
      <c r="H282" s="40" t="n"/>
    </row>
    <row r="283" ht="15" customHeight="1">
      <c r="H283" s="40" t="n"/>
    </row>
    <row r="284" ht="15" customHeight="1">
      <c r="H284" s="40" t="n"/>
    </row>
    <row r="285" ht="15" customHeight="1">
      <c r="H285" s="40" t="n"/>
    </row>
    <row r="286" ht="15" customHeight="1">
      <c r="H286" s="40" t="n"/>
    </row>
    <row r="287" ht="15" customHeight="1">
      <c r="H287" s="40" t="n"/>
    </row>
    <row r="288" ht="15" customHeight="1">
      <c r="H288" s="40" t="n"/>
    </row>
    <row r="289" ht="15" customHeight="1">
      <c r="H289" s="40" t="n"/>
    </row>
    <row r="290" ht="15" customHeight="1">
      <c r="H290" s="40" t="n"/>
    </row>
    <row r="291" ht="15" customHeight="1">
      <c r="H291" s="40" t="n"/>
    </row>
    <row r="292" ht="15" customHeight="1">
      <c r="H292" s="40" t="n"/>
    </row>
    <row r="293" ht="15" customHeight="1">
      <c r="H293" s="40" t="n"/>
    </row>
    <row r="294" ht="15" customHeight="1">
      <c r="H294" s="40" t="n"/>
    </row>
    <row r="295" ht="15" customHeight="1">
      <c r="H295" s="40" t="n"/>
    </row>
    <row r="296" ht="15" customHeight="1">
      <c r="H296" s="40" t="n"/>
    </row>
    <row r="297" ht="15" customHeight="1">
      <c r="H297" s="40" t="n"/>
    </row>
    <row r="298" ht="15" customHeight="1">
      <c r="H298" s="40" t="n"/>
    </row>
    <row r="299" ht="15" customHeight="1">
      <c r="H299" s="40" t="n"/>
    </row>
    <row r="300" ht="15" customHeight="1">
      <c r="H300" s="40" t="n"/>
    </row>
    <row r="301" ht="15" customHeight="1">
      <c r="H301" s="40" t="n"/>
    </row>
    <row r="302" ht="15" customHeight="1">
      <c r="H302" s="40" t="n"/>
    </row>
    <row r="303" ht="15" customHeight="1">
      <c r="H303" s="40" t="n"/>
    </row>
    <row r="304" ht="15" customHeight="1">
      <c r="H304" s="40" t="n"/>
    </row>
    <row r="305" ht="15" customHeight="1">
      <c r="H305" s="40" t="n"/>
    </row>
    <row r="306" ht="15" customHeight="1">
      <c r="H306" s="40" t="n"/>
    </row>
    <row r="307" ht="15" customHeight="1">
      <c r="H307" s="40" t="n"/>
    </row>
    <row r="308" ht="15" customHeight="1">
      <c r="H308" s="40" t="n"/>
    </row>
    <row r="309" ht="15" customHeight="1">
      <c r="H309" s="40" t="n"/>
    </row>
    <row r="310" ht="15" customHeight="1">
      <c r="H310" s="40" t="n"/>
    </row>
    <row r="311" ht="15" customHeight="1">
      <c r="H311" s="40" t="n"/>
    </row>
    <row r="312" ht="15" customHeight="1">
      <c r="H312" s="40" t="n"/>
    </row>
    <row r="313" ht="15" customHeight="1">
      <c r="H313" s="40" t="n"/>
    </row>
    <row r="314" ht="15" customHeight="1">
      <c r="H314" s="40" t="n"/>
    </row>
    <row r="315" ht="15" customHeight="1">
      <c r="H315" s="40" t="n"/>
    </row>
    <row r="316" ht="15" customHeight="1">
      <c r="H316" s="40" t="n"/>
    </row>
    <row r="317" ht="15" customHeight="1">
      <c r="H317" s="40" t="n"/>
    </row>
    <row r="318" ht="15" customHeight="1">
      <c r="H318" s="40" t="n"/>
    </row>
    <row r="319" ht="15" customHeight="1">
      <c r="H319" s="40" t="n"/>
    </row>
    <row r="320" ht="15" customHeight="1">
      <c r="H320" s="40" t="n"/>
    </row>
    <row r="321" ht="15" customHeight="1">
      <c r="H321" s="40" t="n"/>
    </row>
    <row r="322" ht="15" customHeight="1">
      <c r="H322" s="40" t="n"/>
    </row>
    <row r="323" ht="15" customHeight="1">
      <c r="H323" s="40" t="n"/>
    </row>
    <row r="324" ht="15" customHeight="1">
      <c r="H324" s="40" t="n"/>
    </row>
    <row r="325" ht="15" customHeight="1">
      <c r="H325" s="40" t="n"/>
    </row>
    <row r="326" ht="15" customHeight="1">
      <c r="H326" s="40" t="n"/>
    </row>
    <row r="327" ht="15" customHeight="1">
      <c r="H327" s="40" t="n"/>
    </row>
    <row r="328" ht="15" customHeight="1">
      <c r="H328" s="40" t="n"/>
    </row>
    <row r="329" ht="15" customHeight="1">
      <c r="H329" s="40" t="n"/>
    </row>
    <row r="330" ht="15" customHeight="1">
      <c r="H330" s="40" t="n"/>
    </row>
    <row r="331" ht="15" customHeight="1">
      <c r="H331" s="40" t="n"/>
    </row>
    <row r="332" ht="15" customHeight="1">
      <c r="H332" s="40" t="n"/>
    </row>
    <row r="333" ht="15" customHeight="1">
      <c r="H333" s="40" t="n"/>
    </row>
    <row r="334" ht="15" customHeight="1">
      <c r="H334" s="40" t="n"/>
    </row>
    <row r="335" ht="15" customHeight="1">
      <c r="H335" s="40" t="n"/>
    </row>
    <row r="336" ht="15" customHeight="1">
      <c r="H336" s="40" t="n"/>
    </row>
    <row r="337" ht="15" customHeight="1">
      <c r="H337" s="40" t="n"/>
    </row>
    <row r="338" ht="15" customHeight="1">
      <c r="H338" s="40" t="n"/>
    </row>
    <row r="339" ht="15" customHeight="1">
      <c r="H339" s="40" t="n"/>
    </row>
    <row r="340" ht="15" customHeight="1">
      <c r="H340" s="40" t="n"/>
    </row>
    <row r="341" ht="15" customHeight="1">
      <c r="H341" s="40" t="n"/>
    </row>
    <row r="342" ht="15" customHeight="1">
      <c r="H342" s="40" t="n"/>
    </row>
    <row r="343" ht="15" customHeight="1">
      <c r="H343" s="40" t="n"/>
    </row>
    <row r="344" ht="15" customHeight="1">
      <c r="H344" s="40" t="n"/>
    </row>
    <row r="345" ht="15" customHeight="1">
      <c r="H345" s="40" t="n"/>
    </row>
    <row r="346" ht="15" customHeight="1">
      <c r="H346" s="40" t="n"/>
    </row>
    <row r="347" ht="15" customHeight="1">
      <c r="H347" s="40" t="n"/>
    </row>
    <row r="348" ht="15" customHeight="1">
      <c r="H348" s="40" t="n"/>
    </row>
    <row r="349" ht="15" customHeight="1">
      <c r="H349" s="40" t="n"/>
    </row>
    <row r="350" ht="15" customHeight="1">
      <c r="H350" s="40" t="n"/>
    </row>
    <row r="351" ht="15" customHeight="1">
      <c r="H351" s="40" t="n"/>
    </row>
    <row r="352" ht="15" customHeight="1">
      <c r="H352" s="40" t="n"/>
    </row>
    <row r="353" ht="15" customHeight="1">
      <c r="H353" s="40" t="n"/>
    </row>
    <row r="354" ht="15" customHeight="1">
      <c r="H354" s="40" t="n"/>
    </row>
    <row r="355" ht="15" customHeight="1">
      <c r="H355" s="40" t="n"/>
    </row>
    <row r="356" ht="15" customHeight="1">
      <c r="H356" s="40" t="n"/>
    </row>
    <row r="357" ht="15" customHeight="1">
      <c r="H357" s="40" t="n"/>
    </row>
    <row r="358" ht="15" customHeight="1">
      <c r="H358" s="40" t="n"/>
    </row>
    <row r="359" ht="15" customHeight="1">
      <c r="H359" s="40" t="n"/>
    </row>
    <row r="360" ht="15" customHeight="1">
      <c r="H360" s="40" t="n"/>
    </row>
    <row r="361" ht="15" customHeight="1">
      <c r="H361" s="40" t="n"/>
    </row>
    <row r="362" ht="15" customHeight="1">
      <c r="H362" s="40" t="n"/>
    </row>
    <row r="363" ht="15" customHeight="1">
      <c r="H363" s="40" t="n"/>
    </row>
    <row r="364" ht="15" customHeight="1">
      <c r="H364" s="40" t="n"/>
    </row>
    <row r="365" ht="15" customHeight="1">
      <c r="H365" s="40" t="n"/>
    </row>
    <row r="366" ht="15" customHeight="1">
      <c r="H366" s="40" t="n"/>
    </row>
    <row r="367" ht="15" customHeight="1">
      <c r="H367" s="40" t="n"/>
    </row>
    <row r="368" ht="15" customHeight="1">
      <c r="H368" s="40" t="n"/>
    </row>
    <row r="369" ht="15" customHeight="1">
      <c r="H369" s="40" t="n"/>
    </row>
    <row r="370" ht="15" customHeight="1">
      <c r="H370" s="40" t="n"/>
    </row>
    <row r="371" ht="15" customHeight="1">
      <c r="H371" s="40" t="n"/>
    </row>
    <row r="372" ht="15" customHeight="1">
      <c r="H372" s="40" t="n"/>
    </row>
    <row r="373" ht="15" customHeight="1">
      <c r="H373" s="40" t="n"/>
    </row>
    <row r="374" ht="15" customHeight="1">
      <c r="H374" s="40" t="n"/>
    </row>
    <row r="375" ht="15" customHeight="1">
      <c r="H375" s="40" t="n"/>
    </row>
    <row r="376" ht="15" customHeight="1">
      <c r="H376" s="40" t="n"/>
    </row>
    <row r="377" ht="15" customHeight="1">
      <c r="H377" s="40" t="n"/>
    </row>
    <row r="378" ht="15" customHeight="1">
      <c r="H378" s="40" t="n"/>
    </row>
    <row r="379" ht="15" customHeight="1">
      <c r="H379" s="40" t="n"/>
    </row>
    <row r="380" ht="15" customHeight="1">
      <c r="H380" s="40" t="n"/>
    </row>
    <row r="381" ht="15" customHeight="1">
      <c r="H381" s="40" t="n"/>
    </row>
    <row r="382" ht="15" customHeight="1">
      <c r="H382" s="40" t="n"/>
    </row>
    <row r="383" ht="15" customHeight="1">
      <c r="H383" s="40" t="n"/>
    </row>
    <row r="384" ht="15" customHeight="1">
      <c r="H384" s="40" t="n"/>
    </row>
    <row r="385" ht="15" customHeight="1">
      <c r="H385" s="40" t="n"/>
    </row>
    <row r="386" ht="15" customHeight="1">
      <c r="H386" s="40" t="n"/>
    </row>
    <row r="387" ht="15" customHeight="1">
      <c r="H387" s="40" t="n"/>
    </row>
    <row r="388" ht="15" customHeight="1">
      <c r="H388" s="40" t="n"/>
    </row>
    <row r="389" ht="15" customHeight="1">
      <c r="H389" s="40" t="n"/>
    </row>
    <row r="390" ht="15" customHeight="1">
      <c r="H390" s="40" t="n"/>
    </row>
    <row r="391" ht="15" customHeight="1">
      <c r="H391" s="40" t="n"/>
    </row>
    <row r="392" ht="15" customHeight="1">
      <c r="H392" s="40" t="n"/>
    </row>
    <row r="393" ht="15" customHeight="1">
      <c r="H393" s="40" t="n"/>
    </row>
    <row r="394" ht="15" customHeight="1">
      <c r="H394" s="40" t="n"/>
    </row>
    <row r="395" ht="15" customHeight="1">
      <c r="H395" s="40" t="n"/>
    </row>
    <row r="396" ht="15" customHeight="1">
      <c r="H396" s="40" t="n"/>
    </row>
    <row r="397" ht="15" customHeight="1">
      <c r="H397" s="40" t="n"/>
    </row>
    <row r="398" ht="15" customHeight="1">
      <c r="H398" s="40" t="n"/>
    </row>
    <row r="399" ht="15" customHeight="1">
      <c r="H399" s="40" t="n"/>
    </row>
    <row r="400" ht="15" customHeight="1">
      <c r="H400" s="40" t="n"/>
    </row>
    <row r="401" ht="15" customHeight="1">
      <c r="H401" s="40" t="n"/>
    </row>
    <row r="402" ht="15" customHeight="1">
      <c r="H402" s="40" t="n"/>
    </row>
    <row r="403" ht="15" customHeight="1">
      <c r="H403" s="40" t="n"/>
    </row>
    <row r="404" ht="15" customHeight="1">
      <c r="H404" s="40" t="n"/>
    </row>
    <row r="405" ht="15" customHeight="1">
      <c r="H405" s="40" t="n"/>
    </row>
    <row r="406" ht="15" customHeight="1">
      <c r="H406" s="40" t="n"/>
    </row>
    <row r="407" ht="15" customHeight="1">
      <c r="H407" s="40" t="n"/>
    </row>
    <row r="408" ht="15" customHeight="1">
      <c r="H408" s="40" t="n"/>
    </row>
    <row r="409" ht="15" customHeight="1">
      <c r="H409" s="40" t="n"/>
    </row>
    <row r="410" ht="15" customHeight="1">
      <c r="H410" s="40" t="n"/>
    </row>
    <row r="411" ht="15" customHeight="1">
      <c r="H411" s="40" t="n"/>
    </row>
    <row r="412" ht="15" customHeight="1">
      <c r="H412" s="40" t="n"/>
    </row>
    <row r="413" ht="15" customHeight="1">
      <c r="H413" s="40" t="n"/>
    </row>
    <row r="414" ht="15" customHeight="1">
      <c r="H414" s="40" t="n"/>
    </row>
    <row r="415" ht="15" customHeight="1">
      <c r="H415" s="40" t="n"/>
    </row>
    <row r="416" ht="15" customHeight="1">
      <c r="H416" s="40" t="n"/>
    </row>
    <row r="417" ht="15" customHeight="1">
      <c r="H417" s="40" t="n"/>
    </row>
    <row r="418" ht="15" customHeight="1">
      <c r="H418" s="40" t="n"/>
    </row>
    <row r="419" ht="15" customHeight="1">
      <c r="H419" s="40" t="n"/>
    </row>
    <row r="420" ht="15" customHeight="1">
      <c r="H420" s="40" t="n"/>
    </row>
    <row r="421" ht="15" customHeight="1">
      <c r="H421" s="40" t="n"/>
    </row>
    <row r="422" ht="15" customHeight="1">
      <c r="H422" s="40" t="n"/>
    </row>
    <row r="423" ht="15" customHeight="1">
      <c r="H423" s="40" t="n"/>
    </row>
    <row r="424" ht="15" customHeight="1">
      <c r="H424" s="40" t="n"/>
    </row>
    <row r="425" ht="15" customHeight="1">
      <c r="H425" s="40" t="n"/>
    </row>
    <row r="426" ht="15" customHeight="1">
      <c r="H426" s="40" t="n"/>
    </row>
    <row r="427" ht="15" customHeight="1">
      <c r="H427" s="40" t="n"/>
    </row>
    <row r="428" ht="15" customHeight="1">
      <c r="H428" s="40" t="n"/>
    </row>
    <row r="429" ht="15" customHeight="1">
      <c r="H429" s="40" t="n"/>
    </row>
    <row r="430" ht="15" customHeight="1">
      <c r="H430" s="40" t="n"/>
    </row>
    <row r="431" ht="15" customHeight="1">
      <c r="H431" s="40" t="n"/>
    </row>
    <row r="432" ht="15" customHeight="1">
      <c r="H432" s="40" t="n"/>
    </row>
    <row r="433" ht="15" customHeight="1">
      <c r="H433" s="40" t="n"/>
    </row>
    <row r="434" ht="15" customHeight="1">
      <c r="H434" s="40" t="n"/>
    </row>
    <row r="435" ht="15" customHeight="1">
      <c r="H435" s="40" t="n"/>
    </row>
    <row r="436" ht="15" customHeight="1">
      <c r="H436" s="40" t="n"/>
    </row>
    <row r="437" ht="15" customHeight="1">
      <c r="H437" s="40" t="n"/>
    </row>
    <row r="438" ht="15" customHeight="1">
      <c r="H438" s="40" t="n"/>
    </row>
    <row r="439" ht="15" customHeight="1">
      <c r="H439" s="40" t="n"/>
    </row>
    <row r="440" ht="15" customHeight="1">
      <c r="H440" s="40" t="n"/>
    </row>
    <row r="441" ht="15" customHeight="1">
      <c r="H441" s="40" t="n"/>
    </row>
    <row r="442" ht="15" customHeight="1">
      <c r="H442" s="40" t="n"/>
    </row>
    <row r="443" ht="15" customHeight="1">
      <c r="H443" s="40" t="n"/>
    </row>
    <row r="444" ht="15" customHeight="1">
      <c r="H444" s="40" t="n"/>
    </row>
    <row r="445" ht="15" customHeight="1">
      <c r="H445" s="40" t="n"/>
    </row>
    <row r="446" ht="15" customHeight="1">
      <c r="H446" s="40" t="n"/>
    </row>
    <row r="447" ht="15" customHeight="1">
      <c r="H447" s="40" t="n"/>
    </row>
    <row r="448" ht="15" customHeight="1">
      <c r="H448" s="40" t="n"/>
    </row>
    <row r="449" ht="15" customHeight="1">
      <c r="H449" s="40" t="n"/>
    </row>
    <row r="450" ht="15" customHeight="1">
      <c r="H450" s="40" t="n"/>
    </row>
    <row r="451" ht="15" customHeight="1">
      <c r="H451" s="40" t="n"/>
    </row>
    <row r="452" ht="15" customHeight="1">
      <c r="H452" s="40" t="n"/>
    </row>
    <row r="453" ht="15" customHeight="1">
      <c r="H453" s="40" t="n"/>
    </row>
    <row r="454" ht="15" customHeight="1">
      <c r="H454" s="40" t="n"/>
    </row>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sheetData>
  <conditionalFormatting sqref="A2:L1000">
    <cfRule type="expression" priority="2" dxfId="7">
      <formula>$C2="US"</formula>
    </cfRule>
    <cfRule type="expression" priority="3" dxfId="6">
      <formula>$C2="MyMSC"</formula>
    </cfRule>
    <cfRule type="expression" priority="4" dxfId="4">
      <formula>$C2="Rollout"</formula>
    </cfRule>
    <cfRule type="expression" priority="5" dxfId="4">
      <formula>$C2="MVP Rollout"</formula>
    </cfRule>
    <cfRule type="expression" priority="6" dxfId="2">
      <formula>$C2="Backlog"</formula>
    </cfRule>
    <cfRule type="expression" priority="7" dxfId="2">
      <formula>$C2="Growth"</formula>
    </cfRule>
    <cfRule type="expression" priority="8" dxfId="1">
      <formula>$C2="Tech Enhancements"</formula>
    </cfRule>
    <cfRule type="expression" priority="9" dxfId="0">
      <formula>LEFT($C2,2)="PI"</formula>
    </cfRule>
  </conditionalFormatting>
  <dataValidations count="4">
    <dataValidation sqref="G2:G500" showDropDown="0" showInputMessage="0" showErrorMessage="0" allowBlank="1" type="list">
      <formula1>"Yes,No,TBC"</formula1>
      <formula2>0</formula2>
    </dataValidation>
    <dataValidation sqref="I2:I500" showDropDown="0" showInputMessage="0" showErrorMessage="0" allowBlank="1" type="list">
      <formula1>"Clare,Luke,Bipin,Remo,Praneeth"</formula1>
      <formula2>0</formula2>
    </dataValidation>
    <dataValidation sqref="K2:K500" showDropDown="0" showInputMessage="0" showErrorMessage="0" allowBlank="1" type="list">
      <formula1>"No Design Required,Ready for Development,Design in Progress,Pending Review,Pending Solution,Pending Design"</formula1>
      <formula2>0</formula2>
    </dataValidation>
    <dataValidation sqref="L2:L500" showDropDown="0" showInputMessage="0" showErrorMessage="0" allowBlank="1" type="list">
      <formula1>"Yes,No,NA"</formula1>
      <formula2>0</formula2>
    </dataValidation>
  </dataValidations>
  <pageMargins left="0.75" right="0.75" top="1" bottom="1" header="0.511811023622047" footer="0.511811023622047"/>
  <pageSetup orientation="portrait" paperSize="9" horizontalDpi="300" verticalDpi="300"/>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Q242"/>
  <sheetViews>
    <sheetView zoomScaleNormal="100" workbookViewId="0">
      <pane ySplit="1" topLeftCell="A2" activePane="bottomLeft" state="frozen"/>
      <selection pane="bottomLeft" activeCell="I25" sqref="I25"/>
    </sheetView>
  </sheetViews>
  <sheetFormatPr baseColWidth="10" defaultColWidth="8.6640625" defaultRowHeight="15"/>
  <cols>
    <col width="16" customWidth="1" min="1" max="1"/>
    <col width="52" customWidth="1" min="2" max="2"/>
    <col width="12" customWidth="1" min="3" max="3"/>
    <col width="9.83203125" customWidth="1" min="4" max="4"/>
    <col width="13" customWidth="1" min="5" max="5"/>
    <col width="14" customWidth="1" min="6" max="6"/>
    <col width="12" customWidth="1" min="7" max="7"/>
    <col width="12.1640625" customWidth="1" min="8" max="8"/>
    <col width="14.33203125" customWidth="1" min="9" max="9"/>
    <col width="11.5" customWidth="1" min="10" max="11"/>
    <col width="18.33203125" customWidth="1" style="41" min="12" max="12"/>
    <col width="19.83203125" customWidth="1" style="41" min="13" max="13"/>
    <col width="14" customWidth="1" min="14" max="14"/>
    <col width="14.5" customWidth="1" style="41" min="15" max="15"/>
    <col width="26.1640625" customWidth="1" min="17" max="17"/>
  </cols>
  <sheetData>
    <row r="1" ht="30" customHeight="1">
      <c r="A1" s="19" t="inlineStr">
        <is>
          <t>Requirement ID</t>
        </is>
      </c>
      <c r="B1" s="20" t="inlineStr">
        <is>
          <t>Requirement Name</t>
        </is>
      </c>
      <c r="C1" s="20" t="inlineStr">
        <is>
          <t>Stream</t>
        </is>
      </c>
      <c r="D1" s="20" t="inlineStr">
        <is>
          <t>Stream Owner</t>
        </is>
      </c>
      <c r="E1" s="20" t="inlineStr">
        <is>
          <t>Jira Link</t>
        </is>
      </c>
      <c r="F1" s="19" t="inlineStr">
        <is>
          <t>HLD Completed</t>
        </is>
      </c>
      <c r="G1" s="19" t="inlineStr">
        <is>
          <t>LLD Completed</t>
        </is>
      </c>
      <c r="H1" s="19" t="inlineStr">
        <is>
          <t>Sprint</t>
        </is>
      </c>
      <c r="I1" s="20" t="inlineStr">
        <is>
          <t>Status</t>
        </is>
      </c>
      <c r="J1" s="20" t="inlineStr">
        <is>
          <t>Priority</t>
        </is>
      </c>
      <c r="K1" s="19" t="inlineStr">
        <is>
          <t>Predecessor Stream</t>
        </is>
      </c>
      <c r="L1" s="19" t="inlineStr">
        <is>
          <t>Predecessor Task</t>
        </is>
      </c>
      <c r="M1" s="19" t="inlineStr">
        <is>
          <t>Predecessor Jira Link</t>
        </is>
      </c>
      <c r="N1" s="19" t="inlineStr">
        <is>
          <t>Successor Stream</t>
        </is>
      </c>
      <c r="O1" s="42" t="inlineStr">
        <is>
          <t>Successor Jira Link</t>
        </is>
      </c>
      <c r="P1" s="17" t="inlineStr">
        <is>
          <t>Dependency Status</t>
        </is>
      </c>
      <c r="Q1" s="17" t="inlineStr">
        <is>
          <t>Notes</t>
        </is>
      </c>
    </row>
    <row r="2" ht="15" customHeight="1">
      <c r="A2" s="21" t="inlineStr">
        <is>
          <t>NEW-0001</t>
        </is>
      </c>
      <c r="B2" s="23">
        <f>IFERROR(IF(ISBLANK(INDEX(Backlog[Requirement Name],MATCH($A2,Backlog[Requirement ID],0))),"",INDEX(Backlog[Requirement Name],MATCH($A2,Backlog[Requirement ID],0))),"")</f>
        <v/>
      </c>
      <c r="C2" s="23">
        <f>IFERROR(IF(ISBLANK(INDEX(Backlog[Stream],MATCH($A2,Backlog[Requirement ID],0))),"",INDEX(Backlog[Stream],MATCH($A2,Backlog[Requirement ID],0))),"")</f>
        <v/>
      </c>
      <c r="D2" s="23">
        <f>IFERROR(IF(ISBLANK(INDEX(Backlog[Stream Owner],MATCH($A2,Backlog[Requirement ID],0))),"",INDEX(Backlog[Stream Owner],MATCH($A2,Backlog[Requirement ID],0))),"")</f>
        <v/>
      </c>
      <c r="E2" s="23">
        <f>IFERROR(IF(ISBLANK(INDEX(Backlog[Jira Link],MATCH($A2,Backlog[Requirement ID],0))),"",INDEX(Backlog[Jira Link],MATCH($A2,Backlog[Requirement ID],0))),"")</f>
        <v/>
      </c>
      <c r="F2" s="21" t="inlineStr">
        <is>
          <t>Yes</t>
        </is>
      </c>
      <c r="G2" s="21" t="inlineStr">
        <is>
          <t>Yes</t>
        </is>
      </c>
      <c r="H2" s="29">
        <f>IFERROR(IF(ISBLANK(INDEX(SprintPlanning[Sprint],MATCH($A2,SprintPlanning[Requirement ID],0))),"",INDEX(SprintPlanning[Sprint],MATCH($A2,SprintPlanning[Requirement ID],0))),"")</f>
        <v/>
      </c>
      <c r="I2" s="23">
        <f>IFERROR(IF(ISBLANK(INDEX(Backlog[Status],MATCH($A2,Backlog[Requirement ID],0))),"",INDEX(Backlog[Status],MATCH($A2,Backlog[Requirement ID],0))),"")</f>
        <v/>
      </c>
      <c r="J2" s="23">
        <f>IFERROR(IF(ISBLANK(INDEX(Backlog[Priority],MATCH($A2,Backlog[Requirement ID],0))),"",INDEX(Backlog[Priority],MATCH($A2,Backlog[Requirement ID],0))),"")</f>
        <v/>
      </c>
      <c r="K2" s="21" t="inlineStr">
        <is>
          <t>CHUB</t>
        </is>
      </c>
      <c r="L2" s="43" t="inlineStr">
        <is>
          <t>Update to CH042 on profiling consents</t>
        </is>
      </c>
      <c r="M2" s="43" t="n"/>
      <c r="N2" s="21" t="n"/>
      <c r="O2" s="44" t="n"/>
      <c r="P2" s="33" t="n"/>
      <c r="Q2" s="33" t="n"/>
    </row>
    <row r="3" ht="15" customHeight="1">
      <c r="A3" s="21" t="inlineStr">
        <is>
          <t>NEW-0002</t>
        </is>
      </c>
      <c r="B3" s="23">
        <f>IFERROR(IF(ISBLANK(INDEX(Backlog[Requirement Name],MATCH($A3,Backlog[Requirement ID],0))),"",INDEX(Backlog[Requirement Name],MATCH($A3,Backlog[Requirement ID],0))),"")</f>
        <v/>
      </c>
      <c r="C3" s="23">
        <f>IFERROR(IF(ISBLANK(INDEX(Backlog[Stream],MATCH($A3,Backlog[Requirement ID],0))),"",INDEX(Backlog[Stream],MATCH($A3,Backlog[Requirement ID],0))),"")</f>
        <v/>
      </c>
      <c r="D3" s="23">
        <f>IFERROR(IF(ISBLANK(INDEX(Backlog[Stream Owner],MATCH($A3,Backlog[Requirement ID],0))),"",INDEX(Backlog[Stream Owner],MATCH($A3,Backlog[Requirement ID],0))),"")</f>
        <v/>
      </c>
      <c r="E3" s="23">
        <f>IFERROR(IF(ISBLANK(INDEX(Backlog[Jira Link],MATCH($A3,Backlog[Requirement ID],0))),"",INDEX(Backlog[Jira Link],MATCH($A3,Backlog[Requirement ID],0))),"")</f>
        <v/>
      </c>
      <c r="F3" s="21" t="n"/>
      <c r="G3" s="21" t="n"/>
      <c r="H3" s="29">
        <f>IFERROR(IF(ISBLANK(INDEX(SprintPlanning[Sprint],MATCH($A3,SprintPlanning[Requirement ID],0))),"",INDEX(SprintPlanning[Sprint],MATCH($A3,SprintPlanning[Requirement ID],0))),"")</f>
        <v/>
      </c>
      <c r="I3" s="23">
        <f>IFERROR(IF(ISBLANK(INDEX(Backlog[Status],MATCH($A3,Backlog[Requirement ID],0))),"",INDEX(Backlog[Status],MATCH($A3,Backlog[Requirement ID],0))),"")</f>
        <v/>
      </c>
      <c r="J3" s="23">
        <f>IFERROR(IF(ISBLANK(INDEX(Backlog[Priority],MATCH($A3,Backlog[Requirement ID],0))),"",INDEX(Backlog[Priority],MATCH($A3,Backlog[Requirement ID],0))),"")</f>
        <v/>
      </c>
      <c r="K3" s="21" t="n"/>
      <c r="L3" s="43" t="n"/>
      <c r="M3" s="43" t="n"/>
      <c r="N3" s="21" t="n"/>
      <c r="O3" s="44" t="n"/>
      <c r="P3" s="33" t="n"/>
      <c r="Q3" s="33" t="n"/>
    </row>
    <row r="4" ht="36" customHeight="1">
      <c r="A4" s="21" t="inlineStr">
        <is>
          <t>NEW-0003</t>
        </is>
      </c>
      <c r="B4" s="23">
        <f>IFERROR(IF(ISBLANK(INDEX(Backlog[Requirement Name],MATCH($A4,Backlog[Requirement ID],0))),"",INDEX(Backlog[Requirement Name],MATCH($A4,Backlog[Requirement ID],0))),"")</f>
        <v/>
      </c>
      <c r="C4" s="23">
        <f>IFERROR(IF(ISBLANK(INDEX(Backlog[Stream],MATCH($A4,Backlog[Requirement ID],0))),"",INDEX(Backlog[Stream],MATCH($A4,Backlog[Requirement ID],0))),"")</f>
        <v/>
      </c>
      <c r="D4" s="23">
        <f>IFERROR(IF(ISBLANK(INDEX(Backlog[Stream Owner],MATCH($A4,Backlog[Requirement ID],0))),"",INDEX(Backlog[Stream Owner],MATCH($A4,Backlog[Requirement ID],0))),"")</f>
        <v/>
      </c>
      <c r="E4" s="23">
        <f>IFERROR(IF(ISBLANK(INDEX(Backlog[Jira Link],MATCH($A4,Backlog[Requirement ID],0))),"",INDEX(Backlog[Jira Link],MATCH($A4,Backlog[Requirement ID],0))),"")</f>
        <v/>
      </c>
      <c r="F4" s="21" t="inlineStr">
        <is>
          <t>Yes</t>
        </is>
      </c>
      <c r="G4" s="21" t="inlineStr">
        <is>
          <t>Yes</t>
        </is>
      </c>
      <c r="H4" s="29">
        <f>IFERROR(IF(ISBLANK(INDEX(SprintPlanning[Sprint],MATCH($A4,SprintPlanning[Requirement ID],0))),"",INDEX(SprintPlanning[Sprint],MATCH($A4,SprintPlanning[Requirement ID],0))),"")</f>
        <v/>
      </c>
      <c r="I4" s="23">
        <f>IFERROR(IF(ISBLANK(INDEX(Backlog[Status],MATCH($A4,Backlog[Requirement ID],0))),"",INDEX(Backlog[Status],MATCH($A4,Backlog[Requirement ID],0))),"")</f>
        <v/>
      </c>
      <c r="J4" s="23">
        <f>IFERROR(IF(ISBLANK(INDEX(Backlog[Priority],MATCH($A4,Backlog[Requirement ID],0))),"",INDEX(Backlog[Priority],MATCH($A4,Backlog[Requirement ID],0))),"")</f>
        <v/>
      </c>
      <c r="K4" s="21" t="inlineStr">
        <is>
          <t>S&amp;S</t>
        </is>
      </c>
      <c r="L4" s="43" t="inlineStr">
        <is>
          <t>Updates to S008</t>
        </is>
      </c>
      <c r="M4" s="43" t="n"/>
      <c r="N4" s="21" t="inlineStr">
        <is>
          <t>F&amp;F</t>
        </is>
      </c>
      <c r="O4" s="44" t="inlineStr">
        <is>
          <t>https://smartship.atlassian.net/browse/DTTP25-352</t>
        </is>
      </c>
      <c r="P4" s="33" t="n"/>
      <c r="Q4" s="33" t="n"/>
    </row>
    <row r="5" ht="15" customHeight="1">
      <c r="A5" s="21" t="inlineStr">
        <is>
          <t>NEW-0005</t>
        </is>
      </c>
      <c r="B5" s="23">
        <f>IFERROR(IF(ISBLANK(INDEX(Backlog[Requirement Name],MATCH($A5,Backlog[Requirement ID],0))),"",INDEX(Backlog[Requirement Name],MATCH($A5,Backlog[Requirement ID],0))),"")</f>
        <v/>
      </c>
      <c r="C5" s="23">
        <f>IFERROR(IF(ISBLANK(INDEX(Backlog[Stream],MATCH($A5,Backlog[Requirement ID],0))),"",INDEX(Backlog[Stream],MATCH($A5,Backlog[Requirement ID],0))),"")</f>
        <v/>
      </c>
      <c r="D5" s="23">
        <f>IFERROR(IF(ISBLANK(INDEX(Backlog[Stream Owner],MATCH($A5,Backlog[Requirement ID],0))),"",INDEX(Backlog[Stream Owner],MATCH($A5,Backlog[Requirement ID],0))),"")</f>
        <v/>
      </c>
      <c r="E5" s="23">
        <f>IFERROR(IF(ISBLANK(INDEX(Backlog[Jira Link],MATCH($A5,Backlog[Requirement ID],0))),"",INDEX(Backlog[Jira Link],MATCH($A5,Backlog[Requirement ID],0))),"")</f>
        <v/>
      </c>
      <c r="F5" s="21" t="inlineStr">
        <is>
          <t>No</t>
        </is>
      </c>
      <c r="G5" s="21" t="inlineStr">
        <is>
          <t>No</t>
        </is>
      </c>
      <c r="H5" s="29">
        <f>IFERROR(IF(ISBLANK(INDEX(SprintPlanning[Sprint],MATCH($A5,SprintPlanning[Requirement ID],0))),"",INDEX(SprintPlanning[Sprint],MATCH($A5,SprintPlanning[Requirement ID],0))),"")</f>
        <v/>
      </c>
      <c r="I5" s="23">
        <f>IFERROR(IF(ISBLANK(INDEX(Backlog[Status],MATCH($A5,Backlog[Requirement ID],0))),"",INDEX(Backlog[Status],MATCH($A5,Backlog[Requirement ID],0))),"")</f>
        <v/>
      </c>
      <c r="J5" s="23">
        <f>IFERROR(IF(ISBLANK(INDEX(Backlog[Priority],MATCH($A5,Backlog[Requirement ID],0))),"",INDEX(Backlog[Priority],MATCH($A5,Backlog[Requirement ID],0))),"")</f>
        <v/>
      </c>
      <c r="K5" s="21" t="n"/>
      <c r="L5" s="43" t="n"/>
      <c r="M5" s="43" t="n"/>
      <c r="N5" s="21" t="n"/>
      <c r="O5" s="44" t="n"/>
      <c r="P5" s="33" t="n"/>
      <c r="Q5" s="33" t="n"/>
    </row>
    <row r="6" ht="15" customHeight="1">
      <c r="A6" s="21" t="inlineStr">
        <is>
          <t>NEW-0006</t>
        </is>
      </c>
      <c r="B6" s="23">
        <f>IFERROR(IF(ISBLANK(INDEX(Backlog[Requirement Name],MATCH($A6,Backlog[Requirement ID],0))),"",INDEX(Backlog[Requirement Name],MATCH($A6,Backlog[Requirement ID],0))),"")</f>
        <v/>
      </c>
      <c r="C6" s="23">
        <f>IFERROR(IF(ISBLANK(INDEX(Backlog[Stream],MATCH($A6,Backlog[Requirement ID],0))),"",INDEX(Backlog[Stream],MATCH($A6,Backlog[Requirement ID],0))),"")</f>
        <v/>
      </c>
      <c r="D6" s="23">
        <f>IFERROR(IF(ISBLANK(INDEX(Backlog[Stream Owner],MATCH($A6,Backlog[Requirement ID],0))),"",INDEX(Backlog[Stream Owner],MATCH($A6,Backlog[Requirement ID],0))),"")</f>
        <v/>
      </c>
      <c r="E6" s="23">
        <f>IFERROR(IF(ISBLANK(INDEX(Backlog[Jira Link],MATCH($A6,Backlog[Requirement ID],0))),"",INDEX(Backlog[Jira Link],MATCH($A6,Backlog[Requirement ID],0))),"")</f>
        <v/>
      </c>
      <c r="F6" s="21" t="inlineStr">
        <is>
          <t>No</t>
        </is>
      </c>
      <c r="G6" s="21" t="inlineStr">
        <is>
          <t>No</t>
        </is>
      </c>
      <c r="H6" s="29">
        <f>IFERROR(IF(ISBLANK(INDEX(SprintPlanning[Sprint],MATCH($A6,SprintPlanning[Requirement ID],0))),"",INDEX(SprintPlanning[Sprint],MATCH($A6,SprintPlanning[Requirement ID],0))),"")</f>
        <v/>
      </c>
      <c r="I6" s="23">
        <f>IFERROR(IF(ISBLANK(INDEX(Backlog[Status],MATCH($A6,Backlog[Requirement ID],0))),"",INDEX(Backlog[Status],MATCH($A6,Backlog[Requirement ID],0))),"")</f>
        <v/>
      </c>
      <c r="J6" s="23">
        <f>IFERROR(IF(ISBLANK(INDEX(Backlog[Priority],MATCH($A6,Backlog[Requirement ID],0))),"",INDEX(Backlog[Priority],MATCH($A6,Backlog[Requirement ID],0))),"")</f>
        <v/>
      </c>
      <c r="K6" s="21" t="n"/>
      <c r="L6" s="43" t="n"/>
      <c r="M6" s="43" t="n"/>
      <c r="N6" s="21" t="n"/>
      <c r="O6" s="44" t="n"/>
      <c r="P6" s="33" t="n"/>
      <c r="Q6" s="33" t="n"/>
    </row>
    <row r="7" ht="15" customHeight="1">
      <c r="A7" s="21" t="inlineStr">
        <is>
          <t>NEW-0007</t>
        </is>
      </c>
      <c r="B7" s="23">
        <f>IFERROR(IF(ISBLANK(INDEX(Backlog[Requirement Name],MATCH($A7,Backlog[Requirement ID],0))),"",INDEX(Backlog[Requirement Name],MATCH($A7,Backlog[Requirement ID],0))),"")</f>
        <v/>
      </c>
      <c r="C7" s="23">
        <f>IFERROR(IF(ISBLANK(INDEX(Backlog[Stream],MATCH($A7,Backlog[Requirement ID],0))),"",INDEX(Backlog[Stream],MATCH($A7,Backlog[Requirement ID],0))),"")</f>
        <v/>
      </c>
      <c r="D7" s="23">
        <f>IFERROR(IF(ISBLANK(INDEX(Backlog[Stream Owner],MATCH($A7,Backlog[Requirement ID],0))),"",INDEX(Backlog[Stream Owner],MATCH($A7,Backlog[Requirement ID],0))),"")</f>
        <v/>
      </c>
      <c r="E7" s="23">
        <f>IFERROR(IF(ISBLANK(INDEX(Backlog[Jira Link],MATCH($A7,Backlog[Requirement ID],0))),"",INDEX(Backlog[Jira Link],MATCH($A7,Backlog[Requirement ID],0))),"")</f>
        <v/>
      </c>
      <c r="F7" s="21" t="inlineStr">
        <is>
          <t>No</t>
        </is>
      </c>
      <c r="G7" s="21" t="inlineStr">
        <is>
          <t>No</t>
        </is>
      </c>
      <c r="H7" s="29">
        <f>IFERROR(IF(ISBLANK(INDEX(SprintPlanning[Sprint],MATCH($A7,SprintPlanning[Requirement ID],0))),"",INDEX(SprintPlanning[Sprint],MATCH($A7,SprintPlanning[Requirement ID],0))),"")</f>
        <v/>
      </c>
      <c r="I7" s="23">
        <f>IFERROR(IF(ISBLANK(INDEX(Backlog[Status],MATCH($A7,Backlog[Requirement ID],0))),"",INDEX(Backlog[Status],MATCH($A7,Backlog[Requirement ID],0))),"")</f>
        <v/>
      </c>
      <c r="J7" s="23">
        <f>IFERROR(IF(ISBLANK(INDEX(Backlog[Priority],MATCH($A7,Backlog[Requirement ID],0))),"",INDEX(Backlog[Priority],MATCH($A7,Backlog[Requirement ID],0))),"")</f>
        <v/>
      </c>
      <c r="K7" s="21" t="n"/>
      <c r="L7" s="43" t="n"/>
      <c r="M7" s="43" t="n"/>
      <c r="N7" s="21" t="n"/>
      <c r="O7" s="44" t="n"/>
      <c r="P7" s="33" t="n"/>
      <c r="Q7" s="33" t="n"/>
    </row>
    <row r="8" ht="15" customHeight="1">
      <c r="A8" s="21" t="inlineStr">
        <is>
          <t>NEW-0011</t>
        </is>
      </c>
      <c r="B8" s="23">
        <f>IFERROR(IF(ISBLANK(INDEX(Backlog[Requirement Name],MATCH($A8,Backlog[Requirement ID],0))),"",INDEX(Backlog[Requirement Name],MATCH($A8,Backlog[Requirement ID],0))),"")</f>
        <v/>
      </c>
      <c r="C8" s="23">
        <f>IFERROR(IF(ISBLANK(INDEX(Backlog[Stream],MATCH($A8,Backlog[Requirement ID],0))),"",INDEX(Backlog[Stream],MATCH($A8,Backlog[Requirement ID],0))),"")</f>
        <v/>
      </c>
      <c r="D8" s="23">
        <f>IFERROR(IF(ISBLANK(INDEX(Backlog[Stream Owner],MATCH($A8,Backlog[Requirement ID],0))),"",INDEX(Backlog[Stream Owner],MATCH($A8,Backlog[Requirement ID],0))),"")</f>
        <v/>
      </c>
      <c r="E8" s="23">
        <f>IFERROR(IF(ISBLANK(INDEX(Backlog[Jira Link],MATCH($A8,Backlog[Requirement ID],0))),"",INDEX(Backlog[Jira Link],MATCH($A8,Backlog[Requirement ID],0))),"")</f>
        <v/>
      </c>
      <c r="F8" s="21" t="inlineStr">
        <is>
          <t>No</t>
        </is>
      </c>
      <c r="G8" s="21" t="inlineStr">
        <is>
          <t>No</t>
        </is>
      </c>
      <c r="H8" s="29">
        <f>IFERROR(IF(ISBLANK(INDEX(SprintPlanning[Sprint],MATCH($A8,SprintPlanning[Requirement ID],0))),"",INDEX(SprintPlanning[Sprint],MATCH($A8,SprintPlanning[Requirement ID],0))),"")</f>
        <v/>
      </c>
      <c r="I8" s="23">
        <f>IFERROR(IF(ISBLANK(INDEX(Backlog[Status],MATCH($A8,Backlog[Requirement ID],0))),"",INDEX(Backlog[Status],MATCH($A8,Backlog[Requirement ID],0))),"")</f>
        <v/>
      </c>
      <c r="J8" s="23">
        <f>IFERROR(IF(ISBLANK(INDEX(Backlog[Priority],MATCH($A8,Backlog[Requirement ID],0))),"",INDEX(Backlog[Priority],MATCH($A8,Backlog[Requirement ID],0))),"")</f>
        <v/>
      </c>
      <c r="K8" s="21" t="n"/>
      <c r="L8" s="43" t="n"/>
      <c r="M8" s="43" t="n"/>
      <c r="N8" s="21" t="n"/>
      <c r="O8" s="44" t="n"/>
      <c r="P8" s="33" t="n"/>
      <c r="Q8" s="33" t="n"/>
    </row>
    <row r="9" ht="15" customHeight="1">
      <c r="A9" s="21" t="inlineStr">
        <is>
          <t>NEW-0012</t>
        </is>
      </c>
      <c r="B9" s="23">
        <f>IFERROR(IF(ISBLANK(INDEX(Backlog[Requirement Name],MATCH($A9,Backlog[Requirement ID],0))),"",INDEX(Backlog[Requirement Name],MATCH($A9,Backlog[Requirement ID],0))),"")</f>
        <v/>
      </c>
      <c r="C9" s="23">
        <f>IFERROR(IF(ISBLANK(INDEX(Backlog[Stream],MATCH($A9,Backlog[Requirement ID],0))),"",INDEX(Backlog[Stream],MATCH($A9,Backlog[Requirement ID],0))),"")</f>
        <v/>
      </c>
      <c r="D9" s="23">
        <f>IFERROR(IF(ISBLANK(INDEX(Backlog[Stream Owner],MATCH($A9,Backlog[Requirement ID],0))),"",INDEX(Backlog[Stream Owner],MATCH($A9,Backlog[Requirement ID],0))),"")</f>
        <v/>
      </c>
      <c r="E9" s="23">
        <f>IFERROR(IF(ISBLANK(INDEX(Backlog[Jira Link],MATCH($A9,Backlog[Requirement ID],0))),"",INDEX(Backlog[Jira Link],MATCH($A9,Backlog[Requirement ID],0))),"")</f>
        <v/>
      </c>
      <c r="F9" s="21" t="inlineStr">
        <is>
          <t>Yes</t>
        </is>
      </c>
      <c r="G9" s="21" t="inlineStr">
        <is>
          <t>Yes</t>
        </is>
      </c>
      <c r="H9" s="29">
        <f>IFERROR(IF(ISBLANK(INDEX(SprintPlanning[Sprint],MATCH($A9,SprintPlanning[Requirement ID],0))),"",INDEX(SprintPlanning[Sprint],MATCH($A9,SprintPlanning[Requirement ID],0))),"")</f>
        <v/>
      </c>
      <c r="I9" s="23">
        <f>IFERROR(IF(ISBLANK(INDEX(Backlog[Status],MATCH($A9,Backlog[Requirement ID],0))),"",INDEX(Backlog[Status],MATCH($A9,Backlog[Requirement ID],0))),"")</f>
        <v/>
      </c>
      <c r="J9" s="23">
        <f>IFERROR(IF(ISBLANK(INDEX(Backlog[Priority],MATCH($A9,Backlog[Requirement ID],0))),"",INDEX(Backlog[Priority],MATCH($A9,Backlog[Requirement ID],0))),"")</f>
        <v/>
      </c>
      <c r="K9" s="21" t="n"/>
      <c r="L9" s="43" t="inlineStr">
        <is>
          <t>S&amp;S to add fields in case</t>
        </is>
      </c>
      <c r="M9" s="43" t="inlineStr">
        <is>
          <t>https://smartship.atlassian.net/browse/MDTTPU-3723</t>
        </is>
      </c>
      <c r="N9" s="21" t="n"/>
      <c r="O9" s="44" t="inlineStr">
        <is>
          <t>https://smartship.atlassian.net/browse/MB-6912</t>
        </is>
      </c>
      <c r="P9" s="33" t="n"/>
      <c r="Q9" s="33" t="n"/>
    </row>
    <row r="10" ht="15" customHeight="1">
      <c r="A10" s="21" t="inlineStr">
        <is>
          <t>NEW-0015</t>
        </is>
      </c>
      <c r="B10" s="23">
        <f>IFERROR(IF(ISBLANK(INDEX(Backlog[Requirement Name],MATCH($A10,Backlog[Requirement ID],0))),"",INDEX(Backlog[Requirement Name],MATCH($A10,Backlog[Requirement ID],0))),"")</f>
        <v/>
      </c>
      <c r="C10" s="23">
        <f>IFERROR(IF(ISBLANK(INDEX(Backlog[Stream],MATCH($A10,Backlog[Requirement ID],0))),"",INDEX(Backlog[Stream],MATCH($A10,Backlog[Requirement ID],0))),"")</f>
        <v/>
      </c>
      <c r="D10" s="23">
        <f>IFERROR(IF(ISBLANK(INDEX(Backlog[Stream Owner],MATCH($A10,Backlog[Requirement ID],0))),"",INDEX(Backlog[Stream Owner],MATCH($A10,Backlog[Requirement ID],0))),"")</f>
        <v/>
      </c>
      <c r="E10" s="23">
        <f>IFERROR(IF(ISBLANK(INDEX(Backlog[Jira Link],MATCH($A10,Backlog[Requirement ID],0))),"",INDEX(Backlog[Jira Link],MATCH($A10,Backlog[Requirement ID],0))),"")</f>
        <v/>
      </c>
      <c r="F10" s="21" t="inlineStr">
        <is>
          <t>Yes</t>
        </is>
      </c>
      <c r="G10" s="21" t="inlineStr">
        <is>
          <t>Yes</t>
        </is>
      </c>
      <c r="H10" s="29">
        <f>IFERROR(IF(ISBLANK(INDEX(SprintPlanning[Sprint],MATCH($A10,SprintPlanning[Requirement ID],0))),"",INDEX(SprintPlanning[Sprint],MATCH($A10,SprintPlanning[Requirement ID],0))),"")</f>
        <v/>
      </c>
      <c r="I10" s="23">
        <f>IFERROR(IF(ISBLANK(INDEX(Backlog[Status],MATCH($A10,Backlog[Requirement ID],0))),"",INDEX(Backlog[Status],MATCH($A10,Backlog[Requirement ID],0))),"")</f>
        <v/>
      </c>
      <c r="J10" s="23">
        <f>IFERROR(IF(ISBLANK(INDEX(Backlog[Priority],MATCH($A10,Backlog[Requirement ID],0))),"",INDEX(Backlog[Priority],MATCH($A10,Backlog[Requirement ID],0))),"")</f>
        <v/>
      </c>
      <c r="K10" s="21" t="n"/>
      <c r="L10" s="43" t="inlineStr">
        <is>
          <t>Tokenisation Flag - A070/ A013</t>
        </is>
      </c>
      <c r="M10" s="43" t="inlineStr">
        <is>
          <t>https://smartship.atlassian.net/browse/MDTTPU-8082</t>
        </is>
      </c>
      <c r="N10" s="21" t="n"/>
      <c r="O10" s="44" t="n"/>
      <c r="P10" s="33" t="n"/>
      <c r="Q10" s="33" t="n"/>
    </row>
    <row r="11" ht="15" customHeight="1">
      <c r="A11" s="21" t="inlineStr">
        <is>
          <t>NEW-0016</t>
        </is>
      </c>
      <c r="B11" s="23">
        <f>IFERROR(IF(ISBLANK(INDEX(Backlog[Requirement Name],MATCH($A11,Backlog[Requirement ID],0))),"",INDEX(Backlog[Requirement Name],MATCH($A11,Backlog[Requirement ID],0))),"")</f>
        <v/>
      </c>
      <c r="C11" s="23">
        <f>IFERROR(IF(ISBLANK(INDEX(Backlog[Stream],MATCH($A11,Backlog[Requirement ID],0))),"",INDEX(Backlog[Stream],MATCH($A11,Backlog[Requirement ID],0))),"")</f>
        <v/>
      </c>
      <c r="D11" s="23">
        <f>IFERROR(IF(ISBLANK(INDEX(Backlog[Stream Owner],MATCH($A11,Backlog[Requirement ID],0))),"",INDEX(Backlog[Stream Owner],MATCH($A11,Backlog[Requirement ID],0))),"")</f>
        <v/>
      </c>
      <c r="E11" s="23">
        <f>IFERROR(IF(ISBLANK(INDEX(Backlog[Jira Link],MATCH($A11,Backlog[Requirement ID],0))),"",INDEX(Backlog[Jira Link],MATCH($A11,Backlog[Requirement ID],0))),"")</f>
        <v/>
      </c>
      <c r="F11" s="21" t="inlineStr">
        <is>
          <t>No</t>
        </is>
      </c>
      <c r="G11" s="21" t="inlineStr">
        <is>
          <t>No</t>
        </is>
      </c>
      <c r="H11" s="29">
        <f>IFERROR(IF(ISBLANK(INDEX(SprintPlanning[Sprint],MATCH($A11,SprintPlanning[Requirement ID],0))),"",INDEX(SprintPlanning[Sprint],MATCH($A11,SprintPlanning[Requirement ID],0))),"")</f>
        <v/>
      </c>
      <c r="I11" s="23">
        <f>IFERROR(IF(ISBLANK(INDEX(Backlog[Status],MATCH($A11,Backlog[Requirement ID],0))),"",INDEX(Backlog[Status],MATCH($A11,Backlog[Requirement ID],0))),"")</f>
        <v/>
      </c>
      <c r="J11" s="23">
        <f>IFERROR(IF(ISBLANK(INDEX(Backlog[Priority],MATCH($A11,Backlog[Requirement ID],0))),"",INDEX(Backlog[Priority],MATCH($A11,Backlog[Requirement ID],0))),"")</f>
        <v/>
      </c>
      <c r="K11" s="21" t="n"/>
      <c r="L11" s="43" t="n"/>
      <c r="M11" s="43" t="n"/>
      <c r="N11" s="21" t="n"/>
      <c r="O11" s="44" t="n"/>
      <c r="P11" s="33" t="n"/>
      <c r="Q11" s="33" t="n"/>
    </row>
    <row r="12" ht="15" customHeight="1">
      <c r="A12" s="21" t="inlineStr">
        <is>
          <t>NEW-0017</t>
        </is>
      </c>
      <c r="B12" s="23">
        <f>IFERROR(IF(ISBLANK(INDEX(Backlog[Requirement Name],MATCH($A12,Backlog[Requirement ID],0))),"",INDEX(Backlog[Requirement Name],MATCH($A12,Backlog[Requirement ID],0))),"")</f>
        <v/>
      </c>
      <c r="C12" s="23">
        <f>IFERROR(IF(ISBLANK(INDEX(Backlog[Stream],MATCH($A12,Backlog[Requirement ID],0))),"",INDEX(Backlog[Stream],MATCH($A12,Backlog[Requirement ID],0))),"")</f>
        <v/>
      </c>
      <c r="D12" s="23">
        <f>IFERROR(IF(ISBLANK(INDEX(Backlog[Stream Owner],MATCH($A12,Backlog[Requirement ID],0))),"",INDEX(Backlog[Stream Owner],MATCH($A12,Backlog[Requirement ID],0))),"")</f>
        <v/>
      </c>
      <c r="E12" s="23">
        <f>IFERROR(IF(ISBLANK(INDEX(Backlog[Jira Link],MATCH($A12,Backlog[Requirement ID],0))),"",INDEX(Backlog[Jira Link],MATCH($A12,Backlog[Requirement ID],0))),"")</f>
        <v/>
      </c>
      <c r="F12" s="21" t="inlineStr">
        <is>
          <t>No</t>
        </is>
      </c>
      <c r="G12" s="21" t="inlineStr">
        <is>
          <t>No</t>
        </is>
      </c>
      <c r="H12" s="29">
        <f>IFERROR(IF(ISBLANK(INDEX(SprintPlanning[Sprint],MATCH($A12,SprintPlanning[Requirement ID],0))),"",INDEX(SprintPlanning[Sprint],MATCH($A12,SprintPlanning[Requirement ID],0))),"")</f>
        <v/>
      </c>
      <c r="I12" s="23">
        <f>IFERROR(IF(ISBLANK(INDEX(Backlog[Status],MATCH($A12,Backlog[Requirement ID],0))),"",INDEX(Backlog[Status],MATCH($A12,Backlog[Requirement ID],0))),"")</f>
        <v/>
      </c>
      <c r="J12" s="23">
        <f>IFERROR(IF(ISBLANK(INDEX(Backlog[Priority],MATCH($A12,Backlog[Requirement ID],0))),"",INDEX(Backlog[Priority],MATCH($A12,Backlog[Requirement ID],0))),"")</f>
        <v/>
      </c>
      <c r="K12" s="21" t="n"/>
      <c r="L12" s="43" t="n"/>
      <c r="M12" s="43" t="n"/>
      <c r="N12" s="21" t="n"/>
      <c r="O12" s="44" t="n"/>
      <c r="P12" s="33" t="n"/>
      <c r="Q12" s="33" t="n"/>
    </row>
    <row r="13" ht="15" customHeight="1">
      <c r="A13" s="21" t="inlineStr">
        <is>
          <t>NEW-0018</t>
        </is>
      </c>
      <c r="B13" s="23">
        <f>IFERROR(IF(ISBLANK(INDEX(Backlog[Requirement Name],MATCH($A13,Backlog[Requirement ID],0))),"",INDEX(Backlog[Requirement Name],MATCH($A13,Backlog[Requirement ID],0))),"")</f>
        <v/>
      </c>
      <c r="C13" s="23">
        <f>IFERROR(IF(ISBLANK(INDEX(Backlog[Stream],MATCH($A13,Backlog[Requirement ID],0))),"",INDEX(Backlog[Stream],MATCH($A13,Backlog[Requirement ID],0))),"")</f>
        <v/>
      </c>
      <c r="D13" s="23">
        <f>IFERROR(IF(ISBLANK(INDEX(Backlog[Stream Owner],MATCH($A13,Backlog[Requirement ID],0))),"",INDEX(Backlog[Stream Owner],MATCH($A13,Backlog[Requirement ID],0))),"")</f>
        <v/>
      </c>
      <c r="E13" s="23">
        <f>IFERROR(IF(ISBLANK(INDEX(Backlog[Jira Link],MATCH($A13,Backlog[Requirement ID],0))),"",INDEX(Backlog[Jira Link],MATCH($A13,Backlog[Requirement ID],0))),"")</f>
        <v/>
      </c>
      <c r="F13" s="21" t="inlineStr">
        <is>
          <t>No</t>
        </is>
      </c>
      <c r="G13" s="21" t="inlineStr">
        <is>
          <t>No</t>
        </is>
      </c>
      <c r="H13" s="29">
        <f>IFERROR(IF(ISBLANK(INDEX(SprintPlanning[Sprint],MATCH($A13,SprintPlanning[Requirement ID],0))),"",INDEX(SprintPlanning[Sprint],MATCH($A13,SprintPlanning[Requirement ID],0))),"")</f>
        <v/>
      </c>
      <c r="I13" s="23">
        <f>IFERROR(IF(ISBLANK(INDEX(Backlog[Status],MATCH($A13,Backlog[Requirement ID],0))),"",INDEX(Backlog[Status],MATCH($A13,Backlog[Requirement ID],0))),"")</f>
        <v/>
      </c>
      <c r="J13" s="23">
        <f>IFERROR(IF(ISBLANK(INDEX(Backlog[Priority],MATCH($A13,Backlog[Requirement ID],0))),"",INDEX(Backlog[Priority],MATCH($A13,Backlog[Requirement ID],0))),"")</f>
        <v/>
      </c>
      <c r="K13" s="21" t="n"/>
      <c r="L13" s="43" t="n"/>
      <c r="M13" s="43" t="n"/>
      <c r="N13" s="21" t="n"/>
      <c r="O13" s="44" t="n"/>
      <c r="P13" s="33" t="n"/>
      <c r="Q13" s="33" t="n"/>
    </row>
    <row r="14" ht="15" customHeight="1">
      <c r="A14" s="21" t="inlineStr">
        <is>
          <t>NEW-0020</t>
        </is>
      </c>
      <c r="B14" s="23">
        <f>IFERROR(IF(ISBLANK(INDEX(Backlog[Requirement Name],MATCH($A14,Backlog[Requirement ID],0))),"",INDEX(Backlog[Requirement Name],MATCH($A14,Backlog[Requirement ID],0))),"")</f>
        <v/>
      </c>
      <c r="C14" s="23">
        <f>IFERROR(IF(ISBLANK(INDEX(Backlog[Stream],MATCH($A14,Backlog[Requirement ID],0))),"",INDEX(Backlog[Stream],MATCH($A14,Backlog[Requirement ID],0))),"")</f>
        <v/>
      </c>
      <c r="D14" s="23">
        <f>IFERROR(IF(ISBLANK(INDEX(Backlog[Stream Owner],MATCH($A14,Backlog[Requirement ID],0))),"",INDEX(Backlog[Stream Owner],MATCH($A14,Backlog[Requirement ID],0))),"")</f>
        <v/>
      </c>
      <c r="E14" s="23">
        <f>IFERROR(IF(ISBLANK(INDEX(Backlog[Jira Link],MATCH($A14,Backlog[Requirement ID],0))),"",INDEX(Backlog[Jira Link],MATCH($A14,Backlog[Requirement ID],0))),"")</f>
        <v/>
      </c>
      <c r="F14" s="21" t="inlineStr">
        <is>
          <t>No</t>
        </is>
      </c>
      <c r="G14" s="21" t="inlineStr">
        <is>
          <t>No</t>
        </is>
      </c>
      <c r="H14" s="29">
        <f>IFERROR(IF(ISBLANK(INDEX(SprintPlanning[Sprint],MATCH($A14,SprintPlanning[Requirement ID],0))),"",INDEX(SprintPlanning[Sprint],MATCH($A14,SprintPlanning[Requirement ID],0))),"")</f>
        <v/>
      </c>
      <c r="I14" s="23">
        <f>IFERROR(IF(ISBLANK(INDEX(Backlog[Status],MATCH($A14,Backlog[Requirement ID],0))),"",INDEX(Backlog[Status],MATCH($A14,Backlog[Requirement ID],0))),"")</f>
        <v/>
      </c>
      <c r="J14" s="23">
        <f>IFERROR(IF(ISBLANK(INDEX(Backlog[Priority],MATCH($A14,Backlog[Requirement ID],0))),"",INDEX(Backlog[Priority],MATCH($A14,Backlog[Requirement ID],0))),"")</f>
        <v/>
      </c>
      <c r="K14" s="21" t="n"/>
      <c r="L14" s="43" t="n"/>
      <c r="M14" s="43" t="n"/>
      <c r="N14" s="21" t="n"/>
      <c r="O14" s="44" t="n"/>
      <c r="P14" s="33" t="n"/>
      <c r="Q14" s="33" t="n"/>
    </row>
    <row r="15" ht="15" customHeight="1">
      <c r="A15" s="21" t="inlineStr">
        <is>
          <t>NEW-0022</t>
        </is>
      </c>
      <c r="B15" s="23">
        <f>IFERROR(IF(ISBLANK(INDEX(Backlog[Requirement Name],MATCH($A15,Backlog[Requirement ID],0))),"",INDEX(Backlog[Requirement Name],MATCH($A15,Backlog[Requirement ID],0))),"")</f>
        <v/>
      </c>
      <c r="C15" s="23">
        <f>IFERROR(IF(ISBLANK(INDEX(Backlog[Stream],MATCH($A15,Backlog[Requirement ID],0))),"",INDEX(Backlog[Stream],MATCH($A15,Backlog[Requirement ID],0))),"")</f>
        <v/>
      </c>
      <c r="D15" s="23">
        <f>IFERROR(IF(ISBLANK(INDEX(Backlog[Stream Owner],MATCH($A15,Backlog[Requirement ID],0))),"",INDEX(Backlog[Stream Owner],MATCH($A15,Backlog[Requirement ID],0))),"")</f>
        <v/>
      </c>
      <c r="E15" s="23">
        <f>IFERROR(IF(ISBLANK(INDEX(Backlog[Jira Link],MATCH($A15,Backlog[Requirement ID],0))),"",INDEX(Backlog[Jira Link],MATCH($A15,Backlog[Requirement ID],0))),"")</f>
        <v/>
      </c>
      <c r="F15" s="21" t="inlineStr">
        <is>
          <t>No</t>
        </is>
      </c>
      <c r="G15" s="21" t="inlineStr">
        <is>
          <t>No</t>
        </is>
      </c>
      <c r="H15" s="29">
        <f>IFERROR(IF(ISBLANK(INDEX(SprintPlanning[Sprint],MATCH($A15,SprintPlanning[Requirement ID],0))),"",INDEX(SprintPlanning[Sprint],MATCH($A15,SprintPlanning[Requirement ID],0))),"")</f>
        <v/>
      </c>
      <c r="I15" s="23">
        <f>IFERROR(IF(ISBLANK(INDEX(Backlog[Status],MATCH($A15,Backlog[Requirement ID],0))),"",INDEX(Backlog[Status],MATCH($A15,Backlog[Requirement ID],0))),"")</f>
        <v/>
      </c>
      <c r="J15" s="23">
        <f>IFERROR(IF(ISBLANK(INDEX(Backlog[Priority],MATCH($A15,Backlog[Requirement ID],0))),"",INDEX(Backlog[Priority],MATCH($A15,Backlog[Requirement ID],0))),"")</f>
        <v/>
      </c>
      <c r="K15" s="21" t="n"/>
      <c r="L15" s="43" t="inlineStr">
        <is>
          <t>To confirm</t>
        </is>
      </c>
      <c r="M15" s="43" t="n"/>
      <c r="N15" s="21" t="n"/>
      <c r="O15" s="44" t="n"/>
      <c r="P15" s="33" t="n"/>
      <c r="Q15" s="33" t="n"/>
    </row>
    <row r="16" ht="90.75" customHeight="1">
      <c r="A16" s="21" t="inlineStr">
        <is>
          <t>NEW-0029</t>
        </is>
      </c>
      <c r="B16" s="23">
        <f>IFERROR(IF(ISBLANK(INDEX(Backlog[Requirement Name],MATCH($A16,Backlog[Requirement ID],0))),"",INDEX(Backlog[Requirement Name],MATCH($A16,Backlog[Requirement ID],0))),"")</f>
        <v/>
      </c>
      <c r="C16" s="23">
        <f>IFERROR(IF(ISBLANK(INDEX(Backlog[Stream],MATCH($A16,Backlog[Requirement ID],0))),"",INDEX(Backlog[Stream],MATCH($A16,Backlog[Requirement ID],0))),"")</f>
        <v/>
      </c>
      <c r="D16" s="23">
        <f>IFERROR(IF(ISBLANK(INDEX(Backlog[Stream Owner],MATCH($A16,Backlog[Requirement ID],0))),"",INDEX(Backlog[Stream Owner],MATCH($A16,Backlog[Requirement ID],0))),"")</f>
        <v/>
      </c>
      <c r="E16" s="23">
        <f>IFERROR(IF(ISBLANK(INDEX(Backlog[Jira Link],MATCH($A16,Backlog[Requirement ID],0))),"",INDEX(Backlog[Jira Link],MATCH($A16,Backlog[Requirement ID],0))),"")</f>
        <v/>
      </c>
      <c r="F16" s="21" t="inlineStr">
        <is>
          <t>Yes</t>
        </is>
      </c>
      <c r="G16" s="21" t="inlineStr">
        <is>
          <t>No</t>
        </is>
      </c>
      <c r="H16" s="29">
        <f>IFERROR(IF(ISBLANK(INDEX(SprintPlanning[Sprint],MATCH($A16,SprintPlanning[Requirement ID],0))),"",INDEX(SprintPlanning[Sprint],MATCH($A16,SprintPlanning[Requirement ID],0))),"")</f>
        <v/>
      </c>
      <c r="I16" s="39">
        <f>IFERROR(IF(ISBLANK(INDEX(Backlog[Status],MATCH($A16,Backlog[Requirement ID],0))),"",INDEX(Backlog[Status],MATCH($A16,Backlog[Requirement ID],0))),"")</f>
        <v/>
      </c>
      <c r="J16" s="39">
        <f>IFERROR(IF(ISBLANK(INDEX(Backlog[Priority],MATCH($A16,Backlog[Requirement ID],0))),"",INDEX(Backlog[Priority],MATCH($A16,Backlog[Requirement ID],0))),"")</f>
        <v/>
      </c>
      <c r="K16" s="21" t="inlineStr">
        <is>
          <t>DTS</t>
        </is>
      </c>
      <c r="L16" s="43" t="inlineStr">
        <is>
          <t>Updates in GetBookings</t>
        </is>
      </c>
      <c r="M16" s="43" t="inlineStr">
        <is>
          <t xml:space="preserve">https://smartship.atlassian.net/browse/RES2-29207,  https://smartship.atlassian.net/browse/RES2-29208, https://smartship.atlassian.net/browse/RES2-29200, </t>
        </is>
      </c>
      <c r="N16" s="21" t="n"/>
      <c r="O16" s="44" t="n"/>
      <c r="P16" s="33" t="inlineStr">
        <is>
          <t xml:space="preserve">Done </t>
        </is>
      </c>
      <c r="Q16" s="33" t="n"/>
    </row>
    <row r="17" ht="15" customHeight="1">
      <c r="A17" s="21" t="inlineStr">
        <is>
          <t>NEW-0030</t>
        </is>
      </c>
      <c r="B17" s="23">
        <f>IFERROR(IF(ISBLANK(INDEX(Backlog[Requirement Name],MATCH($A17,Backlog[Requirement ID],0))),"",INDEX(Backlog[Requirement Name],MATCH($A17,Backlog[Requirement ID],0))),"")</f>
        <v/>
      </c>
      <c r="C17" s="23">
        <f>IFERROR(IF(ISBLANK(INDEX(Backlog[Stream],MATCH($A17,Backlog[Requirement ID],0))),"",INDEX(Backlog[Stream],MATCH($A17,Backlog[Requirement ID],0))),"")</f>
        <v/>
      </c>
      <c r="D17" s="23">
        <f>IFERROR(IF(ISBLANK(INDEX(Backlog[Stream Owner],MATCH($A17,Backlog[Requirement ID],0))),"",INDEX(Backlog[Stream Owner],MATCH($A17,Backlog[Requirement ID],0))),"")</f>
        <v/>
      </c>
      <c r="E17" s="23">
        <f>IFERROR(IF(ISBLANK(INDEX(Backlog[Jira Link],MATCH($A17,Backlog[Requirement ID],0))),"",INDEX(Backlog[Jira Link],MATCH($A17,Backlog[Requirement ID],0))),"")</f>
        <v/>
      </c>
      <c r="F17" s="21" t="inlineStr">
        <is>
          <t>NA</t>
        </is>
      </c>
      <c r="G17" s="21" t="inlineStr">
        <is>
          <t>No</t>
        </is>
      </c>
      <c r="H17" s="29">
        <f>IFERROR(IF(ISBLANK(INDEX(SprintPlanning[Sprint],MATCH($A17,SprintPlanning[Requirement ID],0))),"",INDEX(SprintPlanning[Sprint],MATCH($A17,SprintPlanning[Requirement ID],0))),"")</f>
        <v/>
      </c>
      <c r="I17" s="23">
        <f>IFERROR(IF(ISBLANK(INDEX(Backlog[Status],MATCH($A17,Backlog[Requirement ID],0))),"",INDEX(Backlog[Status],MATCH($A17,Backlog[Requirement ID],0))),"")</f>
        <v/>
      </c>
      <c r="J17" s="23">
        <f>IFERROR(IF(ISBLANK(INDEX(Backlog[Priority],MATCH($A17,Backlog[Requirement ID],0))),"",INDEX(Backlog[Priority],MATCH($A17,Backlog[Requirement ID],0))),"")</f>
        <v/>
      </c>
      <c r="K17" s="21" t="n"/>
      <c r="L17" s="43" t="n"/>
      <c r="M17" s="43" t="n"/>
      <c r="N17" s="21" t="n"/>
      <c r="O17" s="44" t="n"/>
      <c r="P17" s="33" t="n"/>
      <c r="Q17" s="33" t="n"/>
    </row>
    <row r="18" ht="15" customHeight="1">
      <c r="A18" s="21" t="inlineStr">
        <is>
          <t>NEW-0032</t>
        </is>
      </c>
      <c r="B18" s="23">
        <f>IFERROR(IF(ISBLANK(INDEX(Backlog[Requirement Name],MATCH($A18,Backlog[Requirement ID],0))),"",INDEX(Backlog[Requirement Name],MATCH($A18,Backlog[Requirement ID],0))),"")</f>
        <v/>
      </c>
      <c r="C18" s="23">
        <f>IFERROR(IF(ISBLANK(INDEX(Backlog[Stream],MATCH($A18,Backlog[Requirement ID],0))),"",INDEX(Backlog[Stream],MATCH($A18,Backlog[Requirement ID],0))),"")</f>
        <v/>
      </c>
      <c r="D18" s="23">
        <f>IFERROR(IF(ISBLANK(INDEX(Backlog[Stream Owner],MATCH($A18,Backlog[Requirement ID],0))),"",INDEX(Backlog[Stream Owner],MATCH($A18,Backlog[Requirement ID],0))),"")</f>
        <v/>
      </c>
      <c r="E18" s="23">
        <f>IFERROR(IF(ISBLANK(INDEX(Backlog[Jira Link],MATCH($A18,Backlog[Requirement ID],0))),"",INDEX(Backlog[Jira Link],MATCH($A18,Backlog[Requirement ID],0))),"")</f>
        <v/>
      </c>
      <c r="F18" s="21" t="inlineStr">
        <is>
          <t>Yes</t>
        </is>
      </c>
      <c r="G18" s="21" t="inlineStr">
        <is>
          <t>Yes</t>
        </is>
      </c>
      <c r="H18" s="29">
        <f>IFERROR(IF(ISBLANK(INDEX(SprintPlanning[Sprint],MATCH($A18,SprintPlanning[Requirement ID],0))),"",INDEX(SprintPlanning[Sprint],MATCH($A18,SprintPlanning[Requirement ID],0))),"")</f>
        <v/>
      </c>
      <c r="I18" s="23">
        <f>IFERROR(IF(ISBLANK(INDEX(Backlog[Status],MATCH($A18,Backlog[Requirement ID],0))),"",INDEX(Backlog[Status],MATCH($A18,Backlog[Requirement ID],0))),"")</f>
        <v/>
      </c>
      <c r="J18" s="23">
        <f>IFERROR(IF(ISBLANK(INDEX(Backlog[Priority],MATCH($A18,Backlog[Requirement ID],0))),"",INDEX(Backlog[Priority],MATCH($A18,Backlog[Requirement ID],0))),"")</f>
        <v/>
      </c>
      <c r="K18" s="21" t="n"/>
      <c r="L18" s="43" t="n"/>
      <c r="M18" s="43" t="n"/>
      <c r="N18" s="21" t="n"/>
      <c r="O18" s="44" t="n"/>
      <c r="P18" s="33" t="n"/>
      <c r="Q18" s="33" t="n"/>
    </row>
    <row r="19" ht="15" customHeight="1">
      <c r="A19" s="21" t="inlineStr">
        <is>
          <t>NEW-0033</t>
        </is>
      </c>
      <c r="B19" s="23">
        <f>IFERROR(IF(ISBLANK(INDEX(Backlog[Requirement Name],MATCH($A19,Backlog[Requirement ID],0))),"",INDEX(Backlog[Requirement Name],MATCH($A19,Backlog[Requirement ID],0))),"")</f>
        <v/>
      </c>
      <c r="C19" s="23">
        <f>IFERROR(IF(ISBLANK(INDEX(Backlog[Stream],MATCH($A19,Backlog[Requirement ID],0))),"",INDEX(Backlog[Stream],MATCH($A19,Backlog[Requirement ID],0))),"")</f>
        <v/>
      </c>
      <c r="D19" s="23">
        <f>IFERROR(IF(ISBLANK(INDEX(Backlog[Stream Owner],MATCH($A19,Backlog[Requirement ID],0))),"",INDEX(Backlog[Stream Owner],MATCH($A19,Backlog[Requirement ID],0))),"")</f>
        <v/>
      </c>
      <c r="E19" s="23">
        <f>IFERROR(IF(ISBLANK(INDEX(Backlog[Jira Link],MATCH($A19,Backlog[Requirement ID],0))),"",INDEX(Backlog[Jira Link],MATCH($A19,Backlog[Requirement ID],0))),"")</f>
        <v/>
      </c>
      <c r="F19" s="21" t="inlineStr">
        <is>
          <t>No</t>
        </is>
      </c>
      <c r="G19" s="21" t="inlineStr">
        <is>
          <t>No</t>
        </is>
      </c>
      <c r="H19" s="29">
        <f>IFERROR(IF(ISBLANK(INDEX(SprintPlanning[Sprint],MATCH($A19,SprintPlanning[Requirement ID],0))),"",INDEX(SprintPlanning[Sprint],MATCH($A19,SprintPlanning[Requirement ID],0))),"")</f>
        <v/>
      </c>
      <c r="I19" s="23">
        <f>IFERROR(IF(ISBLANK(INDEX(Backlog[Status],MATCH($A19,Backlog[Requirement ID],0))),"",INDEX(Backlog[Status],MATCH($A19,Backlog[Requirement ID],0))),"")</f>
        <v/>
      </c>
      <c r="J19" s="23">
        <f>IFERROR(IF(ISBLANK(INDEX(Backlog[Priority],MATCH($A19,Backlog[Requirement ID],0))),"",INDEX(Backlog[Priority],MATCH($A19,Backlog[Requirement ID],0))),"")</f>
        <v/>
      </c>
      <c r="K19" s="21" t="n"/>
      <c r="L19" s="43" t="n"/>
      <c r="M19" s="43" t="n"/>
      <c r="N19" s="21" t="n"/>
      <c r="O19" s="44" t="n"/>
      <c r="P19" s="33" t="n"/>
      <c r="Q19" s="33" t="n"/>
    </row>
    <row r="20" ht="15" customHeight="1">
      <c r="A20" s="21" t="inlineStr">
        <is>
          <t>NEW-0043</t>
        </is>
      </c>
      <c r="B20" s="23">
        <f>IFERROR(IF(ISBLANK(INDEX(Backlog[Requirement Name],MATCH($A20,Backlog[Requirement ID],0))),"",INDEX(Backlog[Requirement Name],MATCH($A20,Backlog[Requirement ID],0))),"")</f>
        <v/>
      </c>
      <c r="C20" s="23">
        <f>IFERROR(IF(ISBLANK(INDEX(Backlog[Stream],MATCH($A20,Backlog[Requirement ID],0))),"",INDEX(Backlog[Stream],MATCH($A20,Backlog[Requirement ID],0))),"")</f>
        <v/>
      </c>
      <c r="D20" s="23">
        <f>IFERROR(IF(ISBLANK(INDEX(Backlog[Stream Owner],MATCH($A20,Backlog[Requirement ID],0))),"",INDEX(Backlog[Stream Owner],MATCH($A20,Backlog[Requirement ID],0))),"")</f>
        <v/>
      </c>
      <c r="E20" s="23">
        <f>IFERROR(IF(ISBLANK(INDEX(Backlog[Jira Link],MATCH($A20,Backlog[Requirement ID],0))),"",INDEX(Backlog[Jira Link],MATCH($A20,Backlog[Requirement ID],0))),"")</f>
        <v/>
      </c>
      <c r="F20" s="21" t="inlineStr">
        <is>
          <t>Yes</t>
        </is>
      </c>
      <c r="G20" s="21" t="inlineStr">
        <is>
          <t>Yes</t>
        </is>
      </c>
      <c r="H20" s="29">
        <f>IFERROR(IF(ISBLANK(INDEX(SprintPlanning[Sprint],MATCH($A20,SprintPlanning[Requirement ID],0))),"",INDEX(SprintPlanning[Sprint],MATCH($A20,SprintPlanning[Requirement ID],0))),"")</f>
        <v/>
      </c>
      <c r="I20" s="23">
        <f>IFERROR(IF(ISBLANK(INDEX(Backlog[Status],MATCH($A20,Backlog[Requirement ID],0))),"",INDEX(Backlog[Status],MATCH($A20,Backlog[Requirement ID],0))),"")</f>
        <v/>
      </c>
      <c r="J20" s="23">
        <f>IFERROR(IF(ISBLANK(INDEX(Backlog[Priority],MATCH($A20,Backlog[Requirement ID],0))),"",INDEX(Backlog[Priority],MATCH($A20,Backlog[Requirement ID],0))),"")</f>
        <v/>
      </c>
      <c r="K20" s="21" t="n"/>
      <c r="L20" s="43" t="n"/>
      <c r="M20" s="43" t="n"/>
      <c r="N20" s="21" t="n"/>
      <c r="O20" s="44" t="n"/>
      <c r="P20" s="33" t="n"/>
      <c r="Q20" s="33" t="n"/>
    </row>
    <row r="21" ht="15" customHeight="1">
      <c r="A21" s="21" t="inlineStr">
        <is>
          <t>NEW-0044</t>
        </is>
      </c>
      <c r="B21" s="23">
        <f>IFERROR(IF(ISBLANK(INDEX(Backlog[Requirement Name],MATCH($A21,Backlog[Requirement ID],0))),"",INDEX(Backlog[Requirement Name],MATCH($A21,Backlog[Requirement ID],0))),"")</f>
        <v/>
      </c>
      <c r="C21" s="23">
        <f>IFERROR(IF(ISBLANK(INDEX(Backlog[Stream],MATCH($A21,Backlog[Requirement ID],0))),"",INDEX(Backlog[Stream],MATCH($A21,Backlog[Requirement ID],0))),"")</f>
        <v/>
      </c>
      <c r="D21" s="23">
        <f>IFERROR(IF(ISBLANK(INDEX(Backlog[Stream Owner],MATCH($A21,Backlog[Requirement ID],0))),"",INDEX(Backlog[Stream Owner],MATCH($A21,Backlog[Requirement ID],0))),"")</f>
        <v/>
      </c>
      <c r="E21" s="23">
        <f>IFERROR(IF(ISBLANK(INDEX(Backlog[Jira Link],MATCH($A21,Backlog[Requirement ID],0))),"",INDEX(Backlog[Jira Link],MATCH($A21,Backlog[Requirement ID],0))),"")</f>
        <v/>
      </c>
      <c r="F21" s="21" t="inlineStr">
        <is>
          <t>Yes</t>
        </is>
      </c>
      <c r="G21" s="21" t="inlineStr">
        <is>
          <t>Yes</t>
        </is>
      </c>
      <c r="H21" s="29">
        <f>IFERROR(IF(ISBLANK(INDEX(SprintPlanning[Sprint],MATCH($A21,SprintPlanning[Requirement ID],0))),"",INDEX(SprintPlanning[Sprint],MATCH($A21,SprintPlanning[Requirement ID],0))),"")</f>
        <v/>
      </c>
      <c r="I21" s="23">
        <f>IFERROR(IF(ISBLANK(INDEX(Backlog[Status],MATCH($A21,Backlog[Requirement ID],0))),"",INDEX(Backlog[Status],MATCH($A21,Backlog[Requirement ID],0))),"")</f>
        <v/>
      </c>
      <c r="J21" s="23">
        <f>IFERROR(IF(ISBLANK(INDEX(Backlog[Priority],MATCH($A21,Backlog[Requirement ID],0))),"",INDEX(Backlog[Priority],MATCH($A21,Backlog[Requirement ID],0))),"")</f>
        <v/>
      </c>
      <c r="K21" s="21" t="n"/>
      <c r="L21" s="43" t="n"/>
      <c r="M21" s="43" t="n"/>
      <c r="N21" s="21" t="n"/>
      <c r="O21" s="44" t="n"/>
      <c r="P21" s="33" t="n"/>
      <c r="Q21" s="33" t="n"/>
    </row>
    <row r="22" ht="15" customHeight="1">
      <c r="A22" s="21" t="inlineStr">
        <is>
          <t>NEW-0047</t>
        </is>
      </c>
      <c r="B22" s="23">
        <f>IFERROR(IF(ISBLANK(INDEX(Backlog[Requirement Name],MATCH($A22,Backlog[Requirement ID],0))),"",INDEX(Backlog[Requirement Name],MATCH($A22,Backlog[Requirement ID],0))),"")</f>
        <v/>
      </c>
      <c r="C22" s="23">
        <f>IFERROR(IF(ISBLANK(INDEX(Backlog[Stream],MATCH($A22,Backlog[Requirement ID],0))),"",INDEX(Backlog[Stream],MATCH($A22,Backlog[Requirement ID],0))),"")</f>
        <v/>
      </c>
      <c r="D22" s="23">
        <f>IFERROR(IF(ISBLANK(INDEX(Backlog[Stream Owner],MATCH($A22,Backlog[Requirement ID],0))),"",INDEX(Backlog[Stream Owner],MATCH($A22,Backlog[Requirement ID],0))),"")</f>
        <v/>
      </c>
      <c r="E22" s="23">
        <f>IFERROR(IF(ISBLANK(INDEX(Backlog[Jira Link],MATCH($A22,Backlog[Requirement ID],0))),"",INDEX(Backlog[Jira Link],MATCH($A22,Backlog[Requirement ID],0))),"")</f>
        <v/>
      </c>
      <c r="F22" s="21" t="inlineStr">
        <is>
          <t>Yes</t>
        </is>
      </c>
      <c r="G22" s="21" t="inlineStr">
        <is>
          <t>Yes</t>
        </is>
      </c>
      <c r="H22" s="29">
        <f>IFERROR(IF(ISBLANK(INDEX(SprintPlanning[Sprint],MATCH($A22,SprintPlanning[Requirement ID],0))),"",INDEX(SprintPlanning[Sprint],MATCH($A22,SprintPlanning[Requirement ID],0))),"")</f>
        <v/>
      </c>
      <c r="I22" s="23">
        <f>IFERROR(IF(ISBLANK(INDEX(Backlog[Status],MATCH($A22,Backlog[Requirement ID],0))),"",INDEX(Backlog[Status],MATCH($A22,Backlog[Requirement ID],0))),"")</f>
        <v/>
      </c>
      <c r="J22" s="23">
        <f>IFERROR(IF(ISBLANK(INDEX(Backlog[Priority],MATCH($A22,Backlog[Requirement ID],0))),"",INDEX(Backlog[Priority],MATCH($A22,Backlog[Requirement ID],0))),"")</f>
        <v/>
      </c>
      <c r="K22" s="21" t="n"/>
      <c r="L22" s="43" t="n"/>
      <c r="M22" s="43" t="n"/>
      <c r="N22" s="21" t="n"/>
      <c r="O22" s="44" t="n"/>
      <c r="P22" s="33" t="n"/>
      <c r="Q22" s="33" t="n"/>
    </row>
    <row r="23" ht="15" customHeight="1">
      <c r="A23" s="21" t="inlineStr">
        <is>
          <t>NEW-0048</t>
        </is>
      </c>
      <c r="B23" s="23">
        <f>IFERROR(IF(ISBLANK(INDEX(Backlog[Requirement Name],MATCH($A23,Backlog[Requirement ID],0))),"",INDEX(Backlog[Requirement Name],MATCH($A23,Backlog[Requirement ID],0))),"")</f>
        <v/>
      </c>
      <c r="C23" s="23">
        <f>IFERROR(IF(ISBLANK(INDEX(Backlog[Stream],MATCH($A23,Backlog[Requirement ID],0))),"",INDEX(Backlog[Stream],MATCH($A23,Backlog[Requirement ID],0))),"")</f>
        <v/>
      </c>
      <c r="D23" s="23">
        <f>IFERROR(IF(ISBLANK(INDEX(Backlog[Stream Owner],MATCH($A23,Backlog[Requirement ID],0))),"",INDEX(Backlog[Stream Owner],MATCH($A23,Backlog[Requirement ID],0))),"")</f>
        <v/>
      </c>
      <c r="E23" s="23">
        <f>IFERROR(IF(ISBLANK(INDEX(Backlog[Jira Link],MATCH($A23,Backlog[Requirement ID],0))),"",INDEX(Backlog[Jira Link],MATCH($A23,Backlog[Requirement ID],0))),"")</f>
        <v/>
      </c>
      <c r="F23" s="21" t="inlineStr">
        <is>
          <t>Yes</t>
        </is>
      </c>
      <c r="G23" s="21" t="inlineStr">
        <is>
          <t>Yes</t>
        </is>
      </c>
      <c r="H23" s="29">
        <f>IFERROR(IF(ISBLANK(INDEX(SprintPlanning[Sprint],MATCH($A23,SprintPlanning[Requirement ID],0))),"",INDEX(SprintPlanning[Sprint],MATCH($A23,SprintPlanning[Requirement ID],0))),"")</f>
        <v/>
      </c>
      <c r="I23" s="23">
        <f>IFERROR(IF(ISBLANK(INDEX(Backlog[Status],MATCH($A23,Backlog[Requirement ID],0))),"",INDEX(Backlog[Status],MATCH($A23,Backlog[Requirement ID],0))),"")</f>
        <v/>
      </c>
      <c r="J23" s="23">
        <f>IFERROR(IF(ISBLANK(INDEX(Backlog[Priority],MATCH($A23,Backlog[Requirement ID],0))),"",INDEX(Backlog[Priority],MATCH($A23,Backlog[Requirement ID],0))),"")</f>
        <v/>
      </c>
      <c r="K23" s="21" t="n"/>
      <c r="L23" s="43" t="n"/>
      <c r="M23" s="43" t="n"/>
      <c r="N23" s="21" t="n"/>
      <c r="O23" s="44" t="n"/>
      <c r="P23" s="33" t="n"/>
      <c r="Q23" s="33" t="n"/>
    </row>
    <row r="24" ht="15" customHeight="1">
      <c r="A24" s="21" t="inlineStr">
        <is>
          <t>NEW-0049</t>
        </is>
      </c>
      <c r="B24" s="23">
        <f>IFERROR(IF(ISBLANK(INDEX(Backlog[Requirement Name],MATCH($A24,Backlog[Requirement ID],0))),"",INDEX(Backlog[Requirement Name],MATCH($A24,Backlog[Requirement ID],0))),"")</f>
        <v/>
      </c>
      <c r="C24" s="23">
        <f>IFERROR(IF(ISBLANK(INDEX(Backlog[Stream],MATCH($A24,Backlog[Requirement ID],0))),"",INDEX(Backlog[Stream],MATCH($A24,Backlog[Requirement ID],0))),"")</f>
        <v/>
      </c>
      <c r="D24" s="23">
        <f>IFERROR(IF(ISBLANK(INDEX(Backlog[Stream Owner],MATCH($A24,Backlog[Requirement ID],0))),"",INDEX(Backlog[Stream Owner],MATCH($A24,Backlog[Requirement ID],0))),"")</f>
        <v/>
      </c>
      <c r="E24" s="23">
        <f>IFERROR(IF(ISBLANK(INDEX(Backlog[Jira Link],MATCH($A24,Backlog[Requirement ID],0))),"",INDEX(Backlog[Jira Link],MATCH($A24,Backlog[Requirement ID],0))),"")</f>
        <v/>
      </c>
      <c r="F24" s="21" t="inlineStr">
        <is>
          <t>Yes</t>
        </is>
      </c>
      <c r="G24" s="21" t="inlineStr">
        <is>
          <t>Yes</t>
        </is>
      </c>
      <c r="H24" s="29">
        <f>IFERROR(IF(ISBLANK(INDEX(SprintPlanning[Sprint],MATCH($A24,SprintPlanning[Requirement ID],0))),"",INDEX(SprintPlanning[Sprint],MATCH($A24,SprintPlanning[Requirement ID],0))),"")</f>
        <v/>
      </c>
      <c r="I24" s="23">
        <f>IFERROR(IF(ISBLANK(INDEX(Backlog[Status],MATCH($A24,Backlog[Requirement ID],0))),"",INDEX(Backlog[Status],MATCH($A24,Backlog[Requirement ID],0))),"")</f>
        <v/>
      </c>
      <c r="J24" s="23">
        <f>IFERROR(IF(ISBLANK(INDEX(Backlog[Priority],MATCH($A24,Backlog[Requirement ID],0))),"",INDEX(Backlog[Priority],MATCH($A24,Backlog[Requirement ID],0))),"")</f>
        <v/>
      </c>
      <c r="K24" s="21" t="n"/>
      <c r="L24" s="43" t="n"/>
      <c r="M24" s="43" t="n"/>
      <c r="N24" s="21" t="n"/>
      <c r="O24" s="44" t="n"/>
      <c r="P24" s="33" t="n"/>
      <c r="Q24" s="33" t="n"/>
    </row>
    <row r="25" ht="15" customHeight="1">
      <c r="A25" s="21" t="inlineStr">
        <is>
          <t>NEW-0050</t>
        </is>
      </c>
      <c r="B25" s="23">
        <f>IFERROR(IF(ISBLANK(INDEX(Backlog[Requirement Name],MATCH($A25,Backlog[Requirement ID],0))),"",INDEX(Backlog[Requirement Name],MATCH($A25,Backlog[Requirement ID],0))),"")</f>
        <v/>
      </c>
      <c r="C25" s="23">
        <f>IFERROR(IF(ISBLANK(INDEX(Backlog[Stream],MATCH($A25,Backlog[Requirement ID],0))),"",INDEX(Backlog[Stream],MATCH($A25,Backlog[Requirement ID],0))),"")</f>
        <v/>
      </c>
      <c r="D25" s="23">
        <f>IFERROR(IF(ISBLANK(INDEX(Backlog[Stream Owner],MATCH($A25,Backlog[Requirement ID],0))),"",INDEX(Backlog[Stream Owner],MATCH($A25,Backlog[Requirement ID],0))),"")</f>
        <v/>
      </c>
      <c r="E25" s="23">
        <f>IFERROR(IF(ISBLANK(INDEX(Backlog[Jira Link],MATCH($A25,Backlog[Requirement ID],0))),"",INDEX(Backlog[Jira Link],MATCH($A25,Backlog[Requirement ID],0))),"")</f>
        <v/>
      </c>
      <c r="F25" s="21" t="inlineStr">
        <is>
          <t>Yes</t>
        </is>
      </c>
      <c r="G25" s="21" t="inlineStr">
        <is>
          <t>Yes</t>
        </is>
      </c>
      <c r="H25" s="29">
        <f>IFERROR(IF(ISBLANK(INDEX(SprintPlanning[Sprint],MATCH($A25,SprintPlanning[Requirement ID],0))),"",INDEX(SprintPlanning[Sprint],MATCH($A25,SprintPlanning[Requirement ID],0))),"")</f>
        <v/>
      </c>
      <c r="I25" s="23">
        <f>IFERROR(IF(ISBLANK(INDEX(Backlog[Status],MATCH($A25,Backlog[Requirement ID],0))),"",INDEX(Backlog[Status],MATCH($A25,Backlog[Requirement ID],0))),"")</f>
        <v/>
      </c>
      <c r="J25" s="23">
        <f>IFERROR(IF(ISBLANK(INDEX(Backlog[Priority],MATCH($A25,Backlog[Requirement ID],0))),"",INDEX(Backlog[Priority],MATCH($A25,Backlog[Requirement ID],0))),"")</f>
        <v/>
      </c>
      <c r="K25" s="21" t="n"/>
      <c r="L25" s="43" t="n"/>
      <c r="M25" s="43" t="n"/>
      <c r="N25" s="21" t="n"/>
      <c r="O25" s="44" t="n"/>
      <c r="P25" s="33" t="n"/>
      <c r="Q25" s="33" t="n"/>
    </row>
    <row r="26" ht="15" customHeight="1">
      <c r="A26" s="21" t="inlineStr">
        <is>
          <t>NEW-0051</t>
        </is>
      </c>
      <c r="B26" s="23">
        <f>IFERROR(IF(ISBLANK(INDEX(Backlog[Requirement Name],MATCH($A26,Backlog[Requirement ID],0))),"",INDEX(Backlog[Requirement Name],MATCH($A26,Backlog[Requirement ID],0))),"")</f>
        <v/>
      </c>
      <c r="C26" s="23">
        <f>IFERROR(IF(ISBLANK(INDEX(Backlog[Stream],MATCH($A26,Backlog[Requirement ID],0))),"",INDEX(Backlog[Stream],MATCH($A26,Backlog[Requirement ID],0))),"")</f>
        <v/>
      </c>
      <c r="D26" s="23">
        <f>IFERROR(IF(ISBLANK(INDEX(Backlog[Stream Owner],MATCH($A26,Backlog[Requirement ID],0))),"",INDEX(Backlog[Stream Owner],MATCH($A26,Backlog[Requirement ID],0))),"")</f>
        <v/>
      </c>
      <c r="E26" s="23">
        <f>IFERROR(IF(ISBLANK(INDEX(Backlog[Jira Link],MATCH($A26,Backlog[Requirement ID],0))),"",INDEX(Backlog[Jira Link],MATCH($A26,Backlog[Requirement ID],0))),"")</f>
        <v/>
      </c>
      <c r="F26" s="21" t="inlineStr">
        <is>
          <t>Yes</t>
        </is>
      </c>
      <c r="G26" s="21" t="inlineStr">
        <is>
          <t>Yes</t>
        </is>
      </c>
      <c r="H26" s="29">
        <f>IFERROR(IF(ISBLANK(INDEX(SprintPlanning[Sprint],MATCH($A26,SprintPlanning[Requirement ID],0))),"",INDEX(SprintPlanning[Sprint],MATCH($A26,SprintPlanning[Requirement ID],0))),"")</f>
        <v/>
      </c>
      <c r="I26" s="23">
        <f>IFERROR(IF(ISBLANK(INDEX(Backlog[Status],MATCH($A26,Backlog[Requirement ID],0))),"",INDEX(Backlog[Status],MATCH($A26,Backlog[Requirement ID],0))),"")</f>
        <v/>
      </c>
      <c r="J26" s="23">
        <f>IFERROR(IF(ISBLANK(INDEX(Backlog[Priority],MATCH($A26,Backlog[Requirement ID],0))),"",INDEX(Backlog[Priority],MATCH($A26,Backlog[Requirement ID],0))),"")</f>
        <v/>
      </c>
      <c r="K26" s="21" t="n"/>
      <c r="L26" s="43" t="n"/>
      <c r="M26" s="43" t="n"/>
      <c r="N26" s="21" t="n"/>
      <c r="O26" s="44" t="n"/>
      <c r="P26" s="33" t="n"/>
      <c r="Q26" s="33" t="n"/>
    </row>
    <row r="27" ht="15" customHeight="1">
      <c r="A27" s="21" t="inlineStr">
        <is>
          <t>NEW-0053</t>
        </is>
      </c>
      <c r="B27" s="23">
        <f>IFERROR(IF(ISBLANK(INDEX(Backlog[Requirement Name],MATCH($A27,Backlog[Requirement ID],0))),"",INDEX(Backlog[Requirement Name],MATCH($A27,Backlog[Requirement ID],0))),"")</f>
        <v/>
      </c>
      <c r="C27" s="23">
        <f>IFERROR(IF(ISBLANK(INDEX(Backlog[Stream],MATCH($A27,Backlog[Requirement ID],0))),"",INDEX(Backlog[Stream],MATCH($A27,Backlog[Requirement ID],0))),"")</f>
        <v/>
      </c>
      <c r="D27" s="23">
        <f>IFERROR(IF(ISBLANK(INDEX(Backlog[Stream Owner],MATCH($A27,Backlog[Requirement ID],0))),"",INDEX(Backlog[Stream Owner],MATCH($A27,Backlog[Requirement ID],0))),"")</f>
        <v/>
      </c>
      <c r="E27" s="23">
        <f>IFERROR(IF(ISBLANK(INDEX(Backlog[Jira Link],MATCH($A27,Backlog[Requirement ID],0))),"",INDEX(Backlog[Jira Link],MATCH($A27,Backlog[Requirement ID],0))),"")</f>
        <v/>
      </c>
      <c r="F27" s="21" t="inlineStr">
        <is>
          <t>Yes</t>
        </is>
      </c>
      <c r="G27" s="21" t="inlineStr">
        <is>
          <t>Yes</t>
        </is>
      </c>
      <c r="H27" s="29">
        <f>IFERROR(IF(ISBLANK(INDEX(SprintPlanning[Sprint],MATCH($A27,SprintPlanning[Requirement ID],0))),"",INDEX(SprintPlanning[Sprint],MATCH($A27,SprintPlanning[Requirement ID],0))),"")</f>
        <v/>
      </c>
      <c r="I27" s="23">
        <f>IFERROR(IF(ISBLANK(INDEX(Backlog[Status],MATCH($A27,Backlog[Requirement ID],0))),"",INDEX(Backlog[Status],MATCH($A27,Backlog[Requirement ID],0))),"")</f>
        <v/>
      </c>
      <c r="J27" s="23">
        <f>IFERROR(IF(ISBLANK(INDEX(Backlog[Priority],MATCH($A27,Backlog[Requirement ID],0))),"",INDEX(Backlog[Priority],MATCH($A27,Backlog[Requirement ID],0))),"")</f>
        <v/>
      </c>
      <c r="K27" s="21" t="n"/>
      <c r="L27" s="43" t="n"/>
      <c r="M27" s="43" t="n"/>
      <c r="N27" s="21" t="n"/>
      <c r="O27" s="44" t="n"/>
      <c r="P27" s="33" t="n"/>
      <c r="Q27" s="33" t="n"/>
    </row>
    <row r="28" ht="18.75" customHeight="1">
      <c r="A28" s="21" t="inlineStr">
        <is>
          <t>NEW-0055</t>
        </is>
      </c>
      <c r="B28" s="23">
        <f>IFERROR(IF(ISBLANK(INDEX(Backlog[Requirement Name],MATCH($A28,Backlog[Requirement ID],0))),"",INDEX(Backlog[Requirement Name],MATCH($A28,Backlog[Requirement ID],0))),"")</f>
        <v/>
      </c>
      <c r="C28" s="23">
        <f>IFERROR(IF(ISBLANK(INDEX(Backlog[Stream],MATCH($A28,Backlog[Requirement ID],0))),"",INDEX(Backlog[Stream],MATCH($A28,Backlog[Requirement ID],0))),"")</f>
        <v/>
      </c>
      <c r="D28" s="23">
        <f>IFERROR(IF(ISBLANK(INDEX(Backlog[Stream Owner],MATCH($A28,Backlog[Requirement ID],0))),"",INDEX(Backlog[Stream Owner],MATCH($A28,Backlog[Requirement ID],0))),"")</f>
        <v/>
      </c>
      <c r="E28" s="23">
        <f>IFERROR(IF(ISBLANK(INDEX(Backlog[Jira Link],MATCH($A28,Backlog[Requirement ID],0))),"",INDEX(Backlog[Jira Link],MATCH($A28,Backlog[Requirement ID],0))),"")</f>
        <v/>
      </c>
      <c r="F28" s="21" t="inlineStr">
        <is>
          <t>Yes</t>
        </is>
      </c>
      <c r="G28" s="21" t="inlineStr">
        <is>
          <t>Yes</t>
        </is>
      </c>
      <c r="H28" s="29">
        <f>IFERROR(IF(ISBLANK(INDEX(SprintPlanning[Sprint],MATCH($A28,SprintPlanning[Requirement ID],0))),"",INDEX(SprintPlanning[Sprint],MATCH($A28,SprintPlanning[Requirement ID],0))),"")</f>
        <v/>
      </c>
      <c r="I28" s="23">
        <f>IFERROR(IF(ISBLANK(INDEX(Backlog[Status],MATCH($A28,Backlog[Requirement ID],0))),"",INDEX(Backlog[Status],MATCH($A28,Backlog[Requirement ID],0))),"")</f>
        <v/>
      </c>
      <c r="J28" s="23">
        <f>IFERROR(IF(ISBLANK(INDEX(Backlog[Priority],MATCH($A28,Backlog[Requirement ID],0))),"",INDEX(Backlog[Priority],MATCH($A28,Backlog[Requirement ID],0))),"")</f>
        <v/>
      </c>
      <c r="K28" s="21" t="n"/>
      <c r="L28" s="43" t="n"/>
      <c r="M28" s="43" t="n"/>
      <c r="N28" s="21" t="n"/>
      <c r="O28" s="44" t="n"/>
      <c r="P28" s="33" t="n"/>
      <c r="Q28" s="33" t="n"/>
    </row>
    <row r="29" ht="15" customHeight="1">
      <c r="A29" s="21" t="inlineStr">
        <is>
          <t>NEW-0057</t>
        </is>
      </c>
      <c r="B29" s="23">
        <f>IFERROR(IF(ISBLANK(INDEX(Backlog[Requirement Name],MATCH($A29,Backlog[Requirement ID],0))),"",INDEX(Backlog[Requirement Name],MATCH($A29,Backlog[Requirement ID],0))),"")</f>
        <v/>
      </c>
      <c r="C29" s="23">
        <f>IFERROR(IF(ISBLANK(INDEX(Backlog[Stream],MATCH($A29,Backlog[Requirement ID],0))),"",INDEX(Backlog[Stream],MATCH($A29,Backlog[Requirement ID],0))),"")</f>
        <v/>
      </c>
      <c r="D29" s="23">
        <f>IFERROR(IF(ISBLANK(INDEX(Backlog[Stream Owner],MATCH($A29,Backlog[Requirement ID],0))),"",INDEX(Backlog[Stream Owner],MATCH($A29,Backlog[Requirement ID],0))),"")</f>
        <v/>
      </c>
      <c r="E29" s="23">
        <f>IFERROR(IF(ISBLANK(INDEX(Backlog[Jira Link],MATCH($A29,Backlog[Requirement ID],0))),"",INDEX(Backlog[Jira Link],MATCH($A29,Backlog[Requirement ID],0))),"")</f>
        <v/>
      </c>
      <c r="F29" s="21" t="inlineStr">
        <is>
          <t>NA</t>
        </is>
      </c>
      <c r="G29" s="21" t="inlineStr">
        <is>
          <t>NA</t>
        </is>
      </c>
      <c r="H29" s="29">
        <f>IFERROR(IF(ISBLANK(INDEX(SprintPlanning[Sprint],MATCH($A29,SprintPlanning[Requirement ID],0))),"",INDEX(SprintPlanning[Sprint],MATCH($A29,SprintPlanning[Requirement ID],0))),"")</f>
        <v/>
      </c>
      <c r="I29" s="23">
        <f>IFERROR(IF(ISBLANK(INDEX(Backlog[Status],MATCH($A29,Backlog[Requirement ID],0))),"",INDEX(Backlog[Status],MATCH($A29,Backlog[Requirement ID],0))),"")</f>
        <v/>
      </c>
      <c r="J29" s="23">
        <f>IFERROR(IF(ISBLANK(INDEX(Backlog[Priority],MATCH($A29,Backlog[Requirement ID],0))),"",INDEX(Backlog[Priority],MATCH($A29,Backlog[Requirement ID],0))),"")</f>
        <v/>
      </c>
      <c r="K29" s="21" t="n"/>
      <c r="L29" s="43" t="n"/>
      <c r="M29" s="43" t="n"/>
      <c r="N29" s="21" t="n"/>
      <c r="O29" s="44" t="n"/>
      <c r="P29" s="33" t="n"/>
      <c r="Q29" s="33" t="n"/>
    </row>
    <row r="30" ht="15" customHeight="1">
      <c r="A30" s="21" t="inlineStr">
        <is>
          <t>NEW-0058</t>
        </is>
      </c>
      <c r="B30" s="23">
        <f>IFERROR(IF(ISBLANK(INDEX(Backlog[Requirement Name],MATCH($A30,Backlog[Requirement ID],0))),"",INDEX(Backlog[Requirement Name],MATCH($A30,Backlog[Requirement ID],0))),"")</f>
        <v/>
      </c>
      <c r="C30" s="23">
        <f>IFERROR(IF(ISBLANK(INDEX(Backlog[Stream],MATCH($A30,Backlog[Requirement ID],0))),"",INDEX(Backlog[Stream],MATCH($A30,Backlog[Requirement ID],0))),"")</f>
        <v/>
      </c>
      <c r="D30" s="23">
        <f>IFERROR(IF(ISBLANK(INDEX(Backlog[Stream Owner],MATCH($A30,Backlog[Requirement ID],0))),"",INDEX(Backlog[Stream Owner],MATCH($A30,Backlog[Requirement ID],0))),"")</f>
        <v/>
      </c>
      <c r="E30" s="23">
        <f>IFERROR(IF(ISBLANK(INDEX(Backlog[Jira Link],MATCH($A30,Backlog[Requirement ID],0))),"",INDEX(Backlog[Jira Link],MATCH($A30,Backlog[Requirement ID],0))),"")</f>
        <v/>
      </c>
      <c r="F30" s="21" t="inlineStr">
        <is>
          <t>NA</t>
        </is>
      </c>
      <c r="G30" s="21" t="inlineStr">
        <is>
          <t>Yes</t>
        </is>
      </c>
      <c r="H30" s="29">
        <f>IFERROR(IF(ISBLANK(INDEX(SprintPlanning[Sprint],MATCH($A30,SprintPlanning[Requirement ID],0))),"",INDEX(SprintPlanning[Sprint],MATCH($A30,SprintPlanning[Requirement ID],0))),"")</f>
        <v/>
      </c>
      <c r="I30" s="23">
        <f>IFERROR(IF(ISBLANK(INDEX(Backlog[Status],MATCH($A30,Backlog[Requirement ID],0))),"",INDEX(Backlog[Status],MATCH($A30,Backlog[Requirement ID],0))),"")</f>
        <v/>
      </c>
      <c r="J30" s="23">
        <f>IFERROR(IF(ISBLANK(INDEX(Backlog[Priority],MATCH($A30,Backlog[Requirement ID],0))),"",INDEX(Backlog[Priority],MATCH($A30,Backlog[Requirement ID],0))),"")</f>
        <v/>
      </c>
      <c r="K30" s="21" t="n"/>
      <c r="L30" s="43" t="n"/>
      <c r="M30" s="43" t="n"/>
      <c r="N30" s="21" t="n"/>
      <c r="O30" s="44" t="n"/>
      <c r="P30" s="33" t="n"/>
      <c r="Q30" s="33" t="n"/>
    </row>
    <row r="31" ht="15" customHeight="1">
      <c r="A31" s="21" t="inlineStr">
        <is>
          <t>NEW-0060</t>
        </is>
      </c>
      <c r="B31" s="23">
        <f>IFERROR(IF(ISBLANK(INDEX(Backlog[Requirement Name],MATCH($A31,Backlog[Requirement ID],0))),"",INDEX(Backlog[Requirement Name],MATCH($A31,Backlog[Requirement ID],0))),"")</f>
        <v/>
      </c>
      <c r="C31" s="23">
        <f>IFERROR(IF(ISBLANK(INDEX(Backlog[Stream],MATCH($A31,Backlog[Requirement ID],0))),"",INDEX(Backlog[Stream],MATCH($A31,Backlog[Requirement ID],0))),"")</f>
        <v/>
      </c>
      <c r="D31" s="23">
        <f>IFERROR(IF(ISBLANK(INDEX(Backlog[Stream Owner],MATCH($A31,Backlog[Requirement ID],0))),"",INDEX(Backlog[Stream Owner],MATCH($A31,Backlog[Requirement ID],0))),"")</f>
        <v/>
      </c>
      <c r="E31" s="23">
        <f>IFERROR(IF(ISBLANK(INDEX(Backlog[Jira Link],MATCH($A31,Backlog[Requirement ID],0))),"",INDEX(Backlog[Jira Link],MATCH($A31,Backlog[Requirement ID],0))),"")</f>
        <v/>
      </c>
      <c r="F31" s="21" t="inlineStr">
        <is>
          <t>NA</t>
        </is>
      </c>
      <c r="G31" s="21" t="inlineStr">
        <is>
          <t>NA</t>
        </is>
      </c>
      <c r="H31" s="29">
        <f>IFERROR(IF(ISBLANK(INDEX(SprintPlanning[Sprint],MATCH($A31,SprintPlanning[Requirement ID],0))),"",INDEX(SprintPlanning[Sprint],MATCH($A31,SprintPlanning[Requirement ID],0))),"")</f>
        <v/>
      </c>
      <c r="I31" s="23">
        <f>IFERROR(IF(ISBLANK(INDEX(Backlog[Status],MATCH($A31,Backlog[Requirement ID],0))),"",INDEX(Backlog[Status],MATCH($A31,Backlog[Requirement ID],0))),"")</f>
        <v/>
      </c>
      <c r="J31" s="23">
        <f>IFERROR(IF(ISBLANK(INDEX(Backlog[Priority],MATCH($A31,Backlog[Requirement ID],0))),"",INDEX(Backlog[Priority],MATCH($A31,Backlog[Requirement ID],0))),"")</f>
        <v/>
      </c>
      <c r="K31" s="21" t="n"/>
      <c r="L31" s="43" t="n"/>
      <c r="M31" s="43" t="n"/>
      <c r="N31" s="21" t="n"/>
      <c r="O31" s="44" t="n"/>
      <c r="P31" s="33" t="n"/>
      <c r="Q31" s="33" t="n"/>
    </row>
    <row r="32" ht="15" customHeight="1">
      <c r="A32" s="21" t="inlineStr">
        <is>
          <t>NEW-0061</t>
        </is>
      </c>
      <c r="B32" s="23">
        <f>IFERROR(IF(ISBLANK(INDEX(Backlog[Requirement Name],MATCH($A32,Backlog[Requirement ID],0))),"",INDEX(Backlog[Requirement Name],MATCH($A32,Backlog[Requirement ID],0))),"")</f>
        <v/>
      </c>
      <c r="C32" s="23">
        <f>IFERROR(IF(ISBLANK(INDEX(Backlog[Stream],MATCH($A32,Backlog[Requirement ID],0))),"",INDEX(Backlog[Stream],MATCH($A32,Backlog[Requirement ID],0))),"")</f>
        <v/>
      </c>
      <c r="D32" s="23">
        <f>IFERROR(IF(ISBLANK(INDEX(Backlog[Stream Owner],MATCH($A32,Backlog[Requirement ID],0))),"",INDEX(Backlog[Stream Owner],MATCH($A32,Backlog[Requirement ID],0))),"")</f>
        <v/>
      </c>
      <c r="E32" s="23">
        <f>IFERROR(IF(ISBLANK(INDEX(Backlog[Jira Link],MATCH($A32,Backlog[Requirement ID],0))),"",INDEX(Backlog[Jira Link],MATCH($A32,Backlog[Requirement ID],0))),"")</f>
        <v/>
      </c>
      <c r="F32" s="21" t="inlineStr">
        <is>
          <t>NA</t>
        </is>
      </c>
      <c r="G32" s="21" t="inlineStr">
        <is>
          <t>NA</t>
        </is>
      </c>
      <c r="H32" s="29">
        <f>IFERROR(IF(ISBLANK(INDEX(SprintPlanning[Sprint],MATCH($A32,SprintPlanning[Requirement ID],0))),"",INDEX(SprintPlanning[Sprint],MATCH($A32,SprintPlanning[Requirement ID],0))),"")</f>
        <v/>
      </c>
      <c r="I32" s="23">
        <f>IFERROR(IF(ISBLANK(INDEX(Backlog[Status],MATCH($A32,Backlog[Requirement ID],0))),"",INDEX(Backlog[Status],MATCH($A32,Backlog[Requirement ID],0))),"")</f>
        <v/>
      </c>
      <c r="J32" s="23">
        <f>IFERROR(IF(ISBLANK(INDEX(Backlog[Priority],MATCH($A32,Backlog[Requirement ID],0))),"",INDEX(Backlog[Priority],MATCH($A32,Backlog[Requirement ID],0))),"")</f>
        <v/>
      </c>
      <c r="K32" s="21" t="n"/>
      <c r="L32" s="43" t="n"/>
      <c r="M32" s="43" t="n"/>
      <c r="N32" s="21" t="n"/>
      <c r="O32" s="44" t="n"/>
      <c r="P32" s="33" t="n"/>
      <c r="Q32" s="33" t="n"/>
    </row>
    <row r="33" ht="15" customHeight="1">
      <c r="A33" s="21" t="inlineStr">
        <is>
          <t>NEW-0063</t>
        </is>
      </c>
      <c r="B33" s="23">
        <f>IFERROR(IF(ISBLANK(INDEX(Backlog[Requirement Name],MATCH($A33,Backlog[Requirement ID],0))),"",INDEX(Backlog[Requirement Name],MATCH($A33,Backlog[Requirement ID],0))),"")</f>
        <v/>
      </c>
      <c r="C33" s="23">
        <f>IFERROR(IF(ISBLANK(INDEX(Backlog[Stream],MATCH($A33,Backlog[Requirement ID],0))),"",INDEX(Backlog[Stream],MATCH($A33,Backlog[Requirement ID],0))),"")</f>
        <v/>
      </c>
      <c r="D33" s="23">
        <f>IFERROR(IF(ISBLANK(INDEX(Backlog[Stream Owner],MATCH($A33,Backlog[Requirement ID],0))),"",INDEX(Backlog[Stream Owner],MATCH($A33,Backlog[Requirement ID],0))),"")</f>
        <v/>
      </c>
      <c r="E33" s="23">
        <f>IFERROR(IF(ISBLANK(INDEX(Backlog[Jira Link],MATCH($A33,Backlog[Requirement ID],0))),"",INDEX(Backlog[Jira Link],MATCH($A33,Backlog[Requirement ID],0))),"")</f>
        <v/>
      </c>
      <c r="F33" s="21" t="inlineStr">
        <is>
          <t>Yes</t>
        </is>
      </c>
      <c r="G33" s="21" t="inlineStr">
        <is>
          <t>Yes</t>
        </is>
      </c>
      <c r="H33" s="29">
        <f>IFERROR(IF(ISBLANK(INDEX(SprintPlanning[Sprint],MATCH($A33,SprintPlanning[Requirement ID],0))),"",INDEX(SprintPlanning[Sprint],MATCH($A33,SprintPlanning[Requirement ID],0))),"")</f>
        <v/>
      </c>
      <c r="I33" s="23">
        <f>IFERROR(IF(ISBLANK(INDEX(Backlog[Status],MATCH($A33,Backlog[Requirement ID],0))),"",INDEX(Backlog[Status],MATCH($A33,Backlog[Requirement ID],0))),"")</f>
        <v/>
      </c>
      <c r="J33" s="23">
        <f>IFERROR(IF(ISBLANK(INDEX(Backlog[Priority],MATCH($A33,Backlog[Requirement ID],0))),"",INDEX(Backlog[Priority],MATCH($A33,Backlog[Requirement ID],0))),"")</f>
        <v/>
      </c>
      <c r="K33" s="21" t="n"/>
      <c r="L33" s="43" t="n"/>
      <c r="M33" s="43" t="n"/>
      <c r="N33" s="21" t="n"/>
      <c r="O33" s="44" t="n"/>
      <c r="P33" s="33" t="n"/>
      <c r="Q33" s="33" t="n"/>
    </row>
    <row r="34" ht="15" customHeight="1">
      <c r="A34" s="21" t="inlineStr">
        <is>
          <t>NEW-0064</t>
        </is>
      </c>
      <c r="B34" s="23">
        <f>IFERROR(IF(ISBLANK(INDEX(Backlog[Requirement Name],MATCH($A34,Backlog[Requirement ID],0))),"",INDEX(Backlog[Requirement Name],MATCH($A34,Backlog[Requirement ID],0))),"")</f>
        <v/>
      </c>
      <c r="C34" s="23">
        <f>IFERROR(IF(ISBLANK(INDEX(Backlog[Stream],MATCH($A34,Backlog[Requirement ID],0))),"",INDEX(Backlog[Stream],MATCH($A34,Backlog[Requirement ID],0))),"")</f>
        <v/>
      </c>
      <c r="D34" s="23">
        <f>IFERROR(IF(ISBLANK(INDEX(Backlog[Stream Owner],MATCH($A34,Backlog[Requirement ID],0))),"",INDEX(Backlog[Stream Owner],MATCH($A34,Backlog[Requirement ID],0))),"")</f>
        <v/>
      </c>
      <c r="E34" s="23">
        <f>IFERROR(IF(ISBLANK(INDEX(Backlog[Jira Link],MATCH($A34,Backlog[Requirement ID],0))),"",INDEX(Backlog[Jira Link],MATCH($A34,Backlog[Requirement ID],0))),"")</f>
        <v/>
      </c>
      <c r="F34" s="21" t="inlineStr">
        <is>
          <t>NA</t>
        </is>
      </c>
      <c r="G34" s="21" t="inlineStr">
        <is>
          <t>NA</t>
        </is>
      </c>
      <c r="H34" s="29">
        <f>IFERROR(IF(ISBLANK(INDEX(SprintPlanning[Sprint],MATCH($A34,SprintPlanning[Requirement ID],0))),"",INDEX(SprintPlanning[Sprint],MATCH($A34,SprintPlanning[Requirement ID],0))),"")</f>
        <v/>
      </c>
      <c r="I34" s="23">
        <f>IFERROR(IF(ISBLANK(INDEX(Backlog[Status],MATCH($A34,Backlog[Requirement ID],0))),"",INDEX(Backlog[Status],MATCH($A34,Backlog[Requirement ID],0))),"")</f>
        <v/>
      </c>
      <c r="J34" s="23">
        <f>IFERROR(IF(ISBLANK(INDEX(Backlog[Priority],MATCH($A34,Backlog[Requirement ID],0))),"",INDEX(Backlog[Priority],MATCH($A34,Backlog[Requirement ID],0))),"")</f>
        <v/>
      </c>
      <c r="K34" s="21" t="n"/>
      <c r="L34" s="43" t="n"/>
      <c r="M34" s="43" t="n"/>
      <c r="N34" s="21" t="n"/>
      <c r="O34" s="44" t="n"/>
      <c r="P34" s="33" t="n"/>
      <c r="Q34" s="33" t="n"/>
    </row>
    <row r="35" ht="15" customHeight="1">
      <c r="A35" s="21" t="inlineStr">
        <is>
          <t>NEW-0065</t>
        </is>
      </c>
      <c r="B35" s="23">
        <f>IFERROR(IF(ISBLANK(INDEX(Backlog[Requirement Name],MATCH($A35,Backlog[Requirement ID],0))),"",INDEX(Backlog[Requirement Name],MATCH($A35,Backlog[Requirement ID],0))),"")</f>
        <v/>
      </c>
      <c r="C35" s="23">
        <f>IFERROR(IF(ISBLANK(INDEX(Backlog[Stream],MATCH($A35,Backlog[Requirement ID],0))),"",INDEX(Backlog[Stream],MATCH($A35,Backlog[Requirement ID],0))),"")</f>
        <v/>
      </c>
      <c r="D35" s="23">
        <f>IFERROR(IF(ISBLANK(INDEX(Backlog[Stream Owner],MATCH($A35,Backlog[Requirement ID],0))),"",INDEX(Backlog[Stream Owner],MATCH($A35,Backlog[Requirement ID],0))),"")</f>
        <v/>
      </c>
      <c r="E35" s="23">
        <f>IFERROR(IF(ISBLANK(INDEX(Backlog[Jira Link],MATCH($A35,Backlog[Requirement ID],0))),"",INDEX(Backlog[Jira Link],MATCH($A35,Backlog[Requirement ID],0))),"")</f>
        <v/>
      </c>
      <c r="F35" s="21" t="inlineStr">
        <is>
          <t>NA</t>
        </is>
      </c>
      <c r="G35" s="21" t="inlineStr">
        <is>
          <t>NA</t>
        </is>
      </c>
      <c r="H35" s="29">
        <f>IFERROR(IF(ISBLANK(INDEX(SprintPlanning[Sprint],MATCH($A35,SprintPlanning[Requirement ID],0))),"",INDEX(SprintPlanning[Sprint],MATCH($A35,SprintPlanning[Requirement ID],0))),"")</f>
        <v/>
      </c>
      <c r="I35" s="23">
        <f>IFERROR(IF(ISBLANK(INDEX(Backlog[Status],MATCH($A35,Backlog[Requirement ID],0))),"",INDEX(Backlog[Status],MATCH($A35,Backlog[Requirement ID],0))),"")</f>
        <v/>
      </c>
      <c r="J35" s="23">
        <f>IFERROR(IF(ISBLANK(INDEX(Backlog[Priority],MATCH($A35,Backlog[Requirement ID],0))),"",INDEX(Backlog[Priority],MATCH($A35,Backlog[Requirement ID],0))),"")</f>
        <v/>
      </c>
      <c r="K35" s="21" t="n"/>
      <c r="L35" s="43" t="n"/>
      <c r="M35" s="43" t="n"/>
      <c r="N35" s="21" t="n"/>
      <c r="O35" s="44" t="n"/>
      <c r="P35" s="33" t="n"/>
      <c r="Q35" s="33" t="n"/>
    </row>
    <row r="36" ht="15" customHeight="1">
      <c r="A36" s="21" t="inlineStr">
        <is>
          <t>NEW-0066</t>
        </is>
      </c>
      <c r="B36" s="23">
        <f>IFERROR(IF(ISBLANK(INDEX(Backlog[Requirement Name],MATCH($A36,Backlog[Requirement ID],0))),"",INDEX(Backlog[Requirement Name],MATCH($A36,Backlog[Requirement ID],0))),"")</f>
        <v/>
      </c>
      <c r="C36" s="23">
        <f>IFERROR(IF(ISBLANK(INDEX(Backlog[Stream],MATCH($A36,Backlog[Requirement ID],0))),"",INDEX(Backlog[Stream],MATCH($A36,Backlog[Requirement ID],0))),"")</f>
        <v/>
      </c>
      <c r="D36" s="23">
        <f>IFERROR(IF(ISBLANK(INDEX(Backlog[Stream Owner],MATCH($A36,Backlog[Requirement ID],0))),"",INDEX(Backlog[Stream Owner],MATCH($A36,Backlog[Requirement ID],0))),"")</f>
        <v/>
      </c>
      <c r="E36" s="23">
        <f>IFERROR(IF(ISBLANK(INDEX(Backlog[Jira Link],MATCH($A36,Backlog[Requirement ID],0))),"",INDEX(Backlog[Jira Link],MATCH($A36,Backlog[Requirement ID],0))),"")</f>
        <v/>
      </c>
      <c r="F36" s="21" t="inlineStr">
        <is>
          <t>No</t>
        </is>
      </c>
      <c r="G36" s="21" t="inlineStr">
        <is>
          <t>No</t>
        </is>
      </c>
      <c r="H36" s="29">
        <f>IFERROR(IF(ISBLANK(INDEX(SprintPlanning[Sprint],MATCH($A36,SprintPlanning[Requirement ID],0))),"",INDEX(SprintPlanning[Sprint],MATCH($A36,SprintPlanning[Requirement ID],0))),"")</f>
        <v/>
      </c>
      <c r="I36" s="23">
        <f>IFERROR(IF(ISBLANK(INDEX(Backlog[Status],MATCH($A36,Backlog[Requirement ID],0))),"",INDEX(Backlog[Status],MATCH($A36,Backlog[Requirement ID],0))),"")</f>
        <v/>
      </c>
      <c r="J36" s="23">
        <f>IFERROR(IF(ISBLANK(INDEX(Backlog[Priority],MATCH($A36,Backlog[Requirement ID],0))),"",INDEX(Backlog[Priority],MATCH($A36,Backlog[Requirement ID],0))),"")</f>
        <v/>
      </c>
      <c r="K36" s="21" t="n"/>
      <c r="L36" s="43" t="inlineStr">
        <is>
          <t>Updates to Booking Event (DTS)</t>
        </is>
      </c>
      <c r="M36" s="43" t="inlineStr">
        <is>
          <t>https://smartship.atlassian.net/browse/DTTP25-41759</t>
        </is>
      </c>
      <c r="N36" s="21" t="n"/>
      <c r="O36" s="44" t="n"/>
      <c r="P36" s="33" t="n"/>
      <c r="Q36" s="33" t="n"/>
    </row>
    <row r="37" ht="15" customHeight="1">
      <c r="A37" s="21" t="inlineStr">
        <is>
          <t>NEW-0067</t>
        </is>
      </c>
      <c r="B37" s="23">
        <f>IFERROR(IF(ISBLANK(INDEX(Backlog[Requirement Name],MATCH($A37,Backlog[Requirement ID],0))),"",INDEX(Backlog[Requirement Name],MATCH($A37,Backlog[Requirement ID],0))),"")</f>
        <v/>
      </c>
      <c r="C37" s="23">
        <f>IFERROR(IF(ISBLANK(INDEX(Backlog[Stream],MATCH($A37,Backlog[Requirement ID],0))),"",INDEX(Backlog[Stream],MATCH($A37,Backlog[Requirement ID],0))),"")</f>
        <v/>
      </c>
      <c r="D37" s="23">
        <f>IFERROR(IF(ISBLANK(INDEX(Backlog[Stream Owner],MATCH($A37,Backlog[Requirement ID],0))),"",INDEX(Backlog[Stream Owner],MATCH($A37,Backlog[Requirement ID],0))),"")</f>
        <v/>
      </c>
      <c r="E37" s="23">
        <f>IFERROR(IF(ISBLANK(INDEX(Backlog[Jira Link],MATCH($A37,Backlog[Requirement ID],0))),"",INDEX(Backlog[Jira Link],MATCH($A37,Backlog[Requirement ID],0))),"")</f>
        <v/>
      </c>
      <c r="F37" s="21" t="inlineStr">
        <is>
          <t>Yes</t>
        </is>
      </c>
      <c r="G37" s="21" t="inlineStr">
        <is>
          <t>No</t>
        </is>
      </c>
      <c r="H37" s="29">
        <f>IFERROR(IF(ISBLANK(INDEX(SprintPlanning[Sprint],MATCH($A37,SprintPlanning[Requirement ID],0))),"",INDEX(SprintPlanning[Sprint],MATCH($A37,SprintPlanning[Requirement ID],0))),"")</f>
        <v/>
      </c>
      <c r="I37" s="23">
        <f>IFERROR(IF(ISBLANK(INDEX(Backlog[Status],MATCH($A37,Backlog[Requirement ID],0))),"",INDEX(Backlog[Status],MATCH($A37,Backlog[Requirement ID],0))),"")</f>
        <v/>
      </c>
      <c r="J37" s="23">
        <f>IFERROR(IF(ISBLANK(INDEX(Backlog[Priority],MATCH($A37,Backlog[Requirement ID],0))),"",INDEX(Backlog[Priority],MATCH($A37,Backlog[Requirement ID],0))),"")</f>
        <v/>
      </c>
      <c r="K37" s="21" t="n"/>
      <c r="L37" s="43" t="n"/>
      <c r="M37" s="43" t="n"/>
      <c r="N37" s="21" t="n"/>
      <c r="O37" s="44" t="n"/>
      <c r="P37" s="33" t="n"/>
      <c r="Q37" s="33" t="n"/>
    </row>
    <row r="38" ht="15" customHeight="1">
      <c r="A38" s="21" t="inlineStr">
        <is>
          <t>NEW-0068</t>
        </is>
      </c>
      <c r="B38" s="23">
        <f>IFERROR(IF(ISBLANK(INDEX(Backlog[Requirement Name],MATCH($A38,Backlog[Requirement ID],0))),"",INDEX(Backlog[Requirement Name],MATCH($A38,Backlog[Requirement ID],0))),"")</f>
        <v/>
      </c>
      <c r="C38" s="23">
        <f>IFERROR(IF(ISBLANK(INDEX(Backlog[Stream],MATCH($A38,Backlog[Requirement ID],0))),"",INDEX(Backlog[Stream],MATCH($A38,Backlog[Requirement ID],0))),"")</f>
        <v/>
      </c>
      <c r="D38" s="23">
        <f>IFERROR(IF(ISBLANK(INDEX(Backlog[Stream Owner],MATCH($A38,Backlog[Requirement ID],0))),"",INDEX(Backlog[Stream Owner],MATCH($A38,Backlog[Requirement ID],0))),"")</f>
        <v/>
      </c>
      <c r="E38" s="23">
        <f>IFERROR(IF(ISBLANK(INDEX(Backlog[Jira Link],MATCH($A38,Backlog[Requirement ID],0))),"",INDEX(Backlog[Jira Link],MATCH($A38,Backlog[Requirement ID],0))),"")</f>
        <v/>
      </c>
      <c r="F38" s="21" t="inlineStr">
        <is>
          <t>No</t>
        </is>
      </c>
      <c r="G38" s="21" t="inlineStr">
        <is>
          <t>No</t>
        </is>
      </c>
      <c r="H38" s="29">
        <f>IFERROR(IF(ISBLANK(INDEX(SprintPlanning[Sprint],MATCH($A38,SprintPlanning[Requirement ID],0))),"",INDEX(SprintPlanning[Sprint],MATCH($A38,SprintPlanning[Requirement ID],0))),"")</f>
        <v/>
      </c>
      <c r="I38" s="23">
        <f>IFERROR(IF(ISBLANK(INDEX(Backlog[Status],MATCH($A38,Backlog[Requirement ID],0))),"",INDEX(Backlog[Status],MATCH($A38,Backlog[Requirement ID],0))),"")</f>
        <v/>
      </c>
      <c r="J38" s="23">
        <f>IFERROR(IF(ISBLANK(INDEX(Backlog[Priority],MATCH($A38,Backlog[Requirement ID],0))),"",INDEX(Backlog[Priority],MATCH($A38,Backlog[Requirement ID],0))),"")</f>
        <v/>
      </c>
      <c r="K38" s="21" t="n"/>
      <c r="L38" s="43" t="n"/>
      <c r="M38" s="43" t="n"/>
      <c r="N38" s="21" t="n"/>
      <c r="O38" s="44" t="n"/>
      <c r="P38" s="33" t="n"/>
      <c r="Q38" s="33" t="n"/>
    </row>
    <row r="39" ht="15" customHeight="1">
      <c r="A39" s="21" t="inlineStr">
        <is>
          <t>NEW-0071</t>
        </is>
      </c>
      <c r="B39" s="23">
        <f>IFERROR(IF(ISBLANK(INDEX(Backlog[Requirement Name],MATCH($A39,Backlog[Requirement ID],0))),"",INDEX(Backlog[Requirement Name],MATCH($A39,Backlog[Requirement ID],0))),"")</f>
        <v/>
      </c>
      <c r="C39" s="23">
        <f>IFERROR(IF(ISBLANK(INDEX(Backlog[Stream],MATCH($A39,Backlog[Requirement ID],0))),"",INDEX(Backlog[Stream],MATCH($A39,Backlog[Requirement ID],0))),"")</f>
        <v/>
      </c>
      <c r="D39" s="23">
        <f>IFERROR(IF(ISBLANK(INDEX(Backlog[Stream Owner],MATCH($A39,Backlog[Requirement ID],0))),"",INDEX(Backlog[Stream Owner],MATCH($A39,Backlog[Requirement ID],0))),"")</f>
        <v/>
      </c>
      <c r="E39" s="23">
        <f>IFERROR(IF(ISBLANK(INDEX(Backlog[Jira Link],MATCH($A39,Backlog[Requirement ID],0))),"",INDEX(Backlog[Jira Link],MATCH($A39,Backlog[Requirement ID],0))),"")</f>
        <v/>
      </c>
      <c r="F39" s="21" t="inlineStr">
        <is>
          <t>NA</t>
        </is>
      </c>
      <c r="G39" s="21" t="inlineStr">
        <is>
          <t>NA</t>
        </is>
      </c>
      <c r="H39" s="29">
        <f>IFERROR(IF(ISBLANK(INDEX(SprintPlanning[Sprint],MATCH($A39,SprintPlanning[Requirement ID],0))),"",INDEX(SprintPlanning[Sprint],MATCH($A39,SprintPlanning[Requirement ID],0))),"")</f>
        <v/>
      </c>
      <c r="I39" s="23">
        <f>IFERROR(IF(ISBLANK(INDEX(Backlog[Status],MATCH($A39,Backlog[Requirement ID],0))),"",INDEX(Backlog[Status],MATCH($A39,Backlog[Requirement ID],0))),"")</f>
        <v/>
      </c>
      <c r="J39" s="23">
        <f>IFERROR(IF(ISBLANK(INDEX(Backlog[Priority],MATCH($A39,Backlog[Requirement ID],0))),"",INDEX(Backlog[Priority],MATCH($A39,Backlog[Requirement ID],0))),"")</f>
        <v/>
      </c>
      <c r="K39" s="21" t="n"/>
      <c r="L39" s="43" t="n"/>
      <c r="M39" s="43" t="n"/>
      <c r="N39" s="21" t="n"/>
      <c r="O39" s="44" t="n"/>
      <c r="P39" s="33" t="n"/>
      <c r="Q39" s="33" t="n"/>
    </row>
    <row r="40" ht="15" customHeight="1">
      <c r="A40" s="21" t="inlineStr">
        <is>
          <t>NEW-0072</t>
        </is>
      </c>
      <c r="B40" s="23">
        <f>IFERROR(IF(ISBLANK(INDEX(Backlog[Requirement Name],MATCH($A40,Backlog[Requirement ID],0))),"",INDEX(Backlog[Requirement Name],MATCH($A40,Backlog[Requirement ID],0))),"")</f>
        <v/>
      </c>
      <c r="C40" s="23">
        <f>IFERROR(IF(ISBLANK(INDEX(Backlog[Stream],MATCH($A40,Backlog[Requirement ID],0))),"",INDEX(Backlog[Stream],MATCH($A40,Backlog[Requirement ID],0))),"")</f>
        <v/>
      </c>
      <c r="D40" s="23">
        <f>IFERROR(IF(ISBLANK(INDEX(Backlog[Stream Owner],MATCH($A40,Backlog[Requirement ID],0))),"",INDEX(Backlog[Stream Owner],MATCH($A40,Backlog[Requirement ID],0))),"")</f>
        <v/>
      </c>
      <c r="E40" s="23">
        <f>IFERROR(IF(ISBLANK(INDEX(Backlog[Jira Link],MATCH($A40,Backlog[Requirement ID],0))),"",INDEX(Backlog[Jira Link],MATCH($A40,Backlog[Requirement ID],0))),"")</f>
        <v/>
      </c>
      <c r="F40" s="21" t="inlineStr">
        <is>
          <t>No</t>
        </is>
      </c>
      <c r="G40" s="21" t="inlineStr">
        <is>
          <t>No</t>
        </is>
      </c>
      <c r="H40" s="29">
        <f>IFERROR(IF(ISBLANK(INDEX(SprintPlanning[Sprint],MATCH($A40,SprintPlanning[Requirement ID],0))),"",INDEX(SprintPlanning[Sprint],MATCH($A40,SprintPlanning[Requirement ID],0))),"")</f>
        <v/>
      </c>
      <c r="I40" s="23">
        <f>IFERROR(IF(ISBLANK(INDEX(Backlog[Status],MATCH($A40,Backlog[Requirement ID],0))),"",INDEX(Backlog[Status],MATCH($A40,Backlog[Requirement ID],0))),"")</f>
        <v/>
      </c>
      <c r="J40" s="23">
        <f>IFERROR(IF(ISBLANK(INDEX(Backlog[Priority],MATCH($A40,Backlog[Requirement ID],0))),"",INDEX(Backlog[Priority],MATCH($A40,Backlog[Requirement ID],0))),"")</f>
        <v/>
      </c>
      <c r="K40" s="21" t="n"/>
      <c r="L40" s="43" t="n"/>
      <c r="M40" s="43" t="n"/>
      <c r="N40" s="21" t="n"/>
      <c r="O40" s="44" t="n"/>
      <c r="P40" s="33" t="n"/>
      <c r="Q40" s="33" t="n"/>
    </row>
    <row r="41" ht="15" customHeight="1">
      <c r="A41" s="21" t="inlineStr">
        <is>
          <t>NEW-0073</t>
        </is>
      </c>
      <c r="B41" s="23">
        <f>IFERROR(IF(ISBLANK(INDEX(Backlog[Requirement Name],MATCH($A41,Backlog[Requirement ID],0))),"",INDEX(Backlog[Requirement Name],MATCH($A41,Backlog[Requirement ID],0))),"")</f>
        <v/>
      </c>
      <c r="C41" s="23">
        <f>IFERROR(IF(ISBLANK(INDEX(Backlog[Stream],MATCH($A41,Backlog[Requirement ID],0))),"",INDEX(Backlog[Stream],MATCH($A41,Backlog[Requirement ID],0))),"")</f>
        <v/>
      </c>
      <c r="D41" s="23">
        <f>IFERROR(IF(ISBLANK(INDEX(Backlog[Stream Owner],MATCH($A41,Backlog[Requirement ID],0))),"",INDEX(Backlog[Stream Owner],MATCH($A41,Backlog[Requirement ID],0))),"")</f>
        <v/>
      </c>
      <c r="E41" s="23">
        <f>IFERROR(IF(ISBLANK(INDEX(Backlog[Jira Link],MATCH($A41,Backlog[Requirement ID],0))),"",INDEX(Backlog[Jira Link],MATCH($A41,Backlog[Requirement ID],0))),"")</f>
        <v/>
      </c>
      <c r="F41" s="21" t="inlineStr">
        <is>
          <t>No</t>
        </is>
      </c>
      <c r="G41" s="21" t="inlineStr">
        <is>
          <t>No</t>
        </is>
      </c>
      <c r="H41" s="29">
        <f>IFERROR(IF(ISBLANK(INDEX(SprintPlanning[Sprint],MATCH($A41,SprintPlanning[Requirement ID],0))),"",INDEX(SprintPlanning[Sprint],MATCH($A41,SprintPlanning[Requirement ID],0))),"")</f>
        <v/>
      </c>
      <c r="I41" s="23">
        <f>IFERROR(IF(ISBLANK(INDEX(Backlog[Status],MATCH($A41,Backlog[Requirement ID],0))),"",INDEX(Backlog[Status],MATCH($A41,Backlog[Requirement ID],0))),"")</f>
        <v/>
      </c>
      <c r="J41" s="23">
        <f>IFERROR(IF(ISBLANK(INDEX(Backlog[Priority],MATCH($A41,Backlog[Requirement ID],0))),"",INDEX(Backlog[Priority],MATCH($A41,Backlog[Requirement ID],0))),"")</f>
        <v/>
      </c>
      <c r="K41" s="21" t="n"/>
      <c r="L41" s="43" t="n"/>
      <c r="M41" s="43" t="n"/>
      <c r="N41" s="21" t="n"/>
      <c r="O41" s="44" t="n"/>
      <c r="P41" s="33" t="n"/>
      <c r="Q41" s="33" t="n"/>
    </row>
    <row r="42" ht="15" customHeight="1">
      <c r="A42" s="21" t="inlineStr">
        <is>
          <t>NEW-0074</t>
        </is>
      </c>
      <c r="B42" s="23">
        <f>IFERROR(IF(ISBLANK(INDEX(Backlog[Requirement Name],MATCH($A42,Backlog[Requirement ID],0))),"",INDEX(Backlog[Requirement Name],MATCH($A42,Backlog[Requirement ID],0))),"")</f>
        <v/>
      </c>
      <c r="C42" s="23">
        <f>IFERROR(IF(ISBLANK(INDEX(Backlog[Stream],MATCH($A42,Backlog[Requirement ID],0))),"",INDEX(Backlog[Stream],MATCH($A42,Backlog[Requirement ID],0))),"")</f>
        <v/>
      </c>
      <c r="D42" s="23">
        <f>IFERROR(IF(ISBLANK(INDEX(Backlog[Stream Owner],MATCH($A42,Backlog[Requirement ID],0))),"",INDEX(Backlog[Stream Owner],MATCH($A42,Backlog[Requirement ID],0))),"")</f>
        <v/>
      </c>
      <c r="E42" s="23">
        <f>IFERROR(IF(ISBLANK(INDEX(Backlog[Jira Link],MATCH($A42,Backlog[Requirement ID],0))),"",INDEX(Backlog[Jira Link],MATCH($A42,Backlog[Requirement ID],0))),"")</f>
        <v/>
      </c>
      <c r="F42" s="21" t="inlineStr">
        <is>
          <t>No</t>
        </is>
      </c>
      <c r="G42" s="21" t="inlineStr">
        <is>
          <t>No</t>
        </is>
      </c>
      <c r="H42" s="29">
        <f>IFERROR(IF(ISBLANK(INDEX(SprintPlanning[Sprint],MATCH($A42,SprintPlanning[Requirement ID],0))),"",INDEX(SprintPlanning[Sprint],MATCH($A42,SprintPlanning[Requirement ID],0))),"")</f>
        <v/>
      </c>
      <c r="I42" s="23">
        <f>IFERROR(IF(ISBLANK(INDEX(Backlog[Status],MATCH($A42,Backlog[Requirement ID],0))),"",INDEX(Backlog[Status],MATCH($A42,Backlog[Requirement ID],0))),"")</f>
        <v/>
      </c>
      <c r="J42" s="23">
        <f>IFERROR(IF(ISBLANK(INDEX(Backlog[Priority],MATCH($A42,Backlog[Requirement ID],0))),"",INDEX(Backlog[Priority],MATCH($A42,Backlog[Requirement ID],0))),"")</f>
        <v/>
      </c>
      <c r="K42" s="21" t="n"/>
      <c r="L42" s="43" t="n"/>
      <c r="M42" s="43" t="n"/>
      <c r="N42" s="21" t="n"/>
      <c r="O42" s="44" t="n"/>
      <c r="P42" s="33" t="n"/>
      <c r="Q42" s="33" t="n"/>
    </row>
    <row r="43" ht="15" customHeight="1">
      <c r="A43" s="21" t="inlineStr">
        <is>
          <t>NEW-0075</t>
        </is>
      </c>
      <c r="B43" s="23">
        <f>IFERROR(IF(ISBLANK(INDEX(Backlog[Requirement Name],MATCH($A43,Backlog[Requirement ID],0))),"",INDEX(Backlog[Requirement Name],MATCH($A43,Backlog[Requirement ID],0))),"")</f>
        <v/>
      </c>
      <c r="C43" s="23">
        <f>IFERROR(IF(ISBLANK(INDEX(Backlog[Stream],MATCH($A43,Backlog[Requirement ID],0))),"",INDEX(Backlog[Stream],MATCH($A43,Backlog[Requirement ID],0))),"")</f>
        <v/>
      </c>
      <c r="D43" s="23">
        <f>IFERROR(IF(ISBLANK(INDEX(Backlog[Stream Owner],MATCH($A43,Backlog[Requirement ID],0))),"",INDEX(Backlog[Stream Owner],MATCH($A43,Backlog[Requirement ID],0))),"")</f>
        <v/>
      </c>
      <c r="E43" s="23">
        <f>IFERROR(IF(ISBLANK(INDEX(Backlog[Jira Link],MATCH($A43,Backlog[Requirement ID],0))),"",INDEX(Backlog[Jira Link],MATCH($A43,Backlog[Requirement ID],0))),"")</f>
        <v/>
      </c>
      <c r="F43" s="21" t="inlineStr">
        <is>
          <t>Yes</t>
        </is>
      </c>
      <c r="G43" s="21" t="inlineStr">
        <is>
          <t>No</t>
        </is>
      </c>
      <c r="H43" s="29">
        <f>IFERROR(IF(ISBLANK(INDEX(SprintPlanning[Sprint],MATCH($A43,SprintPlanning[Requirement ID],0))),"",INDEX(SprintPlanning[Sprint],MATCH($A43,SprintPlanning[Requirement ID],0))),"")</f>
        <v/>
      </c>
      <c r="I43" s="23">
        <f>IFERROR(IF(ISBLANK(INDEX(Backlog[Status],MATCH($A43,Backlog[Requirement ID],0))),"",INDEX(Backlog[Status],MATCH($A43,Backlog[Requirement ID],0))),"")</f>
        <v/>
      </c>
      <c r="J43" s="23">
        <f>IFERROR(IF(ISBLANK(INDEX(Backlog[Priority],MATCH($A43,Backlog[Requirement ID],0))),"",INDEX(Backlog[Priority],MATCH($A43,Backlog[Requirement ID],0))),"")</f>
        <v/>
      </c>
      <c r="K43" s="21" t="n"/>
      <c r="L43" s="43" t="n"/>
      <c r="M43" s="43" t="n"/>
      <c r="N43" s="21" t="n"/>
      <c r="O43" s="44" t="n"/>
      <c r="P43" s="33" t="n"/>
      <c r="Q43" s="33" t="n"/>
    </row>
    <row r="44" ht="15" customHeight="1">
      <c r="A44" s="21" t="inlineStr">
        <is>
          <t>NEW-0076</t>
        </is>
      </c>
      <c r="B44" s="23">
        <f>IFERROR(IF(ISBLANK(INDEX(Backlog[Requirement Name],MATCH($A44,Backlog[Requirement ID],0))),"",INDEX(Backlog[Requirement Name],MATCH($A44,Backlog[Requirement ID],0))),"")</f>
        <v/>
      </c>
      <c r="C44" s="23">
        <f>IFERROR(IF(ISBLANK(INDEX(Backlog[Stream],MATCH($A44,Backlog[Requirement ID],0))),"",INDEX(Backlog[Stream],MATCH($A44,Backlog[Requirement ID],0))),"")</f>
        <v/>
      </c>
      <c r="D44" s="23">
        <f>IFERROR(IF(ISBLANK(INDEX(Backlog[Stream Owner],MATCH($A44,Backlog[Requirement ID],0))),"",INDEX(Backlog[Stream Owner],MATCH($A44,Backlog[Requirement ID],0))),"")</f>
        <v/>
      </c>
      <c r="E44" s="23">
        <f>IFERROR(IF(ISBLANK(INDEX(Backlog[Jira Link],MATCH($A44,Backlog[Requirement ID],0))),"",INDEX(Backlog[Jira Link],MATCH($A44,Backlog[Requirement ID],0))),"")</f>
        <v/>
      </c>
      <c r="F44" s="21" t="inlineStr">
        <is>
          <t>Yes</t>
        </is>
      </c>
      <c r="G44" s="21" t="inlineStr">
        <is>
          <t>No</t>
        </is>
      </c>
      <c r="H44" s="29">
        <f>IFERROR(IF(ISBLANK(INDEX(SprintPlanning[Sprint],MATCH($A44,SprintPlanning[Requirement ID],0))),"",INDEX(SprintPlanning[Sprint],MATCH($A44,SprintPlanning[Requirement ID],0))),"")</f>
        <v/>
      </c>
      <c r="I44" s="23">
        <f>IFERROR(IF(ISBLANK(INDEX(Backlog[Status],MATCH($A44,Backlog[Requirement ID],0))),"",INDEX(Backlog[Status],MATCH($A44,Backlog[Requirement ID],0))),"")</f>
        <v/>
      </c>
      <c r="J44" s="23">
        <f>IFERROR(IF(ISBLANK(INDEX(Backlog[Priority],MATCH($A44,Backlog[Requirement ID],0))),"",INDEX(Backlog[Priority],MATCH($A44,Backlog[Requirement ID],0))),"")</f>
        <v/>
      </c>
      <c r="K44" s="21" t="n"/>
      <c r="L44" s="43" t="n"/>
      <c r="M44" s="43" t="n"/>
      <c r="N44" s="21" t="n"/>
      <c r="O44" s="44" t="n"/>
      <c r="P44" s="33" t="n"/>
      <c r="Q44" s="33" t="n"/>
    </row>
    <row r="45" ht="15" customHeight="1">
      <c r="A45" s="21" t="inlineStr">
        <is>
          <t>NEW-0077</t>
        </is>
      </c>
      <c r="B45" s="23">
        <f>IFERROR(IF(ISBLANK(INDEX(Backlog[Requirement Name],MATCH($A45,Backlog[Requirement ID],0))),"",INDEX(Backlog[Requirement Name],MATCH($A45,Backlog[Requirement ID],0))),"")</f>
        <v/>
      </c>
      <c r="C45" s="23">
        <f>IFERROR(IF(ISBLANK(INDEX(Backlog[Stream],MATCH($A45,Backlog[Requirement ID],0))),"",INDEX(Backlog[Stream],MATCH($A45,Backlog[Requirement ID],0))),"")</f>
        <v/>
      </c>
      <c r="D45" s="23">
        <f>IFERROR(IF(ISBLANK(INDEX(Backlog[Stream Owner],MATCH($A45,Backlog[Requirement ID],0))),"",INDEX(Backlog[Stream Owner],MATCH($A45,Backlog[Requirement ID],0))),"")</f>
        <v/>
      </c>
      <c r="E45" s="23">
        <f>IFERROR(IF(ISBLANK(INDEX(Backlog[Jira Link],MATCH($A45,Backlog[Requirement ID],0))),"",INDEX(Backlog[Jira Link],MATCH($A45,Backlog[Requirement ID],0))),"")</f>
        <v/>
      </c>
      <c r="F45" s="21" t="inlineStr">
        <is>
          <t>NA</t>
        </is>
      </c>
      <c r="G45" s="21" t="inlineStr">
        <is>
          <t>NA</t>
        </is>
      </c>
      <c r="H45" s="29">
        <f>IFERROR(IF(ISBLANK(INDEX(SprintPlanning[Sprint],MATCH($A45,SprintPlanning[Requirement ID],0))),"",INDEX(SprintPlanning[Sprint],MATCH($A45,SprintPlanning[Requirement ID],0))),"")</f>
        <v/>
      </c>
      <c r="I45" s="23">
        <f>IFERROR(IF(ISBLANK(INDEX(Backlog[Status],MATCH($A45,Backlog[Requirement ID],0))),"",INDEX(Backlog[Status],MATCH($A45,Backlog[Requirement ID],0))),"")</f>
        <v/>
      </c>
      <c r="J45" s="23">
        <f>IFERROR(IF(ISBLANK(INDEX(Backlog[Priority],MATCH($A45,Backlog[Requirement ID],0))),"",INDEX(Backlog[Priority],MATCH($A45,Backlog[Requirement ID],0))),"")</f>
        <v/>
      </c>
      <c r="K45" s="21" t="n"/>
      <c r="L45" s="43" t="n"/>
      <c r="M45" s="43" t="n"/>
      <c r="N45" s="21" t="n"/>
      <c r="O45" s="44" t="n"/>
      <c r="P45" s="33" t="n"/>
      <c r="Q45" s="33" t="n"/>
    </row>
    <row r="46" ht="15" customHeight="1">
      <c r="A46" s="21" t="inlineStr">
        <is>
          <t>NEW-0078</t>
        </is>
      </c>
      <c r="B46" s="23">
        <f>IFERROR(IF(ISBLANK(INDEX(Backlog[Requirement Name],MATCH($A46,Backlog[Requirement ID],0))),"",INDEX(Backlog[Requirement Name],MATCH($A46,Backlog[Requirement ID],0))),"")</f>
        <v/>
      </c>
      <c r="C46" s="23">
        <f>IFERROR(IF(ISBLANK(INDEX(Backlog[Stream],MATCH($A46,Backlog[Requirement ID],0))),"",INDEX(Backlog[Stream],MATCH($A46,Backlog[Requirement ID],0))),"")</f>
        <v/>
      </c>
      <c r="D46" s="23">
        <f>IFERROR(IF(ISBLANK(INDEX(Backlog[Stream Owner],MATCH($A46,Backlog[Requirement ID],0))),"",INDEX(Backlog[Stream Owner],MATCH($A46,Backlog[Requirement ID],0))),"")</f>
        <v/>
      </c>
      <c r="E46" s="23">
        <f>IFERROR(IF(ISBLANK(INDEX(Backlog[Jira Link],MATCH($A46,Backlog[Requirement ID],0))),"",INDEX(Backlog[Jira Link],MATCH($A46,Backlog[Requirement ID],0))),"")</f>
        <v/>
      </c>
      <c r="F46" s="21" t="inlineStr">
        <is>
          <t>NA</t>
        </is>
      </c>
      <c r="G46" s="21" t="inlineStr">
        <is>
          <t>NA</t>
        </is>
      </c>
      <c r="H46" s="29">
        <f>IFERROR(IF(ISBLANK(INDEX(SprintPlanning[Sprint],MATCH($A46,SprintPlanning[Requirement ID],0))),"",INDEX(SprintPlanning[Sprint],MATCH($A46,SprintPlanning[Requirement ID],0))),"")</f>
        <v/>
      </c>
      <c r="I46" s="23">
        <f>IFERROR(IF(ISBLANK(INDEX(Backlog[Status],MATCH($A46,Backlog[Requirement ID],0))),"",INDEX(Backlog[Status],MATCH($A46,Backlog[Requirement ID],0))),"")</f>
        <v/>
      </c>
      <c r="J46" s="23">
        <f>IFERROR(IF(ISBLANK(INDEX(Backlog[Priority],MATCH($A46,Backlog[Requirement ID],0))),"",INDEX(Backlog[Priority],MATCH($A46,Backlog[Requirement ID],0))),"")</f>
        <v/>
      </c>
      <c r="K46" s="21" t="n"/>
      <c r="L46" s="43" t="n"/>
      <c r="M46" s="43" t="n"/>
      <c r="N46" s="21" t="n"/>
      <c r="O46" s="44" t="n"/>
      <c r="P46" s="33" t="n"/>
      <c r="Q46" s="33" t="n"/>
    </row>
    <row r="47" ht="15" customHeight="1">
      <c r="A47" s="21" t="inlineStr">
        <is>
          <t>NEW-0080</t>
        </is>
      </c>
      <c r="B47" s="23">
        <f>IFERROR(IF(ISBLANK(INDEX(Backlog[Requirement Name],MATCH($A47,Backlog[Requirement ID],0))),"",INDEX(Backlog[Requirement Name],MATCH($A47,Backlog[Requirement ID],0))),"")</f>
        <v/>
      </c>
      <c r="C47" s="23">
        <f>IFERROR(IF(ISBLANK(INDEX(Backlog[Stream],MATCH($A47,Backlog[Requirement ID],0))),"",INDEX(Backlog[Stream],MATCH($A47,Backlog[Requirement ID],0))),"")</f>
        <v/>
      </c>
      <c r="D47" s="23">
        <f>IFERROR(IF(ISBLANK(INDEX(Backlog[Stream Owner],MATCH($A47,Backlog[Requirement ID],0))),"",INDEX(Backlog[Stream Owner],MATCH($A47,Backlog[Requirement ID],0))),"")</f>
        <v/>
      </c>
      <c r="E47" s="23">
        <f>IFERROR(IF(ISBLANK(INDEX(Backlog[Jira Link],MATCH($A47,Backlog[Requirement ID],0))),"",INDEX(Backlog[Jira Link],MATCH($A47,Backlog[Requirement ID],0))),"")</f>
        <v/>
      </c>
      <c r="F47" s="21" t="inlineStr">
        <is>
          <t>NA</t>
        </is>
      </c>
      <c r="G47" s="21" t="inlineStr">
        <is>
          <t>NA</t>
        </is>
      </c>
      <c r="H47" s="29">
        <f>IFERROR(IF(ISBLANK(INDEX(SprintPlanning[Sprint],MATCH($A47,SprintPlanning[Requirement ID],0))),"",INDEX(SprintPlanning[Sprint],MATCH($A47,SprintPlanning[Requirement ID],0))),"")</f>
        <v/>
      </c>
      <c r="I47" s="23">
        <f>IFERROR(IF(ISBLANK(INDEX(Backlog[Status],MATCH($A47,Backlog[Requirement ID],0))),"",INDEX(Backlog[Status],MATCH($A47,Backlog[Requirement ID],0))),"")</f>
        <v/>
      </c>
      <c r="J47" s="23">
        <f>IFERROR(IF(ISBLANK(INDEX(Backlog[Priority],MATCH($A47,Backlog[Requirement ID],0))),"",INDEX(Backlog[Priority],MATCH($A47,Backlog[Requirement ID],0))),"")</f>
        <v/>
      </c>
      <c r="K47" s="21" t="n"/>
      <c r="L47" s="43" t="n"/>
      <c r="M47" s="43" t="n"/>
      <c r="N47" s="21" t="n"/>
      <c r="O47" s="44" t="n"/>
      <c r="P47" s="33" t="n"/>
      <c r="Q47" s="33" t="n"/>
    </row>
    <row r="48" ht="15" customHeight="1">
      <c r="A48" s="21" t="inlineStr">
        <is>
          <t>NEW-0084</t>
        </is>
      </c>
      <c r="B48" s="23">
        <f>IFERROR(IF(ISBLANK(INDEX(Backlog[Requirement Name],MATCH($A48,Backlog[Requirement ID],0))),"",INDEX(Backlog[Requirement Name],MATCH($A48,Backlog[Requirement ID],0))),"")</f>
        <v/>
      </c>
      <c r="C48" s="23">
        <f>IFERROR(IF(ISBLANK(INDEX(Backlog[Stream],MATCH($A48,Backlog[Requirement ID],0))),"",INDEX(Backlog[Stream],MATCH($A48,Backlog[Requirement ID],0))),"")</f>
        <v/>
      </c>
      <c r="D48" s="23">
        <f>IFERROR(IF(ISBLANK(INDEX(Backlog[Stream Owner],MATCH($A48,Backlog[Requirement ID],0))),"",INDEX(Backlog[Stream Owner],MATCH($A48,Backlog[Requirement ID],0))),"")</f>
        <v/>
      </c>
      <c r="E48" s="23">
        <f>IFERROR(IF(ISBLANK(INDEX(Backlog[Jira Link],MATCH($A48,Backlog[Requirement ID],0))),"",INDEX(Backlog[Jira Link],MATCH($A48,Backlog[Requirement ID],0))),"")</f>
        <v/>
      </c>
      <c r="F48" s="21" t="inlineStr">
        <is>
          <t>No</t>
        </is>
      </c>
      <c r="G48" s="21" t="inlineStr">
        <is>
          <t>No</t>
        </is>
      </c>
      <c r="H48" s="29">
        <f>IFERROR(IF(ISBLANK(INDEX(SprintPlanning[Sprint],MATCH($A48,SprintPlanning[Requirement ID],0))),"",INDEX(SprintPlanning[Sprint],MATCH($A48,SprintPlanning[Requirement ID],0))),"")</f>
        <v/>
      </c>
      <c r="I48" s="23">
        <f>IFERROR(IF(ISBLANK(INDEX(Backlog[Status],MATCH($A48,Backlog[Requirement ID],0))),"",INDEX(Backlog[Status],MATCH($A48,Backlog[Requirement ID],0))),"")</f>
        <v/>
      </c>
      <c r="J48" s="23">
        <f>IFERROR(IF(ISBLANK(INDEX(Backlog[Priority],MATCH($A48,Backlog[Requirement ID],0))),"",INDEX(Backlog[Priority],MATCH($A48,Backlog[Requirement ID],0))),"")</f>
        <v/>
      </c>
      <c r="K48" s="21" t="n"/>
      <c r="L48" s="43" t="n"/>
      <c r="M48" s="43" t="n"/>
      <c r="N48" s="21" t="n"/>
      <c r="O48" s="44" t="n"/>
      <c r="P48" s="33" t="n"/>
      <c r="Q48" s="33" t="n"/>
    </row>
    <row r="49" ht="15" customHeight="1">
      <c r="A49" s="21" t="inlineStr">
        <is>
          <t>NEW-0085</t>
        </is>
      </c>
      <c r="B49" s="23">
        <f>IFERROR(IF(ISBLANK(INDEX(Backlog[Requirement Name],MATCH($A49,Backlog[Requirement ID],0))),"",INDEX(Backlog[Requirement Name],MATCH($A49,Backlog[Requirement ID],0))),"")</f>
        <v/>
      </c>
      <c r="C49" s="23">
        <f>IFERROR(IF(ISBLANK(INDEX(Backlog[Stream],MATCH($A49,Backlog[Requirement ID],0))),"",INDEX(Backlog[Stream],MATCH($A49,Backlog[Requirement ID],0))),"")</f>
        <v/>
      </c>
      <c r="D49" s="23">
        <f>IFERROR(IF(ISBLANK(INDEX(Backlog[Stream Owner],MATCH($A49,Backlog[Requirement ID],0))),"",INDEX(Backlog[Stream Owner],MATCH($A49,Backlog[Requirement ID],0))),"")</f>
        <v/>
      </c>
      <c r="E49" s="23">
        <f>IFERROR(IF(ISBLANK(INDEX(Backlog[Jira Link],MATCH($A49,Backlog[Requirement ID],0))),"",INDEX(Backlog[Jira Link],MATCH($A49,Backlog[Requirement ID],0))),"")</f>
        <v/>
      </c>
      <c r="F49" s="21" t="inlineStr">
        <is>
          <t>No</t>
        </is>
      </c>
      <c r="G49" s="21" t="inlineStr">
        <is>
          <t>No</t>
        </is>
      </c>
      <c r="H49" s="29">
        <f>IFERROR(IF(ISBLANK(INDEX(SprintPlanning[Sprint],MATCH($A49,SprintPlanning[Requirement ID],0))),"",INDEX(SprintPlanning[Sprint],MATCH($A49,SprintPlanning[Requirement ID],0))),"")</f>
        <v/>
      </c>
      <c r="I49" s="23">
        <f>IFERROR(IF(ISBLANK(INDEX(Backlog[Status],MATCH($A49,Backlog[Requirement ID],0))),"",INDEX(Backlog[Status],MATCH($A49,Backlog[Requirement ID],0))),"")</f>
        <v/>
      </c>
      <c r="J49" s="23">
        <f>IFERROR(IF(ISBLANK(INDEX(Backlog[Priority],MATCH($A49,Backlog[Requirement ID],0))),"",INDEX(Backlog[Priority],MATCH($A49,Backlog[Requirement ID],0))),"")</f>
        <v/>
      </c>
      <c r="K49" s="21" t="n"/>
      <c r="L49" s="43" t="n"/>
      <c r="M49" s="43" t="n"/>
      <c r="N49" s="21" t="n"/>
      <c r="O49" s="44" t="n"/>
      <c r="P49" s="33" t="n"/>
      <c r="Q49" s="33" t="n"/>
    </row>
    <row r="50" ht="15" customHeight="1">
      <c r="A50" s="21" t="inlineStr">
        <is>
          <t>NEW-0086</t>
        </is>
      </c>
      <c r="B50" s="23">
        <f>IFERROR(IF(ISBLANK(INDEX(Backlog[Requirement Name],MATCH($A50,Backlog[Requirement ID],0))),"",INDEX(Backlog[Requirement Name],MATCH($A50,Backlog[Requirement ID],0))),"")</f>
        <v/>
      </c>
      <c r="C50" s="23">
        <f>IFERROR(IF(ISBLANK(INDEX(Backlog[Stream],MATCH($A50,Backlog[Requirement ID],0))),"",INDEX(Backlog[Stream],MATCH($A50,Backlog[Requirement ID],0))),"")</f>
        <v/>
      </c>
      <c r="D50" s="23">
        <f>IFERROR(IF(ISBLANK(INDEX(Backlog[Stream Owner],MATCH($A50,Backlog[Requirement ID],0))),"",INDEX(Backlog[Stream Owner],MATCH($A50,Backlog[Requirement ID],0))),"")</f>
        <v/>
      </c>
      <c r="E50" s="23">
        <f>IFERROR(IF(ISBLANK(INDEX(Backlog[Jira Link],MATCH($A50,Backlog[Requirement ID],0))),"",INDEX(Backlog[Jira Link],MATCH($A50,Backlog[Requirement ID],0))),"")</f>
        <v/>
      </c>
      <c r="F50" s="21" t="inlineStr">
        <is>
          <t>No</t>
        </is>
      </c>
      <c r="G50" s="21" t="inlineStr">
        <is>
          <t>No</t>
        </is>
      </c>
      <c r="H50" s="29">
        <f>IFERROR(IF(ISBLANK(INDEX(SprintPlanning[Sprint],MATCH($A50,SprintPlanning[Requirement ID],0))),"",INDEX(SprintPlanning[Sprint],MATCH($A50,SprintPlanning[Requirement ID],0))),"")</f>
        <v/>
      </c>
      <c r="I50" s="23">
        <f>IFERROR(IF(ISBLANK(INDEX(Backlog[Status],MATCH($A50,Backlog[Requirement ID],0))),"",INDEX(Backlog[Status],MATCH($A50,Backlog[Requirement ID],0))),"")</f>
        <v/>
      </c>
      <c r="J50" s="23">
        <f>IFERROR(IF(ISBLANK(INDEX(Backlog[Priority],MATCH($A50,Backlog[Requirement ID],0))),"",INDEX(Backlog[Priority],MATCH($A50,Backlog[Requirement ID],0))),"")</f>
        <v/>
      </c>
      <c r="K50" s="21" t="n"/>
      <c r="L50" s="43" t="n"/>
      <c r="M50" s="43" t="n"/>
      <c r="N50" s="21" t="n"/>
      <c r="O50" s="44" t="n"/>
      <c r="P50" s="33" t="n"/>
      <c r="Q50" s="33" t="n"/>
    </row>
    <row r="51" ht="15" customHeight="1">
      <c r="A51" s="21" t="inlineStr">
        <is>
          <t>NEW-0087</t>
        </is>
      </c>
      <c r="B51" s="23">
        <f>IFERROR(IF(ISBLANK(INDEX(Backlog[Requirement Name],MATCH($A51,Backlog[Requirement ID],0))),"",INDEX(Backlog[Requirement Name],MATCH($A51,Backlog[Requirement ID],0))),"")</f>
        <v/>
      </c>
      <c r="C51" s="23">
        <f>IFERROR(IF(ISBLANK(INDEX(Backlog[Stream],MATCH($A51,Backlog[Requirement ID],0))),"",INDEX(Backlog[Stream],MATCH($A51,Backlog[Requirement ID],0))),"")</f>
        <v/>
      </c>
      <c r="D51" s="23">
        <f>IFERROR(IF(ISBLANK(INDEX(Backlog[Stream Owner],MATCH($A51,Backlog[Requirement ID],0))),"",INDEX(Backlog[Stream Owner],MATCH($A51,Backlog[Requirement ID],0))),"")</f>
        <v/>
      </c>
      <c r="E51" s="23">
        <f>IFERROR(IF(ISBLANK(INDEX(Backlog[Jira Link],MATCH($A51,Backlog[Requirement ID],0))),"",INDEX(Backlog[Jira Link],MATCH($A51,Backlog[Requirement ID],0))),"")</f>
        <v/>
      </c>
      <c r="F51" s="21" t="inlineStr">
        <is>
          <t>No</t>
        </is>
      </c>
      <c r="G51" s="21" t="inlineStr">
        <is>
          <t>No</t>
        </is>
      </c>
      <c r="H51" s="29">
        <f>IFERROR(IF(ISBLANK(INDEX(SprintPlanning[Sprint],MATCH($A51,SprintPlanning[Requirement ID],0))),"",INDEX(SprintPlanning[Sprint],MATCH($A51,SprintPlanning[Requirement ID],0))),"")</f>
        <v/>
      </c>
      <c r="I51" s="23">
        <f>IFERROR(IF(ISBLANK(INDEX(Backlog[Status],MATCH($A51,Backlog[Requirement ID],0))),"",INDEX(Backlog[Status],MATCH($A51,Backlog[Requirement ID],0))),"")</f>
        <v/>
      </c>
      <c r="J51" s="23">
        <f>IFERROR(IF(ISBLANK(INDEX(Backlog[Priority],MATCH($A51,Backlog[Requirement ID],0))),"",INDEX(Backlog[Priority],MATCH($A51,Backlog[Requirement ID],0))),"")</f>
        <v/>
      </c>
      <c r="K51" s="21" t="n"/>
      <c r="L51" s="43" t="n"/>
      <c r="M51" s="43" t="n"/>
      <c r="N51" s="21" t="n"/>
      <c r="O51" s="44" t="n"/>
      <c r="P51" s="33" t="n"/>
      <c r="Q51" s="33" t="n"/>
    </row>
    <row r="52" ht="15" customHeight="1">
      <c r="A52" s="21" t="inlineStr">
        <is>
          <t>NEW-0090</t>
        </is>
      </c>
      <c r="B52" s="23">
        <f>IFERROR(IF(ISBLANK(INDEX(Backlog[Requirement Name],MATCH($A52,Backlog[Requirement ID],0))),"",INDEX(Backlog[Requirement Name],MATCH($A52,Backlog[Requirement ID],0))),"")</f>
        <v/>
      </c>
      <c r="C52" s="23">
        <f>IFERROR(IF(ISBLANK(INDEX(Backlog[Stream],MATCH($A52,Backlog[Requirement ID],0))),"",INDEX(Backlog[Stream],MATCH($A52,Backlog[Requirement ID],0))),"")</f>
        <v/>
      </c>
      <c r="D52" s="23">
        <f>IFERROR(IF(ISBLANK(INDEX(Backlog[Stream Owner],MATCH($A52,Backlog[Requirement ID],0))),"",INDEX(Backlog[Stream Owner],MATCH($A52,Backlog[Requirement ID],0))),"")</f>
        <v/>
      </c>
      <c r="E52" s="23">
        <f>IFERROR(IF(ISBLANK(INDEX(Backlog[Jira Link],MATCH($A52,Backlog[Requirement ID],0))),"",INDEX(Backlog[Jira Link],MATCH($A52,Backlog[Requirement ID],0))),"")</f>
        <v/>
      </c>
      <c r="F52" s="21" t="inlineStr">
        <is>
          <t>Yes</t>
        </is>
      </c>
      <c r="G52" s="21" t="inlineStr">
        <is>
          <t>Yes</t>
        </is>
      </c>
      <c r="H52" s="29">
        <f>IFERROR(IF(ISBLANK(INDEX(SprintPlanning[Sprint],MATCH($A52,SprintPlanning[Requirement ID],0))),"",INDEX(SprintPlanning[Sprint],MATCH($A52,SprintPlanning[Requirement ID],0))),"")</f>
        <v/>
      </c>
      <c r="I52" s="23">
        <f>IFERROR(IF(ISBLANK(INDEX(Backlog[Status],MATCH($A52,Backlog[Requirement ID],0))),"",INDEX(Backlog[Status],MATCH($A52,Backlog[Requirement ID],0))),"")</f>
        <v/>
      </c>
      <c r="J52" s="23">
        <f>IFERROR(IF(ISBLANK(INDEX(Backlog[Priority],MATCH($A52,Backlog[Requirement ID],0))),"",INDEX(Backlog[Priority],MATCH($A52,Backlog[Requirement ID],0))),"")</f>
        <v/>
      </c>
      <c r="K52" s="21" t="n"/>
      <c r="L52" s="43" t="inlineStr">
        <is>
          <t>--</t>
        </is>
      </c>
      <c r="M52" s="43" t="n"/>
      <c r="N52" s="21" t="n"/>
      <c r="O52" s="44" t="n"/>
      <c r="P52" s="33" t="n"/>
      <c r="Q52" s="33" t="n"/>
    </row>
    <row r="53" ht="15" customHeight="1">
      <c r="A53" s="21" t="inlineStr">
        <is>
          <t>NEW-0093</t>
        </is>
      </c>
      <c r="B53" s="23">
        <f>IFERROR(IF(ISBLANK(INDEX(Backlog[Requirement Name],MATCH($A53,Backlog[Requirement ID],0))),"",INDEX(Backlog[Requirement Name],MATCH($A53,Backlog[Requirement ID],0))),"")</f>
        <v/>
      </c>
      <c r="C53" s="23">
        <f>IFERROR(IF(ISBLANK(INDEX(Backlog[Stream],MATCH($A53,Backlog[Requirement ID],0))),"",INDEX(Backlog[Stream],MATCH($A53,Backlog[Requirement ID],0))),"")</f>
        <v/>
      </c>
      <c r="D53" s="23">
        <f>IFERROR(IF(ISBLANK(INDEX(Backlog[Stream Owner],MATCH($A53,Backlog[Requirement ID],0))),"",INDEX(Backlog[Stream Owner],MATCH($A53,Backlog[Requirement ID],0))),"")</f>
        <v/>
      </c>
      <c r="E53" s="23">
        <f>IFERROR(IF(ISBLANK(INDEX(Backlog[Jira Link],MATCH($A53,Backlog[Requirement ID],0))),"",INDEX(Backlog[Jira Link],MATCH($A53,Backlog[Requirement ID],0))),"")</f>
        <v/>
      </c>
      <c r="F53" s="21" t="inlineStr">
        <is>
          <t>Yes</t>
        </is>
      </c>
      <c r="G53" s="21" t="inlineStr">
        <is>
          <t>Yes</t>
        </is>
      </c>
      <c r="H53" s="29">
        <f>IFERROR(IF(ISBLANK(INDEX(SprintPlanning[Sprint],MATCH($A53,SprintPlanning[Requirement ID],0))),"",INDEX(SprintPlanning[Sprint],MATCH($A53,SprintPlanning[Requirement ID],0))),"")</f>
        <v/>
      </c>
      <c r="I53" s="23">
        <f>IFERROR(IF(ISBLANK(INDEX(Backlog[Status],MATCH($A53,Backlog[Requirement ID],0))),"",INDEX(Backlog[Status],MATCH($A53,Backlog[Requirement ID],0))),"")</f>
        <v/>
      </c>
      <c r="J53" s="23">
        <f>IFERROR(IF(ISBLANK(INDEX(Backlog[Priority],MATCH($A53,Backlog[Requirement ID],0))),"",INDEX(Backlog[Priority],MATCH($A53,Backlog[Requirement ID],0))),"")</f>
        <v/>
      </c>
      <c r="K53" s="21" t="n"/>
      <c r="L53" s="43" t="inlineStr">
        <is>
          <t>--</t>
        </is>
      </c>
      <c r="M53" s="43" t="n"/>
      <c r="N53" s="21" t="n"/>
      <c r="O53" s="44" t="n"/>
      <c r="P53" s="33" t="n"/>
      <c r="Q53" s="33" t="n"/>
    </row>
    <row r="54" ht="15" customHeight="1">
      <c r="A54" s="21" t="inlineStr">
        <is>
          <t>NEW-0094</t>
        </is>
      </c>
      <c r="B54" s="23">
        <f>IFERROR(IF(ISBLANK(INDEX(Backlog[Requirement Name],MATCH($A54,Backlog[Requirement ID],0))),"",INDEX(Backlog[Requirement Name],MATCH($A54,Backlog[Requirement ID],0))),"")</f>
        <v/>
      </c>
      <c r="C54" s="23">
        <f>IFERROR(IF(ISBLANK(INDEX(Backlog[Stream],MATCH($A54,Backlog[Requirement ID],0))),"",INDEX(Backlog[Stream],MATCH($A54,Backlog[Requirement ID],0))),"")</f>
        <v/>
      </c>
      <c r="D54" s="23">
        <f>IFERROR(IF(ISBLANK(INDEX(Backlog[Stream Owner],MATCH($A54,Backlog[Requirement ID],0))),"",INDEX(Backlog[Stream Owner],MATCH($A54,Backlog[Requirement ID],0))),"")</f>
        <v/>
      </c>
      <c r="E54" s="23">
        <f>IFERROR(IF(ISBLANK(INDEX(Backlog[Jira Link],MATCH($A54,Backlog[Requirement ID],0))),"",INDEX(Backlog[Jira Link],MATCH($A54,Backlog[Requirement ID],0))),"")</f>
        <v/>
      </c>
      <c r="F54" s="21" t="inlineStr">
        <is>
          <t>Yes</t>
        </is>
      </c>
      <c r="G54" s="21" t="inlineStr">
        <is>
          <t>Yes</t>
        </is>
      </c>
      <c r="H54" s="29">
        <f>IFERROR(IF(ISBLANK(INDEX(SprintPlanning[Sprint],MATCH($A54,SprintPlanning[Requirement ID],0))),"",INDEX(SprintPlanning[Sprint],MATCH($A54,SprintPlanning[Requirement ID],0))),"")</f>
        <v/>
      </c>
      <c r="I54" s="23">
        <f>IFERROR(IF(ISBLANK(INDEX(Backlog[Status],MATCH($A54,Backlog[Requirement ID],0))),"",INDEX(Backlog[Status],MATCH($A54,Backlog[Requirement ID],0))),"")</f>
        <v/>
      </c>
      <c r="J54" s="23">
        <f>IFERROR(IF(ISBLANK(INDEX(Backlog[Priority],MATCH($A54,Backlog[Requirement ID],0))),"",INDEX(Backlog[Priority],MATCH($A54,Backlog[Requirement ID],0))),"")</f>
        <v/>
      </c>
      <c r="K54" s="21" t="n"/>
      <c r="L54" s="43" t="inlineStr">
        <is>
          <t>--</t>
        </is>
      </c>
      <c r="M54" s="43" t="n"/>
      <c r="N54" s="21" t="n"/>
      <c r="O54" s="44" t="n"/>
      <c r="P54" s="33" t="n"/>
      <c r="Q54" s="33" t="n"/>
    </row>
    <row r="55" ht="15" customHeight="1">
      <c r="A55" s="21" t="inlineStr">
        <is>
          <t>NEW-0099</t>
        </is>
      </c>
      <c r="B55" s="23">
        <f>IFERROR(IF(ISBLANK(INDEX(Backlog[Requirement Name],MATCH($A55,Backlog[Requirement ID],0))),"",INDEX(Backlog[Requirement Name],MATCH($A55,Backlog[Requirement ID],0))),"")</f>
        <v/>
      </c>
      <c r="C55" s="23">
        <f>IFERROR(IF(ISBLANK(INDEX(Backlog[Stream],MATCH($A55,Backlog[Requirement ID],0))),"",INDEX(Backlog[Stream],MATCH($A55,Backlog[Requirement ID],0))),"")</f>
        <v/>
      </c>
      <c r="D55" s="23">
        <f>IFERROR(IF(ISBLANK(INDEX(Backlog[Stream Owner],MATCH($A55,Backlog[Requirement ID],0))),"",INDEX(Backlog[Stream Owner],MATCH($A55,Backlog[Requirement ID],0))),"")</f>
        <v/>
      </c>
      <c r="E55" s="23">
        <f>IFERROR(IF(ISBLANK(INDEX(Backlog[Jira Link],MATCH($A55,Backlog[Requirement ID],0))),"",INDEX(Backlog[Jira Link],MATCH($A55,Backlog[Requirement ID],0))),"")</f>
        <v/>
      </c>
      <c r="F55" s="21" t="inlineStr">
        <is>
          <t>Yes</t>
        </is>
      </c>
      <c r="G55" s="21" t="inlineStr">
        <is>
          <t>Yes</t>
        </is>
      </c>
      <c r="H55" s="29">
        <f>IFERROR(IF(ISBLANK(INDEX(SprintPlanning[Sprint],MATCH($A55,SprintPlanning[Requirement ID],0))),"",INDEX(SprintPlanning[Sprint],MATCH($A55,SprintPlanning[Requirement ID],0))),"")</f>
        <v/>
      </c>
      <c r="I55" s="23">
        <f>IFERROR(IF(ISBLANK(INDEX(Backlog[Status],MATCH($A55,Backlog[Requirement ID],0))),"",INDEX(Backlog[Status],MATCH($A55,Backlog[Requirement ID],0))),"")</f>
        <v/>
      </c>
      <c r="J55" s="23">
        <f>IFERROR(IF(ISBLANK(INDEX(Backlog[Priority],MATCH($A55,Backlog[Requirement ID],0))),"",INDEX(Backlog[Priority],MATCH($A55,Backlog[Requirement ID],0))),"")</f>
        <v/>
      </c>
      <c r="K55" s="21" t="n"/>
      <c r="L55" s="43" t="inlineStr">
        <is>
          <t>--</t>
        </is>
      </c>
      <c r="M55" s="43" t="n"/>
      <c r="N55" s="21" t="n"/>
      <c r="O55" s="44" t="n"/>
      <c r="P55" s="33" t="n"/>
      <c r="Q55" s="33" t="n"/>
    </row>
    <row r="56" ht="15" customHeight="1">
      <c r="A56" s="21" t="inlineStr">
        <is>
          <t>NEW-0100</t>
        </is>
      </c>
      <c r="B56" s="23">
        <f>IFERROR(IF(ISBLANK(INDEX(Backlog[Requirement Name],MATCH($A56,Backlog[Requirement ID],0))),"",INDEX(Backlog[Requirement Name],MATCH($A56,Backlog[Requirement ID],0))),"")</f>
        <v/>
      </c>
      <c r="C56" s="23">
        <f>IFERROR(IF(ISBLANK(INDEX(Backlog[Stream],MATCH($A56,Backlog[Requirement ID],0))),"",INDEX(Backlog[Stream],MATCH($A56,Backlog[Requirement ID],0))),"")</f>
        <v/>
      </c>
      <c r="D56" s="23">
        <f>IFERROR(IF(ISBLANK(INDEX(Backlog[Stream Owner],MATCH($A56,Backlog[Requirement ID],0))),"",INDEX(Backlog[Stream Owner],MATCH($A56,Backlog[Requirement ID],0))),"")</f>
        <v/>
      </c>
      <c r="E56" s="23">
        <f>IFERROR(IF(ISBLANK(INDEX(Backlog[Jira Link],MATCH($A56,Backlog[Requirement ID],0))),"",INDEX(Backlog[Jira Link],MATCH($A56,Backlog[Requirement ID],0))),"")</f>
        <v/>
      </c>
      <c r="F56" s="21" t="inlineStr">
        <is>
          <t>Yes</t>
        </is>
      </c>
      <c r="G56" s="21" t="inlineStr">
        <is>
          <t>Yes</t>
        </is>
      </c>
      <c r="H56" s="29">
        <f>IFERROR(IF(ISBLANK(INDEX(SprintPlanning[Sprint],MATCH($A56,SprintPlanning[Requirement ID],0))),"",INDEX(SprintPlanning[Sprint],MATCH($A56,SprintPlanning[Requirement ID],0))),"")</f>
        <v/>
      </c>
      <c r="I56" s="23">
        <f>IFERROR(IF(ISBLANK(INDEX(Backlog[Status],MATCH($A56,Backlog[Requirement ID],0))),"",INDEX(Backlog[Status],MATCH($A56,Backlog[Requirement ID],0))),"")</f>
        <v/>
      </c>
      <c r="J56" s="23">
        <f>IFERROR(IF(ISBLANK(INDEX(Backlog[Priority],MATCH($A56,Backlog[Requirement ID],0))),"",INDEX(Backlog[Priority],MATCH($A56,Backlog[Requirement ID],0))),"")</f>
        <v/>
      </c>
      <c r="K56" s="21" t="n"/>
      <c r="L56" s="43" t="inlineStr">
        <is>
          <t>S008.2v2  multiple cases</t>
        </is>
      </c>
      <c r="M56" s="43" t="inlineStr">
        <is>
          <t>https://smartship.atlassian.net/browse/MDTTPU-6616</t>
        </is>
      </c>
      <c r="N56" s="21" t="n"/>
      <c r="O56" s="44" t="n"/>
      <c r="P56" s="33" t="n"/>
      <c r="Q56" s="33" t="n"/>
    </row>
    <row r="57" ht="15" customHeight="1">
      <c r="A57" s="21" t="inlineStr">
        <is>
          <t>NEW-0103</t>
        </is>
      </c>
      <c r="B57" s="23">
        <f>IFERROR(IF(ISBLANK(INDEX(Backlog[Requirement Name],MATCH($A57,Backlog[Requirement ID],0))),"",INDEX(Backlog[Requirement Name],MATCH($A57,Backlog[Requirement ID],0))),"")</f>
        <v/>
      </c>
      <c r="C57" s="23">
        <f>IFERROR(IF(ISBLANK(INDEX(Backlog[Stream],MATCH($A57,Backlog[Requirement ID],0))),"",INDEX(Backlog[Stream],MATCH($A57,Backlog[Requirement ID],0))),"")</f>
        <v/>
      </c>
      <c r="D57" s="23">
        <f>IFERROR(IF(ISBLANK(INDEX(Backlog[Stream Owner],MATCH($A57,Backlog[Requirement ID],0))),"",INDEX(Backlog[Stream Owner],MATCH($A57,Backlog[Requirement ID],0))),"")</f>
        <v/>
      </c>
      <c r="E57" s="23">
        <f>IFERROR(IF(ISBLANK(INDEX(Backlog[Jira Link],MATCH($A57,Backlog[Requirement ID],0))),"",INDEX(Backlog[Jira Link],MATCH($A57,Backlog[Requirement ID],0))),"")</f>
        <v/>
      </c>
      <c r="F57" s="21" t="inlineStr">
        <is>
          <t>Yes</t>
        </is>
      </c>
      <c r="G57" s="21" t="inlineStr">
        <is>
          <t>Yes</t>
        </is>
      </c>
      <c r="H57" s="29">
        <f>IFERROR(IF(ISBLANK(INDEX(SprintPlanning[Sprint],MATCH($A57,SprintPlanning[Requirement ID],0))),"",INDEX(SprintPlanning[Sprint],MATCH($A57,SprintPlanning[Requirement ID],0))),"")</f>
        <v/>
      </c>
      <c r="I57" s="23">
        <f>IFERROR(IF(ISBLANK(INDEX(Backlog[Status],MATCH($A57,Backlog[Requirement ID],0))),"",INDEX(Backlog[Status],MATCH($A57,Backlog[Requirement ID],0))),"")</f>
        <v/>
      </c>
      <c r="J57" s="23">
        <f>IFERROR(IF(ISBLANK(INDEX(Backlog[Priority],MATCH($A57,Backlog[Requirement ID],0))),"",INDEX(Backlog[Priority],MATCH($A57,Backlog[Requirement ID],0))),"")</f>
        <v/>
      </c>
      <c r="K57" s="21" t="n"/>
      <c r="L57" s="43" t="inlineStr">
        <is>
          <t>--</t>
        </is>
      </c>
      <c r="M57" s="43" t="n"/>
      <c r="N57" s="21" t="n"/>
      <c r="O57" s="44" t="n"/>
      <c r="P57" s="33" t="n"/>
      <c r="Q57" s="33" t="n"/>
    </row>
    <row r="58" ht="15" customHeight="1">
      <c r="A58" s="21" t="inlineStr">
        <is>
          <t>NEW-0104</t>
        </is>
      </c>
      <c r="B58" s="23">
        <f>IFERROR(IF(ISBLANK(INDEX(Backlog[Requirement Name],MATCH($A58,Backlog[Requirement ID],0))),"",INDEX(Backlog[Requirement Name],MATCH($A58,Backlog[Requirement ID],0))),"")</f>
        <v/>
      </c>
      <c r="C58" s="23">
        <f>IFERROR(IF(ISBLANK(INDEX(Backlog[Stream],MATCH($A58,Backlog[Requirement ID],0))),"",INDEX(Backlog[Stream],MATCH($A58,Backlog[Requirement ID],0))),"")</f>
        <v/>
      </c>
      <c r="D58" s="23">
        <f>IFERROR(IF(ISBLANK(INDEX(Backlog[Stream Owner],MATCH($A58,Backlog[Requirement ID],0))),"",INDEX(Backlog[Stream Owner],MATCH($A58,Backlog[Requirement ID],0))),"")</f>
        <v/>
      </c>
      <c r="E58" s="23">
        <f>IFERROR(IF(ISBLANK(INDEX(Backlog[Jira Link],MATCH($A58,Backlog[Requirement ID],0))),"",INDEX(Backlog[Jira Link],MATCH($A58,Backlog[Requirement ID],0))),"")</f>
        <v/>
      </c>
      <c r="F58" s="21" t="inlineStr">
        <is>
          <t>Yes</t>
        </is>
      </c>
      <c r="G58" s="21" t="inlineStr">
        <is>
          <t>Yes</t>
        </is>
      </c>
      <c r="H58" s="29">
        <f>IFERROR(IF(ISBLANK(INDEX(SprintPlanning[Sprint],MATCH($A58,SprintPlanning[Requirement ID],0))),"",INDEX(SprintPlanning[Sprint],MATCH($A58,SprintPlanning[Requirement ID],0))),"")</f>
        <v/>
      </c>
      <c r="I58" s="23">
        <f>IFERROR(IF(ISBLANK(INDEX(Backlog[Status],MATCH($A58,Backlog[Requirement ID],0))),"",INDEX(Backlog[Status],MATCH($A58,Backlog[Requirement ID],0))),"")</f>
        <v/>
      </c>
      <c r="J58" s="23">
        <f>IFERROR(IF(ISBLANK(INDEX(Backlog[Priority],MATCH($A58,Backlog[Requirement ID],0))),"",INDEX(Backlog[Priority],MATCH($A58,Backlog[Requirement ID],0))),"")</f>
        <v/>
      </c>
      <c r="K58" s="21" t="n"/>
      <c r="L58" s="43" t="inlineStr">
        <is>
          <t>S008.2v2  multiple cases</t>
        </is>
      </c>
      <c r="M58" s="43" t="n"/>
      <c r="N58" s="21" t="n"/>
      <c r="O58" s="44" t="n"/>
      <c r="P58" s="33" t="n"/>
      <c r="Q58" s="33" t="n"/>
    </row>
    <row r="59" ht="15" customHeight="1">
      <c r="A59" s="21" t="inlineStr">
        <is>
          <t>NEW-0105</t>
        </is>
      </c>
      <c r="B59" s="23">
        <f>IFERROR(IF(ISBLANK(INDEX(Backlog[Requirement Name],MATCH($A59,Backlog[Requirement ID],0))),"",INDEX(Backlog[Requirement Name],MATCH($A59,Backlog[Requirement ID],0))),"")</f>
        <v/>
      </c>
      <c r="C59" s="23">
        <f>IFERROR(IF(ISBLANK(INDEX(Backlog[Stream],MATCH($A59,Backlog[Requirement ID],0))),"",INDEX(Backlog[Stream],MATCH($A59,Backlog[Requirement ID],0))),"")</f>
        <v/>
      </c>
      <c r="D59" s="23">
        <f>IFERROR(IF(ISBLANK(INDEX(Backlog[Stream Owner],MATCH($A59,Backlog[Requirement ID],0))),"",INDEX(Backlog[Stream Owner],MATCH($A59,Backlog[Requirement ID],0))),"")</f>
        <v/>
      </c>
      <c r="E59" s="23">
        <f>IFERROR(IF(ISBLANK(INDEX(Backlog[Jira Link],MATCH($A59,Backlog[Requirement ID],0))),"",INDEX(Backlog[Jira Link],MATCH($A59,Backlog[Requirement ID],0))),"")</f>
        <v/>
      </c>
      <c r="F59" s="21" t="inlineStr">
        <is>
          <t>Yes</t>
        </is>
      </c>
      <c r="G59" s="21" t="inlineStr">
        <is>
          <t>Yes</t>
        </is>
      </c>
      <c r="H59" s="29">
        <f>IFERROR(IF(ISBLANK(INDEX(SprintPlanning[Sprint],MATCH($A59,SprintPlanning[Requirement ID],0))),"",INDEX(SprintPlanning[Sprint],MATCH($A59,SprintPlanning[Requirement ID],0))),"")</f>
        <v/>
      </c>
      <c r="I59" s="23">
        <f>IFERROR(IF(ISBLANK(INDEX(Backlog[Status],MATCH($A59,Backlog[Requirement ID],0))),"",INDEX(Backlog[Status],MATCH($A59,Backlog[Requirement ID],0))),"")</f>
        <v/>
      </c>
      <c r="J59" s="23">
        <f>IFERROR(IF(ISBLANK(INDEX(Backlog[Priority],MATCH($A59,Backlog[Requirement ID],0))),"",INDEX(Backlog[Priority],MATCH($A59,Backlog[Requirement ID],0))),"")</f>
        <v/>
      </c>
      <c r="K59" s="21" t="n"/>
      <c r="L59" s="43" t="inlineStr">
        <is>
          <t>--</t>
        </is>
      </c>
      <c r="M59" s="43" t="n"/>
      <c r="N59" s="21" t="n"/>
      <c r="O59" s="44" t="n"/>
      <c r="P59" s="33" t="n"/>
      <c r="Q59" s="33" t="n"/>
    </row>
    <row r="60" ht="15" customHeight="1">
      <c r="A60" s="21" t="inlineStr">
        <is>
          <t>NEW-0108</t>
        </is>
      </c>
      <c r="B60" s="23">
        <f>IFERROR(IF(ISBLANK(INDEX(Backlog[Requirement Name],MATCH($A60,Backlog[Requirement ID],0))),"",INDEX(Backlog[Requirement Name],MATCH($A60,Backlog[Requirement ID],0))),"")</f>
        <v/>
      </c>
      <c r="C60" s="23">
        <f>IFERROR(IF(ISBLANK(INDEX(Backlog[Stream],MATCH($A60,Backlog[Requirement ID],0))),"",INDEX(Backlog[Stream],MATCH($A60,Backlog[Requirement ID],0))),"")</f>
        <v/>
      </c>
      <c r="D60" s="23">
        <f>IFERROR(IF(ISBLANK(INDEX(Backlog[Stream Owner],MATCH($A60,Backlog[Requirement ID],0))),"",INDEX(Backlog[Stream Owner],MATCH($A60,Backlog[Requirement ID],0))),"")</f>
        <v/>
      </c>
      <c r="E60" s="23">
        <f>IFERROR(IF(ISBLANK(INDEX(Backlog[Jira Link],MATCH($A60,Backlog[Requirement ID],0))),"",INDEX(Backlog[Jira Link],MATCH($A60,Backlog[Requirement ID],0))),"")</f>
        <v/>
      </c>
      <c r="F60" s="21" t="inlineStr">
        <is>
          <t>Yes</t>
        </is>
      </c>
      <c r="G60" s="21" t="inlineStr">
        <is>
          <t>Yes</t>
        </is>
      </c>
      <c r="H60" s="29">
        <f>IFERROR(IF(ISBLANK(INDEX(SprintPlanning[Sprint],MATCH($A60,SprintPlanning[Requirement ID],0))),"",INDEX(SprintPlanning[Sprint],MATCH($A60,SprintPlanning[Requirement ID],0))),"")</f>
        <v/>
      </c>
      <c r="I60" s="23">
        <f>IFERROR(IF(ISBLANK(INDEX(Backlog[Status],MATCH($A60,Backlog[Requirement ID],0))),"",INDEX(Backlog[Status],MATCH($A60,Backlog[Requirement ID],0))),"")</f>
        <v/>
      </c>
      <c r="J60" s="23">
        <f>IFERROR(IF(ISBLANK(INDEX(Backlog[Priority],MATCH($A60,Backlog[Requirement ID],0))),"",INDEX(Backlog[Priority],MATCH($A60,Backlog[Requirement ID],0))),"")</f>
        <v/>
      </c>
      <c r="K60" s="21" t="n"/>
      <c r="L60" s="43" t="inlineStr">
        <is>
          <t>--</t>
        </is>
      </c>
      <c r="M60" s="43" t="n"/>
      <c r="N60" s="21" t="n"/>
      <c r="O60" s="44" t="n"/>
      <c r="P60" s="33" t="n"/>
      <c r="Q60" s="33" t="n"/>
    </row>
    <row r="61" ht="15" customHeight="1">
      <c r="A61" s="21" t="inlineStr">
        <is>
          <t>NEW-0109</t>
        </is>
      </c>
      <c r="B61" s="23">
        <f>IFERROR(IF(ISBLANK(INDEX(Backlog[Requirement Name],MATCH($A61,Backlog[Requirement ID],0))),"",INDEX(Backlog[Requirement Name],MATCH($A61,Backlog[Requirement ID],0))),"")</f>
        <v/>
      </c>
      <c r="C61" s="23">
        <f>IFERROR(IF(ISBLANK(INDEX(Backlog[Stream],MATCH($A61,Backlog[Requirement ID],0))),"",INDEX(Backlog[Stream],MATCH($A61,Backlog[Requirement ID],0))),"")</f>
        <v/>
      </c>
      <c r="D61" s="23">
        <f>IFERROR(IF(ISBLANK(INDEX(Backlog[Stream Owner],MATCH($A61,Backlog[Requirement ID],0))),"",INDEX(Backlog[Stream Owner],MATCH($A61,Backlog[Requirement ID],0))),"")</f>
        <v/>
      </c>
      <c r="E61" s="23">
        <f>IFERROR(IF(ISBLANK(INDEX(Backlog[Jira Link],MATCH($A61,Backlog[Requirement ID],0))),"",INDEX(Backlog[Jira Link],MATCH($A61,Backlog[Requirement ID],0))),"")</f>
        <v/>
      </c>
      <c r="F61" s="21" t="inlineStr">
        <is>
          <t>Yes</t>
        </is>
      </c>
      <c r="G61" s="21" t="inlineStr">
        <is>
          <t>Yes</t>
        </is>
      </c>
      <c r="H61" s="29">
        <f>IFERROR(IF(ISBLANK(INDEX(SprintPlanning[Sprint],MATCH($A61,SprintPlanning[Requirement ID],0))),"",INDEX(SprintPlanning[Sprint],MATCH($A61,SprintPlanning[Requirement ID],0))),"")</f>
        <v/>
      </c>
      <c r="I61" s="23">
        <f>IFERROR(IF(ISBLANK(INDEX(Backlog[Status],MATCH($A61,Backlog[Requirement ID],0))),"",INDEX(Backlog[Status],MATCH($A61,Backlog[Requirement ID],0))),"")</f>
        <v/>
      </c>
      <c r="J61" s="23">
        <f>IFERROR(IF(ISBLANK(INDEX(Backlog[Priority],MATCH($A61,Backlog[Requirement ID],0))),"",INDEX(Backlog[Priority],MATCH($A61,Backlog[Requirement ID],0))),"")</f>
        <v/>
      </c>
      <c r="K61" s="21" t="n"/>
      <c r="L61" s="43" t="inlineStr">
        <is>
          <t>CAI021 - new deletion of web account</t>
        </is>
      </c>
      <c r="M61" s="43" t="n"/>
      <c r="N61" s="21" t="n"/>
      <c r="O61" s="44" t="n"/>
      <c r="P61" s="33" t="n"/>
      <c r="Q61" s="33" t="n"/>
    </row>
    <row r="62" ht="15" customHeight="1">
      <c r="A62" s="21" t="inlineStr">
        <is>
          <t>NEW-0111</t>
        </is>
      </c>
      <c r="B62" s="23">
        <f>IFERROR(IF(ISBLANK(INDEX(Backlog[Requirement Name],MATCH($A62,Backlog[Requirement ID],0))),"",INDEX(Backlog[Requirement Name],MATCH($A62,Backlog[Requirement ID],0))),"")</f>
        <v/>
      </c>
      <c r="C62" s="23">
        <f>IFERROR(IF(ISBLANK(INDEX(Backlog[Stream],MATCH($A62,Backlog[Requirement ID],0))),"",INDEX(Backlog[Stream],MATCH($A62,Backlog[Requirement ID],0))),"")</f>
        <v/>
      </c>
      <c r="D62" s="23">
        <f>IFERROR(IF(ISBLANK(INDEX(Backlog[Stream Owner],MATCH($A62,Backlog[Requirement ID],0))),"",INDEX(Backlog[Stream Owner],MATCH($A62,Backlog[Requirement ID],0))),"")</f>
        <v/>
      </c>
      <c r="E62" s="23">
        <f>IFERROR(IF(ISBLANK(INDEX(Backlog[Jira Link],MATCH($A62,Backlog[Requirement ID],0))),"",INDEX(Backlog[Jira Link],MATCH($A62,Backlog[Requirement ID],0))),"")</f>
        <v/>
      </c>
      <c r="F62" s="21" t="inlineStr">
        <is>
          <t>Yes</t>
        </is>
      </c>
      <c r="G62" s="21" t="inlineStr">
        <is>
          <t>Yes</t>
        </is>
      </c>
      <c r="H62" s="29">
        <f>IFERROR(IF(ISBLANK(INDEX(SprintPlanning[Sprint],MATCH($A62,SprintPlanning[Requirement ID],0))),"",INDEX(SprintPlanning[Sprint],MATCH($A62,SprintPlanning[Requirement ID],0))),"")</f>
        <v/>
      </c>
      <c r="I62" s="23">
        <f>IFERROR(IF(ISBLANK(INDEX(Backlog[Status],MATCH($A62,Backlog[Requirement ID],0))),"",INDEX(Backlog[Status],MATCH($A62,Backlog[Requirement ID],0))),"")</f>
        <v/>
      </c>
      <c r="J62" s="23">
        <f>IFERROR(IF(ISBLANK(INDEX(Backlog[Priority],MATCH($A62,Backlog[Requirement ID],0))),"",INDEX(Backlog[Priority],MATCH($A62,Backlog[Requirement ID],0))),"")</f>
        <v/>
      </c>
      <c r="K62" s="21" t="n"/>
      <c r="L62" s="43" t="inlineStr">
        <is>
          <t>updateBookingOpportunityID</t>
        </is>
      </c>
      <c r="M62" s="43" t="inlineStr">
        <is>
          <t>https://smartship.atlassian.net/browse/MDTTPU-2414</t>
        </is>
      </c>
      <c r="N62" s="21" t="n"/>
      <c r="O62" s="44" t="inlineStr">
        <is>
          <t>https://smartship.atlassian.net/browse/MDTTPU-498</t>
        </is>
      </c>
      <c r="P62" s="33" t="n"/>
      <c r="Q62" s="33" t="n"/>
    </row>
    <row r="63" ht="15" customHeight="1">
      <c r="A63" s="21" t="inlineStr">
        <is>
          <t>NEW-0112</t>
        </is>
      </c>
      <c r="B63" s="23">
        <f>IFERROR(IF(ISBLANK(INDEX(Backlog[Requirement Name],MATCH($A63,Backlog[Requirement ID],0))),"",INDEX(Backlog[Requirement Name],MATCH($A63,Backlog[Requirement ID],0))),"")</f>
        <v/>
      </c>
      <c r="C63" s="23">
        <f>IFERROR(IF(ISBLANK(INDEX(Backlog[Stream],MATCH($A63,Backlog[Requirement ID],0))),"",INDEX(Backlog[Stream],MATCH($A63,Backlog[Requirement ID],0))),"")</f>
        <v/>
      </c>
      <c r="D63" s="23">
        <f>IFERROR(IF(ISBLANK(INDEX(Backlog[Stream Owner],MATCH($A63,Backlog[Requirement ID],0))),"",INDEX(Backlog[Stream Owner],MATCH($A63,Backlog[Requirement ID],0))),"")</f>
        <v/>
      </c>
      <c r="E63" s="23">
        <f>IFERROR(IF(ISBLANK(INDEX(Backlog[Jira Link],MATCH($A63,Backlog[Requirement ID],0))),"",INDEX(Backlog[Jira Link],MATCH($A63,Backlog[Requirement ID],0))),"")</f>
        <v/>
      </c>
      <c r="F63" s="21" t="inlineStr">
        <is>
          <t>Yes</t>
        </is>
      </c>
      <c r="G63" s="21" t="inlineStr">
        <is>
          <t>Yes</t>
        </is>
      </c>
      <c r="H63" s="29">
        <f>IFERROR(IF(ISBLANK(INDEX(SprintPlanning[Sprint],MATCH($A63,SprintPlanning[Requirement ID],0))),"",INDEX(SprintPlanning[Sprint],MATCH($A63,SprintPlanning[Requirement ID],0))),"")</f>
        <v/>
      </c>
      <c r="I63" s="23">
        <f>IFERROR(IF(ISBLANK(INDEX(Backlog[Status],MATCH($A63,Backlog[Requirement ID],0))),"",INDEX(Backlog[Status],MATCH($A63,Backlog[Requirement ID],0))),"")</f>
        <v/>
      </c>
      <c r="J63" s="23">
        <f>IFERROR(IF(ISBLANK(INDEX(Backlog[Priority],MATCH($A63,Backlog[Requirement ID],0))),"",INDEX(Backlog[Priority],MATCH($A63,Backlog[Requirement ID],0))),"")</f>
        <v/>
      </c>
      <c r="K63" s="21" t="n"/>
      <c r="L63" s="43" t="inlineStr">
        <is>
          <t>add fields to quote object</t>
        </is>
      </c>
      <c r="M63" s="43" t="inlineStr">
        <is>
          <t>https://smartship.atlassian.net/browse/MDTTPU-5053</t>
        </is>
      </c>
      <c r="N63" s="21" t="n"/>
      <c r="O63" s="44" t="n"/>
      <c r="P63" s="33" t="n"/>
      <c r="Q63" s="33" t="n"/>
    </row>
    <row r="64" ht="15" customHeight="1">
      <c r="A64" s="21" t="inlineStr">
        <is>
          <t>NEW-0113</t>
        </is>
      </c>
      <c r="B64" s="23">
        <f>IFERROR(IF(ISBLANK(INDEX(Backlog[Requirement Name],MATCH($A64,Backlog[Requirement ID],0))),"",INDEX(Backlog[Requirement Name],MATCH($A64,Backlog[Requirement ID],0))),"")</f>
        <v/>
      </c>
      <c r="C64" s="23">
        <f>IFERROR(IF(ISBLANK(INDEX(Backlog[Stream],MATCH($A64,Backlog[Requirement ID],0))),"",INDEX(Backlog[Stream],MATCH($A64,Backlog[Requirement ID],0))),"")</f>
        <v/>
      </c>
      <c r="D64" s="23">
        <f>IFERROR(IF(ISBLANK(INDEX(Backlog[Stream Owner],MATCH($A64,Backlog[Requirement ID],0))),"",INDEX(Backlog[Stream Owner],MATCH($A64,Backlog[Requirement ID],0))),"")</f>
        <v/>
      </c>
      <c r="E64" s="23">
        <f>IFERROR(IF(ISBLANK(INDEX(Backlog[Jira Link],MATCH($A64,Backlog[Requirement ID],0))),"",INDEX(Backlog[Jira Link],MATCH($A64,Backlog[Requirement ID],0))),"")</f>
        <v/>
      </c>
      <c r="F64" s="21" t="inlineStr">
        <is>
          <t>Yes</t>
        </is>
      </c>
      <c r="G64" s="21" t="inlineStr">
        <is>
          <t>Yes</t>
        </is>
      </c>
      <c r="H64" s="29">
        <f>IFERROR(IF(ISBLANK(INDEX(SprintPlanning[Sprint],MATCH($A64,SprintPlanning[Requirement ID],0))),"",INDEX(SprintPlanning[Sprint],MATCH($A64,SprintPlanning[Requirement ID],0))),"")</f>
        <v/>
      </c>
      <c r="I64" s="23">
        <f>IFERROR(IF(ISBLANK(INDEX(Backlog[Status],MATCH($A64,Backlog[Requirement ID],0))),"",INDEX(Backlog[Status],MATCH($A64,Backlog[Requirement ID],0))),"")</f>
        <v/>
      </c>
      <c r="J64" s="23">
        <f>IFERROR(IF(ISBLANK(INDEX(Backlog[Priority],MATCH($A64,Backlog[Requirement ID],0))),"",INDEX(Backlog[Priority],MATCH($A64,Backlog[Requirement ID],0))),"")</f>
        <v/>
      </c>
      <c r="K64" s="21" t="n"/>
      <c r="L64" s="43" t="inlineStr">
        <is>
          <t>AZF003</t>
        </is>
      </c>
      <c r="M64" s="43" t="n"/>
      <c r="N64" s="21" t="n"/>
      <c r="O64" s="44" t="n"/>
      <c r="P64" s="33" t="n"/>
      <c r="Q64" s="33" t="n"/>
    </row>
    <row r="65" ht="15" customHeight="1">
      <c r="A65" s="21" t="inlineStr">
        <is>
          <t>NEW-0120</t>
        </is>
      </c>
      <c r="B65" s="23">
        <f>IFERROR(IF(ISBLANK(INDEX(Backlog[Requirement Name],MATCH($A65,Backlog[Requirement ID],0))),"",INDEX(Backlog[Requirement Name],MATCH($A65,Backlog[Requirement ID],0))),"")</f>
        <v/>
      </c>
      <c r="C65" s="23">
        <f>IFERROR(IF(ISBLANK(INDEX(Backlog[Stream],MATCH($A65,Backlog[Requirement ID],0))),"",INDEX(Backlog[Stream],MATCH($A65,Backlog[Requirement ID],0))),"")</f>
        <v/>
      </c>
      <c r="D65" s="23">
        <f>IFERROR(IF(ISBLANK(INDEX(Backlog[Stream Owner],MATCH($A65,Backlog[Requirement ID],0))),"",INDEX(Backlog[Stream Owner],MATCH($A65,Backlog[Requirement ID],0))),"")</f>
        <v/>
      </c>
      <c r="E65" s="23">
        <f>IFERROR(IF(ISBLANK(INDEX(Backlog[Jira Link],MATCH($A65,Backlog[Requirement ID],0))),"",INDEX(Backlog[Jira Link],MATCH($A65,Backlog[Requirement ID],0))),"")</f>
        <v/>
      </c>
      <c r="F65" s="21" t="inlineStr">
        <is>
          <t>Yes</t>
        </is>
      </c>
      <c r="G65" s="21" t="inlineStr">
        <is>
          <t>Yes</t>
        </is>
      </c>
      <c r="H65" s="29">
        <f>IFERROR(IF(ISBLANK(INDEX(SprintPlanning[Sprint],MATCH($A65,SprintPlanning[Requirement ID],0))),"",INDEX(SprintPlanning[Sprint],MATCH($A65,SprintPlanning[Requirement ID],0))),"")</f>
        <v/>
      </c>
      <c r="I65" s="23">
        <f>IFERROR(IF(ISBLANK(INDEX(Backlog[Status],MATCH($A65,Backlog[Requirement ID],0))),"",INDEX(Backlog[Status],MATCH($A65,Backlog[Requirement ID],0))),"")</f>
        <v/>
      </c>
      <c r="J65" s="23">
        <f>IFERROR(IF(ISBLANK(INDEX(Backlog[Priority],MATCH($A65,Backlog[Requirement ID],0))),"",INDEX(Backlog[Priority],MATCH($A65,Backlog[Requirement ID],0))),"")</f>
        <v/>
      </c>
      <c r="K65" s="21" t="n"/>
      <c r="L65" s="43" t="inlineStr">
        <is>
          <t>Group id/ Representative code field in S008</t>
        </is>
      </c>
      <c r="M65" s="43" t="inlineStr">
        <is>
          <t>https://smartship.atlassian.net/browse/MDTTPU-1668</t>
        </is>
      </c>
      <c r="N65" s="21" t="n"/>
      <c r="O65" s="44" t="inlineStr">
        <is>
          <t>https://smartship.atlassian.net/browse/MB-6864</t>
        </is>
      </c>
      <c r="P65" s="33" t="n"/>
      <c r="Q65" s="33" t="n"/>
    </row>
    <row r="66" ht="15" customHeight="1">
      <c r="A66" s="21" t="inlineStr">
        <is>
          <t>NEW-0121</t>
        </is>
      </c>
      <c r="B66" s="23">
        <f>IFERROR(IF(ISBLANK(INDEX(Backlog[Requirement Name],MATCH($A66,Backlog[Requirement ID],0))),"",INDEX(Backlog[Requirement Name],MATCH($A66,Backlog[Requirement ID],0))),"")</f>
        <v/>
      </c>
      <c r="C66" s="23">
        <f>IFERROR(IF(ISBLANK(INDEX(Backlog[Stream],MATCH($A66,Backlog[Requirement ID],0))),"",INDEX(Backlog[Stream],MATCH($A66,Backlog[Requirement ID],0))),"")</f>
        <v/>
      </c>
      <c r="D66" s="23">
        <f>IFERROR(IF(ISBLANK(INDEX(Backlog[Stream Owner],MATCH($A66,Backlog[Requirement ID],0))),"",INDEX(Backlog[Stream Owner],MATCH($A66,Backlog[Requirement ID],0))),"")</f>
        <v/>
      </c>
      <c r="E66" s="23">
        <f>IFERROR(IF(ISBLANK(INDEX(Backlog[Jira Link],MATCH($A66,Backlog[Requirement ID],0))),"",INDEX(Backlog[Jira Link],MATCH($A66,Backlog[Requirement ID],0))),"")</f>
        <v/>
      </c>
      <c r="F66" s="21" t="inlineStr">
        <is>
          <t>Yes</t>
        </is>
      </c>
      <c r="G66" s="21" t="inlineStr">
        <is>
          <t>Yes</t>
        </is>
      </c>
      <c r="H66" s="29">
        <f>IFERROR(IF(ISBLANK(INDEX(SprintPlanning[Sprint],MATCH($A66,SprintPlanning[Requirement ID],0))),"",INDEX(SprintPlanning[Sprint],MATCH($A66,SprintPlanning[Requirement ID],0))),"")</f>
        <v/>
      </c>
      <c r="I66" s="23">
        <f>IFERROR(IF(ISBLANK(INDEX(Backlog[Status],MATCH($A66,Backlog[Requirement ID],0))),"",INDEX(Backlog[Status],MATCH($A66,Backlog[Requirement ID],0))),"")</f>
        <v/>
      </c>
      <c r="J66" s="23">
        <f>IFERROR(IF(ISBLANK(INDEX(Backlog[Priority],MATCH($A66,Backlog[Requirement ID],0))),"",INDEX(Backlog[Priority],MATCH($A66,Backlog[Requirement ID],0))),"")</f>
        <v/>
      </c>
      <c r="K66" s="21" t="n"/>
      <c r="L66" s="43" t="inlineStr">
        <is>
          <t>DTS to add group type in booking event</t>
        </is>
      </c>
      <c r="M66" s="43" t="inlineStr">
        <is>
          <t>https://smartship.atlassian.net/browse/MDTTPU-2419</t>
        </is>
      </c>
      <c r="N66" s="21" t="n"/>
      <c r="O66" s="44" t="n"/>
      <c r="P66" s="33" t="n"/>
      <c r="Q66" s="33" t="n"/>
    </row>
    <row r="67" ht="15" customHeight="1">
      <c r="A67" s="21" t="inlineStr">
        <is>
          <t>NEW-0122</t>
        </is>
      </c>
      <c r="B67" s="23">
        <f>IFERROR(IF(ISBLANK(INDEX(Backlog[Requirement Name],MATCH($A67,Backlog[Requirement ID],0))),"",INDEX(Backlog[Requirement Name],MATCH($A67,Backlog[Requirement ID],0))),"")</f>
        <v/>
      </c>
      <c r="C67" s="23">
        <f>IFERROR(IF(ISBLANK(INDEX(Backlog[Stream],MATCH($A67,Backlog[Requirement ID],0))),"",INDEX(Backlog[Stream],MATCH($A67,Backlog[Requirement ID],0))),"")</f>
        <v/>
      </c>
      <c r="D67" s="23">
        <f>IFERROR(IF(ISBLANK(INDEX(Backlog[Stream Owner],MATCH($A67,Backlog[Requirement ID],0))),"",INDEX(Backlog[Stream Owner],MATCH($A67,Backlog[Requirement ID],0))),"")</f>
        <v/>
      </c>
      <c r="E67" s="23">
        <f>IFERROR(IF(ISBLANK(INDEX(Backlog[Jira Link],MATCH($A67,Backlog[Requirement ID],0))),"",INDEX(Backlog[Jira Link],MATCH($A67,Backlog[Requirement ID],0))),"")</f>
        <v/>
      </c>
      <c r="F67" s="21" t="inlineStr">
        <is>
          <t>Yes</t>
        </is>
      </c>
      <c r="G67" s="21" t="inlineStr">
        <is>
          <t>Yes</t>
        </is>
      </c>
      <c r="H67" s="29">
        <f>IFERROR(IF(ISBLANK(INDEX(SprintPlanning[Sprint],MATCH($A67,SprintPlanning[Requirement ID],0))),"",INDEX(SprintPlanning[Sprint],MATCH($A67,SprintPlanning[Requirement ID],0))),"")</f>
        <v/>
      </c>
      <c r="I67" s="23">
        <f>IFERROR(IF(ISBLANK(INDEX(Backlog[Status],MATCH($A67,Backlog[Requirement ID],0))),"",INDEX(Backlog[Status],MATCH($A67,Backlog[Requirement ID],0))),"")</f>
        <v/>
      </c>
      <c r="J67" s="23">
        <f>IFERROR(IF(ISBLANK(INDEX(Backlog[Priority],MATCH($A67,Backlog[Requirement ID],0))),"",INDEX(Backlog[Priority],MATCH($A67,Backlog[Requirement ID],0))),"")</f>
        <v/>
      </c>
      <c r="K67" s="21" t="n"/>
      <c r="L67" s="43" t="inlineStr">
        <is>
          <t>Update to R037</t>
        </is>
      </c>
      <c r="M67" s="43" t="inlineStr">
        <is>
          <t>https://smartship.atlassian.net/browse/MDTTPU-3614</t>
        </is>
      </c>
      <c r="N67" s="21" t="n"/>
      <c r="O67" s="44" t="n"/>
      <c r="P67" s="33" t="n"/>
      <c r="Q67" s="33" t="n"/>
    </row>
    <row r="68" ht="15" customHeight="1">
      <c r="A68" s="21" t="inlineStr">
        <is>
          <t>NEW-0123</t>
        </is>
      </c>
      <c r="B68" s="23">
        <f>IFERROR(IF(ISBLANK(INDEX(Backlog[Requirement Name],MATCH($A68,Backlog[Requirement ID],0))),"",INDEX(Backlog[Requirement Name],MATCH($A68,Backlog[Requirement ID],0))),"")</f>
        <v/>
      </c>
      <c r="C68" s="23">
        <f>IFERROR(IF(ISBLANK(INDEX(Backlog[Stream],MATCH($A68,Backlog[Requirement ID],0))),"",INDEX(Backlog[Stream],MATCH($A68,Backlog[Requirement ID],0))),"")</f>
        <v/>
      </c>
      <c r="D68" s="23">
        <f>IFERROR(IF(ISBLANK(INDEX(Backlog[Stream Owner],MATCH($A68,Backlog[Requirement ID],0))),"",INDEX(Backlog[Stream Owner],MATCH($A68,Backlog[Requirement ID],0))),"")</f>
        <v/>
      </c>
      <c r="E68" s="23">
        <f>IFERROR(IF(ISBLANK(INDEX(Backlog[Jira Link],MATCH($A68,Backlog[Requirement ID],0))),"",INDEX(Backlog[Jira Link],MATCH($A68,Backlog[Requirement ID],0))),"")</f>
        <v/>
      </c>
      <c r="F68" s="21" t="inlineStr">
        <is>
          <t>Yes</t>
        </is>
      </c>
      <c r="G68" s="21" t="inlineStr">
        <is>
          <t>Yes</t>
        </is>
      </c>
      <c r="H68" s="29">
        <f>IFERROR(IF(ISBLANK(INDEX(SprintPlanning[Sprint],MATCH($A68,SprintPlanning[Requirement ID],0))),"",INDEX(SprintPlanning[Sprint],MATCH($A68,SprintPlanning[Requirement ID],0))),"")</f>
        <v/>
      </c>
      <c r="I68" s="23">
        <f>IFERROR(IF(ISBLANK(INDEX(Backlog[Status],MATCH($A68,Backlog[Requirement ID],0))),"",INDEX(Backlog[Status],MATCH($A68,Backlog[Requirement ID],0))),"")</f>
        <v/>
      </c>
      <c r="J68" s="23">
        <f>IFERROR(IF(ISBLANK(INDEX(Backlog[Priority],MATCH($A68,Backlog[Requirement ID],0))),"",INDEX(Backlog[Priority],MATCH($A68,Backlog[Requirement ID],0))),"")</f>
        <v/>
      </c>
      <c r="K68" s="21" t="n"/>
      <c r="L68" s="43" t="n"/>
      <c r="M68" s="43" t="n"/>
      <c r="N68" s="21" t="n"/>
      <c r="O68" s="44" t="n"/>
      <c r="P68" s="33" t="n"/>
      <c r="Q68" s="33" t="n"/>
    </row>
    <row r="69" ht="15" customHeight="1">
      <c r="A69" s="21" t="inlineStr">
        <is>
          <t>NEW-0127</t>
        </is>
      </c>
      <c r="B69" s="23">
        <f>IFERROR(IF(ISBLANK(INDEX(Backlog[Requirement Name],MATCH($A69,Backlog[Requirement ID],0))),"",INDEX(Backlog[Requirement Name],MATCH($A69,Backlog[Requirement ID],0))),"")</f>
        <v/>
      </c>
      <c r="C69" s="23">
        <f>IFERROR(IF(ISBLANK(INDEX(Backlog[Stream],MATCH($A69,Backlog[Requirement ID],0))),"",INDEX(Backlog[Stream],MATCH($A69,Backlog[Requirement ID],0))),"")</f>
        <v/>
      </c>
      <c r="D69" s="23">
        <f>IFERROR(IF(ISBLANK(INDEX(Backlog[Stream Owner],MATCH($A69,Backlog[Requirement ID],0))),"",INDEX(Backlog[Stream Owner],MATCH($A69,Backlog[Requirement ID],0))),"")</f>
        <v/>
      </c>
      <c r="E69" s="23">
        <f>IFERROR(IF(ISBLANK(INDEX(Backlog[Jira Link],MATCH($A69,Backlog[Requirement ID],0))),"",INDEX(Backlog[Jira Link],MATCH($A69,Backlog[Requirement ID],0))),"")</f>
        <v/>
      </c>
      <c r="F69" s="21" t="inlineStr">
        <is>
          <t>Yes</t>
        </is>
      </c>
      <c r="G69" s="21" t="inlineStr">
        <is>
          <t>Yes</t>
        </is>
      </c>
      <c r="H69" s="29">
        <f>IFERROR(IF(ISBLANK(INDEX(SprintPlanning[Sprint],MATCH($A69,SprintPlanning[Requirement ID],0))),"",INDEX(SprintPlanning[Sprint],MATCH($A69,SprintPlanning[Requirement ID],0))),"")</f>
        <v/>
      </c>
      <c r="I69" s="23">
        <f>IFERROR(IF(ISBLANK(INDEX(Backlog[Status],MATCH($A69,Backlog[Requirement ID],0))),"",INDEX(Backlog[Status],MATCH($A69,Backlog[Requirement ID],0))),"")</f>
        <v/>
      </c>
      <c r="J69" s="23">
        <f>IFERROR(IF(ISBLANK(INDEX(Backlog[Priority],MATCH($A69,Backlog[Requirement ID],0))),"",INDEX(Backlog[Priority],MATCH($A69,Backlog[Requirement ID],0))),"")</f>
        <v/>
      </c>
      <c r="K69" s="21" t="n"/>
      <c r="L69" s="43" t="n"/>
      <c r="M69" s="43" t="n"/>
      <c r="N69" s="21" t="n"/>
      <c r="O69" s="44" t="n"/>
      <c r="P69" s="33" t="n"/>
      <c r="Q69" s="33" t="n"/>
    </row>
    <row r="70" ht="15" customHeight="1">
      <c r="A70" s="21" t="inlineStr">
        <is>
          <t>NEW-0131</t>
        </is>
      </c>
      <c r="B70" s="23">
        <f>IFERROR(IF(ISBLANK(INDEX(Backlog[Requirement Name],MATCH($A70,Backlog[Requirement ID],0))),"",INDEX(Backlog[Requirement Name],MATCH($A70,Backlog[Requirement ID],0))),"")</f>
        <v/>
      </c>
      <c r="C70" s="23">
        <f>IFERROR(IF(ISBLANK(INDEX(Backlog[Stream],MATCH($A70,Backlog[Requirement ID],0))),"",INDEX(Backlog[Stream],MATCH($A70,Backlog[Requirement ID],0))),"")</f>
        <v/>
      </c>
      <c r="D70" s="23">
        <f>IFERROR(IF(ISBLANK(INDEX(Backlog[Stream Owner],MATCH($A70,Backlog[Requirement ID],0))),"",INDEX(Backlog[Stream Owner],MATCH($A70,Backlog[Requirement ID],0))),"")</f>
        <v/>
      </c>
      <c r="E70" s="23">
        <f>IFERROR(IF(ISBLANK(INDEX(Backlog[Jira Link],MATCH($A70,Backlog[Requirement ID],0))),"",INDEX(Backlog[Jira Link],MATCH($A70,Backlog[Requirement ID],0))),"")</f>
        <v/>
      </c>
      <c r="F70" s="21" t="inlineStr">
        <is>
          <t>Yes</t>
        </is>
      </c>
      <c r="G70" s="21" t="inlineStr">
        <is>
          <t>Yes</t>
        </is>
      </c>
      <c r="H70" s="29">
        <f>IFERROR(IF(ISBLANK(INDEX(SprintPlanning[Sprint],MATCH($A70,SprintPlanning[Requirement ID],0))),"",INDEX(SprintPlanning[Sprint],MATCH($A70,SprintPlanning[Requirement ID],0))),"")</f>
        <v/>
      </c>
      <c r="I70" s="23">
        <f>IFERROR(IF(ISBLANK(INDEX(Backlog[Status],MATCH($A70,Backlog[Requirement ID],0))),"",INDEX(Backlog[Status],MATCH($A70,Backlog[Requirement ID],0))),"")</f>
        <v/>
      </c>
      <c r="J70" s="23">
        <f>IFERROR(IF(ISBLANK(INDEX(Backlog[Priority],MATCH($A70,Backlog[Requirement ID],0))),"",INDEX(Backlog[Priority],MATCH($A70,Backlog[Requirement ID],0))),"")</f>
        <v/>
      </c>
      <c r="K70" s="21" t="n"/>
      <c r="L70" s="43" t="inlineStr">
        <is>
          <t>AZF005</t>
        </is>
      </c>
      <c r="M70" s="43" t="n"/>
      <c r="N70" s="21" t="n"/>
      <c r="O70" s="44" t="n"/>
      <c r="P70" s="33" t="n"/>
      <c r="Q70" s="33" t="n"/>
    </row>
    <row r="71" ht="15" customHeight="1">
      <c r="A71" s="21" t="inlineStr">
        <is>
          <t>NEW-0133</t>
        </is>
      </c>
      <c r="B71" s="23">
        <f>IFERROR(IF(ISBLANK(INDEX(Backlog[Requirement Name],MATCH($A71,Backlog[Requirement ID],0))),"",INDEX(Backlog[Requirement Name],MATCH($A71,Backlog[Requirement ID],0))),"")</f>
        <v/>
      </c>
      <c r="C71" s="23">
        <f>IFERROR(IF(ISBLANK(INDEX(Backlog[Stream],MATCH($A71,Backlog[Requirement ID],0))),"",INDEX(Backlog[Stream],MATCH($A71,Backlog[Requirement ID],0))),"")</f>
        <v/>
      </c>
      <c r="D71" s="23">
        <f>IFERROR(IF(ISBLANK(INDEX(Backlog[Stream Owner],MATCH($A71,Backlog[Requirement ID],0))),"",INDEX(Backlog[Stream Owner],MATCH($A71,Backlog[Requirement ID],0))),"")</f>
        <v/>
      </c>
      <c r="E71" s="23">
        <f>IFERROR(IF(ISBLANK(INDEX(Backlog[Jira Link],MATCH($A71,Backlog[Requirement ID],0))),"",INDEX(Backlog[Jira Link],MATCH($A71,Backlog[Requirement ID],0))),"")</f>
        <v/>
      </c>
      <c r="F71" s="21" t="inlineStr">
        <is>
          <t>Yes</t>
        </is>
      </c>
      <c r="G71" s="21" t="inlineStr">
        <is>
          <t>Yes</t>
        </is>
      </c>
      <c r="H71" s="29">
        <f>IFERROR(IF(ISBLANK(INDEX(SprintPlanning[Sprint],MATCH($A71,SprintPlanning[Requirement ID],0))),"",INDEX(SprintPlanning[Sprint],MATCH($A71,SprintPlanning[Requirement ID],0))),"")</f>
        <v/>
      </c>
      <c r="I71" s="23">
        <f>IFERROR(IF(ISBLANK(INDEX(Backlog[Status],MATCH($A71,Backlog[Requirement ID],0))),"",INDEX(Backlog[Status],MATCH($A71,Backlog[Requirement ID],0))),"")</f>
        <v/>
      </c>
      <c r="J71" s="23">
        <f>IFERROR(IF(ISBLANK(INDEX(Backlog[Priority],MATCH($A71,Backlog[Requirement ID],0))),"",INDEX(Backlog[Priority],MATCH($A71,Backlog[Requirement ID],0))),"")</f>
        <v/>
      </c>
      <c r="K71" s="21" t="n"/>
      <c r="L71" s="43" t="n"/>
      <c r="M71" s="43" t="n"/>
      <c r="N71" s="21" t="n"/>
      <c r="O71" s="44" t="inlineStr">
        <is>
          <t>https://smartship.atlassian.net/browse/DTTP25-29470</t>
        </is>
      </c>
      <c r="P71" s="33" t="n"/>
      <c r="Q71" s="33" t="n"/>
    </row>
    <row r="72" ht="15" customHeight="1">
      <c r="A72" s="21" t="inlineStr">
        <is>
          <t>NEW-0135</t>
        </is>
      </c>
      <c r="B72" s="23">
        <f>IFERROR(IF(ISBLANK(INDEX(Backlog[Requirement Name],MATCH($A72,Backlog[Requirement ID],0))),"",INDEX(Backlog[Requirement Name],MATCH($A72,Backlog[Requirement ID],0))),"")</f>
        <v/>
      </c>
      <c r="C72" s="23">
        <f>IFERROR(IF(ISBLANK(INDEX(Backlog[Stream],MATCH($A72,Backlog[Requirement ID],0))),"",INDEX(Backlog[Stream],MATCH($A72,Backlog[Requirement ID],0))),"")</f>
        <v/>
      </c>
      <c r="D72" s="23">
        <f>IFERROR(IF(ISBLANK(INDEX(Backlog[Stream Owner],MATCH($A72,Backlog[Requirement ID],0))),"",INDEX(Backlog[Stream Owner],MATCH($A72,Backlog[Requirement ID],0))),"")</f>
        <v/>
      </c>
      <c r="E72" s="23">
        <f>IFERROR(IF(ISBLANK(INDEX(Backlog[Jira Link],MATCH($A72,Backlog[Requirement ID],0))),"",INDEX(Backlog[Jira Link],MATCH($A72,Backlog[Requirement ID],0))),"")</f>
        <v/>
      </c>
      <c r="F72" s="21" t="inlineStr">
        <is>
          <t>Yes</t>
        </is>
      </c>
      <c r="G72" s="21" t="inlineStr">
        <is>
          <t>Yes</t>
        </is>
      </c>
      <c r="H72" s="29">
        <f>IFERROR(IF(ISBLANK(INDEX(SprintPlanning[Sprint],MATCH($A72,SprintPlanning[Requirement ID],0))),"",INDEX(SprintPlanning[Sprint],MATCH($A72,SprintPlanning[Requirement ID],0))),"")</f>
        <v/>
      </c>
      <c r="I72" s="23">
        <f>IFERROR(IF(ISBLANK(INDEX(Backlog[Status],MATCH($A72,Backlog[Requirement ID],0))),"",INDEX(Backlog[Status],MATCH($A72,Backlog[Requirement ID],0))),"")</f>
        <v/>
      </c>
      <c r="J72" s="23">
        <f>IFERROR(IF(ISBLANK(INDEX(Backlog[Priority],MATCH($A72,Backlog[Requirement ID],0))),"",INDEX(Backlog[Priority],MATCH($A72,Backlog[Requirement ID],0))),"")</f>
        <v/>
      </c>
      <c r="K72" s="21" t="n"/>
      <c r="L72" s="43" t="n"/>
      <c r="M72" s="43" t="n"/>
      <c r="N72" s="21" t="n"/>
      <c r="O72" s="44" t="inlineStr">
        <is>
          <t>https://smartship.atlassian.net/browse/DTTP25-33851</t>
        </is>
      </c>
      <c r="P72" s="33" t="n"/>
      <c r="Q72" s="33" t="n"/>
    </row>
    <row r="73" ht="15" customHeight="1">
      <c r="A73" s="21" t="inlineStr">
        <is>
          <t>NEW-0136</t>
        </is>
      </c>
      <c r="B73" s="23">
        <f>IFERROR(IF(ISBLANK(INDEX(Backlog[Requirement Name],MATCH($A73,Backlog[Requirement ID],0))),"",INDEX(Backlog[Requirement Name],MATCH($A73,Backlog[Requirement ID],0))),"")</f>
        <v/>
      </c>
      <c r="C73" s="23">
        <f>IFERROR(IF(ISBLANK(INDEX(Backlog[Stream],MATCH($A73,Backlog[Requirement ID],0))),"",INDEX(Backlog[Stream],MATCH($A73,Backlog[Requirement ID],0))),"")</f>
        <v/>
      </c>
      <c r="D73" s="23">
        <f>IFERROR(IF(ISBLANK(INDEX(Backlog[Stream Owner],MATCH($A73,Backlog[Requirement ID],0))),"",INDEX(Backlog[Stream Owner],MATCH($A73,Backlog[Requirement ID],0))),"")</f>
        <v/>
      </c>
      <c r="E73" s="23">
        <f>IFERROR(IF(ISBLANK(INDEX(Backlog[Jira Link],MATCH($A73,Backlog[Requirement ID],0))),"",INDEX(Backlog[Jira Link],MATCH($A73,Backlog[Requirement ID],0))),"")</f>
        <v/>
      </c>
      <c r="F73" s="21" t="inlineStr">
        <is>
          <t>Yes</t>
        </is>
      </c>
      <c r="G73" s="21" t="inlineStr">
        <is>
          <t>Yes</t>
        </is>
      </c>
      <c r="H73" s="29">
        <f>IFERROR(IF(ISBLANK(INDEX(SprintPlanning[Sprint],MATCH($A73,SprintPlanning[Requirement ID],0))),"",INDEX(SprintPlanning[Sprint],MATCH($A73,SprintPlanning[Requirement ID],0))),"")</f>
        <v/>
      </c>
      <c r="I73" s="23">
        <f>IFERROR(IF(ISBLANK(INDEX(Backlog[Status],MATCH($A73,Backlog[Requirement ID],0))),"",INDEX(Backlog[Status],MATCH($A73,Backlog[Requirement ID],0))),"")</f>
        <v/>
      </c>
      <c r="J73" s="23">
        <f>IFERROR(IF(ISBLANK(INDEX(Backlog[Priority],MATCH($A73,Backlog[Requirement ID],0))),"",INDEX(Backlog[Priority],MATCH($A73,Backlog[Requirement ID],0))),"")</f>
        <v/>
      </c>
      <c r="K73" s="21" t="n"/>
      <c r="L73" s="43" t="n"/>
      <c r="M73" s="43" t="n"/>
      <c r="N73" s="21" t="n"/>
      <c r="O73" s="44" t="inlineStr">
        <is>
          <t>https://smartship.atlassian.net/browse/DTTP25-33855</t>
        </is>
      </c>
      <c r="P73" s="33" t="n"/>
      <c r="Q73" s="33" t="n"/>
    </row>
    <row r="74" ht="15" customHeight="1">
      <c r="A74" s="21" t="inlineStr">
        <is>
          <t>NEW-0137</t>
        </is>
      </c>
      <c r="B74" s="23">
        <f>IFERROR(IF(ISBLANK(INDEX(Backlog[Requirement Name],MATCH($A74,Backlog[Requirement ID],0))),"",INDEX(Backlog[Requirement Name],MATCH($A74,Backlog[Requirement ID],0))),"")</f>
        <v/>
      </c>
      <c r="C74" s="23">
        <f>IFERROR(IF(ISBLANK(INDEX(Backlog[Stream],MATCH($A74,Backlog[Requirement ID],0))),"",INDEX(Backlog[Stream],MATCH($A74,Backlog[Requirement ID],0))),"")</f>
        <v/>
      </c>
      <c r="D74" s="23">
        <f>IFERROR(IF(ISBLANK(INDEX(Backlog[Stream Owner],MATCH($A74,Backlog[Requirement ID],0))),"",INDEX(Backlog[Stream Owner],MATCH($A74,Backlog[Requirement ID],0))),"")</f>
        <v/>
      </c>
      <c r="E74" s="23">
        <f>IFERROR(IF(ISBLANK(INDEX(Backlog[Jira Link],MATCH($A74,Backlog[Requirement ID],0))),"",INDEX(Backlog[Jira Link],MATCH($A74,Backlog[Requirement ID],0))),"")</f>
        <v/>
      </c>
      <c r="F74" s="21" t="inlineStr">
        <is>
          <t>Yes</t>
        </is>
      </c>
      <c r="G74" s="21" t="inlineStr">
        <is>
          <t>Yes</t>
        </is>
      </c>
      <c r="H74" s="29">
        <f>IFERROR(IF(ISBLANK(INDEX(SprintPlanning[Sprint],MATCH($A74,SprintPlanning[Requirement ID],0))),"",INDEX(SprintPlanning[Sprint],MATCH($A74,SprintPlanning[Requirement ID],0))),"")</f>
        <v/>
      </c>
      <c r="I74" s="23">
        <f>IFERROR(IF(ISBLANK(INDEX(Backlog[Status],MATCH($A74,Backlog[Requirement ID],0))),"",INDEX(Backlog[Status],MATCH($A74,Backlog[Requirement ID],0))),"")</f>
        <v/>
      </c>
      <c r="J74" s="23">
        <f>IFERROR(IF(ISBLANK(INDEX(Backlog[Priority],MATCH($A74,Backlog[Requirement ID],0))),"",INDEX(Backlog[Priority],MATCH($A74,Backlog[Requirement ID],0))),"")</f>
        <v/>
      </c>
      <c r="K74" s="21" t="n"/>
      <c r="L74" s="43" t="n"/>
      <c r="M74" s="43" t="n"/>
      <c r="N74" s="21" t="n"/>
      <c r="O74" s="44" t="inlineStr">
        <is>
          <t>https://smartship.atlassian.net/browse/DTTP25-33849</t>
        </is>
      </c>
      <c r="P74" s="33" t="n"/>
      <c r="Q74" s="33" t="n"/>
    </row>
    <row r="75" ht="15" customHeight="1">
      <c r="A75" s="21" t="inlineStr">
        <is>
          <t>NEW-0138</t>
        </is>
      </c>
      <c r="B75" s="23">
        <f>IFERROR(IF(ISBLANK(INDEX(Backlog[Requirement Name],MATCH($A75,Backlog[Requirement ID],0))),"",INDEX(Backlog[Requirement Name],MATCH($A75,Backlog[Requirement ID],0))),"")</f>
        <v/>
      </c>
      <c r="C75" s="23">
        <f>IFERROR(IF(ISBLANK(INDEX(Backlog[Stream],MATCH($A75,Backlog[Requirement ID],0))),"",INDEX(Backlog[Stream],MATCH($A75,Backlog[Requirement ID],0))),"")</f>
        <v/>
      </c>
      <c r="D75" s="23">
        <f>IFERROR(IF(ISBLANK(INDEX(Backlog[Stream Owner],MATCH($A75,Backlog[Requirement ID],0))),"",INDEX(Backlog[Stream Owner],MATCH($A75,Backlog[Requirement ID],0))),"")</f>
        <v/>
      </c>
      <c r="E75" s="23">
        <f>IFERROR(IF(ISBLANK(INDEX(Backlog[Jira Link],MATCH($A75,Backlog[Requirement ID],0))),"",INDEX(Backlog[Jira Link],MATCH($A75,Backlog[Requirement ID],0))),"")</f>
        <v/>
      </c>
      <c r="F75" s="21" t="inlineStr">
        <is>
          <t>Yes</t>
        </is>
      </c>
      <c r="G75" s="21" t="inlineStr">
        <is>
          <t>Yes</t>
        </is>
      </c>
      <c r="H75" s="29">
        <f>IFERROR(IF(ISBLANK(INDEX(SprintPlanning[Sprint],MATCH($A75,SprintPlanning[Requirement ID],0))),"",INDEX(SprintPlanning[Sprint],MATCH($A75,SprintPlanning[Requirement ID],0))),"")</f>
        <v/>
      </c>
      <c r="I75" s="23">
        <f>IFERROR(IF(ISBLANK(INDEX(Backlog[Status],MATCH($A75,Backlog[Requirement ID],0))),"",INDEX(Backlog[Status],MATCH($A75,Backlog[Requirement ID],0))),"")</f>
        <v/>
      </c>
      <c r="J75" s="23">
        <f>IFERROR(IF(ISBLANK(INDEX(Backlog[Priority],MATCH($A75,Backlog[Requirement ID],0))),"",INDEX(Backlog[Priority],MATCH($A75,Backlog[Requirement ID],0))),"")</f>
        <v/>
      </c>
      <c r="K75" s="21" t="n"/>
      <c r="L75" s="43" t="n"/>
      <c r="M75" s="43" t="n"/>
      <c r="N75" s="21" t="n"/>
      <c r="O75" s="44" t="inlineStr">
        <is>
          <t>https://smartship.atlassian.net/browse/DTTP25-33850</t>
        </is>
      </c>
      <c r="P75" s="33" t="n"/>
      <c r="Q75" s="33" t="n"/>
    </row>
    <row r="76" ht="15" customHeight="1">
      <c r="A76" s="21" t="inlineStr">
        <is>
          <t>NEW-0139</t>
        </is>
      </c>
      <c r="B76" s="23">
        <f>IFERROR(IF(ISBLANK(INDEX(Backlog[Requirement Name],MATCH($A76,Backlog[Requirement ID],0))),"",INDEX(Backlog[Requirement Name],MATCH($A76,Backlog[Requirement ID],0))),"")</f>
        <v/>
      </c>
      <c r="C76" s="23">
        <f>IFERROR(IF(ISBLANK(INDEX(Backlog[Stream],MATCH($A76,Backlog[Requirement ID],0))),"",INDEX(Backlog[Stream],MATCH($A76,Backlog[Requirement ID],0))),"")</f>
        <v/>
      </c>
      <c r="D76" s="23">
        <f>IFERROR(IF(ISBLANK(INDEX(Backlog[Stream Owner],MATCH($A76,Backlog[Requirement ID],0))),"",INDEX(Backlog[Stream Owner],MATCH($A76,Backlog[Requirement ID],0))),"")</f>
        <v/>
      </c>
      <c r="E76" s="23">
        <f>IFERROR(IF(ISBLANK(INDEX(Backlog[Jira Link],MATCH($A76,Backlog[Requirement ID],0))),"",INDEX(Backlog[Jira Link],MATCH($A76,Backlog[Requirement ID],0))),"")</f>
        <v/>
      </c>
      <c r="F76" s="21" t="inlineStr">
        <is>
          <t>Yes</t>
        </is>
      </c>
      <c r="G76" s="21" t="inlineStr">
        <is>
          <t>Yes</t>
        </is>
      </c>
      <c r="H76" s="29">
        <f>IFERROR(IF(ISBLANK(INDEX(SprintPlanning[Sprint],MATCH($A76,SprintPlanning[Requirement ID],0))),"",INDEX(SprintPlanning[Sprint],MATCH($A76,SprintPlanning[Requirement ID],0))),"")</f>
        <v/>
      </c>
      <c r="I76" s="23">
        <f>IFERROR(IF(ISBLANK(INDEX(Backlog[Status],MATCH($A76,Backlog[Requirement ID],0))),"",INDEX(Backlog[Status],MATCH($A76,Backlog[Requirement ID],0))),"")</f>
        <v/>
      </c>
      <c r="J76" s="23">
        <f>IFERROR(IF(ISBLANK(INDEX(Backlog[Priority],MATCH($A76,Backlog[Requirement ID],0))),"",INDEX(Backlog[Priority],MATCH($A76,Backlog[Requirement ID],0))),"")</f>
        <v/>
      </c>
      <c r="K76" s="21" t="n"/>
      <c r="L76" s="43" t="n"/>
      <c r="M76" s="43" t="n"/>
      <c r="N76" s="21" t="n"/>
      <c r="O76" s="44" t="inlineStr">
        <is>
          <t>https://smartship.atlassian.net/browse/DTTP25-33852</t>
        </is>
      </c>
      <c r="P76" s="33" t="n"/>
      <c r="Q76" s="33" t="n"/>
    </row>
    <row r="77" ht="15" customHeight="1">
      <c r="A77" s="21" t="inlineStr">
        <is>
          <t>NEW-0142</t>
        </is>
      </c>
      <c r="B77" s="23">
        <f>IFERROR(IF(ISBLANK(INDEX(Backlog[Requirement Name],MATCH($A77,Backlog[Requirement ID],0))),"",INDEX(Backlog[Requirement Name],MATCH($A77,Backlog[Requirement ID],0))),"")</f>
        <v/>
      </c>
      <c r="C77" s="23">
        <f>IFERROR(IF(ISBLANK(INDEX(Backlog[Stream],MATCH($A77,Backlog[Requirement ID],0))),"",INDEX(Backlog[Stream],MATCH($A77,Backlog[Requirement ID],0))),"")</f>
        <v/>
      </c>
      <c r="D77" s="23">
        <f>IFERROR(IF(ISBLANK(INDEX(Backlog[Stream Owner],MATCH($A77,Backlog[Requirement ID],0))),"",INDEX(Backlog[Stream Owner],MATCH($A77,Backlog[Requirement ID],0))),"")</f>
        <v/>
      </c>
      <c r="E77" s="23">
        <f>IFERROR(IF(ISBLANK(INDEX(Backlog[Jira Link],MATCH($A77,Backlog[Requirement ID],0))),"",INDEX(Backlog[Jira Link],MATCH($A77,Backlog[Requirement ID],0))),"")</f>
        <v/>
      </c>
      <c r="F77" s="21" t="inlineStr">
        <is>
          <t>Yes</t>
        </is>
      </c>
      <c r="G77" s="21" t="inlineStr">
        <is>
          <t>Yes</t>
        </is>
      </c>
      <c r="H77" s="29">
        <f>IFERROR(IF(ISBLANK(INDEX(SprintPlanning[Sprint],MATCH($A77,SprintPlanning[Requirement ID],0))),"",INDEX(SprintPlanning[Sprint],MATCH($A77,SprintPlanning[Requirement ID],0))),"")</f>
        <v/>
      </c>
      <c r="I77" s="23">
        <f>IFERROR(IF(ISBLANK(INDEX(Backlog[Status],MATCH($A77,Backlog[Requirement ID],0))),"",INDEX(Backlog[Status],MATCH($A77,Backlog[Requirement ID],0))),"")</f>
        <v/>
      </c>
      <c r="J77" s="23">
        <f>IFERROR(IF(ISBLANK(INDEX(Backlog[Priority],MATCH($A77,Backlog[Requirement ID],0))),"",INDEX(Backlog[Priority],MATCH($A77,Backlog[Requirement ID],0))),"")</f>
        <v/>
      </c>
      <c r="K77" s="21" t="n"/>
      <c r="L77" s="43" t="n"/>
      <c r="M77" s="43" t="n"/>
      <c r="N77" s="21" t="n"/>
      <c r="O77" s="44" t="inlineStr">
        <is>
          <t>https://smartship.atlassian.net/browse/DTTP25-6654</t>
        </is>
      </c>
      <c r="P77" s="33" t="n"/>
      <c r="Q77" s="33" t="n"/>
    </row>
    <row r="78" ht="15" customHeight="1">
      <c r="A78" s="21" t="inlineStr">
        <is>
          <t>NEW-0143</t>
        </is>
      </c>
      <c r="B78" s="23">
        <f>IFERROR(IF(ISBLANK(INDEX(Backlog[Requirement Name],MATCH($A78,Backlog[Requirement ID],0))),"",INDEX(Backlog[Requirement Name],MATCH($A78,Backlog[Requirement ID],0))),"")</f>
        <v/>
      </c>
      <c r="C78" s="23">
        <f>IFERROR(IF(ISBLANK(INDEX(Backlog[Stream],MATCH($A78,Backlog[Requirement ID],0))),"",INDEX(Backlog[Stream],MATCH($A78,Backlog[Requirement ID],0))),"")</f>
        <v/>
      </c>
      <c r="D78" s="23">
        <f>IFERROR(IF(ISBLANK(INDEX(Backlog[Stream Owner],MATCH($A78,Backlog[Requirement ID],0))),"",INDEX(Backlog[Stream Owner],MATCH($A78,Backlog[Requirement ID],0))),"")</f>
        <v/>
      </c>
      <c r="E78" s="23">
        <f>IFERROR(IF(ISBLANK(INDEX(Backlog[Jira Link],MATCH($A78,Backlog[Requirement ID],0))),"",INDEX(Backlog[Jira Link],MATCH($A78,Backlog[Requirement ID],0))),"")</f>
        <v/>
      </c>
      <c r="F78" s="21" t="inlineStr">
        <is>
          <t>Yes</t>
        </is>
      </c>
      <c r="G78" s="21" t="inlineStr">
        <is>
          <t>Yes</t>
        </is>
      </c>
      <c r="H78" s="29">
        <f>IFERROR(IF(ISBLANK(INDEX(SprintPlanning[Sprint],MATCH($A78,SprintPlanning[Requirement ID],0))),"",INDEX(SprintPlanning[Sprint],MATCH($A78,SprintPlanning[Requirement ID],0))),"")</f>
        <v/>
      </c>
      <c r="I78" s="23">
        <f>IFERROR(IF(ISBLANK(INDEX(Backlog[Status],MATCH($A78,Backlog[Requirement ID],0))),"",INDEX(Backlog[Status],MATCH($A78,Backlog[Requirement ID],0))),"")</f>
        <v/>
      </c>
      <c r="J78" s="23">
        <f>IFERROR(IF(ISBLANK(INDEX(Backlog[Priority],MATCH($A78,Backlog[Requirement ID],0))),"",INDEX(Backlog[Priority],MATCH($A78,Backlog[Requirement ID],0))),"")</f>
        <v/>
      </c>
      <c r="K78" s="21" t="n"/>
      <c r="L78" s="43" t="n"/>
      <c r="M78" s="43" t="n"/>
      <c r="N78" s="21" t="n"/>
      <c r="O78" s="44" t="inlineStr">
        <is>
          <t>https://smartship.atlassian.net/browse/DTTP25-32873</t>
        </is>
      </c>
      <c r="P78" s="33" t="n"/>
      <c r="Q78" s="33" t="n"/>
    </row>
    <row r="79" ht="15" customHeight="1">
      <c r="A79" s="21" t="inlineStr">
        <is>
          <t>NEW-0146</t>
        </is>
      </c>
      <c r="B79" s="23">
        <f>IFERROR(IF(ISBLANK(INDEX(Backlog[Requirement Name],MATCH($A79,Backlog[Requirement ID],0))),"",INDEX(Backlog[Requirement Name],MATCH($A79,Backlog[Requirement ID],0))),"")</f>
        <v/>
      </c>
      <c r="C79" s="23">
        <f>IFERROR(IF(ISBLANK(INDEX(Backlog[Stream],MATCH($A79,Backlog[Requirement ID],0))),"",INDEX(Backlog[Stream],MATCH($A79,Backlog[Requirement ID],0))),"")</f>
        <v/>
      </c>
      <c r="D79" s="23">
        <f>IFERROR(IF(ISBLANK(INDEX(Backlog[Stream Owner],MATCH($A79,Backlog[Requirement ID],0))),"",INDEX(Backlog[Stream Owner],MATCH($A79,Backlog[Requirement ID],0))),"")</f>
        <v/>
      </c>
      <c r="E79" s="23">
        <f>IFERROR(IF(ISBLANK(INDEX(Backlog[Jira Link],MATCH($A79,Backlog[Requirement ID],0))),"",INDEX(Backlog[Jira Link],MATCH($A79,Backlog[Requirement ID],0))),"")</f>
        <v/>
      </c>
      <c r="F79" s="21" t="inlineStr">
        <is>
          <t>Yes</t>
        </is>
      </c>
      <c r="G79" s="21" t="inlineStr">
        <is>
          <t>Yes</t>
        </is>
      </c>
      <c r="H79" s="29">
        <f>IFERROR(IF(ISBLANK(INDEX(SprintPlanning[Sprint],MATCH($A79,SprintPlanning[Requirement ID],0))),"",INDEX(SprintPlanning[Sprint],MATCH($A79,SprintPlanning[Requirement ID],0))),"")</f>
        <v/>
      </c>
      <c r="I79" s="23">
        <f>IFERROR(IF(ISBLANK(INDEX(Backlog[Status],MATCH($A79,Backlog[Requirement ID],0))),"",INDEX(Backlog[Status],MATCH($A79,Backlog[Requirement ID],0))),"")</f>
        <v/>
      </c>
      <c r="J79" s="23">
        <f>IFERROR(IF(ISBLANK(INDEX(Backlog[Priority],MATCH($A79,Backlog[Requirement ID],0))),"",INDEX(Backlog[Priority],MATCH($A79,Backlog[Requirement ID],0))),"")</f>
        <v/>
      </c>
      <c r="K79" s="21" t="n"/>
      <c r="L79" s="43" t="n"/>
      <c r="M79" s="43" t="n"/>
      <c r="N79" s="21" t="n"/>
      <c r="O79" s="44" t="n"/>
      <c r="P79" s="33" t="n"/>
      <c r="Q79" s="33" t="n"/>
    </row>
    <row r="80" ht="15" customHeight="1">
      <c r="A80" s="21" t="inlineStr">
        <is>
          <t>NEW-0148</t>
        </is>
      </c>
      <c r="B80" s="23">
        <f>IFERROR(IF(ISBLANK(INDEX(Backlog[Requirement Name],MATCH($A80,Backlog[Requirement ID],0))),"",INDEX(Backlog[Requirement Name],MATCH($A80,Backlog[Requirement ID],0))),"")</f>
        <v/>
      </c>
      <c r="C80" s="23">
        <f>IFERROR(IF(ISBLANK(INDEX(Backlog[Stream],MATCH($A80,Backlog[Requirement ID],0))),"",INDEX(Backlog[Stream],MATCH($A80,Backlog[Requirement ID],0))),"")</f>
        <v/>
      </c>
      <c r="D80" s="23">
        <f>IFERROR(IF(ISBLANK(INDEX(Backlog[Stream Owner],MATCH($A80,Backlog[Requirement ID],0))),"",INDEX(Backlog[Stream Owner],MATCH($A80,Backlog[Requirement ID],0))),"")</f>
        <v/>
      </c>
      <c r="E80" s="23">
        <f>IFERROR(IF(ISBLANK(INDEX(Backlog[Jira Link],MATCH($A80,Backlog[Requirement ID],0))),"",INDEX(Backlog[Jira Link],MATCH($A80,Backlog[Requirement ID],0))),"")</f>
        <v/>
      </c>
      <c r="F80" s="21" t="inlineStr">
        <is>
          <t>Yes</t>
        </is>
      </c>
      <c r="G80" s="21" t="inlineStr">
        <is>
          <t>Yes</t>
        </is>
      </c>
      <c r="H80" s="29">
        <f>IFERROR(IF(ISBLANK(INDEX(SprintPlanning[Sprint],MATCH($A80,SprintPlanning[Requirement ID],0))),"",INDEX(SprintPlanning[Sprint],MATCH($A80,SprintPlanning[Requirement ID],0))),"")</f>
        <v/>
      </c>
      <c r="I80" s="23">
        <f>IFERROR(IF(ISBLANK(INDEX(Backlog[Status],MATCH($A80,Backlog[Requirement ID],0))),"",INDEX(Backlog[Status],MATCH($A80,Backlog[Requirement ID],0))),"")</f>
        <v/>
      </c>
      <c r="J80" s="23">
        <f>IFERROR(IF(ISBLANK(INDEX(Backlog[Priority],MATCH($A80,Backlog[Requirement ID],0))),"",INDEX(Backlog[Priority],MATCH($A80,Backlog[Requirement ID],0))),"")</f>
        <v/>
      </c>
      <c r="K80" s="21" t="n"/>
      <c r="L80" s="43" t="inlineStr">
        <is>
          <t>https://smartship.atlassian.net/browse/DTTP25-37049</t>
        </is>
      </c>
      <c r="M80" s="43" t="n"/>
      <c r="N80" s="21" t="n"/>
      <c r="O80" s="44" t="n"/>
      <c r="P80" s="33" t="n"/>
      <c r="Q80" s="33" t="n"/>
    </row>
    <row r="81" ht="15" customHeight="1">
      <c r="A81" s="21" t="inlineStr">
        <is>
          <t>NEW-0150</t>
        </is>
      </c>
      <c r="B81" s="23">
        <f>IFERROR(IF(ISBLANK(INDEX(Backlog[Requirement Name],MATCH($A81,Backlog[Requirement ID],0))),"",INDEX(Backlog[Requirement Name],MATCH($A81,Backlog[Requirement ID],0))),"")</f>
        <v/>
      </c>
      <c r="C81" s="23">
        <f>IFERROR(IF(ISBLANK(INDEX(Backlog[Stream],MATCH($A81,Backlog[Requirement ID],0))),"",INDEX(Backlog[Stream],MATCH($A81,Backlog[Requirement ID],0))),"")</f>
        <v/>
      </c>
      <c r="D81" s="23">
        <f>IFERROR(IF(ISBLANK(INDEX(Backlog[Stream Owner],MATCH($A81,Backlog[Requirement ID],0))),"",INDEX(Backlog[Stream Owner],MATCH($A81,Backlog[Requirement ID],0))),"")</f>
        <v/>
      </c>
      <c r="E81" s="23">
        <f>IFERROR(IF(ISBLANK(INDEX(Backlog[Jira Link],MATCH($A81,Backlog[Requirement ID],0))),"",INDEX(Backlog[Jira Link],MATCH($A81,Backlog[Requirement ID],0))),"")</f>
        <v/>
      </c>
      <c r="F81" s="21" t="inlineStr">
        <is>
          <t>Yes</t>
        </is>
      </c>
      <c r="G81" s="21" t="inlineStr">
        <is>
          <t>Yes</t>
        </is>
      </c>
      <c r="H81" s="29">
        <f>IFERROR(IF(ISBLANK(INDEX(SprintPlanning[Sprint],MATCH($A81,SprintPlanning[Requirement ID],0))),"",INDEX(SprintPlanning[Sprint],MATCH($A81,SprintPlanning[Requirement ID],0))),"")</f>
        <v/>
      </c>
      <c r="I81" s="23">
        <f>IFERROR(IF(ISBLANK(INDEX(Backlog[Status],MATCH($A81,Backlog[Requirement ID],0))),"",INDEX(Backlog[Status],MATCH($A81,Backlog[Requirement ID],0))),"")</f>
        <v/>
      </c>
      <c r="J81" s="23">
        <f>IFERROR(IF(ISBLANK(INDEX(Backlog[Priority],MATCH($A81,Backlog[Requirement ID],0))),"",INDEX(Backlog[Priority],MATCH($A81,Backlog[Requirement ID],0))),"")</f>
        <v/>
      </c>
      <c r="K81" s="21" t="n"/>
      <c r="L81" s="43" t="n"/>
      <c r="M81" s="43" t="n"/>
      <c r="N81" s="21" t="n"/>
      <c r="O81" s="44" t="n"/>
      <c r="P81" s="33" t="n"/>
      <c r="Q81" s="33" t="n"/>
    </row>
    <row r="82" ht="15" customHeight="1">
      <c r="A82" s="21" t="inlineStr">
        <is>
          <t>NEW-0151</t>
        </is>
      </c>
      <c r="B82" s="23">
        <f>IFERROR(IF(ISBLANK(INDEX(Backlog[Requirement Name],MATCH($A82,Backlog[Requirement ID],0))),"",INDEX(Backlog[Requirement Name],MATCH($A82,Backlog[Requirement ID],0))),"")</f>
        <v/>
      </c>
      <c r="C82" s="23">
        <f>IFERROR(IF(ISBLANK(INDEX(Backlog[Stream],MATCH($A82,Backlog[Requirement ID],0))),"",INDEX(Backlog[Stream],MATCH($A82,Backlog[Requirement ID],0))),"")</f>
        <v/>
      </c>
      <c r="D82" s="23">
        <f>IFERROR(IF(ISBLANK(INDEX(Backlog[Stream Owner],MATCH($A82,Backlog[Requirement ID],0))),"",INDEX(Backlog[Stream Owner],MATCH($A82,Backlog[Requirement ID],0))),"")</f>
        <v/>
      </c>
      <c r="E82" s="23">
        <f>IFERROR(IF(ISBLANK(INDEX(Backlog[Jira Link],MATCH($A82,Backlog[Requirement ID],0))),"",INDEX(Backlog[Jira Link],MATCH($A82,Backlog[Requirement ID],0))),"")</f>
        <v/>
      </c>
      <c r="F82" s="21" t="inlineStr">
        <is>
          <t>Yes</t>
        </is>
      </c>
      <c r="G82" s="21" t="inlineStr">
        <is>
          <t>Yes</t>
        </is>
      </c>
      <c r="H82" s="29">
        <f>IFERROR(IF(ISBLANK(INDEX(SprintPlanning[Sprint],MATCH($A82,SprintPlanning[Requirement ID],0))),"",INDEX(SprintPlanning[Sprint],MATCH($A82,SprintPlanning[Requirement ID],0))),"")</f>
        <v/>
      </c>
      <c r="I82" s="23">
        <f>IFERROR(IF(ISBLANK(INDEX(Backlog[Status],MATCH($A82,Backlog[Requirement ID],0))),"",INDEX(Backlog[Status],MATCH($A82,Backlog[Requirement ID],0))),"")</f>
        <v/>
      </c>
      <c r="J82" s="23">
        <f>IFERROR(IF(ISBLANK(INDEX(Backlog[Priority],MATCH($A82,Backlog[Requirement ID],0))),"",INDEX(Backlog[Priority],MATCH($A82,Backlog[Requirement ID],0))),"")</f>
        <v/>
      </c>
      <c r="K82" s="21" t="n"/>
      <c r="L82" s="43" t="n"/>
      <c r="M82" s="43" t="n"/>
      <c r="N82" s="21" t="n"/>
      <c r="O82" s="44" t="n"/>
      <c r="P82" s="33" t="n"/>
      <c r="Q82" s="33" t="n"/>
    </row>
    <row r="83" ht="15" customHeight="1">
      <c r="A83" s="21" t="inlineStr">
        <is>
          <t>NEW-0153</t>
        </is>
      </c>
      <c r="B83" s="23">
        <f>IFERROR(IF(ISBLANK(INDEX(Backlog[Requirement Name],MATCH($A83,Backlog[Requirement ID],0))),"",INDEX(Backlog[Requirement Name],MATCH($A83,Backlog[Requirement ID],0))),"")</f>
        <v/>
      </c>
      <c r="C83" s="23">
        <f>IFERROR(IF(ISBLANK(INDEX(Backlog[Stream],MATCH($A83,Backlog[Requirement ID],0))),"",INDEX(Backlog[Stream],MATCH($A83,Backlog[Requirement ID],0))),"")</f>
        <v/>
      </c>
      <c r="D83" s="23">
        <f>IFERROR(IF(ISBLANK(INDEX(Backlog[Stream Owner],MATCH($A83,Backlog[Requirement ID],0))),"",INDEX(Backlog[Stream Owner],MATCH($A83,Backlog[Requirement ID],0))),"")</f>
        <v/>
      </c>
      <c r="E83" s="23">
        <f>IFERROR(IF(ISBLANK(INDEX(Backlog[Jira Link],MATCH($A83,Backlog[Requirement ID],0))),"",INDEX(Backlog[Jira Link],MATCH($A83,Backlog[Requirement ID],0))),"")</f>
        <v/>
      </c>
      <c r="F83" s="21" t="inlineStr">
        <is>
          <t>Yes</t>
        </is>
      </c>
      <c r="G83" s="21" t="inlineStr">
        <is>
          <t>Yes</t>
        </is>
      </c>
      <c r="H83" s="29">
        <f>IFERROR(IF(ISBLANK(INDEX(SprintPlanning[Sprint],MATCH($A83,SprintPlanning[Requirement ID],0))),"",INDEX(SprintPlanning[Sprint],MATCH($A83,SprintPlanning[Requirement ID],0))),"")</f>
        <v/>
      </c>
      <c r="I83" s="23">
        <f>IFERROR(IF(ISBLANK(INDEX(Backlog[Status],MATCH($A83,Backlog[Requirement ID],0))),"",INDEX(Backlog[Status],MATCH($A83,Backlog[Requirement ID],0))),"")</f>
        <v/>
      </c>
      <c r="J83" s="23">
        <f>IFERROR(IF(ISBLANK(INDEX(Backlog[Priority],MATCH($A83,Backlog[Requirement ID],0))),"",INDEX(Backlog[Priority],MATCH($A83,Backlog[Requirement ID],0))),"")</f>
        <v/>
      </c>
      <c r="K83" s="21" t="n"/>
      <c r="L83" s="43" t="n"/>
      <c r="M83" s="43" t="n"/>
      <c r="N83" s="21" t="n"/>
      <c r="O83" s="44" t="n"/>
      <c r="P83" s="33" t="n"/>
      <c r="Q83" s="33" t="n"/>
    </row>
    <row r="84" ht="15" customHeight="1">
      <c r="A84" s="21" t="inlineStr">
        <is>
          <t>NEW-0187</t>
        </is>
      </c>
      <c r="B84" s="23">
        <f>IFERROR(IF(ISBLANK(INDEX(Backlog[Requirement Name],MATCH($A84,Backlog[Requirement ID],0))),"",INDEX(Backlog[Requirement Name],MATCH($A84,Backlog[Requirement ID],0))),"")</f>
        <v/>
      </c>
      <c r="C84" s="23">
        <f>IFERROR(IF(ISBLANK(INDEX(Backlog[Stream],MATCH($A84,Backlog[Requirement ID],0))),"",INDEX(Backlog[Stream],MATCH($A84,Backlog[Requirement ID],0))),"")</f>
        <v/>
      </c>
      <c r="D84" s="23">
        <f>IFERROR(IF(ISBLANK(INDEX(Backlog[Stream Owner],MATCH($A84,Backlog[Requirement ID],0))),"",INDEX(Backlog[Stream Owner],MATCH($A84,Backlog[Requirement ID],0))),"")</f>
        <v/>
      </c>
      <c r="E84" s="23">
        <f>IFERROR(IF(ISBLANK(INDEX(Backlog[Jira Link],MATCH($A84,Backlog[Requirement ID],0))),"",INDEX(Backlog[Jira Link],MATCH($A84,Backlog[Requirement ID],0))),"")</f>
        <v/>
      </c>
      <c r="F84" s="21" t="inlineStr">
        <is>
          <t>Yes</t>
        </is>
      </c>
      <c r="G84" s="21" t="inlineStr">
        <is>
          <t>Yes</t>
        </is>
      </c>
      <c r="H84" s="29">
        <f>IFERROR(IF(ISBLANK(INDEX(SprintPlanning[Sprint],MATCH($A84,SprintPlanning[Requirement ID],0))),"",INDEX(SprintPlanning[Sprint],MATCH($A84,SprintPlanning[Requirement ID],0))),"")</f>
        <v/>
      </c>
      <c r="I84" s="23">
        <f>IFERROR(IF(ISBLANK(INDEX(Backlog[Status],MATCH($A84,Backlog[Requirement ID],0))),"",INDEX(Backlog[Status],MATCH($A84,Backlog[Requirement ID],0))),"")</f>
        <v/>
      </c>
      <c r="J84" s="23">
        <f>IFERROR(IF(ISBLANK(INDEX(Backlog[Priority],MATCH($A84,Backlog[Requirement ID],0))),"",INDEX(Backlog[Priority],MATCH($A84,Backlog[Requirement ID],0))),"")</f>
        <v/>
      </c>
      <c r="K84" s="21" t="n"/>
      <c r="L84" s="43" t="n"/>
      <c r="M84" s="43" t="n"/>
      <c r="N84" s="21" t="n"/>
      <c r="O84" s="44" t="n"/>
      <c r="P84" s="33" t="n"/>
      <c r="Q84" s="33" t="n"/>
    </row>
    <row r="85" ht="15" customHeight="1">
      <c r="A85" s="21" t="inlineStr">
        <is>
          <t>NEW-0188</t>
        </is>
      </c>
      <c r="B85" s="23">
        <f>IFERROR(IF(ISBLANK(INDEX(Backlog[Requirement Name],MATCH($A85,Backlog[Requirement ID],0))),"",INDEX(Backlog[Requirement Name],MATCH($A85,Backlog[Requirement ID],0))),"")</f>
        <v/>
      </c>
      <c r="C85" s="23">
        <f>IFERROR(IF(ISBLANK(INDEX(Backlog[Stream],MATCH($A85,Backlog[Requirement ID],0))),"",INDEX(Backlog[Stream],MATCH($A85,Backlog[Requirement ID],0))),"")</f>
        <v/>
      </c>
      <c r="D85" s="23">
        <f>IFERROR(IF(ISBLANK(INDEX(Backlog[Stream Owner],MATCH($A85,Backlog[Requirement ID],0))),"",INDEX(Backlog[Stream Owner],MATCH($A85,Backlog[Requirement ID],0))),"")</f>
        <v/>
      </c>
      <c r="E85" s="23">
        <f>IFERROR(IF(ISBLANK(INDEX(Backlog[Jira Link],MATCH($A85,Backlog[Requirement ID],0))),"",INDEX(Backlog[Jira Link],MATCH($A85,Backlog[Requirement ID],0))),"")</f>
        <v/>
      </c>
      <c r="F85" s="21" t="inlineStr">
        <is>
          <t>Yes</t>
        </is>
      </c>
      <c r="G85" s="21" t="inlineStr">
        <is>
          <t>Yes</t>
        </is>
      </c>
      <c r="H85" s="29">
        <f>IFERROR(IF(ISBLANK(INDEX(SprintPlanning[Sprint],MATCH($A85,SprintPlanning[Requirement ID],0))),"",INDEX(SprintPlanning[Sprint],MATCH($A85,SprintPlanning[Requirement ID],0))),"")</f>
        <v/>
      </c>
      <c r="I85" s="23">
        <f>IFERROR(IF(ISBLANK(INDEX(Backlog[Status],MATCH($A85,Backlog[Requirement ID],0))),"",INDEX(Backlog[Status],MATCH($A85,Backlog[Requirement ID],0))),"")</f>
        <v/>
      </c>
      <c r="J85" s="23">
        <f>IFERROR(IF(ISBLANK(INDEX(Backlog[Priority],MATCH($A85,Backlog[Requirement ID],0))),"",INDEX(Backlog[Priority],MATCH($A85,Backlog[Requirement ID],0))),"")</f>
        <v/>
      </c>
      <c r="K85" s="21" t="n"/>
      <c r="L85" s="43" t="n"/>
      <c r="M85" s="43" t="n"/>
      <c r="N85" s="21" t="n"/>
      <c r="O85" s="44" t="n"/>
      <c r="P85" s="33" t="n"/>
      <c r="Q85" s="33" t="n"/>
    </row>
    <row r="86" ht="15" customHeight="1">
      <c r="A86" s="21" t="inlineStr">
        <is>
          <t>NEW-0190</t>
        </is>
      </c>
      <c r="B86" s="23">
        <f>IFERROR(IF(ISBLANK(INDEX(Backlog[Requirement Name],MATCH($A86,Backlog[Requirement ID],0))),"",INDEX(Backlog[Requirement Name],MATCH($A86,Backlog[Requirement ID],0))),"")</f>
        <v/>
      </c>
      <c r="C86" s="23">
        <f>IFERROR(IF(ISBLANK(INDEX(Backlog[Stream],MATCH($A86,Backlog[Requirement ID],0))),"",INDEX(Backlog[Stream],MATCH($A86,Backlog[Requirement ID],0))),"")</f>
        <v/>
      </c>
      <c r="D86" s="23">
        <f>IFERROR(IF(ISBLANK(INDEX(Backlog[Stream Owner],MATCH($A86,Backlog[Requirement ID],0))),"",INDEX(Backlog[Stream Owner],MATCH($A86,Backlog[Requirement ID],0))),"")</f>
        <v/>
      </c>
      <c r="E86" s="23">
        <f>IFERROR(IF(ISBLANK(INDEX(Backlog[Jira Link],MATCH($A86,Backlog[Requirement ID],0))),"",INDEX(Backlog[Jira Link],MATCH($A86,Backlog[Requirement ID],0))),"")</f>
        <v/>
      </c>
      <c r="F86" s="21" t="inlineStr">
        <is>
          <t>Yes</t>
        </is>
      </c>
      <c r="G86" s="21" t="inlineStr">
        <is>
          <t>Yes</t>
        </is>
      </c>
      <c r="H86" s="29">
        <f>IFERROR(IF(ISBLANK(INDEX(SprintPlanning[Sprint],MATCH($A86,SprintPlanning[Requirement ID],0))),"",INDEX(SprintPlanning[Sprint],MATCH($A86,SprintPlanning[Requirement ID],0))),"")</f>
        <v/>
      </c>
      <c r="I86" s="23">
        <f>IFERROR(IF(ISBLANK(INDEX(Backlog[Status],MATCH($A86,Backlog[Requirement ID],0))),"",INDEX(Backlog[Status],MATCH($A86,Backlog[Requirement ID],0))),"")</f>
        <v/>
      </c>
      <c r="J86" s="23">
        <f>IFERROR(IF(ISBLANK(INDEX(Backlog[Priority],MATCH($A86,Backlog[Requirement ID],0))),"",INDEX(Backlog[Priority],MATCH($A86,Backlog[Requirement ID],0))),"")</f>
        <v/>
      </c>
      <c r="K86" s="21" t="n"/>
      <c r="L86" s="43" t="n"/>
      <c r="M86" s="43" t="n"/>
      <c r="N86" s="21" t="n"/>
      <c r="O86" s="44" t="n"/>
      <c r="P86" s="33" t="n"/>
      <c r="Q86" s="33" t="n"/>
    </row>
    <row r="87" ht="15" customHeight="1">
      <c r="A87" s="21" t="inlineStr">
        <is>
          <t>NEW-0192</t>
        </is>
      </c>
      <c r="B87" s="23">
        <f>IFERROR(IF(ISBLANK(INDEX(Backlog[Requirement Name],MATCH($A87,Backlog[Requirement ID],0))),"",INDEX(Backlog[Requirement Name],MATCH($A87,Backlog[Requirement ID],0))),"")</f>
        <v/>
      </c>
      <c r="C87" s="23">
        <f>IFERROR(IF(ISBLANK(INDEX(Backlog[Stream],MATCH($A87,Backlog[Requirement ID],0))),"",INDEX(Backlog[Stream],MATCH($A87,Backlog[Requirement ID],0))),"")</f>
        <v/>
      </c>
      <c r="D87" s="23">
        <f>IFERROR(IF(ISBLANK(INDEX(Backlog[Stream Owner],MATCH($A87,Backlog[Requirement ID],0))),"",INDEX(Backlog[Stream Owner],MATCH($A87,Backlog[Requirement ID],0))),"")</f>
        <v/>
      </c>
      <c r="E87" s="23">
        <f>IFERROR(IF(ISBLANK(INDEX(Backlog[Jira Link],MATCH($A87,Backlog[Requirement ID],0))),"",INDEX(Backlog[Jira Link],MATCH($A87,Backlog[Requirement ID],0))),"")</f>
        <v/>
      </c>
      <c r="F87" s="21" t="inlineStr">
        <is>
          <t>Yes</t>
        </is>
      </c>
      <c r="G87" s="21" t="inlineStr">
        <is>
          <t>Yes</t>
        </is>
      </c>
      <c r="H87" s="29">
        <f>IFERROR(IF(ISBLANK(INDEX(SprintPlanning[Sprint],MATCH($A87,SprintPlanning[Requirement ID],0))),"",INDEX(SprintPlanning[Sprint],MATCH($A87,SprintPlanning[Requirement ID],0))),"")</f>
        <v/>
      </c>
      <c r="I87" s="23">
        <f>IFERROR(IF(ISBLANK(INDEX(Backlog[Status],MATCH($A87,Backlog[Requirement ID],0))),"",INDEX(Backlog[Status],MATCH($A87,Backlog[Requirement ID],0))),"")</f>
        <v/>
      </c>
      <c r="J87" s="23">
        <f>IFERROR(IF(ISBLANK(INDEX(Backlog[Priority],MATCH($A87,Backlog[Requirement ID],0))),"",INDEX(Backlog[Priority],MATCH($A87,Backlog[Requirement ID],0))),"")</f>
        <v/>
      </c>
      <c r="K87" s="21" t="n"/>
      <c r="L87" s="43" t="n"/>
      <c r="M87" s="43" t="n"/>
      <c r="N87" s="21" t="n"/>
      <c r="O87" s="44" t="n"/>
      <c r="P87" s="33" t="n"/>
      <c r="Q87" s="33" t="n"/>
    </row>
    <row r="88" ht="15" customHeight="1">
      <c r="A88" s="21" t="inlineStr">
        <is>
          <t>NEW-0219</t>
        </is>
      </c>
      <c r="B88" s="23">
        <f>IFERROR(IF(ISBLANK(INDEX(Backlog[Requirement Name],MATCH($A88,Backlog[Requirement ID],0))),"",INDEX(Backlog[Requirement Name],MATCH($A88,Backlog[Requirement ID],0))),"")</f>
        <v/>
      </c>
      <c r="C88" s="23">
        <f>IFERROR(IF(ISBLANK(INDEX(Backlog[Stream],MATCH($A88,Backlog[Requirement ID],0))),"",INDEX(Backlog[Stream],MATCH($A88,Backlog[Requirement ID],0))),"")</f>
        <v/>
      </c>
      <c r="D88" s="23">
        <f>IFERROR(IF(ISBLANK(INDEX(Backlog[Stream Owner],MATCH($A88,Backlog[Requirement ID],0))),"",INDEX(Backlog[Stream Owner],MATCH($A88,Backlog[Requirement ID],0))),"")</f>
        <v/>
      </c>
      <c r="E88" s="23">
        <f>IFERROR(IF(ISBLANK(INDEX(Backlog[Jira Link],MATCH($A88,Backlog[Requirement ID],0))),"",INDEX(Backlog[Jira Link],MATCH($A88,Backlog[Requirement ID],0))),"")</f>
        <v/>
      </c>
      <c r="F88" s="21" t="inlineStr">
        <is>
          <t>Yes</t>
        </is>
      </c>
      <c r="G88" s="21" t="inlineStr">
        <is>
          <t>Yes</t>
        </is>
      </c>
      <c r="H88" s="29">
        <f>IFERROR(IF(ISBLANK(INDEX(SprintPlanning[Sprint],MATCH($A88,SprintPlanning[Requirement ID],0))),"",INDEX(SprintPlanning[Sprint],MATCH($A88,SprintPlanning[Requirement ID],0))),"")</f>
        <v/>
      </c>
      <c r="I88" s="23">
        <f>IFERROR(IF(ISBLANK(INDEX(Backlog[Status],MATCH($A88,Backlog[Requirement ID],0))),"",INDEX(Backlog[Status],MATCH($A88,Backlog[Requirement ID],0))),"")</f>
        <v/>
      </c>
      <c r="J88" s="23">
        <f>IFERROR(IF(ISBLANK(INDEX(Backlog[Priority],MATCH($A88,Backlog[Requirement ID],0))),"",INDEX(Backlog[Priority],MATCH($A88,Backlog[Requirement ID],0))),"")</f>
        <v/>
      </c>
      <c r="K88" s="21" t="n"/>
      <c r="L88" s="43" t="n"/>
      <c r="M88" s="43" t="n"/>
      <c r="N88" s="21" t="n"/>
      <c r="O88" s="44" t="n"/>
      <c r="P88" s="33" t="n"/>
      <c r="Q88" s="33" t="n"/>
    </row>
    <row r="89" ht="15" customHeight="1">
      <c r="A89" s="21" t="inlineStr">
        <is>
          <t>NEW-0228</t>
        </is>
      </c>
      <c r="B89" s="23">
        <f>IFERROR(IF(ISBLANK(INDEX(Backlog[Requirement Name],MATCH($A89,Backlog[Requirement ID],0))),"",INDEX(Backlog[Requirement Name],MATCH($A89,Backlog[Requirement ID],0))),"")</f>
        <v/>
      </c>
      <c r="C89" s="23">
        <f>IFERROR(IF(ISBLANK(INDEX(Backlog[Stream],MATCH($A89,Backlog[Requirement ID],0))),"",INDEX(Backlog[Stream],MATCH($A89,Backlog[Requirement ID],0))),"")</f>
        <v/>
      </c>
      <c r="D89" s="23">
        <f>IFERROR(IF(ISBLANK(INDEX(Backlog[Stream Owner],MATCH($A89,Backlog[Requirement ID],0))),"",INDEX(Backlog[Stream Owner],MATCH($A89,Backlog[Requirement ID],0))),"")</f>
        <v/>
      </c>
      <c r="E89" s="23">
        <f>IFERROR(IF(ISBLANK(INDEX(Backlog[Jira Link],MATCH($A89,Backlog[Requirement ID],0))),"",INDEX(Backlog[Jira Link],MATCH($A89,Backlog[Requirement ID],0))),"")</f>
        <v/>
      </c>
      <c r="F89" s="21" t="inlineStr">
        <is>
          <t>Yes</t>
        </is>
      </c>
      <c r="G89" s="21" t="inlineStr">
        <is>
          <t>Yes</t>
        </is>
      </c>
      <c r="H89" s="29">
        <f>IFERROR(IF(ISBLANK(INDEX(SprintPlanning[Sprint],MATCH($A89,SprintPlanning[Requirement ID],0))),"",INDEX(SprintPlanning[Sprint],MATCH($A89,SprintPlanning[Requirement ID],0))),"")</f>
        <v/>
      </c>
      <c r="I89" s="23">
        <f>IFERROR(IF(ISBLANK(INDEX(Backlog[Status],MATCH($A89,Backlog[Requirement ID],0))),"",INDEX(Backlog[Status],MATCH($A89,Backlog[Requirement ID],0))),"")</f>
        <v/>
      </c>
      <c r="J89" s="23">
        <f>IFERROR(IF(ISBLANK(INDEX(Backlog[Priority],MATCH($A89,Backlog[Requirement ID],0))),"",INDEX(Backlog[Priority],MATCH($A89,Backlog[Requirement ID],0))),"")</f>
        <v/>
      </c>
      <c r="K89" s="21" t="n"/>
      <c r="L89" s="43" t="n"/>
      <c r="M89" s="43" t="n"/>
      <c r="N89" s="21" t="n"/>
      <c r="O89" s="44" t="n"/>
      <c r="P89" s="33" t="n"/>
      <c r="Q89" s="33" t="n"/>
    </row>
    <row r="90" ht="15" customHeight="1">
      <c r="A90" s="21" t="inlineStr">
        <is>
          <t>NEW-0233</t>
        </is>
      </c>
      <c r="B90" s="23">
        <f>IFERROR(IF(ISBLANK(INDEX(Backlog[Requirement Name],MATCH($A90,Backlog[Requirement ID],0))),"",INDEX(Backlog[Requirement Name],MATCH($A90,Backlog[Requirement ID],0))),"")</f>
        <v/>
      </c>
      <c r="C90" s="23">
        <f>IFERROR(IF(ISBLANK(INDEX(Backlog[Stream],MATCH($A90,Backlog[Requirement ID],0))),"",INDEX(Backlog[Stream],MATCH($A90,Backlog[Requirement ID],0))),"")</f>
        <v/>
      </c>
      <c r="D90" s="23">
        <f>IFERROR(IF(ISBLANK(INDEX(Backlog[Stream Owner],MATCH($A90,Backlog[Requirement ID],0))),"",INDEX(Backlog[Stream Owner],MATCH($A90,Backlog[Requirement ID],0))),"")</f>
        <v/>
      </c>
      <c r="E90" s="23">
        <f>IFERROR(IF(ISBLANK(INDEX(Backlog[Jira Link],MATCH($A90,Backlog[Requirement ID],0))),"",INDEX(Backlog[Jira Link],MATCH($A90,Backlog[Requirement ID],0))),"")</f>
        <v/>
      </c>
      <c r="F90" s="21" t="inlineStr">
        <is>
          <t>Yes</t>
        </is>
      </c>
      <c r="G90" s="21" t="inlineStr">
        <is>
          <t>Yes</t>
        </is>
      </c>
      <c r="H90" s="29">
        <f>IFERROR(IF(ISBLANK(INDEX(SprintPlanning[Sprint],MATCH($A90,SprintPlanning[Requirement ID],0))),"",INDEX(SprintPlanning[Sprint],MATCH($A90,SprintPlanning[Requirement ID],0))),"")</f>
        <v/>
      </c>
      <c r="I90" s="23">
        <f>IFERROR(IF(ISBLANK(INDEX(Backlog[Status],MATCH($A90,Backlog[Requirement ID],0))),"",INDEX(Backlog[Status],MATCH($A90,Backlog[Requirement ID],0))),"")</f>
        <v/>
      </c>
      <c r="J90" s="23">
        <f>IFERROR(IF(ISBLANK(INDEX(Backlog[Priority],MATCH($A90,Backlog[Requirement ID],0))),"",INDEX(Backlog[Priority],MATCH($A90,Backlog[Requirement ID],0))),"")</f>
        <v/>
      </c>
      <c r="K90" s="21" t="n"/>
      <c r="L90" s="43" t="n"/>
      <c r="M90" s="43" t="n"/>
      <c r="N90" s="21" t="n"/>
      <c r="O90" s="44" t="n"/>
      <c r="P90" s="33" t="n"/>
      <c r="Q90" s="33" t="n"/>
    </row>
    <row r="91" ht="15" customHeight="1">
      <c r="A91" s="21" t="inlineStr">
        <is>
          <t>NEW-0234</t>
        </is>
      </c>
      <c r="B91" s="23">
        <f>IFERROR(IF(ISBLANK(INDEX(Backlog[Requirement Name],MATCH($A91,Backlog[Requirement ID],0))),"",INDEX(Backlog[Requirement Name],MATCH($A91,Backlog[Requirement ID],0))),"")</f>
        <v/>
      </c>
      <c r="C91" s="23">
        <f>IFERROR(IF(ISBLANK(INDEX(Backlog[Stream],MATCH($A91,Backlog[Requirement ID],0))),"",INDEX(Backlog[Stream],MATCH($A91,Backlog[Requirement ID],0))),"")</f>
        <v/>
      </c>
      <c r="D91" s="23">
        <f>IFERROR(IF(ISBLANK(INDEX(Backlog[Stream Owner],MATCH($A91,Backlog[Requirement ID],0))),"",INDEX(Backlog[Stream Owner],MATCH($A91,Backlog[Requirement ID],0))),"")</f>
        <v/>
      </c>
      <c r="E91" s="23">
        <f>IFERROR(IF(ISBLANK(INDEX(Backlog[Jira Link],MATCH($A91,Backlog[Requirement ID],0))),"",INDEX(Backlog[Jira Link],MATCH($A91,Backlog[Requirement ID],0))),"")</f>
        <v/>
      </c>
      <c r="F91" s="21" t="inlineStr">
        <is>
          <t>Yes</t>
        </is>
      </c>
      <c r="G91" s="21" t="inlineStr">
        <is>
          <t>Yes</t>
        </is>
      </c>
      <c r="H91" s="29">
        <f>IFERROR(IF(ISBLANK(INDEX(SprintPlanning[Sprint],MATCH($A91,SprintPlanning[Requirement ID],0))),"",INDEX(SprintPlanning[Sprint],MATCH($A91,SprintPlanning[Requirement ID],0))),"")</f>
        <v/>
      </c>
      <c r="I91" s="23">
        <f>IFERROR(IF(ISBLANK(INDEX(Backlog[Status],MATCH($A91,Backlog[Requirement ID],0))),"",INDEX(Backlog[Status],MATCH($A91,Backlog[Requirement ID],0))),"")</f>
        <v/>
      </c>
      <c r="J91" s="23">
        <f>IFERROR(IF(ISBLANK(INDEX(Backlog[Priority],MATCH($A91,Backlog[Requirement ID],0))),"",INDEX(Backlog[Priority],MATCH($A91,Backlog[Requirement ID],0))),"")</f>
        <v/>
      </c>
      <c r="K91" s="21" t="n"/>
      <c r="L91" s="43" t="n"/>
      <c r="M91" s="43" t="n"/>
      <c r="N91" s="21" t="n"/>
      <c r="O91" s="44" t="n"/>
      <c r="P91" s="33" t="n"/>
      <c r="Q91" s="33" t="n"/>
    </row>
    <row r="92" ht="15" customHeight="1">
      <c r="A92" s="21" t="inlineStr">
        <is>
          <t>NEW-0235</t>
        </is>
      </c>
      <c r="B92" s="23">
        <f>IFERROR(IF(ISBLANK(INDEX(Backlog[Requirement Name],MATCH($A92,Backlog[Requirement ID],0))),"",INDEX(Backlog[Requirement Name],MATCH($A92,Backlog[Requirement ID],0))),"")</f>
        <v/>
      </c>
      <c r="C92" s="23">
        <f>IFERROR(IF(ISBLANK(INDEX(Backlog[Stream],MATCH($A92,Backlog[Requirement ID],0))),"",INDEX(Backlog[Stream],MATCH($A92,Backlog[Requirement ID],0))),"")</f>
        <v/>
      </c>
      <c r="D92" s="23">
        <f>IFERROR(IF(ISBLANK(INDEX(Backlog[Stream Owner],MATCH($A92,Backlog[Requirement ID],0))),"",INDEX(Backlog[Stream Owner],MATCH($A92,Backlog[Requirement ID],0))),"")</f>
        <v/>
      </c>
      <c r="E92" s="23">
        <f>IFERROR(IF(ISBLANK(INDEX(Backlog[Jira Link],MATCH($A92,Backlog[Requirement ID],0))),"",INDEX(Backlog[Jira Link],MATCH($A92,Backlog[Requirement ID],0))),"")</f>
        <v/>
      </c>
      <c r="F92" s="21" t="inlineStr">
        <is>
          <t>Yes</t>
        </is>
      </c>
      <c r="G92" s="21" t="inlineStr">
        <is>
          <t>Yes</t>
        </is>
      </c>
      <c r="H92" s="29">
        <f>IFERROR(IF(ISBLANK(INDEX(SprintPlanning[Sprint],MATCH($A92,SprintPlanning[Requirement ID],0))),"",INDEX(SprintPlanning[Sprint],MATCH($A92,SprintPlanning[Requirement ID],0))),"")</f>
        <v/>
      </c>
      <c r="I92" s="23">
        <f>IFERROR(IF(ISBLANK(INDEX(Backlog[Status],MATCH($A92,Backlog[Requirement ID],0))),"",INDEX(Backlog[Status],MATCH($A92,Backlog[Requirement ID],0))),"")</f>
        <v/>
      </c>
      <c r="J92" s="23">
        <f>IFERROR(IF(ISBLANK(INDEX(Backlog[Priority],MATCH($A92,Backlog[Requirement ID],0))),"",INDEX(Backlog[Priority],MATCH($A92,Backlog[Requirement ID],0))),"")</f>
        <v/>
      </c>
      <c r="K92" s="21" t="n"/>
      <c r="L92" s="43" t="n"/>
      <c r="M92" s="43" t="n"/>
      <c r="N92" s="21" t="n"/>
      <c r="O92" s="44" t="n"/>
      <c r="P92" s="33" t="n"/>
      <c r="Q92" s="33" t="n"/>
    </row>
    <row r="93" ht="15" customHeight="1">
      <c r="A93" s="21" t="inlineStr">
        <is>
          <t>NEW-0236</t>
        </is>
      </c>
      <c r="B93" s="23">
        <f>IFERROR(IF(ISBLANK(INDEX(Backlog[Requirement Name],MATCH($A93,Backlog[Requirement ID],0))),"",INDEX(Backlog[Requirement Name],MATCH($A93,Backlog[Requirement ID],0))),"")</f>
        <v/>
      </c>
      <c r="C93" s="23">
        <f>IFERROR(IF(ISBLANK(INDEX(Backlog[Stream],MATCH($A93,Backlog[Requirement ID],0))),"",INDEX(Backlog[Stream],MATCH($A93,Backlog[Requirement ID],0))),"")</f>
        <v/>
      </c>
      <c r="D93" s="23">
        <f>IFERROR(IF(ISBLANK(INDEX(Backlog[Stream Owner],MATCH($A93,Backlog[Requirement ID],0))),"",INDEX(Backlog[Stream Owner],MATCH($A93,Backlog[Requirement ID],0))),"")</f>
        <v/>
      </c>
      <c r="E93" s="23">
        <f>IFERROR(IF(ISBLANK(INDEX(Backlog[Jira Link],MATCH($A93,Backlog[Requirement ID],0))),"",INDEX(Backlog[Jira Link],MATCH($A93,Backlog[Requirement ID],0))),"")</f>
        <v/>
      </c>
      <c r="F93" s="21" t="inlineStr">
        <is>
          <t>Yes</t>
        </is>
      </c>
      <c r="G93" s="21" t="inlineStr">
        <is>
          <t>Yes</t>
        </is>
      </c>
      <c r="H93" s="29">
        <f>IFERROR(IF(ISBLANK(INDEX(SprintPlanning[Sprint],MATCH($A93,SprintPlanning[Requirement ID],0))),"",INDEX(SprintPlanning[Sprint],MATCH($A93,SprintPlanning[Requirement ID],0))),"")</f>
        <v/>
      </c>
      <c r="I93" s="23">
        <f>IFERROR(IF(ISBLANK(INDEX(Backlog[Status],MATCH($A93,Backlog[Requirement ID],0))),"",INDEX(Backlog[Status],MATCH($A93,Backlog[Requirement ID],0))),"")</f>
        <v/>
      </c>
      <c r="J93" s="23">
        <f>IFERROR(IF(ISBLANK(INDEX(Backlog[Priority],MATCH($A93,Backlog[Requirement ID],0))),"",INDEX(Backlog[Priority],MATCH($A93,Backlog[Requirement ID],0))),"")</f>
        <v/>
      </c>
      <c r="K93" s="21" t="n"/>
      <c r="L93" s="43" t="n"/>
      <c r="M93" s="43" t="n"/>
      <c r="N93" s="21" t="n"/>
      <c r="O93" s="44" t="n"/>
      <c r="P93" s="33" t="n"/>
      <c r="Q93" s="33" t="n"/>
    </row>
    <row r="94" ht="15" customHeight="1">
      <c r="A94" s="21" t="inlineStr">
        <is>
          <t>NEW-0237</t>
        </is>
      </c>
      <c r="B94" s="23">
        <f>IFERROR(IF(ISBLANK(INDEX(Backlog[Requirement Name],MATCH($A94,Backlog[Requirement ID],0))),"",INDEX(Backlog[Requirement Name],MATCH($A94,Backlog[Requirement ID],0))),"")</f>
        <v/>
      </c>
      <c r="C94" s="23">
        <f>IFERROR(IF(ISBLANK(INDEX(Backlog[Stream],MATCH($A94,Backlog[Requirement ID],0))),"",INDEX(Backlog[Stream],MATCH($A94,Backlog[Requirement ID],0))),"")</f>
        <v/>
      </c>
      <c r="D94" s="23">
        <f>IFERROR(IF(ISBLANK(INDEX(Backlog[Stream Owner],MATCH($A94,Backlog[Requirement ID],0))),"",INDEX(Backlog[Stream Owner],MATCH($A94,Backlog[Requirement ID],0))),"")</f>
        <v/>
      </c>
      <c r="E94" s="23">
        <f>IFERROR(IF(ISBLANK(INDEX(Backlog[Jira Link],MATCH($A94,Backlog[Requirement ID],0))),"",INDEX(Backlog[Jira Link],MATCH($A94,Backlog[Requirement ID],0))),"")</f>
        <v/>
      </c>
      <c r="F94" s="21" t="inlineStr">
        <is>
          <t>Yes</t>
        </is>
      </c>
      <c r="G94" s="21" t="inlineStr">
        <is>
          <t>Yes</t>
        </is>
      </c>
      <c r="H94" s="29">
        <f>IFERROR(IF(ISBLANK(INDEX(SprintPlanning[Sprint],MATCH($A94,SprintPlanning[Requirement ID],0))),"",INDEX(SprintPlanning[Sprint],MATCH($A94,SprintPlanning[Requirement ID],0))),"")</f>
        <v/>
      </c>
      <c r="I94" s="23">
        <f>IFERROR(IF(ISBLANK(INDEX(Backlog[Status],MATCH($A94,Backlog[Requirement ID],0))),"",INDEX(Backlog[Status],MATCH($A94,Backlog[Requirement ID],0))),"")</f>
        <v/>
      </c>
      <c r="J94" s="23">
        <f>IFERROR(IF(ISBLANK(INDEX(Backlog[Priority],MATCH($A94,Backlog[Requirement ID],0))),"",INDEX(Backlog[Priority],MATCH($A94,Backlog[Requirement ID],0))),"")</f>
        <v/>
      </c>
      <c r="K94" s="21" t="n"/>
      <c r="L94" s="43" t="n"/>
      <c r="M94" s="43" t="n"/>
      <c r="N94" s="21" t="n"/>
      <c r="O94" s="44" t="n"/>
      <c r="P94" s="33" t="n"/>
      <c r="Q94" s="33" t="n"/>
    </row>
    <row r="95" ht="15" customHeight="1">
      <c r="A95" s="21" t="inlineStr">
        <is>
          <t>NEW-0238</t>
        </is>
      </c>
      <c r="B95" s="23">
        <f>IFERROR(IF(ISBLANK(INDEX(Backlog[Requirement Name],MATCH($A95,Backlog[Requirement ID],0))),"",INDEX(Backlog[Requirement Name],MATCH($A95,Backlog[Requirement ID],0))),"")</f>
        <v/>
      </c>
      <c r="C95" s="23">
        <f>IFERROR(IF(ISBLANK(INDEX(Backlog[Stream],MATCH($A95,Backlog[Requirement ID],0))),"",INDEX(Backlog[Stream],MATCH($A95,Backlog[Requirement ID],0))),"")</f>
        <v/>
      </c>
      <c r="D95" s="23">
        <f>IFERROR(IF(ISBLANK(INDEX(Backlog[Stream Owner],MATCH($A95,Backlog[Requirement ID],0))),"",INDEX(Backlog[Stream Owner],MATCH($A95,Backlog[Requirement ID],0))),"")</f>
        <v/>
      </c>
      <c r="E95" s="23">
        <f>IFERROR(IF(ISBLANK(INDEX(Backlog[Jira Link],MATCH($A95,Backlog[Requirement ID],0))),"",INDEX(Backlog[Jira Link],MATCH($A95,Backlog[Requirement ID],0))),"")</f>
        <v/>
      </c>
      <c r="F95" s="21" t="inlineStr">
        <is>
          <t>Yes</t>
        </is>
      </c>
      <c r="G95" s="21" t="inlineStr">
        <is>
          <t>Yes</t>
        </is>
      </c>
      <c r="H95" s="29">
        <f>IFERROR(IF(ISBLANK(INDEX(SprintPlanning[Sprint],MATCH($A95,SprintPlanning[Requirement ID],0))),"",INDEX(SprintPlanning[Sprint],MATCH($A95,SprintPlanning[Requirement ID],0))),"")</f>
        <v/>
      </c>
      <c r="I95" s="23">
        <f>IFERROR(IF(ISBLANK(INDEX(Backlog[Status],MATCH($A95,Backlog[Requirement ID],0))),"",INDEX(Backlog[Status],MATCH($A95,Backlog[Requirement ID],0))),"")</f>
        <v/>
      </c>
      <c r="J95" s="23">
        <f>IFERROR(IF(ISBLANK(INDEX(Backlog[Priority],MATCH($A95,Backlog[Requirement ID],0))),"",INDEX(Backlog[Priority],MATCH($A95,Backlog[Requirement ID],0))),"")</f>
        <v/>
      </c>
      <c r="K95" s="21" t="n"/>
      <c r="L95" s="43" t="n"/>
      <c r="M95" s="43" t="n"/>
      <c r="N95" s="21" t="n"/>
      <c r="O95" s="44" t="n"/>
      <c r="P95" s="33" t="n"/>
      <c r="Q95" s="33" t="n"/>
    </row>
    <row r="96" ht="15" customHeight="1">
      <c r="A96" s="21" t="inlineStr">
        <is>
          <t>NEW-0239</t>
        </is>
      </c>
      <c r="B96" s="23">
        <f>IFERROR(IF(ISBLANK(INDEX(Backlog[Requirement Name],MATCH($A96,Backlog[Requirement ID],0))),"",INDEX(Backlog[Requirement Name],MATCH($A96,Backlog[Requirement ID],0))),"")</f>
        <v/>
      </c>
      <c r="C96" s="23">
        <f>IFERROR(IF(ISBLANK(INDEX(Backlog[Stream],MATCH($A96,Backlog[Requirement ID],0))),"",INDEX(Backlog[Stream],MATCH($A96,Backlog[Requirement ID],0))),"")</f>
        <v/>
      </c>
      <c r="D96" s="23">
        <f>IFERROR(IF(ISBLANK(INDEX(Backlog[Stream Owner],MATCH($A96,Backlog[Requirement ID],0))),"",INDEX(Backlog[Stream Owner],MATCH($A96,Backlog[Requirement ID],0))),"")</f>
        <v/>
      </c>
      <c r="E96" s="23">
        <f>IFERROR(IF(ISBLANK(INDEX(Backlog[Jira Link],MATCH($A96,Backlog[Requirement ID],0))),"",INDEX(Backlog[Jira Link],MATCH($A96,Backlog[Requirement ID],0))),"")</f>
        <v/>
      </c>
      <c r="F96" s="21" t="inlineStr">
        <is>
          <t>Yes</t>
        </is>
      </c>
      <c r="G96" s="21" t="inlineStr">
        <is>
          <t>Yes</t>
        </is>
      </c>
      <c r="H96" s="29">
        <f>IFERROR(IF(ISBLANK(INDEX(SprintPlanning[Sprint],MATCH($A96,SprintPlanning[Requirement ID],0))),"",INDEX(SprintPlanning[Sprint],MATCH($A96,SprintPlanning[Requirement ID],0))),"")</f>
        <v/>
      </c>
      <c r="I96" s="23">
        <f>IFERROR(IF(ISBLANK(INDEX(Backlog[Status],MATCH($A96,Backlog[Requirement ID],0))),"",INDEX(Backlog[Status],MATCH($A96,Backlog[Requirement ID],0))),"")</f>
        <v/>
      </c>
      <c r="J96" s="23">
        <f>IFERROR(IF(ISBLANK(INDEX(Backlog[Priority],MATCH($A96,Backlog[Requirement ID],0))),"",INDEX(Backlog[Priority],MATCH($A96,Backlog[Requirement ID],0))),"")</f>
        <v/>
      </c>
      <c r="K96" s="21" t="n"/>
      <c r="L96" s="43" t="n"/>
      <c r="M96" s="43" t="n"/>
      <c r="N96" s="21" t="n"/>
      <c r="O96" s="44" t="n"/>
      <c r="P96" s="33" t="n"/>
      <c r="Q96" s="33" t="n"/>
    </row>
    <row r="97" ht="15" customHeight="1">
      <c r="A97" s="21" t="inlineStr">
        <is>
          <t>NEW-0240</t>
        </is>
      </c>
      <c r="B97" s="23">
        <f>IFERROR(IF(ISBLANK(INDEX(Backlog[Requirement Name],MATCH($A97,Backlog[Requirement ID],0))),"",INDEX(Backlog[Requirement Name],MATCH($A97,Backlog[Requirement ID],0))),"")</f>
        <v/>
      </c>
      <c r="C97" s="23">
        <f>IFERROR(IF(ISBLANK(INDEX(Backlog[Stream],MATCH($A97,Backlog[Requirement ID],0))),"",INDEX(Backlog[Stream],MATCH($A97,Backlog[Requirement ID],0))),"")</f>
        <v/>
      </c>
      <c r="D97" s="23">
        <f>IFERROR(IF(ISBLANK(INDEX(Backlog[Stream Owner],MATCH($A97,Backlog[Requirement ID],0))),"",INDEX(Backlog[Stream Owner],MATCH($A97,Backlog[Requirement ID],0))),"")</f>
        <v/>
      </c>
      <c r="E97" s="23">
        <f>IFERROR(IF(ISBLANK(INDEX(Backlog[Jira Link],MATCH($A97,Backlog[Requirement ID],0))),"",INDEX(Backlog[Jira Link],MATCH($A97,Backlog[Requirement ID],0))),"")</f>
        <v/>
      </c>
      <c r="F97" s="21" t="inlineStr">
        <is>
          <t>Yes</t>
        </is>
      </c>
      <c r="G97" s="21" t="inlineStr">
        <is>
          <t>Yes</t>
        </is>
      </c>
      <c r="H97" s="29">
        <f>IFERROR(IF(ISBLANK(INDEX(SprintPlanning[Sprint],MATCH($A97,SprintPlanning[Requirement ID],0))),"",INDEX(SprintPlanning[Sprint],MATCH($A97,SprintPlanning[Requirement ID],0))),"")</f>
        <v/>
      </c>
      <c r="I97" s="23">
        <f>IFERROR(IF(ISBLANK(INDEX(Backlog[Status],MATCH($A97,Backlog[Requirement ID],0))),"",INDEX(Backlog[Status],MATCH($A97,Backlog[Requirement ID],0))),"")</f>
        <v/>
      </c>
      <c r="J97" s="23">
        <f>IFERROR(IF(ISBLANK(INDEX(Backlog[Priority],MATCH($A97,Backlog[Requirement ID],0))),"",INDEX(Backlog[Priority],MATCH($A97,Backlog[Requirement ID],0))),"")</f>
        <v/>
      </c>
      <c r="K97" s="21" t="n"/>
      <c r="L97" s="43" t="n"/>
      <c r="M97" s="43" t="n"/>
      <c r="N97" s="21" t="n"/>
      <c r="O97" s="44" t="n"/>
      <c r="P97" s="33" t="n"/>
      <c r="Q97" s="33" t="n"/>
    </row>
    <row r="98" ht="15" customHeight="1">
      <c r="A98" s="21" t="inlineStr">
        <is>
          <t>NEW-0241</t>
        </is>
      </c>
      <c r="B98" s="23">
        <f>IFERROR(IF(ISBLANK(INDEX(Backlog[Requirement Name],MATCH($A98,Backlog[Requirement ID],0))),"",INDEX(Backlog[Requirement Name],MATCH($A98,Backlog[Requirement ID],0))),"")</f>
        <v/>
      </c>
      <c r="C98" s="23">
        <f>IFERROR(IF(ISBLANK(INDEX(Backlog[Stream],MATCH($A98,Backlog[Requirement ID],0))),"",INDEX(Backlog[Stream],MATCH($A98,Backlog[Requirement ID],0))),"")</f>
        <v/>
      </c>
      <c r="D98" s="23">
        <f>IFERROR(IF(ISBLANK(INDEX(Backlog[Stream Owner],MATCH($A98,Backlog[Requirement ID],0))),"",INDEX(Backlog[Stream Owner],MATCH($A98,Backlog[Requirement ID],0))),"")</f>
        <v/>
      </c>
      <c r="E98" s="23">
        <f>IFERROR(IF(ISBLANK(INDEX(Backlog[Jira Link],MATCH($A98,Backlog[Requirement ID],0))),"",INDEX(Backlog[Jira Link],MATCH($A98,Backlog[Requirement ID],0))),"")</f>
        <v/>
      </c>
      <c r="F98" s="21" t="inlineStr">
        <is>
          <t>Yes</t>
        </is>
      </c>
      <c r="G98" s="21" t="inlineStr">
        <is>
          <t>Yes</t>
        </is>
      </c>
      <c r="H98" s="29">
        <f>IFERROR(IF(ISBLANK(INDEX(SprintPlanning[Sprint],MATCH($A98,SprintPlanning[Requirement ID],0))),"",INDEX(SprintPlanning[Sprint],MATCH($A98,SprintPlanning[Requirement ID],0))),"")</f>
        <v/>
      </c>
      <c r="I98" s="23">
        <f>IFERROR(IF(ISBLANK(INDEX(Backlog[Status],MATCH($A98,Backlog[Requirement ID],0))),"",INDEX(Backlog[Status],MATCH($A98,Backlog[Requirement ID],0))),"")</f>
        <v/>
      </c>
      <c r="J98" s="23">
        <f>IFERROR(IF(ISBLANK(INDEX(Backlog[Priority],MATCH($A98,Backlog[Requirement ID],0))),"",INDEX(Backlog[Priority],MATCH($A98,Backlog[Requirement ID],0))),"")</f>
        <v/>
      </c>
      <c r="K98" s="21" t="n"/>
      <c r="L98" s="43" t="n"/>
      <c r="M98" s="43" t="n"/>
      <c r="N98" s="21" t="n"/>
      <c r="O98" s="44" t="n"/>
      <c r="P98" s="33" t="n"/>
      <c r="Q98" s="33" t="n"/>
    </row>
    <row r="99" ht="15" customHeight="1">
      <c r="A99" s="21" t="inlineStr">
        <is>
          <t>NEW-0242</t>
        </is>
      </c>
      <c r="B99" s="23">
        <f>IFERROR(IF(ISBLANK(INDEX(Backlog[Requirement Name],MATCH($A99,Backlog[Requirement ID],0))),"",INDEX(Backlog[Requirement Name],MATCH($A99,Backlog[Requirement ID],0))),"")</f>
        <v/>
      </c>
      <c r="C99" s="23">
        <f>IFERROR(IF(ISBLANK(INDEX(Backlog[Stream],MATCH($A99,Backlog[Requirement ID],0))),"",INDEX(Backlog[Stream],MATCH($A99,Backlog[Requirement ID],0))),"")</f>
        <v/>
      </c>
      <c r="D99" s="23">
        <f>IFERROR(IF(ISBLANK(INDEX(Backlog[Stream Owner],MATCH($A99,Backlog[Requirement ID],0))),"",INDEX(Backlog[Stream Owner],MATCH($A99,Backlog[Requirement ID],0))),"")</f>
        <v/>
      </c>
      <c r="E99" s="23">
        <f>IFERROR(IF(ISBLANK(INDEX(Backlog[Jira Link],MATCH($A99,Backlog[Requirement ID],0))),"",INDEX(Backlog[Jira Link],MATCH($A99,Backlog[Requirement ID],0))),"")</f>
        <v/>
      </c>
      <c r="F99" s="21" t="inlineStr">
        <is>
          <t>Yes</t>
        </is>
      </c>
      <c r="G99" s="21" t="inlineStr">
        <is>
          <t>Yes</t>
        </is>
      </c>
      <c r="H99" s="29">
        <f>IFERROR(IF(ISBLANK(INDEX(SprintPlanning[Sprint],MATCH($A99,SprintPlanning[Requirement ID],0))),"",INDEX(SprintPlanning[Sprint],MATCH($A99,SprintPlanning[Requirement ID],0))),"")</f>
        <v/>
      </c>
      <c r="I99" s="23">
        <f>IFERROR(IF(ISBLANK(INDEX(Backlog[Status],MATCH($A99,Backlog[Requirement ID],0))),"",INDEX(Backlog[Status],MATCH($A99,Backlog[Requirement ID],0))),"")</f>
        <v/>
      </c>
      <c r="J99" s="23">
        <f>IFERROR(IF(ISBLANK(INDEX(Backlog[Priority],MATCH($A99,Backlog[Requirement ID],0))),"",INDEX(Backlog[Priority],MATCH($A99,Backlog[Requirement ID],0))),"")</f>
        <v/>
      </c>
      <c r="K99" s="21" t="n"/>
      <c r="L99" s="43" t="n"/>
      <c r="M99" s="43" t="n"/>
      <c r="N99" s="21" t="n"/>
      <c r="O99" s="44" t="n"/>
      <c r="P99" s="33" t="n"/>
      <c r="Q99" s="33" t="n"/>
    </row>
    <row r="100" ht="15" customHeight="1">
      <c r="A100" s="21" t="inlineStr">
        <is>
          <t>NEW-0243</t>
        </is>
      </c>
      <c r="B100" s="39">
        <f>IFERROR(IF(ISBLANK(INDEX(Backlog[Requirement Name],MATCH($A100,Backlog[Requirement ID],0))),"",INDEX(Backlog[Requirement Name],MATCH($A100,Backlog[Requirement ID],0))),"")</f>
        <v/>
      </c>
      <c r="C100" s="23">
        <f>IFERROR(IF(ISBLANK(INDEX(Backlog[Stream],MATCH($A100,Backlog[Requirement ID],0))),"",INDEX(Backlog[Stream],MATCH($A100,Backlog[Requirement ID],0))),"")</f>
        <v/>
      </c>
      <c r="D100" s="23">
        <f>IFERROR(IF(ISBLANK(INDEX(Backlog[Stream Owner],MATCH($A100,Backlog[Requirement ID],0))),"",INDEX(Backlog[Stream Owner],MATCH($A100,Backlog[Requirement ID],0))),"")</f>
        <v/>
      </c>
      <c r="E100" s="23">
        <f>IFERROR(IF(ISBLANK(INDEX(Backlog[Jira Link],MATCH($A100,Backlog[Requirement ID],0))),"",INDEX(Backlog[Jira Link],MATCH($A100,Backlog[Requirement ID],0))),"")</f>
        <v/>
      </c>
      <c r="F100" s="21" t="inlineStr">
        <is>
          <t>Yes</t>
        </is>
      </c>
      <c r="G100" s="21" t="inlineStr">
        <is>
          <t>Yes</t>
        </is>
      </c>
      <c r="H100" s="29">
        <f>IFERROR(IF(ISBLANK(INDEX(SprintPlanning[Sprint],MATCH($A100,SprintPlanning[Requirement ID],0))),"",INDEX(SprintPlanning[Sprint],MATCH($A100,SprintPlanning[Requirement ID],0))),"")</f>
        <v/>
      </c>
      <c r="I100" s="23">
        <f>IFERROR(IF(ISBLANK(INDEX(Backlog[Status],MATCH($A100,Backlog[Requirement ID],0))),"",INDEX(Backlog[Status],MATCH($A100,Backlog[Requirement ID],0))),"")</f>
        <v/>
      </c>
      <c r="J100" s="23">
        <f>IFERROR(IF(ISBLANK(INDEX(Backlog[Priority],MATCH($A100,Backlog[Requirement ID],0))),"",INDEX(Backlog[Priority],MATCH($A100,Backlog[Requirement ID],0))),"")</f>
        <v/>
      </c>
      <c r="K100" s="21" t="n"/>
      <c r="L100" s="43" t="n"/>
      <c r="M100" s="43" t="n"/>
      <c r="N100" s="21" t="n"/>
      <c r="O100" s="44" t="n"/>
      <c r="P100" s="33" t="n"/>
      <c r="Q100" s="33" t="n"/>
    </row>
    <row r="101" ht="15" customHeight="1">
      <c r="A101" s="21" t="inlineStr">
        <is>
          <t>NEW-0245</t>
        </is>
      </c>
      <c r="B101" s="39">
        <f>IFERROR(IF(ISBLANK(INDEX(Backlog[Requirement Name],MATCH($A101,Backlog[Requirement ID],0))),"",INDEX(Backlog[Requirement Name],MATCH($A101,Backlog[Requirement ID],0))),"")</f>
        <v/>
      </c>
      <c r="C101" s="23">
        <f>IFERROR(IF(ISBLANK(INDEX(Backlog[Stream],MATCH($A101,Backlog[Requirement ID],0))),"",INDEX(Backlog[Stream],MATCH($A101,Backlog[Requirement ID],0))),"")</f>
        <v/>
      </c>
      <c r="D101" s="23">
        <f>IFERROR(IF(ISBLANK(INDEX(Backlog[Stream Owner],MATCH($A101,Backlog[Requirement ID],0))),"",INDEX(Backlog[Stream Owner],MATCH($A101,Backlog[Requirement ID],0))),"")</f>
        <v/>
      </c>
      <c r="E101" s="23">
        <f>IFERROR(IF(ISBLANK(INDEX(Backlog[Jira Link],MATCH($A101,Backlog[Requirement ID],0))),"",INDEX(Backlog[Jira Link],MATCH($A101,Backlog[Requirement ID],0))),"")</f>
        <v/>
      </c>
      <c r="F101" s="21" t="inlineStr">
        <is>
          <t>Yes</t>
        </is>
      </c>
      <c r="G101" s="21" t="inlineStr">
        <is>
          <t>Yes</t>
        </is>
      </c>
      <c r="H101" s="29">
        <f>IFERROR(IF(ISBLANK(INDEX(SprintPlanning[Sprint],MATCH($A101,SprintPlanning[Requirement ID],0))),"",INDEX(SprintPlanning[Sprint],MATCH($A101,SprintPlanning[Requirement ID],0))),"")</f>
        <v/>
      </c>
      <c r="I101" s="23">
        <f>IFERROR(IF(ISBLANK(INDEX(Backlog[Status],MATCH($A101,Backlog[Requirement ID],0))),"",INDEX(Backlog[Status],MATCH($A101,Backlog[Requirement ID],0))),"")</f>
        <v/>
      </c>
      <c r="J101" s="23">
        <f>IFERROR(IF(ISBLANK(INDEX(Backlog[Priority],MATCH($A101,Backlog[Requirement ID],0))),"",INDEX(Backlog[Priority],MATCH($A101,Backlog[Requirement ID],0))),"")</f>
        <v/>
      </c>
      <c r="K101" s="21" t="n"/>
      <c r="L101" s="43" t="n"/>
      <c r="M101" s="43" t="n"/>
      <c r="N101" s="21" t="n"/>
      <c r="O101" s="44" t="n"/>
      <c r="P101" s="33" t="n"/>
      <c r="Q101" s="33" t="n"/>
    </row>
    <row r="102" ht="15" customHeight="1">
      <c r="A102" s="21" t="inlineStr">
        <is>
          <t>NEW-0246</t>
        </is>
      </c>
      <c r="B102" s="23">
        <f>IFERROR(IF(ISBLANK(INDEX(Backlog[Requirement Name],MATCH($A102,Backlog[Requirement ID],0))),"",INDEX(Backlog[Requirement Name],MATCH($A102,Backlog[Requirement ID],0))),"")</f>
        <v/>
      </c>
      <c r="C102" s="23">
        <f>IFERROR(IF(ISBLANK(INDEX(Backlog[Stream],MATCH($A102,Backlog[Requirement ID],0))),"",INDEX(Backlog[Stream],MATCH($A102,Backlog[Requirement ID],0))),"")</f>
        <v/>
      </c>
      <c r="D102" s="23">
        <f>IFERROR(IF(ISBLANK(INDEX(Backlog[Stream Owner],MATCH($A102,Backlog[Requirement ID],0))),"",INDEX(Backlog[Stream Owner],MATCH($A102,Backlog[Requirement ID],0))),"")</f>
        <v/>
      </c>
      <c r="E102" s="23">
        <f>IFERROR(IF(ISBLANK(INDEX(Backlog[Jira Link],MATCH($A102,Backlog[Requirement ID],0))),"",INDEX(Backlog[Jira Link],MATCH($A102,Backlog[Requirement ID],0))),"")</f>
        <v/>
      </c>
      <c r="F102" s="21" t="inlineStr">
        <is>
          <t>Yes</t>
        </is>
      </c>
      <c r="G102" s="21" t="inlineStr">
        <is>
          <t>Yes</t>
        </is>
      </c>
      <c r="H102" s="29">
        <f>IFERROR(IF(ISBLANK(INDEX(SprintPlanning[Sprint],MATCH($A102,SprintPlanning[Requirement ID],0))),"",INDEX(SprintPlanning[Sprint],MATCH($A102,SprintPlanning[Requirement ID],0))),"")</f>
        <v/>
      </c>
      <c r="I102" s="23">
        <f>IFERROR(IF(ISBLANK(INDEX(Backlog[Status],MATCH($A102,Backlog[Requirement ID],0))),"",INDEX(Backlog[Status],MATCH($A102,Backlog[Requirement ID],0))),"")</f>
        <v/>
      </c>
      <c r="J102" s="23">
        <f>IFERROR(IF(ISBLANK(INDEX(Backlog[Priority],MATCH($A102,Backlog[Requirement ID],0))),"",INDEX(Backlog[Priority],MATCH($A102,Backlog[Requirement ID],0))),"")</f>
        <v/>
      </c>
      <c r="K102" s="21" t="n"/>
      <c r="L102" s="43" t="n"/>
      <c r="M102" s="43" t="n"/>
      <c r="N102" s="21" t="n"/>
      <c r="O102" s="44" t="n"/>
      <c r="P102" s="33" t="n"/>
      <c r="Q102" s="33" t="n"/>
    </row>
    <row r="103" ht="15" customHeight="1">
      <c r="A103" s="21" t="inlineStr">
        <is>
          <t>NEW-0247</t>
        </is>
      </c>
      <c r="B103" s="23">
        <f>IFERROR(IF(ISBLANK(INDEX(Backlog[Requirement Name],MATCH($A103,Backlog[Requirement ID],0))),"",INDEX(Backlog[Requirement Name],MATCH($A103,Backlog[Requirement ID],0))),"")</f>
        <v/>
      </c>
      <c r="C103" s="23">
        <f>IFERROR(IF(ISBLANK(INDEX(Backlog[Stream],MATCH($A103,Backlog[Requirement ID],0))),"",INDEX(Backlog[Stream],MATCH($A103,Backlog[Requirement ID],0))),"")</f>
        <v/>
      </c>
      <c r="D103" s="23">
        <f>IFERROR(IF(ISBLANK(INDEX(Backlog[Stream Owner],MATCH($A103,Backlog[Requirement ID],0))),"",INDEX(Backlog[Stream Owner],MATCH($A103,Backlog[Requirement ID],0))),"")</f>
        <v/>
      </c>
      <c r="E103" s="23">
        <f>IFERROR(IF(ISBLANK(INDEX(Backlog[Jira Link],MATCH($A103,Backlog[Requirement ID],0))),"",INDEX(Backlog[Jira Link],MATCH($A103,Backlog[Requirement ID],0))),"")</f>
        <v/>
      </c>
      <c r="F103" s="21" t="inlineStr">
        <is>
          <t>Yes</t>
        </is>
      </c>
      <c r="G103" s="21" t="inlineStr">
        <is>
          <t>Yes</t>
        </is>
      </c>
      <c r="H103" s="29">
        <f>IFERROR(IF(ISBLANK(INDEX(SprintPlanning[Sprint],MATCH($A103,SprintPlanning[Requirement ID],0))),"",INDEX(SprintPlanning[Sprint],MATCH($A103,SprintPlanning[Requirement ID],0))),"")</f>
        <v/>
      </c>
      <c r="I103" s="23">
        <f>IFERROR(IF(ISBLANK(INDEX(Backlog[Status],MATCH($A103,Backlog[Requirement ID],0))),"",INDEX(Backlog[Status],MATCH($A103,Backlog[Requirement ID],0))),"")</f>
        <v/>
      </c>
      <c r="J103" s="23">
        <f>IFERROR(IF(ISBLANK(INDEX(Backlog[Priority],MATCH($A103,Backlog[Requirement ID],0))),"",INDEX(Backlog[Priority],MATCH($A103,Backlog[Requirement ID],0))),"")</f>
        <v/>
      </c>
      <c r="K103" s="21" t="n"/>
      <c r="L103" s="43" t="n"/>
      <c r="M103" s="43" t="n"/>
      <c r="N103" s="21" t="n"/>
      <c r="O103" s="44" t="n"/>
      <c r="P103" s="33" t="n"/>
      <c r="Q103" s="33" t="n"/>
    </row>
    <row r="104" ht="15" customHeight="1">
      <c r="A104" s="21" t="inlineStr">
        <is>
          <t>NEW-0248</t>
        </is>
      </c>
      <c r="B104" s="23">
        <f>IFERROR(IF(ISBLANK(INDEX(Backlog[Requirement Name],MATCH($A104,Backlog[Requirement ID],0))),"",INDEX(Backlog[Requirement Name],MATCH($A104,Backlog[Requirement ID],0))),"")</f>
        <v/>
      </c>
      <c r="C104" s="23">
        <f>IFERROR(IF(ISBLANK(INDEX(Backlog[Stream],MATCH($A104,Backlog[Requirement ID],0))),"",INDEX(Backlog[Stream],MATCH($A104,Backlog[Requirement ID],0))),"")</f>
        <v/>
      </c>
      <c r="D104" s="23">
        <f>IFERROR(IF(ISBLANK(INDEX(Backlog[Stream Owner],MATCH($A104,Backlog[Requirement ID],0))),"",INDEX(Backlog[Stream Owner],MATCH($A104,Backlog[Requirement ID],0))),"")</f>
        <v/>
      </c>
      <c r="E104" s="23">
        <f>IFERROR(IF(ISBLANK(INDEX(Backlog[Jira Link],MATCH($A104,Backlog[Requirement ID],0))),"",INDEX(Backlog[Jira Link],MATCH($A104,Backlog[Requirement ID],0))),"")</f>
        <v/>
      </c>
      <c r="F104" s="21" t="inlineStr">
        <is>
          <t>Yes</t>
        </is>
      </c>
      <c r="G104" s="21" t="inlineStr">
        <is>
          <t>Yes</t>
        </is>
      </c>
      <c r="H104" s="29">
        <f>IFERROR(IF(ISBLANK(INDEX(SprintPlanning[Sprint],MATCH($A104,SprintPlanning[Requirement ID],0))),"",INDEX(SprintPlanning[Sprint],MATCH($A104,SprintPlanning[Requirement ID],0))),"")</f>
        <v/>
      </c>
      <c r="I104" s="23">
        <f>IFERROR(IF(ISBLANK(INDEX(Backlog[Status],MATCH($A104,Backlog[Requirement ID],0))),"",INDEX(Backlog[Status],MATCH($A104,Backlog[Requirement ID],0))),"")</f>
        <v/>
      </c>
      <c r="J104" s="23">
        <f>IFERROR(IF(ISBLANK(INDEX(Backlog[Priority],MATCH($A104,Backlog[Requirement ID],0))),"",INDEX(Backlog[Priority],MATCH($A104,Backlog[Requirement ID],0))),"")</f>
        <v/>
      </c>
      <c r="K104" s="21" t="n"/>
      <c r="L104" s="43" t="n"/>
      <c r="M104" s="43" t="n"/>
      <c r="N104" s="21" t="n"/>
      <c r="O104" s="44" t="n"/>
      <c r="P104" s="33" t="n"/>
      <c r="Q104" s="33" t="n"/>
    </row>
    <row r="105" ht="15" customHeight="1">
      <c r="A105" s="21" t="inlineStr">
        <is>
          <t>NEW-0249</t>
        </is>
      </c>
      <c r="B105" s="23">
        <f>IFERROR(IF(ISBLANK(INDEX(Backlog[Requirement Name],MATCH($A105,Backlog[Requirement ID],0))),"",INDEX(Backlog[Requirement Name],MATCH($A105,Backlog[Requirement ID],0))),"")</f>
        <v/>
      </c>
      <c r="C105" s="23">
        <f>IFERROR(IF(ISBLANK(INDEX(Backlog[Stream],MATCH($A105,Backlog[Requirement ID],0))),"",INDEX(Backlog[Stream],MATCH($A105,Backlog[Requirement ID],0))),"")</f>
        <v/>
      </c>
      <c r="D105" s="23">
        <f>IFERROR(IF(ISBLANK(INDEX(Backlog[Stream Owner],MATCH($A105,Backlog[Requirement ID],0))),"",INDEX(Backlog[Stream Owner],MATCH($A105,Backlog[Requirement ID],0))),"")</f>
        <v/>
      </c>
      <c r="E105" s="23">
        <f>IFERROR(IF(ISBLANK(INDEX(Backlog[Jira Link],MATCH($A105,Backlog[Requirement ID],0))),"",INDEX(Backlog[Jira Link],MATCH($A105,Backlog[Requirement ID],0))),"")</f>
        <v/>
      </c>
      <c r="F105" s="21" t="inlineStr">
        <is>
          <t>Yes</t>
        </is>
      </c>
      <c r="G105" s="21" t="inlineStr">
        <is>
          <t>Yes</t>
        </is>
      </c>
      <c r="H105" s="29">
        <f>IFERROR(IF(ISBLANK(INDEX(SprintPlanning[Sprint],MATCH($A105,SprintPlanning[Requirement ID],0))),"",INDEX(SprintPlanning[Sprint],MATCH($A105,SprintPlanning[Requirement ID],0))),"")</f>
        <v/>
      </c>
      <c r="I105" s="23">
        <f>IFERROR(IF(ISBLANK(INDEX(Backlog[Status],MATCH($A105,Backlog[Requirement ID],0))),"",INDEX(Backlog[Status],MATCH($A105,Backlog[Requirement ID],0))),"")</f>
        <v/>
      </c>
      <c r="J105" s="23">
        <f>IFERROR(IF(ISBLANK(INDEX(Backlog[Priority],MATCH($A105,Backlog[Requirement ID],0))),"",INDEX(Backlog[Priority],MATCH($A105,Backlog[Requirement ID],0))),"")</f>
        <v/>
      </c>
      <c r="K105" s="21" t="n"/>
      <c r="L105" s="43" t="n"/>
      <c r="M105" s="43" t="n"/>
      <c r="N105" s="21" t="n"/>
      <c r="O105" s="44" t="n"/>
      <c r="P105" s="33" t="n"/>
      <c r="Q105" s="33" t="n"/>
    </row>
    <row r="106" ht="15" customHeight="1">
      <c r="A106" s="21" t="inlineStr">
        <is>
          <t>NEW-0250</t>
        </is>
      </c>
      <c r="B106" s="23">
        <f>IFERROR(IF(ISBLANK(INDEX(Backlog[Requirement Name],MATCH($A106,Backlog[Requirement ID],0))),"",INDEX(Backlog[Requirement Name],MATCH($A106,Backlog[Requirement ID],0))),"")</f>
        <v/>
      </c>
      <c r="C106" s="23">
        <f>IFERROR(IF(ISBLANK(INDEX(Backlog[Stream],MATCH($A106,Backlog[Requirement ID],0))),"",INDEX(Backlog[Stream],MATCH($A106,Backlog[Requirement ID],0))),"")</f>
        <v/>
      </c>
      <c r="D106" s="23">
        <f>IFERROR(IF(ISBLANK(INDEX(Backlog[Stream Owner],MATCH($A106,Backlog[Requirement ID],0))),"",INDEX(Backlog[Stream Owner],MATCH($A106,Backlog[Requirement ID],0))),"")</f>
        <v/>
      </c>
      <c r="E106" s="23">
        <f>IFERROR(IF(ISBLANK(INDEX(Backlog[Jira Link],MATCH($A106,Backlog[Requirement ID],0))),"",INDEX(Backlog[Jira Link],MATCH($A106,Backlog[Requirement ID],0))),"")</f>
        <v/>
      </c>
      <c r="F106" s="21" t="inlineStr">
        <is>
          <t>Yes</t>
        </is>
      </c>
      <c r="G106" s="21" t="inlineStr">
        <is>
          <t>Yes</t>
        </is>
      </c>
      <c r="H106" s="29">
        <f>IFERROR(IF(ISBLANK(INDEX(SprintPlanning[Sprint],MATCH($A106,SprintPlanning[Requirement ID],0))),"",INDEX(SprintPlanning[Sprint],MATCH($A106,SprintPlanning[Requirement ID],0))),"")</f>
        <v/>
      </c>
      <c r="I106" s="23">
        <f>IFERROR(IF(ISBLANK(INDEX(Backlog[Status],MATCH($A106,Backlog[Requirement ID],0))),"",INDEX(Backlog[Status],MATCH($A106,Backlog[Requirement ID],0))),"")</f>
        <v/>
      </c>
      <c r="J106" s="23">
        <f>IFERROR(IF(ISBLANK(INDEX(Backlog[Priority],MATCH($A106,Backlog[Requirement ID],0))),"",INDEX(Backlog[Priority],MATCH($A106,Backlog[Requirement ID],0))),"")</f>
        <v/>
      </c>
      <c r="K106" s="21" t="n"/>
      <c r="L106" s="43" t="n"/>
      <c r="M106" s="43" t="n"/>
      <c r="N106" s="21" t="n"/>
      <c r="O106" s="44" t="n"/>
      <c r="P106" s="33" t="n"/>
      <c r="Q106" s="33" t="n"/>
    </row>
    <row r="107" ht="15" customHeight="1">
      <c r="A107" s="21" t="inlineStr">
        <is>
          <t>NEW-0251</t>
        </is>
      </c>
      <c r="B107" s="23">
        <f>IFERROR(IF(ISBLANK(INDEX(Backlog[Requirement Name],MATCH($A107,Backlog[Requirement ID],0))),"",INDEX(Backlog[Requirement Name],MATCH($A107,Backlog[Requirement ID],0))),"")</f>
        <v/>
      </c>
      <c r="C107" s="23">
        <f>IFERROR(IF(ISBLANK(INDEX(Backlog[Stream],MATCH($A107,Backlog[Requirement ID],0))),"",INDEX(Backlog[Stream],MATCH($A107,Backlog[Requirement ID],0))),"")</f>
        <v/>
      </c>
      <c r="D107" s="23">
        <f>IFERROR(IF(ISBLANK(INDEX(Backlog[Stream Owner],MATCH($A107,Backlog[Requirement ID],0))),"",INDEX(Backlog[Stream Owner],MATCH($A107,Backlog[Requirement ID],0))),"")</f>
        <v/>
      </c>
      <c r="E107" s="23">
        <f>IFERROR(IF(ISBLANK(INDEX(Backlog[Jira Link],MATCH($A107,Backlog[Requirement ID],0))),"",INDEX(Backlog[Jira Link],MATCH($A107,Backlog[Requirement ID],0))),"")</f>
        <v/>
      </c>
      <c r="F107" s="21" t="inlineStr">
        <is>
          <t>Yes</t>
        </is>
      </c>
      <c r="G107" s="21" t="inlineStr">
        <is>
          <t>Yes</t>
        </is>
      </c>
      <c r="H107" s="29">
        <f>IFERROR(IF(ISBLANK(INDEX(SprintPlanning[Sprint],MATCH($A107,SprintPlanning[Requirement ID],0))),"",INDEX(SprintPlanning[Sprint],MATCH($A107,SprintPlanning[Requirement ID],0))),"")</f>
        <v/>
      </c>
      <c r="I107" s="23">
        <f>IFERROR(IF(ISBLANK(INDEX(Backlog[Status],MATCH($A107,Backlog[Requirement ID],0))),"",INDEX(Backlog[Status],MATCH($A107,Backlog[Requirement ID],0))),"")</f>
        <v/>
      </c>
      <c r="J107" s="23">
        <f>IFERROR(IF(ISBLANK(INDEX(Backlog[Priority],MATCH($A107,Backlog[Requirement ID],0))),"",INDEX(Backlog[Priority],MATCH($A107,Backlog[Requirement ID],0))),"")</f>
        <v/>
      </c>
      <c r="K107" s="21" t="n"/>
      <c r="L107" s="43" t="n"/>
      <c r="M107" s="43" t="n"/>
      <c r="N107" s="21" t="n"/>
      <c r="O107" s="44" t="n"/>
      <c r="P107" s="33" t="n"/>
      <c r="Q107" s="33" t="n"/>
    </row>
    <row r="108" ht="15" customHeight="1">
      <c r="A108" s="21" t="inlineStr">
        <is>
          <t>NEW-0252</t>
        </is>
      </c>
      <c r="B108" s="23">
        <f>IFERROR(IF(ISBLANK(INDEX(Backlog[Requirement Name],MATCH($A108,Backlog[Requirement ID],0))),"",INDEX(Backlog[Requirement Name],MATCH($A108,Backlog[Requirement ID],0))),"")</f>
        <v/>
      </c>
      <c r="C108" s="23">
        <f>IFERROR(IF(ISBLANK(INDEX(Backlog[Stream],MATCH($A108,Backlog[Requirement ID],0))),"",INDEX(Backlog[Stream],MATCH($A108,Backlog[Requirement ID],0))),"")</f>
        <v/>
      </c>
      <c r="D108" s="23">
        <f>IFERROR(IF(ISBLANK(INDEX(Backlog[Stream Owner],MATCH($A108,Backlog[Requirement ID],0))),"",INDEX(Backlog[Stream Owner],MATCH($A108,Backlog[Requirement ID],0))),"")</f>
        <v/>
      </c>
      <c r="E108" s="23">
        <f>IFERROR(IF(ISBLANK(INDEX(Backlog[Jira Link],MATCH($A108,Backlog[Requirement ID],0))),"",INDEX(Backlog[Jira Link],MATCH($A108,Backlog[Requirement ID],0))),"")</f>
        <v/>
      </c>
      <c r="F108" s="21" t="inlineStr">
        <is>
          <t>Yes</t>
        </is>
      </c>
      <c r="G108" s="21" t="inlineStr">
        <is>
          <t>Yes</t>
        </is>
      </c>
      <c r="H108" s="29">
        <f>IFERROR(IF(ISBLANK(INDEX(SprintPlanning[Sprint],MATCH($A108,SprintPlanning[Requirement ID],0))),"",INDEX(SprintPlanning[Sprint],MATCH($A108,SprintPlanning[Requirement ID],0))),"")</f>
        <v/>
      </c>
      <c r="I108" s="23">
        <f>IFERROR(IF(ISBLANK(INDEX(Backlog[Status],MATCH($A108,Backlog[Requirement ID],0))),"",INDEX(Backlog[Status],MATCH($A108,Backlog[Requirement ID],0))),"")</f>
        <v/>
      </c>
      <c r="J108" s="23">
        <f>IFERROR(IF(ISBLANK(INDEX(Backlog[Priority],MATCH($A108,Backlog[Requirement ID],0))),"",INDEX(Backlog[Priority],MATCH($A108,Backlog[Requirement ID],0))),"")</f>
        <v/>
      </c>
      <c r="K108" s="21" t="n"/>
      <c r="L108" s="43" t="n"/>
      <c r="M108" s="43" t="n"/>
      <c r="N108" s="21" t="n"/>
      <c r="O108" s="44" t="n"/>
      <c r="P108" s="33" t="n"/>
      <c r="Q108" s="33" t="n"/>
    </row>
    <row r="109" ht="15" customHeight="1">
      <c r="A109" s="21" t="inlineStr">
        <is>
          <t>NEW-0253</t>
        </is>
      </c>
      <c r="B109" s="23">
        <f>IFERROR(IF(ISBLANK(INDEX(Backlog[Requirement Name],MATCH($A109,Backlog[Requirement ID],0))),"",INDEX(Backlog[Requirement Name],MATCH($A109,Backlog[Requirement ID],0))),"")</f>
        <v/>
      </c>
      <c r="C109" s="23">
        <f>IFERROR(IF(ISBLANK(INDEX(Backlog[Stream],MATCH($A109,Backlog[Requirement ID],0))),"",INDEX(Backlog[Stream],MATCH($A109,Backlog[Requirement ID],0))),"")</f>
        <v/>
      </c>
      <c r="D109" s="23">
        <f>IFERROR(IF(ISBLANK(INDEX(Backlog[Stream Owner],MATCH($A109,Backlog[Requirement ID],0))),"",INDEX(Backlog[Stream Owner],MATCH($A109,Backlog[Requirement ID],0))),"")</f>
        <v/>
      </c>
      <c r="E109" s="23">
        <f>IFERROR(IF(ISBLANK(INDEX(Backlog[Jira Link],MATCH($A109,Backlog[Requirement ID],0))),"",INDEX(Backlog[Jira Link],MATCH($A109,Backlog[Requirement ID],0))),"")</f>
        <v/>
      </c>
      <c r="F109" s="21" t="inlineStr">
        <is>
          <t>Yes</t>
        </is>
      </c>
      <c r="G109" s="21" t="inlineStr">
        <is>
          <t>Yes</t>
        </is>
      </c>
      <c r="H109" s="29">
        <f>IFERROR(IF(ISBLANK(INDEX(SprintPlanning[Sprint],MATCH($A109,SprintPlanning[Requirement ID],0))),"",INDEX(SprintPlanning[Sprint],MATCH($A109,SprintPlanning[Requirement ID],0))),"")</f>
        <v/>
      </c>
      <c r="I109" s="23">
        <f>IFERROR(IF(ISBLANK(INDEX(Backlog[Status],MATCH($A109,Backlog[Requirement ID],0))),"",INDEX(Backlog[Status],MATCH($A109,Backlog[Requirement ID],0))),"")</f>
        <v/>
      </c>
      <c r="J109" s="23">
        <f>IFERROR(IF(ISBLANK(INDEX(Backlog[Priority],MATCH($A109,Backlog[Requirement ID],0))),"",INDEX(Backlog[Priority],MATCH($A109,Backlog[Requirement ID],0))),"")</f>
        <v/>
      </c>
      <c r="K109" s="21" t="n"/>
      <c r="L109" s="43" t="n"/>
      <c r="M109" s="43" t="n"/>
      <c r="N109" s="21" t="n"/>
      <c r="O109" s="44" t="n"/>
      <c r="P109" s="33" t="n"/>
      <c r="Q109" s="33" t="n"/>
    </row>
    <row r="110" ht="15" customHeight="1">
      <c r="A110" s="21" t="inlineStr">
        <is>
          <t>NEW-0256</t>
        </is>
      </c>
      <c r="B110" s="23">
        <f>IFERROR(IF(ISBLANK(INDEX(Backlog[Requirement Name],MATCH($A110,Backlog[Requirement ID],0))),"",INDEX(Backlog[Requirement Name],MATCH($A110,Backlog[Requirement ID],0))),"")</f>
        <v/>
      </c>
      <c r="C110" s="23">
        <f>IFERROR(IF(ISBLANK(INDEX(Backlog[Stream],MATCH($A110,Backlog[Requirement ID],0))),"",INDEX(Backlog[Stream],MATCH($A110,Backlog[Requirement ID],0))),"")</f>
        <v/>
      </c>
      <c r="D110" s="23">
        <f>IFERROR(IF(ISBLANK(INDEX(Backlog[Stream Owner],MATCH($A110,Backlog[Requirement ID],0))),"",INDEX(Backlog[Stream Owner],MATCH($A110,Backlog[Requirement ID],0))),"")</f>
        <v/>
      </c>
      <c r="E110" s="23">
        <f>IFERROR(IF(ISBLANK(INDEX(Backlog[Jira Link],MATCH($A110,Backlog[Requirement ID],0))),"",INDEX(Backlog[Jira Link],MATCH($A110,Backlog[Requirement ID],0))),"")</f>
        <v/>
      </c>
      <c r="F110" s="21" t="inlineStr">
        <is>
          <t>Yes</t>
        </is>
      </c>
      <c r="G110" s="21" t="inlineStr">
        <is>
          <t>Yes</t>
        </is>
      </c>
      <c r="H110" s="29">
        <f>IFERROR(IF(ISBLANK(INDEX(SprintPlanning[Sprint],MATCH($A110,SprintPlanning[Requirement ID],0))),"",INDEX(SprintPlanning[Sprint],MATCH($A110,SprintPlanning[Requirement ID],0))),"")</f>
        <v/>
      </c>
      <c r="I110" s="23">
        <f>IFERROR(IF(ISBLANK(INDEX(Backlog[Status],MATCH($A110,Backlog[Requirement ID],0))),"",INDEX(Backlog[Status],MATCH($A110,Backlog[Requirement ID],0))),"")</f>
        <v/>
      </c>
      <c r="J110" s="23">
        <f>IFERROR(IF(ISBLANK(INDEX(Backlog[Priority],MATCH($A110,Backlog[Requirement ID],0))),"",INDEX(Backlog[Priority],MATCH($A110,Backlog[Requirement ID],0))),"")</f>
        <v/>
      </c>
      <c r="K110" s="21" t="n"/>
      <c r="L110" s="43" t="n"/>
      <c r="M110" s="43" t="n"/>
      <c r="N110" s="21" t="n"/>
      <c r="O110" s="44" t="n"/>
      <c r="P110" s="33" t="n"/>
      <c r="Q110" s="33" t="n"/>
    </row>
    <row r="111" ht="15" customHeight="1">
      <c r="A111" s="21" t="inlineStr">
        <is>
          <t>NEW-0257</t>
        </is>
      </c>
      <c r="B111" s="23">
        <f>IFERROR(IF(ISBLANK(INDEX(Backlog[Requirement Name],MATCH($A111,Backlog[Requirement ID],0))),"",INDEX(Backlog[Requirement Name],MATCH($A111,Backlog[Requirement ID],0))),"")</f>
        <v/>
      </c>
      <c r="C111" s="23">
        <f>IFERROR(IF(ISBLANK(INDEX(Backlog[Stream],MATCH($A111,Backlog[Requirement ID],0))),"",INDEX(Backlog[Stream],MATCH($A111,Backlog[Requirement ID],0))),"")</f>
        <v/>
      </c>
      <c r="D111" s="23">
        <f>IFERROR(IF(ISBLANK(INDEX(Backlog[Stream Owner],MATCH($A111,Backlog[Requirement ID],0))),"",INDEX(Backlog[Stream Owner],MATCH($A111,Backlog[Requirement ID],0))),"")</f>
        <v/>
      </c>
      <c r="E111" s="23">
        <f>IFERROR(IF(ISBLANK(INDEX(Backlog[Jira Link],MATCH($A111,Backlog[Requirement ID],0))),"",INDEX(Backlog[Jira Link],MATCH($A111,Backlog[Requirement ID],0))),"")</f>
        <v/>
      </c>
      <c r="F111" s="21" t="inlineStr">
        <is>
          <t>Yes</t>
        </is>
      </c>
      <c r="G111" s="21" t="inlineStr">
        <is>
          <t>Yes</t>
        </is>
      </c>
      <c r="H111" s="29">
        <f>IFERROR(IF(ISBLANK(INDEX(SprintPlanning[Sprint],MATCH($A111,SprintPlanning[Requirement ID],0))),"",INDEX(SprintPlanning[Sprint],MATCH($A111,SprintPlanning[Requirement ID],0))),"")</f>
        <v/>
      </c>
      <c r="I111" s="23">
        <f>IFERROR(IF(ISBLANK(INDEX(Backlog[Status],MATCH($A111,Backlog[Requirement ID],0))),"",INDEX(Backlog[Status],MATCH($A111,Backlog[Requirement ID],0))),"")</f>
        <v/>
      </c>
      <c r="J111" s="23">
        <f>IFERROR(IF(ISBLANK(INDEX(Backlog[Priority],MATCH($A111,Backlog[Requirement ID],0))),"",INDEX(Backlog[Priority],MATCH($A111,Backlog[Requirement ID],0))),"")</f>
        <v/>
      </c>
      <c r="K111" s="21" t="n"/>
      <c r="L111" s="43" t="n"/>
      <c r="M111" s="43" t="n"/>
      <c r="N111" s="21" t="n"/>
      <c r="O111" s="44" t="n"/>
      <c r="P111" s="33" t="n"/>
      <c r="Q111" s="33" t="n"/>
    </row>
    <row r="112" ht="15" customHeight="1">
      <c r="A112" s="21" t="inlineStr">
        <is>
          <t>NEW-0260</t>
        </is>
      </c>
      <c r="B112" s="23">
        <f>IFERROR(IF(ISBLANK(INDEX(Backlog[Requirement Name],MATCH($A112,Backlog[Requirement ID],0))),"",INDEX(Backlog[Requirement Name],MATCH($A112,Backlog[Requirement ID],0))),"")</f>
        <v/>
      </c>
      <c r="C112" s="23">
        <f>IFERROR(IF(ISBLANK(INDEX(Backlog[Stream],MATCH($A112,Backlog[Requirement ID],0))),"",INDEX(Backlog[Stream],MATCH($A112,Backlog[Requirement ID],0))),"")</f>
        <v/>
      </c>
      <c r="D112" s="23">
        <f>IFERROR(IF(ISBLANK(INDEX(Backlog[Stream Owner],MATCH($A112,Backlog[Requirement ID],0))),"",INDEX(Backlog[Stream Owner],MATCH($A112,Backlog[Requirement ID],0))),"")</f>
        <v/>
      </c>
      <c r="E112" s="23">
        <f>IFERROR(IF(ISBLANK(INDEX(Backlog[Jira Link],MATCH($A112,Backlog[Requirement ID],0))),"",INDEX(Backlog[Jira Link],MATCH($A112,Backlog[Requirement ID],0))),"")</f>
        <v/>
      </c>
      <c r="F112" s="21" t="inlineStr">
        <is>
          <t>Yes</t>
        </is>
      </c>
      <c r="G112" s="21" t="inlineStr">
        <is>
          <t>Yes</t>
        </is>
      </c>
      <c r="H112" s="29">
        <f>IFERROR(IF(ISBLANK(INDEX(SprintPlanning[Sprint],MATCH($A112,SprintPlanning[Requirement ID],0))),"",INDEX(SprintPlanning[Sprint],MATCH($A112,SprintPlanning[Requirement ID],0))),"")</f>
        <v/>
      </c>
      <c r="I112" s="23">
        <f>IFERROR(IF(ISBLANK(INDEX(Backlog[Status],MATCH($A112,Backlog[Requirement ID],0))),"",INDEX(Backlog[Status],MATCH($A112,Backlog[Requirement ID],0))),"")</f>
        <v/>
      </c>
      <c r="J112" s="23">
        <f>IFERROR(IF(ISBLANK(INDEX(Backlog[Priority],MATCH($A112,Backlog[Requirement ID],0))),"",INDEX(Backlog[Priority],MATCH($A112,Backlog[Requirement ID],0))),"")</f>
        <v/>
      </c>
      <c r="K112" s="21" t="n"/>
      <c r="L112" s="43" t="n"/>
      <c r="M112" s="43" t="n"/>
      <c r="N112" s="21" t="n"/>
      <c r="O112" s="44" t="n"/>
      <c r="P112" s="33" t="n"/>
      <c r="Q112" s="33" t="n"/>
    </row>
    <row r="113" ht="15" customHeight="1">
      <c r="A113" s="21" t="inlineStr">
        <is>
          <t>NEW-0261</t>
        </is>
      </c>
      <c r="B113" s="23">
        <f>IFERROR(IF(ISBLANK(INDEX(Backlog[Requirement Name],MATCH($A113,Backlog[Requirement ID],0))),"",INDEX(Backlog[Requirement Name],MATCH($A113,Backlog[Requirement ID],0))),"")</f>
        <v/>
      </c>
      <c r="C113" s="23">
        <f>IFERROR(IF(ISBLANK(INDEX(Backlog[Stream],MATCH($A113,Backlog[Requirement ID],0))),"",INDEX(Backlog[Stream],MATCH($A113,Backlog[Requirement ID],0))),"")</f>
        <v/>
      </c>
      <c r="D113" s="23">
        <f>IFERROR(IF(ISBLANK(INDEX(Backlog[Stream Owner],MATCH($A113,Backlog[Requirement ID],0))),"",INDEX(Backlog[Stream Owner],MATCH($A113,Backlog[Requirement ID],0))),"")</f>
        <v/>
      </c>
      <c r="E113" s="23">
        <f>IFERROR(IF(ISBLANK(INDEX(Backlog[Jira Link],MATCH($A113,Backlog[Requirement ID],0))),"",INDEX(Backlog[Jira Link],MATCH($A113,Backlog[Requirement ID],0))),"")</f>
        <v/>
      </c>
      <c r="F113" s="21" t="inlineStr">
        <is>
          <t>Yes</t>
        </is>
      </c>
      <c r="G113" s="21" t="inlineStr">
        <is>
          <t>Yes</t>
        </is>
      </c>
      <c r="H113" s="29">
        <f>IFERROR(IF(ISBLANK(INDEX(SprintPlanning[Sprint],MATCH($A113,SprintPlanning[Requirement ID],0))),"",INDEX(SprintPlanning[Sprint],MATCH($A113,SprintPlanning[Requirement ID],0))),"")</f>
        <v/>
      </c>
      <c r="I113" s="23">
        <f>IFERROR(IF(ISBLANK(INDEX(Backlog[Status],MATCH($A113,Backlog[Requirement ID],0))),"",INDEX(Backlog[Status],MATCH($A113,Backlog[Requirement ID],0))),"")</f>
        <v/>
      </c>
      <c r="J113" s="23">
        <f>IFERROR(IF(ISBLANK(INDEX(Backlog[Priority],MATCH($A113,Backlog[Requirement ID],0))),"",INDEX(Backlog[Priority],MATCH($A113,Backlog[Requirement ID],0))),"")</f>
        <v/>
      </c>
      <c r="K113" s="21" t="n"/>
      <c r="L113" s="43" t="n"/>
      <c r="M113" s="43" t="n"/>
      <c r="N113" s="21" t="n"/>
      <c r="O113" s="44" t="n"/>
      <c r="P113" s="33" t="n"/>
      <c r="Q113" s="33" t="n"/>
    </row>
    <row r="114" ht="15" customHeight="1">
      <c r="A114" s="21" t="inlineStr">
        <is>
          <t>NEW-0262</t>
        </is>
      </c>
      <c r="B114" s="23">
        <f>IFERROR(IF(ISBLANK(INDEX(Backlog[Requirement Name],MATCH($A114,Backlog[Requirement ID],0))),"",INDEX(Backlog[Requirement Name],MATCH($A114,Backlog[Requirement ID],0))),"")</f>
        <v/>
      </c>
      <c r="C114" s="23">
        <f>IFERROR(IF(ISBLANK(INDEX(Backlog[Stream],MATCH($A114,Backlog[Requirement ID],0))),"",INDEX(Backlog[Stream],MATCH($A114,Backlog[Requirement ID],0))),"")</f>
        <v/>
      </c>
      <c r="D114" s="23">
        <f>IFERROR(IF(ISBLANK(INDEX(Backlog[Stream Owner],MATCH($A114,Backlog[Requirement ID],0))),"",INDEX(Backlog[Stream Owner],MATCH($A114,Backlog[Requirement ID],0))),"")</f>
        <v/>
      </c>
      <c r="E114" s="23">
        <f>IFERROR(IF(ISBLANK(INDEX(Backlog[Jira Link],MATCH($A114,Backlog[Requirement ID],0))),"",INDEX(Backlog[Jira Link],MATCH($A114,Backlog[Requirement ID],0))),"")</f>
        <v/>
      </c>
      <c r="F114" s="21" t="inlineStr">
        <is>
          <t>Yes</t>
        </is>
      </c>
      <c r="G114" s="21" t="inlineStr">
        <is>
          <t>Yes</t>
        </is>
      </c>
      <c r="H114" s="29">
        <f>IFERROR(IF(ISBLANK(INDEX(SprintPlanning[Sprint],MATCH($A114,SprintPlanning[Requirement ID],0))),"",INDEX(SprintPlanning[Sprint],MATCH($A114,SprintPlanning[Requirement ID],0))),"")</f>
        <v/>
      </c>
      <c r="I114" s="23">
        <f>IFERROR(IF(ISBLANK(INDEX(Backlog[Status],MATCH($A114,Backlog[Requirement ID],0))),"",INDEX(Backlog[Status],MATCH($A114,Backlog[Requirement ID],0))),"")</f>
        <v/>
      </c>
      <c r="J114" s="23">
        <f>IFERROR(IF(ISBLANK(INDEX(Backlog[Priority],MATCH($A114,Backlog[Requirement ID],0))),"",INDEX(Backlog[Priority],MATCH($A114,Backlog[Requirement ID],0))),"")</f>
        <v/>
      </c>
      <c r="K114" s="21" t="n"/>
      <c r="L114" s="43" t="n"/>
      <c r="M114" s="43" t="n"/>
      <c r="N114" s="21" t="n"/>
      <c r="O114" s="44" t="n"/>
      <c r="P114" s="33" t="n"/>
      <c r="Q114" s="33" t="n"/>
    </row>
    <row r="115" ht="15" customHeight="1">
      <c r="A115" s="21" t="inlineStr">
        <is>
          <t>NEW-0263</t>
        </is>
      </c>
      <c r="B115" s="23">
        <f>IFERROR(IF(ISBLANK(INDEX(Backlog[Requirement Name],MATCH($A115,Backlog[Requirement ID],0))),"",INDEX(Backlog[Requirement Name],MATCH($A115,Backlog[Requirement ID],0))),"")</f>
        <v/>
      </c>
      <c r="C115" s="23">
        <f>IFERROR(IF(ISBLANK(INDEX(Backlog[Stream],MATCH($A115,Backlog[Requirement ID],0))),"",INDEX(Backlog[Stream],MATCH($A115,Backlog[Requirement ID],0))),"")</f>
        <v/>
      </c>
      <c r="D115" s="23">
        <f>IFERROR(IF(ISBLANK(INDEX(Backlog[Stream Owner],MATCH($A115,Backlog[Requirement ID],0))),"",INDEX(Backlog[Stream Owner],MATCH($A115,Backlog[Requirement ID],0))),"")</f>
        <v/>
      </c>
      <c r="E115" s="23">
        <f>IFERROR(IF(ISBLANK(INDEX(Backlog[Jira Link],MATCH($A115,Backlog[Requirement ID],0))),"",INDEX(Backlog[Jira Link],MATCH($A115,Backlog[Requirement ID],0))),"")</f>
        <v/>
      </c>
      <c r="F115" s="21" t="inlineStr">
        <is>
          <t>Yes</t>
        </is>
      </c>
      <c r="G115" s="21" t="inlineStr">
        <is>
          <t>Yes</t>
        </is>
      </c>
      <c r="H115" s="29">
        <f>IFERROR(IF(ISBLANK(INDEX(SprintPlanning[Sprint],MATCH($A115,SprintPlanning[Requirement ID],0))),"",INDEX(SprintPlanning[Sprint],MATCH($A115,SprintPlanning[Requirement ID],0))),"")</f>
        <v/>
      </c>
      <c r="I115" s="23">
        <f>IFERROR(IF(ISBLANK(INDEX(Backlog[Status],MATCH($A115,Backlog[Requirement ID],0))),"",INDEX(Backlog[Status],MATCH($A115,Backlog[Requirement ID],0))),"")</f>
        <v/>
      </c>
      <c r="J115" s="23">
        <f>IFERROR(IF(ISBLANK(INDEX(Backlog[Priority],MATCH($A115,Backlog[Requirement ID],0))),"",INDEX(Backlog[Priority],MATCH($A115,Backlog[Requirement ID],0))),"")</f>
        <v/>
      </c>
      <c r="K115" s="21" t="n"/>
      <c r="L115" s="43" t="n"/>
      <c r="M115" s="43" t="n"/>
      <c r="N115" s="21" t="n"/>
      <c r="O115" s="44" t="n"/>
      <c r="P115" s="33" t="n"/>
      <c r="Q115" s="33" t="n"/>
    </row>
    <row r="116" ht="15" customHeight="1">
      <c r="A116" s="21" t="inlineStr">
        <is>
          <t>NEW-0264</t>
        </is>
      </c>
      <c r="B116" s="23">
        <f>IFERROR(IF(ISBLANK(INDEX(Backlog[Requirement Name],MATCH($A116,Backlog[Requirement ID],0))),"",INDEX(Backlog[Requirement Name],MATCH($A116,Backlog[Requirement ID],0))),"")</f>
        <v/>
      </c>
      <c r="C116" s="23">
        <f>IFERROR(IF(ISBLANK(INDEX(Backlog[Stream],MATCH($A116,Backlog[Requirement ID],0))),"",INDEX(Backlog[Stream],MATCH($A116,Backlog[Requirement ID],0))),"")</f>
        <v/>
      </c>
      <c r="D116" s="23">
        <f>IFERROR(IF(ISBLANK(INDEX(Backlog[Stream Owner],MATCH($A116,Backlog[Requirement ID],0))),"",INDEX(Backlog[Stream Owner],MATCH($A116,Backlog[Requirement ID],0))),"")</f>
        <v/>
      </c>
      <c r="E116" s="23">
        <f>IFERROR(IF(ISBLANK(INDEX(Backlog[Jira Link],MATCH($A116,Backlog[Requirement ID],0))),"",INDEX(Backlog[Jira Link],MATCH($A116,Backlog[Requirement ID],0))),"")</f>
        <v/>
      </c>
      <c r="F116" s="21" t="inlineStr">
        <is>
          <t>Yes</t>
        </is>
      </c>
      <c r="G116" s="21" t="inlineStr">
        <is>
          <t>Yes</t>
        </is>
      </c>
      <c r="H116" s="29">
        <f>IFERROR(IF(ISBLANK(INDEX(SprintPlanning[Sprint],MATCH($A116,SprintPlanning[Requirement ID],0))),"",INDEX(SprintPlanning[Sprint],MATCH($A116,SprintPlanning[Requirement ID],0))),"")</f>
        <v/>
      </c>
      <c r="I116" s="23">
        <f>IFERROR(IF(ISBLANK(INDEX(Backlog[Status],MATCH($A116,Backlog[Requirement ID],0))),"",INDEX(Backlog[Status],MATCH($A116,Backlog[Requirement ID],0))),"")</f>
        <v/>
      </c>
      <c r="J116" s="23">
        <f>IFERROR(IF(ISBLANK(INDEX(Backlog[Priority],MATCH($A116,Backlog[Requirement ID],0))),"",INDEX(Backlog[Priority],MATCH($A116,Backlog[Requirement ID],0))),"")</f>
        <v/>
      </c>
      <c r="K116" s="21" t="n"/>
      <c r="L116" s="43" t="n"/>
      <c r="M116" s="43" t="n"/>
      <c r="N116" s="21" t="n"/>
      <c r="O116" s="44" t="n"/>
      <c r="P116" s="33" t="n"/>
      <c r="Q116" s="33" t="n"/>
    </row>
    <row r="117" ht="15" customHeight="1">
      <c r="A117" s="21" t="inlineStr">
        <is>
          <t>NEW-0265</t>
        </is>
      </c>
      <c r="B117" s="23">
        <f>IFERROR(IF(ISBLANK(INDEX(Backlog[Requirement Name],MATCH($A117,Backlog[Requirement ID],0))),"",INDEX(Backlog[Requirement Name],MATCH($A117,Backlog[Requirement ID],0))),"")</f>
        <v/>
      </c>
      <c r="C117" s="23">
        <f>IFERROR(IF(ISBLANK(INDEX(Backlog[Stream],MATCH($A117,Backlog[Requirement ID],0))),"",INDEX(Backlog[Stream],MATCH($A117,Backlog[Requirement ID],0))),"")</f>
        <v/>
      </c>
      <c r="D117" s="23">
        <f>IFERROR(IF(ISBLANK(INDEX(Backlog[Stream Owner],MATCH($A117,Backlog[Requirement ID],0))),"",INDEX(Backlog[Stream Owner],MATCH($A117,Backlog[Requirement ID],0))),"")</f>
        <v/>
      </c>
      <c r="E117" s="23">
        <f>IFERROR(IF(ISBLANK(INDEX(Backlog[Jira Link],MATCH($A117,Backlog[Requirement ID],0))),"",INDEX(Backlog[Jira Link],MATCH($A117,Backlog[Requirement ID],0))),"")</f>
        <v/>
      </c>
      <c r="F117" s="21" t="inlineStr">
        <is>
          <t>Yes</t>
        </is>
      </c>
      <c r="G117" s="21" t="inlineStr">
        <is>
          <t>Yes</t>
        </is>
      </c>
      <c r="H117" s="29">
        <f>IFERROR(IF(ISBLANK(INDEX(SprintPlanning[Sprint],MATCH($A117,SprintPlanning[Requirement ID],0))),"",INDEX(SprintPlanning[Sprint],MATCH($A117,SprintPlanning[Requirement ID],0))),"")</f>
        <v/>
      </c>
      <c r="I117" s="23">
        <f>IFERROR(IF(ISBLANK(INDEX(Backlog[Status],MATCH($A117,Backlog[Requirement ID],0))),"",INDEX(Backlog[Status],MATCH($A117,Backlog[Requirement ID],0))),"")</f>
        <v/>
      </c>
      <c r="J117" s="23">
        <f>IFERROR(IF(ISBLANK(INDEX(Backlog[Priority],MATCH($A117,Backlog[Requirement ID],0))),"",INDEX(Backlog[Priority],MATCH($A117,Backlog[Requirement ID],0))),"")</f>
        <v/>
      </c>
      <c r="K117" s="21" t="n"/>
      <c r="L117" s="43" t="n"/>
      <c r="M117" s="43" t="n"/>
      <c r="N117" s="21" t="n"/>
      <c r="O117" s="44" t="n"/>
      <c r="P117" s="33" t="n"/>
      <c r="Q117" s="33" t="n"/>
    </row>
    <row r="118" ht="15" customHeight="1">
      <c r="A118" s="21" t="inlineStr">
        <is>
          <t>NEW-0266</t>
        </is>
      </c>
      <c r="B118" s="23">
        <f>IFERROR(IF(ISBLANK(INDEX(Backlog[Requirement Name],MATCH($A118,Backlog[Requirement ID],0))),"",INDEX(Backlog[Requirement Name],MATCH($A118,Backlog[Requirement ID],0))),"")</f>
        <v/>
      </c>
      <c r="C118" s="23">
        <f>IFERROR(IF(ISBLANK(INDEX(Backlog[Stream],MATCH($A118,Backlog[Requirement ID],0))),"",INDEX(Backlog[Stream],MATCH($A118,Backlog[Requirement ID],0))),"")</f>
        <v/>
      </c>
      <c r="D118" s="23">
        <f>IFERROR(IF(ISBLANK(INDEX(Backlog[Stream Owner],MATCH($A118,Backlog[Requirement ID],0))),"",INDEX(Backlog[Stream Owner],MATCH($A118,Backlog[Requirement ID],0))),"")</f>
        <v/>
      </c>
      <c r="E118" s="23">
        <f>IFERROR(IF(ISBLANK(INDEX(Backlog[Jira Link],MATCH($A118,Backlog[Requirement ID],0))),"",INDEX(Backlog[Jira Link],MATCH($A118,Backlog[Requirement ID],0))),"")</f>
        <v/>
      </c>
      <c r="F118" s="21" t="inlineStr">
        <is>
          <t>Yes</t>
        </is>
      </c>
      <c r="G118" s="21" t="inlineStr">
        <is>
          <t>Yes</t>
        </is>
      </c>
      <c r="H118" s="29">
        <f>IFERROR(IF(ISBLANK(INDEX(SprintPlanning[Sprint],MATCH($A118,SprintPlanning[Requirement ID],0))),"",INDEX(SprintPlanning[Sprint],MATCH($A118,SprintPlanning[Requirement ID],0))),"")</f>
        <v/>
      </c>
      <c r="I118" s="23">
        <f>IFERROR(IF(ISBLANK(INDEX(Backlog[Status],MATCH($A118,Backlog[Requirement ID],0))),"",INDEX(Backlog[Status],MATCH($A118,Backlog[Requirement ID],0))),"")</f>
        <v/>
      </c>
      <c r="J118" s="23">
        <f>IFERROR(IF(ISBLANK(INDEX(Backlog[Priority],MATCH($A118,Backlog[Requirement ID],0))),"",INDEX(Backlog[Priority],MATCH($A118,Backlog[Requirement ID],0))),"")</f>
        <v/>
      </c>
      <c r="K118" s="21" t="n"/>
      <c r="L118" s="43" t="n"/>
      <c r="M118" s="43" t="n"/>
      <c r="N118" s="21" t="n"/>
      <c r="O118" s="44" t="n"/>
      <c r="P118" s="33" t="n"/>
      <c r="Q118" s="33" t="n"/>
    </row>
    <row r="119" ht="15" customHeight="1">
      <c r="A119" s="21" t="inlineStr">
        <is>
          <t>NEW-0267</t>
        </is>
      </c>
      <c r="B119" s="23">
        <f>IFERROR(IF(ISBLANK(INDEX(Backlog[Requirement Name],MATCH($A119,Backlog[Requirement ID],0))),"",INDEX(Backlog[Requirement Name],MATCH($A119,Backlog[Requirement ID],0))),"")</f>
        <v/>
      </c>
      <c r="C119" s="23">
        <f>IFERROR(IF(ISBLANK(INDEX(Backlog[Stream],MATCH($A119,Backlog[Requirement ID],0))),"",INDEX(Backlog[Stream],MATCH($A119,Backlog[Requirement ID],0))),"")</f>
        <v/>
      </c>
      <c r="D119" s="23">
        <f>IFERROR(IF(ISBLANK(INDEX(Backlog[Stream Owner],MATCH($A119,Backlog[Requirement ID],0))),"",INDEX(Backlog[Stream Owner],MATCH($A119,Backlog[Requirement ID],0))),"")</f>
        <v/>
      </c>
      <c r="E119" s="23">
        <f>IFERROR(IF(ISBLANK(INDEX(Backlog[Jira Link],MATCH($A119,Backlog[Requirement ID],0))),"",INDEX(Backlog[Jira Link],MATCH($A119,Backlog[Requirement ID],0))),"")</f>
        <v/>
      </c>
      <c r="F119" s="21" t="inlineStr">
        <is>
          <t>Yes</t>
        </is>
      </c>
      <c r="G119" s="21" t="inlineStr">
        <is>
          <t>Yes</t>
        </is>
      </c>
      <c r="H119" s="29">
        <f>IFERROR(IF(ISBLANK(INDEX(SprintPlanning[Sprint],MATCH($A119,SprintPlanning[Requirement ID],0))),"",INDEX(SprintPlanning[Sprint],MATCH($A119,SprintPlanning[Requirement ID],0))),"")</f>
        <v/>
      </c>
      <c r="I119" s="23">
        <f>IFERROR(IF(ISBLANK(INDEX(Backlog[Status],MATCH($A119,Backlog[Requirement ID],0))),"",INDEX(Backlog[Status],MATCH($A119,Backlog[Requirement ID],0))),"")</f>
        <v/>
      </c>
      <c r="J119" s="23">
        <f>IFERROR(IF(ISBLANK(INDEX(Backlog[Priority],MATCH($A119,Backlog[Requirement ID],0))),"",INDEX(Backlog[Priority],MATCH($A119,Backlog[Requirement ID],0))),"")</f>
        <v/>
      </c>
      <c r="K119" s="21" t="n"/>
      <c r="L119" s="43" t="n"/>
      <c r="M119" s="43" t="n"/>
      <c r="N119" s="21" t="n"/>
      <c r="O119" s="44" t="n"/>
      <c r="P119" s="33" t="n"/>
      <c r="Q119" s="33" t="n"/>
    </row>
    <row r="120" ht="15" customHeight="1">
      <c r="A120" s="21" t="inlineStr">
        <is>
          <t>NEW-0268</t>
        </is>
      </c>
      <c r="B120" s="23">
        <f>IFERROR(IF(ISBLANK(INDEX(Backlog[Requirement Name],MATCH($A120,Backlog[Requirement ID],0))),"",INDEX(Backlog[Requirement Name],MATCH($A120,Backlog[Requirement ID],0))),"")</f>
        <v/>
      </c>
      <c r="C120" s="23">
        <f>IFERROR(IF(ISBLANK(INDEX(Backlog[Stream],MATCH($A120,Backlog[Requirement ID],0))),"",INDEX(Backlog[Stream],MATCH($A120,Backlog[Requirement ID],0))),"")</f>
        <v/>
      </c>
      <c r="D120" s="23">
        <f>IFERROR(IF(ISBLANK(INDEX(Backlog[Stream Owner],MATCH($A120,Backlog[Requirement ID],0))),"",INDEX(Backlog[Stream Owner],MATCH($A120,Backlog[Requirement ID],0))),"")</f>
        <v/>
      </c>
      <c r="E120" s="23">
        <f>IFERROR(IF(ISBLANK(INDEX(Backlog[Jira Link],MATCH($A120,Backlog[Requirement ID],0))),"",INDEX(Backlog[Jira Link],MATCH($A120,Backlog[Requirement ID],0))),"")</f>
        <v/>
      </c>
      <c r="F120" s="21" t="inlineStr">
        <is>
          <t>Yes</t>
        </is>
      </c>
      <c r="G120" s="21" t="inlineStr">
        <is>
          <t>Yes</t>
        </is>
      </c>
      <c r="H120" s="29">
        <f>IFERROR(IF(ISBLANK(INDEX(SprintPlanning[Sprint],MATCH($A120,SprintPlanning[Requirement ID],0))),"",INDEX(SprintPlanning[Sprint],MATCH($A120,SprintPlanning[Requirement ID],0))),"")</f>
        <v/>
      </c>
      <c r="I120" s="23">
        <f>IFERROR(IF(ISBLANK(INDEX(Backlog[Status],MATCH($A120,Backlog[Requirement ID],0))),"",INDEX(Backlog[Status],MATCH($A120,Backlog[Requirement ID],0))),"")</f>
        <v/>
      </c>
      <c r="J120" s="23">
        <f>IFERROR(IF(ISBLANK(INDEX(Backlog[Priority],MATCH($A120,Backlog[Requirement ID],0))),"",INDEX(Backlog[Priority],MATCH($A120,Backlog[Requirement ID],0))),"")</f>
        <v/>
      </c>
      <c r="K120" s="21" t="n"/>
      <c r="L120" s="43" t="n"/>
      <c r="M120" s="43" t="n"/>
      <c r="N120" s="21" t="n"/>
      <c r="O120" s="44" t="n"/>
      <c r="P120" s="33" t="n"/>
      <c r="Q120" s="33" t="n"/>
    </row>
    <row r="121" ht="15" customHeight="1">
      <c r="A121" s="21" t="inlineStr">
        <is>
          <t>NEW-0269</t>
        </is>
      </c>
      <c r="B121" s="23">
        <f>IFERROR(IF(ISBLANK(INDEX(Backlog[Requirement Name],MATCH($A121,Backlog[Requirement ID],0))),"",INDEX(Backlog[Requirement Name],MATCH($A121,Backlog[Requirement ID],0))),"")</f>
        <v/>
      </c>
      <c r="C121" s="23">
        <f>IFERROR(IF(ISBLANK(INDEX(Backlog[Stream],MATCH($A121,Backlog[Requirement ID],0))),"",INDEX(Backlog[Stream],MATCH($A121,Backlog[Requirement ID],0))),"")</f>
        <v/>
      </c>
      <c r="D121" s="23">
        <f>IFERROR(IF(ISBLANK(INDEX(Backlog[Stream Owner],MATCH($A121,Backlog[Requirement ID],0))),"",INDEX(Backlog[Stream Owner],MATCH($A121,Backlog[Requirement ID],0))),"")</f>
        <v/>
      </c>
      <c r="E121" s="23">
        <f>IFERROR(IF(ISBLANK(INDEX(Backlog[Jira Link],MATCH($A121,Backlog[Requirement ID],0))),"",INDEX(Backlog[Jira Link],MATCH($A121,Backlog[Requirement ID],0))),"")</f>
        <v/>
      </c>
      <c r="F121" s="21" t="inlineStr">
        <is>
          <t>Yes</t>
        </is>
      </c>
      <c r="G121" s="21" t="inlineStr">
        <is>
          <t>Yes</t>
        </is>
      </c>
      <c r="H121" s="29">
        <f>IFERROR(IF(ISBLANK(INDEX(SprintPlanning[Sprint],MATCH($A121,SprintPlanning[Requirement ID],0))),"",INDEX(SprintPlanning[Sprint],MATCH($A121,SprintPlanning[Requirement ID],0))),"")</f>
        <v/>
      </c>
      <c r="I121" s="23">
        <f>IFERROR(IF(ISBLANK(INDEX(Backlog[Status],MATCH($A121,Backlog[Requirement ID],0))),"",INDEX(Backlog[Status],MATCH($A121,Backlog[Requirement ID],0))),"")</f>
        <v/>
      </c>
      <c r="J121" s="23">
        <f>IFERROR(IF(ISBLANK(INDEX(Backlog[Priority],MATCH($A121,Backlog[Requirement ID],0))),"",INDEX(Backlog[Priority],MATCH($A121,Backlog[Requirement ID],0))),"")</f>
        <v/>
      </c>
      <c r="K121" s="21" t="n"/>
      <c r="L121" s="43" t="n"/>
      <c r="M121" s="43" t="n"/>
      <c r="N121" s="21" t="n"/>
      <c r="O121" s="44" t="n"/>
      <c r="P121" s="33" t="n"/>
      <c r="Q121" s="33" t="n"/>
    </row>
    <row r="122" ht="15" customHeight="1">
      <c r="A122" s="21" t="inlineStr">
        <is>
          <t>NEW-0270</t>
        </is>
      </c>
      <c r="B122" s="23">
        <f>IFERROR(IF(ISBLANK(INDEX(Backlog[Requirement Name],MATCH($A122,Backlog[Requirement ID],0))),"",INDEX(Backlog[Requirement Name],MATCH($A122,Backlog[Requirement ID],0))),"")</f>
        <v/>
      </c>
      <c r="C122" s="23">
        <f>IFERROR(IF(ISBLANK(INDEX(Backlog[Stream],MATCH($A122,Backlog[Requirement ID],0))),"",INDEX(Backlog[Stream],MATCH($A122,Backlog[Requirement ID],0))),"")</f>
        <v/>
      </c>
      <c r="D122" s="23">
        <f>IFERROR(IF(ISBLANK(INDEX(Backlog[Stream Owner],MATCH($A122,Backlog[Requirement ID],0))),"",INDEX(Backlog[Stream Owner],MATCH($A122,Backlog[Requirement ID],0))),"")</f>
        <v/>
      </c>
      <c r="E122" s="23">
        <f>IFERROR(IF(ISBLANK(INDEX(Backlog[Jira Link],MATCH($A122,Backlog[Requirement ID],0))),"",INDEX(Backlog[Jira Link],MATCH($A122,Backlog[Requirement ID],0))),"")</f>
        <v/>
      </c>
      <c r="F122" s="21" t="inlineStr">
        <is>
          <t>No</t>
        </is>
      </c>
      <c r="G122" s="21" t="inlineStr">
        <is>
          <t>No</t>
        </is>
      </c>
      <c r="H122" s="29">
        <f>IFERROR(IF(ISBLANK(INDEX(SprintPlanning[Sprint],MATCH($A122,SprintPlanning[Requirement ID],0))),"",INDEX(SprintPlanning[Sprint],MATCH($A122,SprintPlanning[Requirement ID],0))),"")</f>
        <v/>
      </c>
      <c r="I122" s="23">
        <f>IFERROR(IF(ISBLANK(INDEX(Backlog[Status],MATCH($A122,Backlog[Requirement ID],0))),"",INDEX(Backlog[Status],MATCH($A122,Backlog[Requirement ID],0))),"")</f>
        <v/>
      </c>
      <c r="J122" s="23">
        <f>IFERROR(IF(ISBLANK(INDEX(Backlog[Priority],MATCH($A122,Backlog[Requirement ID],0))),"",INDEX(Backlog[Priority],MATCH($A122,Backlog[Requirement ID],0))),"")</f>
        <v/>
      </c>
      <c r="K122" s="21" t="n"/>
      <c r="L122" s="43" t="n"/>
      <c r="M122" s="43" t="n"/>
      <c r="N122" s="21" t="n"/>
      <c r="O122" s="44" t="n"/>
      <c r="P122" s="33" t="n"/>
      <c r="Q122" s="33" t="n"/>
    </row>
    <row r="123" ht="15" customHeight="1">
      <c r="A123" s="21" t="inlineStr">
        <is>
          <t>NEW-0271</t>
        </is>
      </c>
      <c r="B123" s="23">
        <f>IFERROR(IF(ISBLANK(INDEX(Backlog[Requirement Name],MATCH($A123,Backlog[Requirement ID],0))),"",INDEX(Backlog[Requirement Name],MATCH($A123,Backlog[Requirement ID],0))),"")</f>
        <v/>
      </c>
      <c r="C123" s="23">
        <f>IFERROR(IF(ISBLANK(INDEX(Backlog[Stream],MATCH($A123,Backlog[Requirement ID],0))),"",INDEX(Backlog[Stream],MATCH($A123,Backlog[Requirement ID],0))),"")</f>
        <v/>
      </c>
      <c r="D123" s="23">
        <f>IFERROR(IF(ISBLANK(INDEX(Backlog[Stream Owner],MATCH($A123,Backlog[Requirement ID],0))),"",INDEX(Backlog[Stream Owner],MATCH($A123,Backlog[Requirement ID],0))),"")</f>
        <v/>
      </c>
      <c r="E123" s="23">
        <f>IFERROR(IF(ISBLANK(INDEX(Backlog[Jira Link],MATCH($A123,Backlog[Requirement ID],0))),"",INDEX(Backlog[Jira Link],MATCH($A123,Backlog[Requirement ID],0))),"")</f>
        <v/>
      </c>
      <c r="F123" s="21" t="inlineStr">
        <is>
          <t>Yes</t>
        </is>
      </c>
      <c r="G123" s="21" t="inlineStr">
        <is>
          <t>Yes</t>
        </is>
      </c>
      <c r="H123" s="29">
        <f>IFERROR(IF(ISBLANK(INDEX(SprintPlanning[Sprint],MATCH($A123,SprintPlanning[Requirement ID],0))),"",INDEX(SprintPlanning[Sprint],MATCH($A123,SprintPlanning[Requirement ID],0))),"")</f>
        <v/>
      </c>
      <c r="I123" s="23">
        <f>IFERROR(IF(ISBLANK(INDEX(Backlog[Status],MATCH($A123,Backlog[Requirement ID],0))),"",INDEX(Backlog[Status],MATCH($A123,Backlog[Requirement ID],0))),"")</f>
        <v/>
      </c>
      <c r="J123" s="23">
        <f>IFERROR(IF(ISBLANK(INDEX(Backlog[Priority],MATCH($A123,Backlog[Requirement ID],0))),"",INDEX(Backlog[Priority],MATCH($A123,Backlog[Requirement ID],0))),"")</f>
        <v/>
      </c>
      <c r="K123" s="21" t="n"/>
      <c r="L123" s="43" t="n"/>
      <c r="M123" s="43" t="n"/>
      <c r="N123" s="21" t="n"/>
      <c r="O123" s="44" t="n"/>
      <c r="P123" s="33" t="n"/>
      <c r="Q123" s="33" t="n"/>
    </row>
    <row r="124" ht="15" customHeight="1">
      <c r="A124" s="21" t="inlineStr">
        <is>
          <t>NEW-0272</t>
        </is>
      </c>
      <c r="B124" s="23">
        <f>IFERROR(IF(ISBLANK(INDEX(Backlog[Requirement Name],MATCH($A124,Backlog[Requirement ID],0))),"",INDEX(Backlog[Requirement Name],MATCH($A124,Backlog[Requirement ID],0))),"")</f>
        <v/>
      </c>
      <c r="C124" s="23">
        <f>IFERROR(IF(ISBLANK(INDEX(Backlog[Stream],MATCH($A124,Backlog[Requirement ID],0))),"",INDEX(Backlog[Stream],MATCH($A124,Backlog[Requirement ID],0))),"")</f>
        <v/>
      </c>
      <c r="D124" s="23">
        <f>IFERROR(IF(ISBLANK(INDEX(Backlog[Stream Owner],MATCH($A124,Backlog[Requirement ID],0))),"",INDEX(Backlog[Stream Owner],MATCH($A124,Backlog[Requirement ID],0))),"")</f>
        <v/>
      </c>
      <c r="E124" s="23">
        <f>IFERROR(IF(ISBLANK(INDEX(Backlog[Jira Link],MATCH($A124,Backlog[Requirement ID],0))),"",INDEX(Backlog[Jira Link],MATCH($A124,Backlog[Requirement ID],0))),"")</f>
        <v/>
      </c>
      <c r="F124" s="21" t="inlineStr">
        <is>
          <t>Yes</t>
        </is>
      </c>
      <c r="G124" s="21" t="inlineStr">
        <is>
          <t>Yes</t>
        </is>
      </c>
      <c r="H124" s="29">
        <f>IFERROR(IF(ISBLANK(INDEX(SprintPlanning[Sprint],MATCH($A124,SprintPlanning[Requirement ID],0))),"",INDEX(SprintPlanning[Sprint],MATCH($A124,SprintPlanning[Requirement ID],0))),"")</f>
        <v/>
      </c>
      <c r="I124" s="23">
        <f>IFERROR(IF(ISBLANK(INDEX(Backlog[Status],MATCH($A124,Backlog[Requirement ID],0))),"",INDEX(Backlog[Status],MATCH($A124,Backlog[Requirement ID],0))),"")</f>
        <v/>
      </c>
      <c r="J124" s="23">
        <f>IFERROR(IF(ISBLANK(INDEX(Backlog[Priority],MATCH($A124,Backlog[Requirement ID],0))),"",INDEX(Backlog[Priority],MATCH($A124,Backlog[Requirement ID],0))),"")</f>
        <v/>
      </c>
      <c r="K124" s="21" t="n"/>
      <c r="L124" s="43" t="n"/>
      <c r="M124" s="43" t="n"/>
      <c r="N124" s="21" t="n"/>
      <c r="O124" s="44" t="n"/>
      <c r="P124" s="33" t="n"/>
      <c r="Q124" s="33" t="n"/>
    </row>
    <row r="125" ht="15" customHeight="1">
      <c r="A125" s="21" t="inlineStr">
        <is>
          <t>NEW-0274</t>
        </is>
      </c>
      <c r="B125" s="23">
        <f>IFERROR(IF(ISBLANK(INDEX(Backlog[Requirement Name],MATCH($A125,Backlog[Requirement ID],0))),"",INDEX(Backlog[Requirement Name],MATCH($A125,Backlog[Requirement ID],0))),"")</f>
        <v/>
      </c>
      <c r="C125" s="23">
        <f>IFERROR(IF(ISBLANK(INDEX(Backlog[Stream],MATCH($A125,Backlog[Requirement ID],0))),"",INDEX(Backlog[Stream],MATCH($A125,Backlog[Requirement ID],0))),"")</f>
        <v/>
      </c>
      <c r="D125" s="23">
        <f>IFERROR(IF(ISBLANK(INDEX(Backlog[Stream Owner],MATCH($A125,Backlog[Requirement ID],0))),"",INDEX(Backlog[Stream Owner],MATCH($A125,Backlog[Requirement ID],0))),"")</f>
        <v/>
      </c>
      <c r="E125" s="23">
        <f>IFERROR(IF(ISBLANK(INDEX(Backlog[Jira Link],MATCH($A125,Backlog[Requirement ID],0))),"",INDEX(Backlog[Jira Link],MATCH($A125,Backlog[Requirement ID],0))),"")</f>
        <v/>
      </c>
      <c r="F125" s="21" t="inlineStr">
        <is>
          <t>No</t>
        </is>
      </c>
      <c r="G125" s="21" t="inlineStr">
        <is>
          <t>No</t>
        </is>
      </c>
      <c r="H125" s="29">
        <f>IFERROR(IF(ISBLANK(INDEX(SprintPlanning[Sprint],MATCH($A125,SprintPlanning[Requirement ID],0))),"",INDEX(SprintPlanning[Sprint],MATCH($A125,SprintPlanning[Requirement ID],0))),"")</f>
        <v/>
      </c>
      <c r="I125" s="23">
        <f>IFERROR(IF(ISBLANK(INDEX(Backlog[Status],MATCH($A125,Backlog[Requirement ID],0))),"",INDEX(Backlog[Status],MATCH($A125,Backlog[Requirement ID],0))),"")</f>
        <v/>
      </c>
      <c r="J125" s="23">
        <f>IFERROR(IF(ISBLANK(INDEX(Backlog[Priority],MATCH($A125,Backlog[Requirement ID],0))),"",INDEX(Backlog[Priority],MATCH($A125,Backlog[Requirement ID],0))),"")</f>
        <v/>
      </c>
      <c r="K125" s="21" t="n"/>
      <c r="L125" s="43" t="n"/>
      <c r="M125" s="43" t="n"/>
      <c r="N125" s="21" t="n"/>
      <c r="O125" s="44" t="n"/>
      <c r="P125" s="33" t="n"/>
      <c r="Q125" s="33" t="n"/>
    </row>
    <row r="126" ht="15" customHeight="1">
      <c r="A126" s="21" t="inlineStr">
        <is>
          <t>NEW-0275</t>
        </is>
      </c>
      <c r="B126" s="23">
        <f>IFERROR(IF(ISBLANK(INDEX(Backlog[Requirement Name],MATCH($A126,Backlog[Requirement ID],0))),"",INDEX(Backlog[Requirement Name],MATCH($A126,Backlog[Requirement ID],0))),"")</f>
        <v/>
      </c>
      <c r="C126" s="23">
        <f>IFERROR(IF(ISBLANK(INDEX(Backlog[Stream],MATCH($A126,Backlog[Requirement ID],0))),"",INDEX(Backlog[Stream],MATCH($A126,Backlog[Requirement ID],0))),"")</f>
        <v/>
      </c>
      <c r="D126" s="23">
        <f>IFERROR(IF(ISBLANK(INDEX(Backlog[Stream Owner],MATCH($A126,Backlog[Requirement ID],0))),"",INDEX(Backlog[Stream Owner],MATCH($A126,Backlog[Requirement ID],0))),"")</f>
        <v/>
      </c>
      <c r="E126" s="23">
        <f>IFERROR(IF(ISBLANK(INDEX(Backlog[Jira Link],MATCH($A126,Backlog[Requirement ID],0))),"",INDEX(Backlog[Jira Link],MATCH($A126,Backlog[Requirement ID],0))),"")</f>
        <v/>
      </c>
      <c r="F126" s="21" t="inlineStr">
        <is>
          <t>NA</t>
        </is>
      </c>
      <c r="G126" s="21" t="inlineStr">
        <is>
          <t>NA</t>
        </is>
      </c>
      <c r="H126" s="29">
        <f>IFERROR(IF(ISBLANK(INDEX(SprintPlanning[Sprint],MATCH($A126,SprintPlanning[Requirement ID],0))),"",INDEX(SprintPlanning[Sprint],MATCH($A126,SprintPlanning[Requirement ID],0))),"")</f>
        <v/>
      </c>
      <c r="I126" s="23">
        <f>IFERROR(IF(ISBLANK(INDEX(Backlog[Status],MATCH($A126,Backlog[Requirement ID],0))),"",INDEX(Backlog[Status],MATCH($A126,Backlog[Requirement ID],0))),"")</f>
        <v/>
      </c>
      <c r="J126" s="23">
        <f>IFERROR(IF(ISBLANK(INDEX(Backlog[Priority],MATCH($A126,Backlog[Requirement ID],0))),"",INDEX(Backlog[Priority],MATCH($A126,Backlog[Requirement ID],0))),"")</f>
        <v/>
      </c>
      <c r="K126" s="21" t="n"/>
      <c r="L126" s="43" t="n"/>
      <c r="M126" s="43" t="n"/>
      <c r="N126" s="21" t="n"/>
      <c r="O126" s="44" t="n"/>
      <c r="P126" s="33" t="n"/>
      <c r="Q126" s="33" t="n"/>
    </row>
    <row r="127" ht="15" customHeight="1">
      <c r="A127" s="21" t="inlineStr">
        <is>
          <t>NEW-0282</t>
        </is>
      </c>
      <c r="B127" s="23">
        <f>IFERROR(IF(ISBLANK(INDEX(Backlog[Requirement Name],MATCH($A127,Backlog[Requirement ID],0))),"",INDEX(Backlog[Requirement Name],MATCH($A127,Backlog[Requirement ID],0))),"")</f>
        <v/>
      </c>
      <c r="C127" s="23">
        <f>IFERROR(IF(ISBLANK(INDEX(Backlog[Stream],MATCH($A127,Backlog[Requirement ID],0))),"",INDEX(Backlog[Stream],MATCH($A127,Backlog[Requirement ID],0))),"")</f>
        <v/>
      </c>
      <c r="D127" s="23">
        <f>IFERROR(IF(ISBLANK(INDEX(Backlog[Stream Owner],MATCH($A127,Backlog[Requirement ID],0))),"",INDEX(Backlog[Stream Owner],MATCH($A127,Backlog[Requirement ID],0))),"")</f>
        <v/>
      </c>
      <c r="E127" s="23">
        <f>IFERROR(IF(ISBLANK(INDEX(Backlog[Jira Link],MATCH($A127,Backlog[Requirement ID],0))),"",INDEX(Backlog[Jira Link],MATCH($A127,Backlog[Requirement ID],0))),"")</f>
        <v/>
      </c>
      <c r="F127" s="21" t="inlineStr">
        <is>
          <t>Yes</t>
        </is>
      </c>
      <c r="G127" s="21" t="inlineStr">
        <is>
          <t>Yes</t>
        </is>
      </c>
      <c r="H127" s="29">
        <f>IFERROR(IF(ISBLANK(INDEX(SprintPlanning[Sprint],MATCH($A127,SprintPlanning[Requirement ID],0))),"",INDEX(SprintPlanning[Sprint],MATCH($A127,SprintPlanning[Requirement ID],0))),"")</f>
        <v/>
      </c>
      <c r="I127" s="23">
        <f>IFERROR(IF(ISBLANK(INDEX(Backlog[Status],MATCH($A127,Backlog[Requirement ID],0))),"",INDEX(Backlog[Status],MATCH($A127,Backlog[Requirement ID],0))),"")</f>
        <v/>
      </c>
      <c r="J127" s="23">
        <f>IFERROR(IF(ISBLANK(INDEX(Backlog[Priority],MATCH($A127,Backlog[Requirement ID],0))),"",INDEX(Backlog[Priority],MATCH($A127,Backlog[Requirement ID],0))),"")</f>
        <v/>
      </c>
      <c r="K127" s="21" t="n"/>
      <c r="L127" s="43" t="n"/>
      <c r="M127" s="43" t="n"/>
      <c r="N127" s="21" t="n"/>
      <c r="O127" s="44" t="n"/>
      <c r="P127" s="33" t="n"/>
      <c r="Q127" s="33" t="n"/>
    </row>
    <row r="128" ht="15" customHeight="1">
      <c r="A128" s="21" t="inlineStr">
        <is>
          <t>NEW-0283</t>
        </is>
      </c>
      <c r="B128" s="23">
        <f>IFERROR(IF(ISBLANK(INDEX(Backlog[Requirement Name],MATCH($A128,Backlog[Requirement ID],0))),"",INDEX(Backlog[Requirement Name],MATCH($A128,Backlog[Requirement ID],0))),"")</f>
        <v/>
      </c>
      <c r="C128" s="23">
        <f>IFERROR(IF(ISBLANK(INDEX(Backlog[Stream],MATCH($A128,Backlog[Requirement ID],0))),"",INDEX(Backlog[Stream],MATCH($A128,Backlog[Requirement ID],0))),"")</f>
        <v/>
      </c>
      <c r="D128" s="23">
        <f>IFERROR(IF(ISBLANK(INDEX(Backlog[Stream Owner],MATCH($A128,Backlog[Requirement ID],0))),"",INDEX(Backlog[Stream Owner],MATCH($A128,Backlog[Requirement ID],0))),"")</f>
        <v/>
      </c>
      <c r="E128" s="23">
        <f>IFERROR(IF(ISBLANK(INDEX(Backlog[Jira Link],MATCH($A128,Backlog[Requirement ID],0))),"",INDEX(Backlog[Jira Link],MATCH($A128,Backlog[Requirement ID],0))),"")</f>
        <v/>
      </c>
      <c r="F128" s="21" t="inlineStr">
        <is>
          <t>Yes</t>
        </is>
      </c>
      <c r="G128" s="21" t="inlineStr">
        <is>
          <t>Yes</t>
        </is>
      </c>
      <c r="H128" s="29">
        <f>IFERROR(IF(ISBLANK(INDEX(SprintPlanning[Sprint],MATCH($A128,SprintPlanning[Requirement ID],0))),"",INDEX(SprintPlanning[Sprint],MATCH($A128,SprintPlanning[Requirement ID],0))),"")</f>
        <v/>
      </c>
      <c r="I128" s="23">
        <f>IFERROR(IF(ISBLANK(INDEX(Backlog[Status],MATCH($A128,Backlog[Requirement ID],0))),"",INDEX(Backlog[Status],MATCH($A128,Backlog[Requirement ID],0))),"")</f>
        <v/>
      </c>
      <c r="J128" s="23">
        <f>IFERROR(IF(ISBLANK(INDEX(Backlog[Priority],MATCH($A128,Backlog[Requirement ID],0))),"",INDEX(Backlog[Priority],MATCH($A128,Backlog[Requirement ID],0))),"")</f>
        <v/>
      </c>
      <c r="K128" s="21" t="n"/>
      <c r="L128" s="43" t="n"/>
      <c r="M128" s="43" t="n"/>
      <c r="N128" s="21" t="n"/>
      <c r="O128" s="44" t="n"/>
      <c r="P128" s="33" t="n"/>
      <c r="Q128" s="33" t="n"/>
    </row>
    <row r="129" ht="15" customHeight="1">
      <c r="A129" s="21" t="inlineStr">
        <is>
          <t>NEW-0284</t>
        </is>
      </c>
      <c r="B129" s="23">
        <f>IFERROR(IF(ISBLANK(INDEX(Backlog[Requirement Name],MATCH($A129,Backlog[Requirement ID],0))),"",INDEX(Backlog[Requirement Name],MATCH($A129,Backlog[Requirement ID],0))),"")</f>
        <v/>
      </c>
      <c r="C129" s="23">
        <f>IFERROR(IF(ISBLANK(INDEX(Backlog[Stream],MATCH($A129,Backlog[Requirement ID],0))),"",INDEX(Backlog[Stream],MATCH($A129,Backlog[Requirement ID],0))),"")</f>
        <v/>
      </c>
      <c r="D129" s="23">
        <f>IFERROR(IF(ISBLANK(INDEX(Backlog[Stream Owner],MATCH($A129,Backlog[Requirement ID],0))),"",INDEX(Backlog[Stream Owner],MATCH($A129,Backlog[Requirement ID],0))),"")</f>
        <v/>
      </c>
      <c r="E129" s="23">
        <f>IFERROR(IF(ISBLANK(INDEX(Backlog[Jira Link],MATCH($A129,Backlog[Requirement ID],0))),"",INDEX(Backlog[Jira Link],MATCH($A129,Backlog[Requirement ID],0))),"")</f>
        <v/>
      </c>
      <c r="F129" s="21" t="inlineStr">
        <is>
          <t>No</t>
        </is>
      </c>
      <c r="G129" s="21" t="inlineStr">
        <is>
          <t>No</t>
        </is>
      </c>
      <c r="H129" s="29">
        <f>IFERROR(IF(ISBLANK(INDEX(SprintPlanning[Sprint],MATCH($A129,SprintPlanning[Requirement ID],0))),"",INDEX(SprintPlanning[Sprint],MATCH($A129,SprintPlanning[Requirement ID],0))),"")</f>
        <v/>
      </c>
      <c r="I129" s="23">
        <f>IFERROR(IF(ISBLANK(INDEX(Backlog[Status],MATCH($A129,Backlog[Requirement ID],0))),"",INDEX(Backlog[Status],MATCH($A129,Backlog[Requirement ID],0))),"")</f>
        <v/>
      </c>
      <c r="J129" s="23">
        <f>IFERROR(IF(ISBLANK(INDEX(Backlog[Priority],MATCH($A129,Backlog[Requirement ID],0))),"",INDEX(Backlog[Priority],MATCH($A129,Backlog[Requirement ID],0))),"")</f>
        <v/>
      </c>
      <c r="K129" s="21" t="n"/>
      <c r="L129" s="43" t="n"/>
      <c r="M129" s="43" t="n"/>
      <c r="N129" s="21" t="n"/>
      <c r="O129" s="44" t="n"/>
      <c r="P129" s="33" t="n"/>
      <c r="Q129" s="33" t="n"/>
    </row>
    <row r="130" ht="15" customHeight="1">
      <c r="A130" s="21" t="inlineStr">
        <is>
          <t>NEW-0285</t>
        </is>
      </c>
      <c r="B130" s="23">
        <f>IFERROR(IF(ISBLANK(INDEX(Backlog[Requirement Name],MATCH($A130,Backlog[Requirement ID],0))),"",INDEX(Backlog[Requirement Name],MATCH($A130,Backlog[Requirement ID],0))),"")</f>
        <v/>
      </c>
      <c r="C130" s="23">
        <f>IFERROR(IF(ISBLANK(INDEX(Backlog[Stream],MATCH($A130,Backlog[Requirement ID],0))),"",INDEX(Backlog[Stream],MATCH($A130,Backlog[Requirement ID],0))),"")</f>
        <v/>
      </c>
      <c r="D130" s="23">
        <f>IFERROR(IF(ISBLANK(INDEX(Backlog[Stream Owner],MATCH($A130,Backlog[Requirement ID],0))),"",INDEX(Backlog[Stream Owner],MATCH($A130,Backlog[Requirement ID],0))),"")</f>
        <v/>
      </c>
      <c r="E130" s="23">
        <f>IFERROR(IF(ISBLANK(INDEX(Backlog[Jira Link],MATCH($A130,Backlog[Requirement ID],0))),"",INDEX(Backlog[Jira Link],MATCH($A130,Backlog[Requirement ID],0))),"")</f>
        <v/>
      </c>
      <c r="F130" s="21" t="inlineStr">
        <is>
          <t>Yes</t>
        </is>
      </c>
      <c r="G130" s="21" t="inlineStr">
        <is>
          <t>Yes</t>
        </is>
      </c>
      <c r="H130" s="29">
        <f>IFERROR(IF(ISBLANK(INDEX(SprintPlanning[Sprint],MATCH($A130,SprintPlanning[Requirement ID],0))),"",INDEX(SprintPlanning[Sprint],MATCH($A130,SprintPlanning[Requirement ID],0))),"")</f>
        <v/>
      </c>
      <c r="I130" s="23">
        <f>IFERROR(IF(ISBLANK(INDEX(Backlog[Status],MATCH($A130,Backlog[Requirement ID],0))),"",INDEX(Backlog[Status],MATCH($A130,Backlog[Requirement ID],0))),"")</f>
        <v/>
      </c>
      <c r="J130" s="23">
        <f>IFERROR(IF(ISBLANK(INDEX(Backlog[Priority],MATCH($A130,Backlog[Requirement ID],0))),"",INDEX(Backlog[Priority],MATCH($A130,Backlog[Requirement ID],0))),"")</f>
        <v/>
      </c>
      <c r="K130" s="21" t="n"/>
      <c r="L130" s="43" t="n"/>
      <c r="M130" s="43" t="n"/>
      <c r="N130" s="21" t="n"/>
      <c r="O130" s="44" t="n"/>
      <c r="P130" s="33" t="n"/>
      <c r="Q130" s="33" t="n"/>
    </row>
    <row r="131" ht="15" customHeight="1">
      <c r="A131" s="21" t="inlineStr">
        <is>
          <t>NEW-0286</t>
        </is>
      </c>
      <c r="B131" s="23">
        <f>IFERROR(IF(ISBLANK(INDEX(Backlog[Requirement Name],MATCH($A131,Backlog[Requirement ID],0))),"",INDEX(Backlog[Requirement Name],MATCH($A131,Backlog[Requirement ID],0))),"")</f>
        <v/>
      </c>
      <c r="C131" s="23">
        <f>IFERROR(IF(ISBLANK(INDEX(Backlog[Stream],MATCH($A131,Backlog[Requirement ID],0))),"",INDEX(Backlog[Stream],MATCH($A131,Backlog[Requirement ID],0))),"")</f>
        <v/>
      </c>
      <c r="D131" s="23">
        <f>IFERROR(IF(ISBLANK(INDEX(Backlog[Stream Owner],MATCH($A131,Backlog[Requirement ID],0))),"",INDEX(Backlog[Stream Owner],MATCH($A131,Backlog[Requirement ID],0))),"")</f>
        <v/>
      </c>
      <c r="E131" s="23">
        <f>IFERROR(IF(ISBLANK(INDEX(Backlog[Jira Link],MATCH($A131,Backlog[Requirement ID],0))),"",INDEX(Backlog[Jira Link],MATCH($A131,Backlog[Requirement ID],0))),"")</f>
        <v/>
      </c>
      <c r="F131" s="21" t="inlineStr">
        <is>
          <t>Yes</t>
        </is>
      </c>
      <c r="G131" s="21" t="inlineStr">
        <is>
          <t>Yes</t>
        </is>
      </c>
      <c r="H131" s="29">
        <f>IFERROR(IF(ISBLANK(INDEX(SprintPlanning[Sprint],MATCH($A131,SprintPlanning[Requirement ID],0))),"",INDEX(SprintPlanning[Sprint],MATCH($A131,SprintPlanning[Requirement ID],0))),"")</f>
        <v/>
      </c>
      <c r="I131" s="23">
        <f>IFERROR(IF(ISBLANK(INDEX(Backlog[Status],MATCH($A131,Backlog[Requirement ID],0))),"",INDEX(Backlog[Status],MATCH($A131,Backlog[Requirement ID],0))),"")</f>
        <v/>
      </c>
      <c r="J131" s="23">
        <f>IFERROR(IF(ISBLANK(INDEX(Backlog[Priority],MATCH($A131,Backlog[Requirement ID],0))),"",INDEX(Backlog[Priority],MATCH($A131,Backlog[Requirement ID],0))),"")</f>
        <v/>
      </c>
      <c r="K131" s="21" t="n"/>
      <c r="L131" s="43" t="n"/>
      <c r="M131" s="43" t="n"/>
      <c r="N131" s="21" t="n"/>
      <c r="O131" s="44" t="n"/>
      <c r="P131" s="33" t="n"/>
      <c r="Q131" s="33" t="n"/>
    </row>
    <row r="132" ht="15" customHeight="1">
      <c r="A132" s="21" t="inlineStr">
        <is>
          <t>NEW-0287</t>
        </is>
      </c>
      <c r="B132" s="23">
        <f>IFERROR(IF(ISBLANK(INDEX(Backlog[Requirement Name],MATCH($A132,Backlog[Requirement ID],0))),"",INDEX(Backlog[Requirement Name],MATCH($A132,Backlog[Requirement ID],0))),"")</f>
        <v/>
      </c>
      <c r="C132" s="23">
        <f>IFERROR(IF(ISBLANK(INDEX(Backlog[Stream],MATCH($A132,Backlog[Requirement ID],0))),"",INDEX(Backlog[Stream],MATCH($A132,Backlog[Requirement ID],0))),"")</f>
        <v/>
      </c>
      <c r="D132" s="23">
        <f>IFERROR(IF(ISBLANK(INDEX(Backlog[Stream Owner],MATCH($A132,Backlog[Requirement ID],0))),"",INDEX(Backlog[Stream Owner],MATCH($A132,Backlog[Requirement ID],0))),"")</f>
        <v/>
      </c>
      <c r="E132" s="23">
        <f>IFERROR(IF(ISBLANK(INDEX(Backlog[Jira Link],MATCH($A132,Backlog[Requirement ID],0))),"",INDEX(Backlog[Jira Link],MATCH($A132,Backlog[Requirement ID],0))),"")</f>
        <v/>
      </c>
      <c r="F132" s="21" t="inlineStr">
        <is>
          <t>Yes</t>
        </is>
      </c>
      <c r="G132" s="21" t="inlineStr">
        <is>
          <t>Yes</t>
        </is>
      </c>
      <c r="H132" s="29">
        <f>IFERROR(IF(ISBLANK(INDEX(SprintPlanning[Sprint],MATCH($A132,SprintPlanning[Requirement ID],0))),"",INDEX(SprintPlanning[Sprint],MATCH($A132,SprintPlanning[Requirement ID],0))),"")</f>
        <v/>
      </c>
      <c r="I132" s="23">
        <f>IFERROR(IF(ISBLANK(INDEX(Backlog[Status],MATCH($A132,Backlog[Requirement ID],0))),"",INDEX(Backlog[Status],MATCH($A132,Backlog[Requirement ID],0))),"")</f>
        <v/>
      </c>
      <c r="J132" s="23">
        <f>IFERROR(IF(ISBLANK(INDEX(Backlog[Priority],MATCH($A132,Backlog[Requirement ID],0))),"",INDEX(Backlog[Priority],MATCH($A132,Backlog[Requirement ID],0))),"")</f>
        <v/>
      </c>
      <c r="K132" s="21" t="n"/>
      <c r="L132" s="43" t="n"/>
      <c r="M132" s="43" t="n"/>
      <c r="N132" s="21" t="n"/>
      <c r="O132" s="44" t="n"/>
      <c r="P132" s="33" t="n"/>
      <c r="Q132" s="33" t="n"/>
    </row>
    <row r="133" ht="15" customHeight="1">
      <c r="A133" s="21" t="inlineStr">
        <is>
          <t>NEW-0288</t>
        </is>
      </c>
      <c r="B133" s="23">
        <f>IFERROR(IF(ISBLANK(INDEX(Backlog[Requirement Name],MATCH($A133,Backlog[Requirement ID],0))),"",INDEX(Backlog[Requirement Name],MATCH($A133,Backlog[Requirement ID],0))),"")</f>
        <v/>
      </c>
      <c r="C133" s="23">
        <f>IFERROR(IF(ISBLANK(INDEX(Backlog[Stream],MATCH($A133,Backlog[Requirement ID],0))),"",INDEX(Backlog[Stream],MATCH($A133,Backlog[Requirement ID],0))),"")</f>
        <v/>
      </c>
      <c r="D133" s="23">
        <f>IFERROR(IF(ISBLANK(INDEX(Backlog[Stream Owner],MATCH($A133,Backlog[Requirement ID],0))),"",INDEX(Backlog[Stream Owner],MATCH($A133,Backlog[Requirement ID],0))),"")</f>
        <v/>
      </c>
      <c r="E133" s="23">
        <f>IFERROR(IF(ISBLANK(INDEX(Backlog[Jira Link],MATCH($A133,Backlog[Requirement ID],0))),"",INDEX(Backlog[Jira Link],MATCH($A133,Backlog[Requirement ID],0))),"")</f>
        <v/>
      </c>
      <c r="F133" s="21" t="inlineStr">
        <is>
          <t>No</t>
        </is>
      </c>
      <c r="G133" s="21" t="inlineStr">
        <is>
          <t>No</t>
        </is>
      </c>
      <c r="H133" s="29">
        <f>IFERROR(IF(ISBLANK(INDEX(SprintPlanning[Sprint],MATCH($A133,SprintPlanning[Requirement ID],0))),"",INDEX(SprintPlanning[Sprint],MATCH($A133,SprintPlanning[Requirement ID],0))),"")</f>
        <v/>
      </c>
      <c r="I133" s="23">
        <f>IFERROR(IF(ISBLANK(INDEX(Backlog[Status],MATCH($A133,Backlog[Requirement ID],0))),"",INDEX(Backlog[Status],MATCH($A133,Backlog[Requirement ID],0))),"")</f>
        <v/>
      </c>
      <c r="J133" s="23">
        <f>IFERROR(IF(ISBLANK(INDEX(Backlog[Priority],MATCH($A133,Backlog[Requirement ID],0))),"",INDEX(Backlog[Priority],MATCH($A133,Backlog[Requirement ID],0))),"")</f>
        <v/>
      </c>
      <c r="K133" s="21" t="n"/>
      <c r="L133" s="43" t="n"/>
      <c r="M133" s="43" t="n"/>
      <c r="N133" s="21" t="n"/>
      <c r="O133" s="44" t="n"/>
      <c r="P133" s="33" t="n"/>
      <c r="Q133" s="33" t="n"/>
    </row>
    <row r="134" ht="15" customHeight="1">
      <c r="A134" s="21" t="inlineStr">
        <is>
          <t>NEW-0289</t>
        </is>
      </c>
      <c r="B134" s="23">
        <f>IFERROR(IF(ISBLANK(INDEX(Backlog[Requirement Name],MATCH($A134,Backlog[Requirement ID],0))),"",INDEX(Backlog[Requirement Name],MATCH($A134,Backlog[Requirement ID],0))),"")</f>
        <v/>
      </c>
      <c r="C134" s="23">
        <f>IFERROR(IF(ISBLANK(INDEX(Backlog[Stream],MATCH($A134,Backlog[Requirement ID],0))),"",INDEX(Backlog[Stream],MATCH($A134,Backlog[Requirement ID],0))),"")</f>
        <v/>
      </c>
      <c r="D134" s="23">
        <f>IFERROR(IF(ISBLANK(INDEX(Backlog[Stream Owner],MATCH($A134,Backlog[Requirement ID],0))),"",INDEX(Backlog[Stream Owner],MATCH($A134,Backlog[Requirement ID],0))),"")</f>
        <v/>
      </c>
      <c r="E134" s="23">
        <f>IFERROR(IF(ISBLANK(INDEX(Backlog[Jira Link],MATCH($A134,Backlog[Requirement ID],0))),"",INDEX(Backlog[Jira Link],MATCH($A134,Backlog[Requirement ID],0))),"")</f>
        <v/>
      </c>
      <c r="F134" s="21" t="inlineStr">
        <is>
          <t>Yes</t>
        </is>
      </c>
      <c r="G134" s="21" t="inlineStr">
        <is>
          <t>Yes</t>
        </is>
      </c>
      <c r="H134" s="29">
        <f>IFERROR(IF(ISBLANK(INDEX(SprintPlanning[Sprint],MATCH($A134,SprintPlanning[Requirement ID],0))),"",INDEX(SprintPlanning[Sprint],MATCH($A134,SprintPlanning[Requirement ID],0))),"")</f>
        <v/>
      </c>
      <c r="I134" s="23">
        <f>IFERROR(IF(ISBLANK(INDEX(Backlog[Status],MATCH($A134,Backlog[Requirement ID],0))),"",INDEX(Backlog[Status],MATCH($A134,Backlog[Requirement ID],0))),"")</f>
        <v/>
      </c>
      <c r="J134" s="23">
        <f>IFERROR(IF(ISBLANK(INDEX(Backlog[Priority],MATCH($A134,Backlog[Requirement ID],0))),"",INDEX(Backlog[Priority],MATCH($A134,Backlog[Requirement ID],0))),"")</f>
        <v/>
      </c>
      <c r="K134" s="21" t="n"/>
      <c r="L134" s="43" t="n"/>
      <c r="M134" s="43" t="n"/>
      <c r="N134" s="21" t="n"/>
      <c r="O134" s="44" t="n"/>
      <c r="P134" s="33" t="n"/>
      <c r="Q134" s="33" t="n"/>
    </row>
    <row r="135" ht="23.25" customHeight="1">
      <c r="A135" s="21" t="inlineStr">
        <is>
          <t>NEW-0290</t>
        </is>
      </c>
      <c r="B135" s="23">
        <f>IFERROR(IF(ISBLANK(INDEX(Backlog[Requirement Name],MATCH($A135,Backlog[Requirement ID],0))),"",INDEX(Backlog[Requirement Name],MATCH($A135,Backlog[Requirement ID],0))),"")</f>
        <v/>
      </c>
      <c r="C135" s="23">
        <f>IFERROR(IF(ISBLANK(INDEX(Backlog[Stream],MATCH($A135,Backlog[Requirement ID],0))),"",INDEX(Backlog[Stream],MATCH($A135,Backlog[Requirement ID],0))),"")</f>
        <v/>
      </c>
      <c r="D135" s="23">
        <f>IFERROR(IF(ISBLANK(INDEX(Backlog[Stream Owner],MATCH($A135,Backlog[Requirement ID],0))),"",INDEX(Backlog[Stream Owner],MATCH($A135,Backlog[Requirement ID],0))),"")</f>
        <v/>
      </c>
      <c r="E135" s="23">
        <f>IFERROR(IF(ISBLANK(INDEX(Backlog[Jira Link],MATCH($A135,Backlog[Requirement ID],0))),"",INDEX(Backlog[Jira Link],MATCH($A135,Backlog[Requirement ID],0))),"")</f>
        <v/>
      </c>
      <c r="F135" s="21" t="inlineStr">
        <is>
          <t>No</t>
        </is>
      </c>
      <c r="G135" s="21" t="inlineStr">
        <is>
          <t>No</t>
        </is>
      </c>
      <c r="H135" s="29">
        <f>IFERROR(IF(ISBLANK(INDEX(SprintPlanning[Sprint],MATCH($A135,SprintPlanning[Requirement ID],0))),"",INDEX(SprintPlanning[Sprint],MATCH($A135,SprintPlanning[Requirement ID],0))),"")</f>
        <v/>
      </c>
      <c r="I135" s="23">
        <f>IFERROR(IF(ISBLANK(INDEX(Backlog[Status],MATCH($A135,Backlog[Requirement ID],0))),"",INDEX(Backlog[Status],MATCH($A135,Backlog[Requirement ID],0))),"")</f>
        <v/>
      </c>
      <c r="J135" s="23">
        <f>IFERROR(IF(ISBLANK(INDEX(Backlog[Priority],MATCH($A135,Backlog[Requirement ID],0))),"",INDEX(Backlog[Priority],MATCH($A135,Backlog[Requirement ID],0))),"")</f>
        <v/>
      </c>
      <c r="K135" s="21" t="n"/>
      <c r="L135" s="43" t="n"/>
      <c r="M135" s="43" t="n"/>
      <c r="N135" s="21" t="n"/>
      <c r="O135" s="44" t="n"/>
      <c r="P135" s="33" t="n"/>
      <c r="Q135" s="33" t="n"/>
    </row>
    <row r="136" ht="15" customHeight="1">
      <c r="A136" s="21" t="inlineStr">
        <is>
          <t>NEW-0291</t>
        </is>
      </c>
      <c r="B136" s="23">
        <f>IFERROR(IF(ISBLANK(INDEX(Backlog[Requirement Name],MATCH($A136,Backlog[Requirement ID],0))),"",INDEX(Backlog[Requirement Name],MATCH($A136,Backlog[Requirement ID],0))),"")</f>
        <v/>
      </c>
      <c r="C136" s="23">
        <f>IFERROR(IF(ISBLANK(INDEX(Backlog[Stream],MATCH($A136,Backlog[Requirement ID],0))),"",INDEX(Backlog[Stream],MATCH($A136,Backlog[Requirement ID],0))),"")</f>
        <v/>
      </c>
      <c r="D136" s="23">
        <f>IFERROR(IF(ISBLANK(INDEX(Backlog[Stream Owner],MATCH($A136,Backlog[Requirement ID],0))),"",INDEX(Backlog[Stream Owner],MATCH($A136,Backlog[Requirement ID],0))),"")</f>
        <v/>
      </c>
      <c r="E136" s="23">
        <f>IFERROR(IF(ISBLANK(INDEX(Backlog[Jira Link],MATCH($A136,Backlog[Requirement ID],0))),"",INDEX(Backlog[Jira Link],MATCH($A136,Backlog[Requirement ID],0))),"")</f>
        <v/>
      </c>
      <c r="F136" s="21" t="inlineStr">
        <is>
          <t>Yes</t>
        </is>
      </c>
      <c r="G136" s="21" t="inlineStr">
        <is>
          <t>Yes</t>
        </is>
      </c>
      <c r="H136" s="29">
        <f>IFERROR(IF(ISBLANK(INDEX(SprintPlanning[Sprint],MATCH($A136,SprintPlanning[Requirement ID],0))),"",INDEX(SprintPlanning[Sprint],MATCH($A136,SprintPlanning[Requirement ID],0))),"")</f>
        <v/>
      </c>
      <c r="I136" s="23">
        <f>IFERROR(IF(ISBLANK(INDEX(Backlog[Status],MATCH($A136,Backlog[Requirement ID],0))),"",INDEX(Backlog[Status],MATCH($A136,Backlog[Requirement ID],0))),"")</f>
        <v/>
      </c>
      <c r="J136" s="23">
        <f>IFERROR(IF(ISBLANK(INDEX(Backlog[Priority],MATCH($A136,Backlog[Requirement ID],0))),"",INDEX(Backlog[Priority],MATCH($A136,Backlog[Requirement ID],0))),"")</f>
        <v/>
      </c>
      <c r="K136" s="21" t="n"/>
      <c r="L136" s="43" t="n"/>
      <c r="M136" s="43" t="n"/>
      <c r="N136" s="21" t="n"/>
      <c r="O136" s="44" t="n"/>
      <c r="P136" s="33" t="n"/>
      <c r="Q136" s="33" t="n"/>
    </row>
    <row r="137" ht="15" customHeight="1">
      <c r="A137" s="21" t="inlineStr">
        <is>
          <t>NEW-0292</t>
        </is>
      </c>
      <c r="B137" s="23">
        <f>IFERROR(IF(ISBLANK(INDEX(Backlog[Requirement Name],MATCH($A137,Backlog[Requirement ID],0))),"",INDEX(Backlog[Requirement Name],MATCH($A137,Backlog[Requirement ID],0))),"")</f>
        <v/>
      </c>
      <c r="C137" s="23">
        <f>IFERROR(IF(ISBLANK(INDEX(Backlog[Stream],MATCH($A137,Backlog[Requirement ID],0))),"",INDEX(Backlog[Stream],MATCH($A137,Backlog[Requirement ID],0))),"")</f>
        <v/>
      </c>
      <c r="D137" s="23">
        <f>IFERROR(IF(ISBLANK(INDEX(Backlog[Stream Owner],MATCH($A137,Backlog[Requirement ID],0))),"",INDEX(Backlog[Stream Owner],MATCH($A137,Backlog[Requirement ID],0))),"")</f>
        <v/>
      </c>
      <c r="E137" s="23">
        <f>IFERROR(IF(ISBLANK(INDEX(Backlog[Jira Link],MATCH($A137,Backlog[Requirement ID],0))),"",INDEX(Backlog[Jira Link],MATCH($A137,Backlog[Requirement ID],0))),"")</f>
        <v/>
      </c>
      <c r="F137" s="21" t="inlineStr">
        <is>
          <t>Yes</t>
        </is>
      </c>
      <c r="G137" s="21" t="inlineStr">
        <is>
          <t>Yes</t>
        </is>
      </c>
      <c r="H137" s="29">
        <f>IFERROR(IF(ISBLANK(INDEX(SprintPlanning[Sprint],MATCH($A137,SprintPlanning[Requirement ID],0))),"",INDEX(SprintPlanning[Sprint],MATCH($A137,SprintPlanning[Requirement ID],0))),"")</f>
        <v/>
      </c>
      <c r="I137" s="23">
        <f>IFERROR(IF(ISBLANK(INDEX(Backlog[Status],MATCH($A137,Backlog[Requirement ID],0))),"",INDEX(Backlog[Status],MATCH($A137,Backlog[Requirement ID],0))),"")</f>
        <v/>
      </c>
      <c r="J137" s="23">
        <f>IFERROR(IF(ISBLANK(INDEX(Backlog[Priority],MATCH($A137,Backlog[Requirement ID],0))),"",INDEX(Backlog[Priority],MATCH($A137,Backlog[Requirement ID],0))),"")</f>
        <v/>
      </c>
      <c r="K137" s="21" t="n"/>
      <c r="L137" s="43" t="n"/>
      <c r="M137" s="43" t="n"/>
      <c r="N137" s="21" t="n"/>
      <c r="O137" s="44" t="n"/>
      <c r="P137" s="33" t="n"/>
      <c r="Q137" s="33" t="n"/>
    </row>
    <row r="138" ht="15" customHeight="1">
      <c r="A138" s="21" t="inlineStr">
        <is>
          <t>NEW-0293</t>
        </is>
      </c>
      <c r="B138" s="23">
        <f>IFERROR(IF(ISBLANK(INDEX(Backlog[Requirement Name],MATCH($A138,Backlog[Requirement ID],0))),"",INDEX(Backlog[Requirement Name],MATCH($A138,Backlog[Requirement ID],0))),"")</f>
        <v/>
      </c>
      <c r="C138" s="23">
        <f>IFERROR(IF(ISBLANK(INDEX(Backlog[Stream],MATCH($A138,Backlog[Requirement ID],0))),"",INDEX(Backlog[Stream],MATCH($A138,Backlog[Requirement ID],0))),"")</f>
        <v/>
      </c>
      <c r="D138" s="23">
        <f>IFERROR(IF(ISBLANK(INDEX(Backlog[Stream Owner],MATCH($A138,Backlog[Requirement ID],0))),"",INDEX(Backlog[Stream Owner],MATCH($A138,Backlog[Requirement ID],0))),"")</f>
        <v/>
      </c>
      <c r="E138" s="23">
        <f>IFERROR(IF(ISBLANK(INDEX(Backlog[Jira Link],MATCH($A138,Backlog[Requirement ID],0))),"",INDEX(Backlog[Jira Link],MATCH($A138,Backlog[Requirement ID],0))),"")</f>
        <v/>
      </c>
      <c r="F138" s="21" t="inlineStr">
        <is>
          <t>Yes</t>
        </is>
      </c>
      <c r="G138" s="21" t="inlineStr">
        <is>
          <t>Yes</t>
        </is>
      </c>
      <c r="H138" s="29">
        <f>IFERROR(IF(ISBLANK(INDEX(SprintPlanning[Sprint],MATCH($A138,SprintPlanning[Requirement ID],0))),"",INDEX(SprintPlanning[Sprint],MATCH($A138,SprintPlanning[Requirement ID],0))),"")</f>
        <v/>
      </c>
      <c r="I138" s="23">
        <f>IFERROR(IF(ISBLANK(INDEX(Backlog[Status],MATCH($A138,Backlog[Requirement ID],0))),"",INDEX(Backlog[Status],MATCH($A138,Backlog[Requirement ID],0))),"")</f>
        <v/>
      </c>
      <c r="J138" s="23">
        <f>IFERROR(IF(ISBLANK(INDEX(Backlog[Priority],MATCH($A138,Backlog[Requirement ID],0))),"",INDEX(Backlog[Priority],MATCH($A138,Backlog[Requirement ID],0))),"")</f>
        <v/>
      </c>
      <c r="K138" s="21" t="n"/>
      <c r="L138" s="43" t="n"/>
      <c r="M138" s="43" t="n"/>
      <c r="N138" s="21" t="n"/>
      <c r="O138" s="44" t="n"/>
      <c r="P138" s="33" t="n"/>
      <c r="Q138" s="33" t="n"/>
    </row>
    <row r="139" ht="15" customHeight="1">
      <c r="A139" s="21" t="inlineStr">
        <is>
          <t>NEW-0294</t>
        </is>
      </c>
      <c r="B139" s="23">
        <f>IFERROR(IF(ISBLANK(INDEX(Backlog[Requirement Name],MATCH($A139,Backlog[Requirement ID],0))),"",INDEX(Backlog[Requirement Name],MATCH($A139,Backlog[Requirement ID],0))),"")</f>
        <v/>
      </c>
      <c r="C139" s="23">
        <f>IFERROR(IF(ISBLANK(INDEX(Backlog[Stream],MATCH($A139,Backlog[Requirement ID],0))),"",INDEX(Backlog[Stream],MATCH($A139,Backlog[Requirement ID],0))),"")</f>
        <v/>
      </c>
      <c r="D139" s="23">
        <f>IFERROR(IF(ISBLANK(INDEX(Backlog[Stream Owner],MATCH($A139,Backlog[Requirement ID],0))),"",INDEX(Backlog[Stream Owner],MATCH($A139,Backlog[Requirement ID],0))),"")</f>
        <v/>
      </c>
      <c r="E139" s="23">
        <f>IFERROR(IF(ISBLANK(INDEX(Backlog[Jira Link],MATCH($A139,Backlog[Requirement ID],0))),"",INDEX(Backlog[Jira Link],MATCH($A139,Backlog[Requirement ID],0))),"")</f>
        <v/>
      </c>
      <c r="F139" s="21" t="inlineStr">
        <is>
          <t>Yes</t>
        </is>
      </c>
      <c r="G139" s="21" t="inlineStr">
        <is>
          <t>Yes</t>
        </is>
      </c>
      <c r="H139" s="29">
        <f>IFERROR(IF(ISBLANK(INDEX(SprintPlanning[Sprint],MATCH($A139,SprintPlanning[Requirement ID],0))),"",INDEX(SprintPlanning[Sprint],MATCH($A139,SprintPlanning[Requirement ID],0))),"")</f>
        <v/>
      </c>
      <c r="I139" s="23">
        <f>IFERROR(IF(ISBLANK(INDEX(Backlog[Status],MATCH($A139,Backlog[Requirement ID],0))),"",INDEX(Backlog[Status],MATCH($A139,Backlog[Requirement ID],0))),"")</f>
        <v/>
      </c>
      <c r="J139" s="23">
        <f>IFERROR(IF(ISBLANK(INDEX(Backlog[Priority],MATCH($A139,Backlog[Requirement ID],0))),"",INDEX(Backlog[Priority],MATCH($A139,Backlog[Requirement ID],0))),"")</f>
        <v/>
      </c>
      <c r="K139" s="21" t="n"/>
      <c r="L139" s="43" t="n"/>
      <c r="M139" s="43" t="n"/>
      <c r="N139" s="21" t="n"/>
      <c r="O139" s="44" t="n"/>
      <c r="P139" s="33" t="n"/>
      <c r="Q139" s="33" t="n"/>
    </row>
    <row r="140" ht="15" customHeight="1">
      <c r="A140" s="21" t="inlineStr">
        <is>
          <t>NEW-0295</t>
        </is>
      </c>
      <c r="B140" s="23">
        <f>IFERROR(IF(ISBLANK(INDEX(Backlog[Requirement Name],MATCH($A140,Backlog[Requirement ID],0))),"",INDEX(Backlog[Requirement Name],MATCH($A140,Backlog[Requirement ID],0))),"")</f>
        <v/>
      </c>
      <c r="C140" s="23">
        <f>IFERROR(IF(ISBLANK(INDEX(Backlog[Stream],MATCH($A140,Backlog[Requirement ID],0))),"",INDEX(Backlog[Stream],MATCH($A140,Backlog[Requirement ID],0))),"")</f>
        <v/>
      </c>
      <c r="D140" s="23">
        <f>IFERROR(IF(ISBLANK(INDEX(Backlog[Stream Owner],MATCH($A140,Backlog[Requirement ID],0))),"",INDEX(Backlog[Stream Owner],MATCH($A140,Backlog[Requirement ID],0))),"")</f>
        <v/>
      </c>
      <c r="E140" s="23">
        <f>IFERROR(IF(ISBLANK(INDEX(Backlog[Jira Link],MATCH($A140,Backlog[Requirement ID],0))),"",INDEX(Backlog[Jira Link],MATCH($A140,Backlog[Requirement ID],0))),"")</f>
        <v/>
      </c>
      <c r="F140" s="21" t="inlineStr">
        <is>
          <t>Yes</t>
        </is>
      </c>
      <c r="G140" s="21" t="inlineStr">
        <is>
          <t>Yes</t>
        </is>
      </c>
      <c r="H140" s="29">
        <f>IFERROR(IF(ISBLANK(INDEX(SprintPlanning[Sprint],MATCH($A140,SprintPlanning[Requirement ID],0))),"",INDEX(SprintPlanning[Sprint],MATCH($A140,SprintPlanning[Requirement ID],0))),"")</f>
        <v/>
      </c>
      <c r="I140" s="23">
        <f>IFERROR(IF(ISBLANK(INDEX(Backlog[Status],MATCH($A140,Backlog[Requirement ID],0))),"",INDEX(Backlog[Status],MATCH($A140,Backlog[Requirement ID],0))),"")</f>
        <v/>
      </c>
      <c r="J140" s="23">
        <f>IFERROR(IF(ISBLANK(INDEX(Backlog[Priority],MATCH($A140,Backlog[Requirement ID],0))),"",INDEX(Backlog[Priority],MATCH($A140,Backlog[Requirement ID],0))),"")</f>
        <v/>
      </c>
      <c r="K140" s="21" t="n"/>
      <c r="L140" s="43" t="n"/>
      <c r="M140" s="43" t="n"/>
      <c r="N140" s="21" t="n"/>
      <c r="O140" s="44" t="n"/>
      <c r="P140" s="33" t="n"/>
      <c r="Q140" s="33" t="n"/>
    </row>
    <row r="141" ht="15" customHeight="1">
      <c r="A141" s="21" t="inlineStr">
        <is>
          <t>NEW-0296</t>
        </is>
      </c>
      <c r="B141" s="23">
        <f>IFERROR(IF(ISBLANK(INDEX(Backlog[Requirement Name],MATCH($A141,Backlog[Requirement ID],0))),"",INDEX(Backlog[Requirement Name],MATCH($A141,Backlog[Requirement ID],0))),"")</f>
        <v/>
      </c>
      <c r="C141" s="23">
        <f>IFERROR(IF(ISBLANK(INDEX(Backlog[Stream],MATCH($A141,Backlog[Requirement ID],0))),"",INDEX(Backlog[Stream],MATCH($A141,Backlog[Requirement ID],0))),"")</f>
        <v/>
      </c>
      <c r="D141" s="23">
        <f>IFERROR(IF(ISBLANK(INDEX(Backlog[Stream Owner],MATCH($A141,Backlog[Requirement ID],0))),"",INDEX(Backlog[Stream Owner],MATCH($A141,Backlog[Requirement ID],0))),"")</f>
        <v/>
      </c>
      <c r="E141" s="23">
        <f>IFERROR(IF(ISBLANK(INDEX(Backlog[Jira Link],MATCH($A141,Backlog[Requirement ID],0))),"",INDEX(Backlog[Jira Link],MATCH($A141,Backlog[Requirement ID],0))),"")</f>
        <v/>
      </c>
      <c r="F141" s="21" t="inlineStr">
        <is>
          <t>Yes</t>
        </is>
      </c>
      <c r="G141" s="21" t="inlineStr">
        <is>
          <t>Yes</t>
        </is>
      </c>
      <c r="H141" s="29">
        <f>IFERROR(IF(ISBLANK(INDEX(SprintPlanning[Sprint],MATCH($A141,SprintPlanning[Requirement ID],0))),"",INDEX(SprintPlanning[Sprint],MATCH($A141,SprintPlanning[Requirement ID],0))),"")</f>
        <v/>
      </c>
      <c r="I141" s="23">
        <f>IFERROR(IF(ISBLANK(INDEX(Backlog[Status],MATCH($A141,Backlog[Requirement ID],0))),"",INDEX(Backlog[Status],MATCH($A141,Backlog[Requirement ID],0))),"")</f>
        <v/>
      </c>
      <c r="J141" s="23">
        <f>IFERROR(IF(ISBLANK(INDEX(Backlog[Priority],MATCH($A141,Backlog[Requirement ID],0))),"",INDEX(Backlog[Priority],MATCH($A141,Backlog[Requirement ID],0))),"")</f>
        <v/>
      </c>
      <c r="K141" s="21" t="n"/>
      <c r="L141" s="43" t="n"/>
      <c r="M141" s="43" t="n"/>
      <c r="N141" s="21" t="n"/>
      <c r="O141" s="44" t="n"/>
      <c r="P141" s="33" t="n"/>
      <c r="Q141" s="33" t="n"/>
    </row>
    <row r="142" ht="15" customHeight="1">
      <c r="A142" s="21" t="inlineStr">
        <is>
          <t>NEW-0298</t>
        </is>
      </c>
      <c r="B142" s="23">
        <f>IFERROR(IF(ISBLANK(INDEX(Backlog[Requirement Name],MATCH($A142,Backlog[Requirement ID],0))),"",INDEX(Backlog[Requirement Name],MATCH($A142,Backlog[Requirement ID],0))),"")</f>
        <v/>
      </c>
      <c r="C142" s="23">
        <f>IFERROR(IF(ISBLANK(INDEX(Backlog[Stream],MATCH($A142,Backlog[Requirement ID],0))),"",INDEX(Backlog[Stream],MATCH($A142,Backlog[Requirement ID],0))),"")</f>
        <v/>
      </c>
      <c r="D142" s="23">
        <f>IFERROR(IF(ISBLANK(INDEX(Backlog[Stream Owner],MATCH($A142,Backlog[Requirement ID],0))),"",INDEX(Backlog[Stream Owner],MATCH($A142,Backlog[Requirement ID],0))),"")</f>
        <v/>
      </c>
      <c r="E142" s="23">
        <f>IFERROR(IF(ISBLANK(INDEX(Backlog[Jira Link],MATCH($A142,Backlog[Requirement ID],0))),"",INDEX(Backlog[Jira Link],MATCH($A142,Backlog[Requirement ID],0))),"")</f>
        <v/>
      </c>
      <c r="F142" s="21" t="inlineStr">
        <is>
          <t>Yes</t>
        </is>
      </c>
      <c r="G142" s="21" t="inlineStr">
        <is>
          <t>Yes</t>
        </is>
      </c>
      <c r="H142" s="29">
        <f>IFERROR(IF(ISBLANK(INDEX(SprintPlanning[Sprint],MATCH($A142,SprintPlanning[Requirement ID],0))),"",INDEX(SprintPlanning[Sprint],MATCH($A142,SprintPlanning[Requirement ID],0))),"")</f>
        <v/>
      </c>
      <c r="I142" s="23">
        <f>IFERROR(IF(ISBLANK(INDEX(Backlog[Status],MATCH($A142,Backlog[Requirement ID],0))),"",INDEX(Backlog[Status],MATCH($A142,Backlog[Requirement ID],0))),"")</f>
        <v/>
      </c>
      <c r="J142" s="23">
        <f>IFERROR(IF(ISBLANK(INDEX(Backlog[Priority],MATCH($A142,Backlog[Requirement ID],0))),"",INDEX(Backlog[Priority],MATCH($A142,Backlog[Requirement ID],0))),"")</f>
        <v/>
      </c>
      <c r="K142" s="21" t="n"/>
      <c r="L142" s="43" t="n"/>
      <c r="M142" s="43" t="n"/>
      <c r="N142" s="21" t="n"/>
      <c r="O142" s="44" t="n"/>
      <c r="P142" s="33" t="n"/>
      <c r="Q142" s="33" t="n"/>
    </row>
    <row r="143" ht="15" customHeight="1">
      <c r="A143" s="21" t="inlineStr">
        <is>
          <t>NEW-0299</t>
        </is>
      </c>
      <c r="B143" s="23">
        <f>IFERROR(IF(ISBLANK(INDEX(Backlog[Requirement Name],MATCH($A143,Backlog[Requirement ID],0))),"",INDEX(Backlog[Requirement Name],MATCH($A143,Backlog[Requirement ID],0))),"")</f>
        <v/>
      </c>
      <c r="C143" s="23">
        <f>IFERROR(IF(ISBLANK(INDEX(Backlog[Stream],MATCH($A143,Backlog[Requirement ID],0))),"",INDEX(Backlog[Stream],MATCH($A143,Backlog[Requirement ID],0))),"")</f>
        <v/>
      </c>
      <c r="D143" s="23">
        <f>IFERROR(IF(ISBLANK(INDEX(Backlog[Stream Owner],MATCH($A143,Backlog[Requirement ID],0))),"",INDEX(Backlog[Stream Owner],MATCH($A143,Backlog[Requirement ID],0))),"")</f>
        <v/>
      </c>
      <c r="E143" s="23">
        <f>IFERROR(IF(ISBLANK(INDEX(Backlog[Jira Link],MATCH($A143,Backlog[Requirement ID],0))),"",INDEX(Backlog[Jira Link],MATCH($A143,Backlog[Requirement ID],0))),"")</f>
        <v/>
      </c>
      <c r="F143" s="21" t="inlineStr">
        <is>
          <t>No</t>
        </is>
      </c>
      <c r="G143" s="21" t="inlineStr">
        <is>
          <t>No</t>
        </is>
      </c>
      <c r="H143" s="29">
        <f>IFERROR(IF(ISBLANK(INDEX(SprintPlanning[Sprint],MATCH($A143,SprintPlanning[Requirement ID],0))),"",INDEX(SprintPlanning[Sprint],MATCH($A143,SprintPlanning[Requirement ID],0))),"")</f>
        <v/>
      </c>
      <c r="I143" s="23">
        <f>IFERROR(IF(ISBLANK(INDEX(Backlog[Status],MATCH($A143,Backlog[Requirement ID],0))),"",INDEX(Backlog[Status],MATCH($A143,Backlog[Requirement ID],0))),"")</f>
        <v/>
      </c>
      <c r="J143" s="23">
        <f>IFERROR(IF(ISBLANK(INDEX(Backlog[Priority],MATCH($A143,Backlog[Requirement ID],0))),"",INDEX(Backlog[Priority],MATCH($A143,Backlog[Requirement ID],0))),"")</f>
        <v/>
      </c>
      <c r="K143" s="21" t="n"/>
      <c r="L143" s="43" t="n"/>
      <c r="M143" s="43" t="n"/>
      <c r="N143" s="21" t="n"/>
      <c r="O143" s="44" t="n"/>
      <c r="P143" s="33" t="n"/>
      <c r="Q143" s="33" t="n"/>
    </row>
    <row r="144" ht="15" customHeight="1">
      <c r="A144" s="21" t="inlineStr">
        <is>
          <t>NEW-0300</t>
        </is>
      </c>
      <c r="B144" s="23">
        <f>IFERROR(IF(ISBLANK(INDEX(Backlog[Requirement Name],MATCH($A144,Backlog[Requirement ID],0))),"",INDEX(Backlog[Requirement Name],MATCH($A144,Backlog[Requirement ID],0))),"")</f>
        <v/>
      </c>
      <c r="C144" s="23">
        <f>IFERROR(IF(ISBLANK(INDEX(Backlog[Stream],MATCH($A144,Backlog[Requirement ID],0))),"",INDEX(Backlog[Stream],MATCH($A144,Backlog[Requirement ID],0))),"")</f>
        <v/>
      </c>
      <c r="D144" s="23">
        <f>IFERROR(IF(ISBLANK(INDEX(Backlog[Stream Owner],MATCH($A144,Backlog[Requirement ID],0))),"",INDEX(Backlog[Stream Owner],MATCH($A144,Backlog[Requirement ID],0))),"")</f>
        <v/>
      </c>
      <c r="E144" s="23">
        <f>IFERROR(IF(ISBLANK(INDEX(Backlog[Jira Link],MATCH($A144,Backlog[Requirement ID],0))),"",INDEX(Backlog[Jira Link],MATCH($A144,Backlog[Requirement ID],0))),"")</f>
        <v/>
      </c>
      <c r="F144" s="21" t="inlineStr">
        <is>
          <t>Yes</t>
        </is>
      </c>
      <c r="G144" s="21" t="inlineStr">
        <is>
          <t>Yes</t>
        </is>
      </c>
      <c r="H144" s="29">
        <f>IFERROR(IF(ISBLANK(INDEX(SprintPlanning[Sprint],MATCH($A144,SprintPlanning[Requirement ID],0))),"",INDEX(SprintPlanning[Sprint],MATCH($A144,SprintPlanning[Requirement ID],0))),"")</f>
        <v/>
      </c>
      <c r="I144" s="23">
        <f>IFERROR(IF(ISBLANK(INDEX(Backlog[Status],MATCH($A144,Backlog[Requirement ID],0))),"",INDEX(Backlog[Status],MATCH($A144,Backlog[Requirement ID],0))),"")</f>
        <v/>
      </c>
      <c r="J144" s="23">
        <f>IFERROR(IF(ISBLANK(INDEX(Backlog[Priority],MATCH($A144,Backlog[Requirement ID],0))),"",INDEX(Backlog[Priority],MATCH($A144,Backlog[Requirement ID],0))),"")</f>
        <v/>
      </c>
      <c r="K144" s="21" t="n"/>
      <c r="L144" s="43" t="n"/>
      <c r="M144" s="43" t="n"/>
      <c r="N144" s="21" t="n"/>
      <c r="O144" s="44" t="n"/>
      <c r="P144" s="33" t="n"/>
      <c r="Q144" s="33" t="n"/>
    </row>
    <row r="145" ht="15" customHeight="1">
      <c r="A145" s="21" t="inlineStr">
        <is>
          <t>NEW-0303</t>
        </is>
      </c>
      <c r="B145" s="23">
        <f>IFERROR(IF(ISBLANK(INDEX(Backlog[Requirement Name],MATCH($A145,Backlog[Requirement ID],0))),"",INDEX(Backlog[Requirement Name],MATCH($A145,Backlog[Requirement ID],0))),"")</f>
        <v/>
      </c>
      <c r="C145" s="23">
        <f>IFERROR(IF(ISBLANK(INDEX(Backlog[Stream],MATCH($A145,Backlog[Requirement ID],0))),"",INDEX(Backlog[Stream],MATCH($A145,Backlog[Requirement ID],0))),"")</f>
        <v/>
      </c>
      <c r="D145" s="23">
        <f>IFERROR(IF(ISBLANK(INDEX(Backlog[Stream Owner],MATCH($A145,Backlog[Requirement ID],0))),"",INDEX(Backlog[Stream Owner],MATCH($A145,Backlog[Requirement ID],0))),"")</f>
        <v/>
      </c>
      <c r="E145" s="23">
        <f>IFERROR(IF(ISBLANK(INDEX(Backlog[Jira Link],MATCH($A145,Backlog[Requirement ID],0))),"",INDEX(Backlog[Jira Link],MATCH($A145,Backlog[Requirement ID],0))),"")</f>
        <v/>
      </c>
      <c r="F145" s="21" t="inlineStr">
        <is>
          <t>Yes</t>
        </is>
      </c>
      <c r="G145" s="21" t="inlineStr">
        <is>
          <t>Yes</t>
        </is>
      </c>
      <c r="H145" s="29">
        <f>IFERROR(IF(ISBLANK(INDEX(SprintPlanning[Sprint],MATCH($A145,SprintPlanning[Requirement ID],0))),"",INDEX(SprintPlanning[Sprint],MATCH($A145,SprintPlanning[Requirement ID],0))),"")</f>
        <v/>
      </c>
      <c r="I145" s="23">
        <f>IFERROR(IF(ISBLANK(INDEX(Backlog[Status],MATCH($A145,Backlog[Requirement ID],0))),"",INDEX(Backlog[Status],MATCH($A145,Backlog[Requirement ID],0))),"")</f>
        <v/>
      </c>
      <c r="J145" s="23">
        <f>IFERROR(IF(ISBLANK(INDEX(Backlog[Priority],MATCH($A145,Backlog[Requirement ID],0))),"",INDEX(Backlog[Priority],MATCH($A145,Backlog[Requirement ID],0))),"")</f>
        <v/>
      </c>
      <c r="K145" s="21" t="n"/>
      <c r="L145" s="43" t="n"/>
      <c r="M145" s="43" t="n"/>
      <c r="N145" s="21" t="n"/>
      <c r="O145" s="44" t="n"/>
      <c r="P145" s="33" t="n"/>
      <c r="Q145" s="33" t="n"/>
    </row>
    <row r="146" ht="15" customHeight="1">
      <c r="A146" s="21" t="inlineStr">
        <is>
          <t>NEW-0304</t>
        </is>
      </c>
      <c r="B146" s="23">
        <f>IFERROR(IF(ISBLANK(INDEX(Backlog[Requirement Name],MATCH($A146,Backlog[Requirement ID],0))),"",INDEX(Backlog[Requirement Name],MATCH($A146,Backlog[Requirement ID],0))),"")</f>
        <v/>
      </c>
      <c r="C146" s="23">
        <f>IFERROR(IF(ISBLANK(INDEX(Backlog[Stream],MATCH($A146,Backlog[Requirement ID],0))),"",INDEX(Backlog[Stream],MATCH($A146,Backlog[Requirement ID],0))),"")</f>
        <v/>
      </c>
      <c r="D146" s="23">
        <f>IFERROR(IF(ISBLANK(INDEX(Backlog[Stream Owner],MATCH($A146,Backlog[Requirement ID],0))),"",INDEX(Backlog[Stream Owner],MATCH($A146,Backlog[Requirement ID],0))),"")</f>
        <v/>
      </c>
      <c r="E146" s="23">
        <f>IFERROR(IF(ISBLANK(INDEX(Backlog[Jira Link],MATCH($A146,Backlog[Requirement ID],0))),"",INDEX(Backlog[Jira Link],MATCH($A146,Backlog[Requirement ID],0))),"")</f>
        <v/>
      </c>
      <c r="F146" s="21" t="inlineStr">
        <is>
          <t>Yes</t>
        </is>
      </c>
      <c r="G146" s="21" t="inlineStr">
        <is>
          <t>Yes</t>
        </is>
      </c>
      <c r="H146" s="29">
        <f>IFERROR(IF(ISBLANK(INDEX(SprintPlanning[Sprint],MATCH($A146,SprintPlanning[Requirement ID],0))),"",INDEX(SprintPlanning[Sprint],MATCH($A146,SprintPlanning[Requirement ID],0))),"")</f>
        <v/>
      </c>
      <c r="I146" s="23">
        <f>IFERROR(IF(ISBLANK(INDEX(Backlog[Status],MATCH($A146,Backlog[Requirement ID],0))),"",INDEX(Backlog[Status],MATCH($A146,Backlog[Requirement ID],0))),"")</f>
        <v/>
      </c>
      <c r="J146" s="23">
        <f>IFERROR(IF(ISBLANK(INDEX(Backlog[Priority],MATCH($A146,Backlog[Requirement ID],0))),"",INDEX(Backlog[Priority],MATCH($A146,Backlog[Requirement ID],0))),"")</f>
        <v/>
      </c>
      <c r="K146" s="21" t="n"/>
      <c r="L146" s="43" t="n"/>
      <c r="M146" s="43" t="n"/>
      <c r="N146" s="21" t="n"/>
      <c r="O146" s="44" t="n"/>
      <c r="P146" s="33" t="n"/>
      <c r="Q146" s="33" t="n"/>
    </row>
    <row r="147" ht="15" customHeight="1">
      <c r="A147" s="21" t="inlineStr">
        <is>
          <t>NEW-0305</t>
        </is>
      </c>
      <c r="B147" s="23">
        <f>IFERROR(IF(ISBLANK(INDEX(Backlog[Requirement Name],MATCH($A147,Backlog[Requirement ID],0))),"",INDEX(Backlog[Requirement Name],MATCH($A147,Backlog[Requirement ID],0))),"")</f>
        <v/>
      </c>
      <c r="C147" s="23">
        <f>IFERROR(IF(ISBLANK(INDEX(Backlog[Stream],MATCH($A147,Backlog[Requirement ID],0))),"",INDEX(Backlog[Stream],MATCH($A147,Backlog[Requirement ID],0))),"")</f>
        <v/>
      </c>
      <c r="D147" s="23">
        <f>IFERROR(IF(ISBLANK(INDEX(Backlog[Stream Owner],MATCH($A147,Backlog[Requirement ID],0))),"",INDEX(Backlog[Stream Owner],MATCH($A147,Backlog[Requirement ID],0))),"")</f>
        <v/>
      </c>
      <c r="E147" s="23">
        <f>IFERROR(IF(ISBLANK(INDEX(Backlog[Jira Link],MATCH($A147,Backlog[Requirement ID],0))),"",INDEX(Backlog[Jira Link],MATCH($A147,Backlog[Requirement ID],0))),"")</f>
        <v/>
      </c>
      <c r="F147" s="21" t="inlineStr">
        <is>
          <t>Yes</t>
        </is>
      </c>
      <c r="G147" s="21" t="inlineStr">
        <is>
          <t>Yes</t>
        </is>
      </c>
      <c r="H147" s="29">
        <f>IFERROR(IF(ISBLANK(INDEX(SprintPlanning[Sprint],MATCH($A147,SprintPlanning[Requirement ID],0))),"",INDEX(SprintPlanning[Sprint],MATCH($A147,SprintPlanning[Requirement ID],0))),"")</f>
        <v/>
      </c>
      <c r="I147" s="23">
        <f>IFERROR(IF(ISBLANK(INDEX(Backlog[Status],MATCH($A147,Backlog[Requirement ID],0))),"",INDEX(Backlog[Status],MATCH($A147,Backlog[Requirement ID],0))),"")</f>
        <v/>
      </c>
      <c r="J147" s="23">
        <f>IFERROR(IF(ISBLANK(INDEX(Backlog[Priority],MATCH($A147,Backlog[Requirement ID],0))),"",INDEX(Backlog[Priority],MATCH($A147,Backlog[Requirement ID],0))),"")</f>
        <v/>
      </c>
      <c r="K147" s="21" t="n"/>
      <c r="L147" s="43" t="n"/>
      <c r="M147" s="43" t="n"/>
      <c r="N147" s="21" t="n"/>
      <c r="O147" s="44" t="n"/>
      <c r="P147" s="33" t="n"/>
      <c r="Q147" s="33" t="n"/>
    </row>
    <row r="148" ht="15" customHeight="1">
      <c r="A148" s="21" t="inlineStr">
        <is>
          <t>NEW-0306</t>
        </is>
      </c>
      <c r="B148" s="23">
        <f>IFERROR(IF(ISBLANK(INDEX(Backlog[Requirement Name],MATCH($A148,Backlog[Requirement ID],0))),"",INDEX(Backlog[Requirement Name],MATCH($A148,Backlog[Requirement ID],0))),"")</f>
        <v/>
      </c>
      <c r="C148" s="23">
        <f>IFERROR(IF(ISBLANK(INDEX(Backlog[Stream],MATCH($A148,Backlog[Requirement ID],0))),"",INDEX(Backlog[Stream],MATCH($A148,Backlog[Requirement ID],0))),"")</f>
        <v/>
      </c>
      <c r="D148" s="23">
        <f>IFERROR(IF(ISBLANK(INDEX(Backlog[Stream Owner],MATCH($A148,Backlog[Requirement ID],0))),"",INDEX(Backlog[Stream Owner],MATCH($A148,Backlog[Requirement ID],0))),"")</f>
        <v/>
      </c>
      <c r="E148" s="23">
        <f>IFERROR(IF(ISBLANK(INDEX(Backlog[Jira Link],MATCH($A148,Backlog[Requirement ID],0))),"",INDEX(Backlog[Jira Link],MATCH($A148,Backlog[Requirement ID],0))),"")</f>
        <v/>
      </c>
      <c r="F148" s="21" t="inlineStr">
        <is>
          <t>Yes</t>
        </is>
      </c>
      <c r="G148" s="21" t="inlineStr">
        <is>
          <t>Yes</t>
        </is>
      </c>
      <c r="H148" s="29">
        <f>IFERROR(IF(ISBLANK(INDEX(SprintPlanning[Sprint],MATCH($A148,SprintPlanning[Requirement ID],0))),"",INDEX(SprintPlanning[Sprint],MATCH($A148,SprintPlanning[Requirement ID],0))),"")</f>
        <v/>
      </c>
      <c r="I148" s="23">
        <f>IFERROR(IF(ISBLANK(INDEX(Backlog[Status],MATCH($A148,Backlog[Requirement ID],0))),"",INDEX(Backlog[Status],MATCH($A148,Backlog[Requirement ID],0))),"")</f>
        <v/>
      </c>
      <c r="J148" s="23">
        <f>IFERROR(IF(ISBLANK(INDEX(Backlog[Priority],MATCH($A148,Backlog[Requirement ID],0))),"",INDEX(Backlog[Priority],MATCH($A148,Backlog[Requirement ID],0))),"")</f>
        <v/>
      </c>
      <c r="K148" s="21" t="n"/>
      <c r="L148" s="43" t="n"/>
      <c r="M148" s="43" t="n"/>
      <c r="N148" s="21" t="n"/>
      <c r="O148" s="44" t="n"/>
      <c r="P148" s="33" t="n"/>
      <c r="Q148" s="33" t="n"/>
    </row>
    <row r="149" ht="15" customHeight="1">
      <c r="A149" s="21" t="inlineStr">
        <is>
          <t>NEW-0307</t>
        </is>
      </c>
      <c r="B149" s="23">
        <f>IFERROR(IF(ISBLANK(INDEX(Backlog[Requirement Name],MATCH($A149,Backlog[Requirement ID],0))),"",INDEX(Backlog[Requirement Name],MATCH($A149,Backlog[Requirement ID],0))),"")</f>
        <v/>
      </c>
      <c r="C149" s="23">
        <f>IFERROR(IF(ISBLANK(INDEX(Backlog[Stream],MATCH($A149,Backlog[Requirement ID],0))),"",INDEX(Backlog[Stream],MATCH($A149,Backlog[Requirement ID],0))),"")</f>
        <v/>
      </c>
      <c r="D149" s="23">
        <f>IFERROR(IF(ISBLANK(INDEX(Backlog[Stream Owner],MATCH($A149,Backlog[Requirement ID],0))),"",INDEX(Backlog[Stream Owner],MATCH($A149,Backlog[Requirement ID],0))),"")</f>
        <v/>
      </c>
      <c r="E149" s="23">
        <f>IFERROR(IF(ISBLANK(INDEX(Backlog[Jira Link],MATCH($A149,Backlog[Requirement ID],0))),"",INDEX(Backlog[Jira Link],MATCH($A149,Backlog[Requirement ID],0))),"")</f>
        <v/>
      </c>
      <c r="F149" s="21" t="inlineStr">
        <is>
          <t>Yes</t>
        </is>
      </c>
      <c r="G149" s="21" t="inlineStr">
        <is>
          <t>Yes</t>
        </is>
      </c>
      <c r="H149" s="29">
        <f>IFERROR(IF(ISBLANK(INDEX(SprintPlanning[Sprint],MATCH($A149,SprintPlanning[Requirement ID],0))),"",INDEX(SprintPlanning[Sprint],MATCH($A149,SprintPlanning[Requirement ID],0))),"")</f>
        <v/>
      </c>
      <c r="I149" s="23">
        <f>IFERROR(IF(ISBLANK(INDEX(Backlog[Status],MATCH($A149,Backlog[Requirement ID],0))),"",INDEX(Backlog[Status],MATCH($A149,Backlog[Requirement ID],0))),"")</f>
        <v/>
      </c>
      <c r="J149" s="23">
        <f>IFERROR(IF(ISBLANK(INDEX(Backlog[Priority],MATCH($A149,Backlog[Requirement ID],0))),"",INDEX(Backlog[Priority],MATCH($A149,Backlog[Requirement ID],0))),"")</f>
        <v/>
      </c>
      <c r="K149" s="21" t="n"/>
      <c r="L149" s="43" t="n"/>
      <c r="M149" s="43" t="n"/>
      <c r="N149" s="21" t="n"/>
      <c r="O149" s="44" t="n"/>
      <c r="P149" s="33" t="n"/>
      <c r="Q149" s="33" t="n"/>
    </row>
    <row r="150" ht="15" customHeight="1">
      <c r="A150" s="21" t="inlineStr">
        <is>
          <t>NEW-0308</t>
        </is>
      </c>
      <c r="B150" s="23">
        <f>IFERROR(IF(ISBLANK(INDEX(Backlog[Requirement Name],MATCH($A150,Backlog[Requirement ID],0))),"",INDEX(Backlog[Requirement Name],MATCH($A150,Backlog[Requirement ID],0))),"")</f>
        <v/>
      </c>
      <c r="C150" s="23">
        <f>IFERROR(IF(ISBLANK(INDEX(Backlog[Stream],MATCH($A150,Backlog[Requirement ID],0))),"",INDEX(Backlog[Stream],MATCH($A150,Backlog[Requirement ID],0))),"")</f>
        <v/>
      </c>
      <c r="D150" s="23">
        <f>IFERROR(IF(ISBLANK(INDEX(Backlog[Stream Owner],MATCH($A150,Backlog[Requirement ID],0))),"",INDEX(Backlog[Stream Owner],MATCH($A150,Backlog[Requirement ID],0))),"")</f>
        <v/>
      </c>
      <c r="E150" s="23">
        <f>IFERROR(IF(ISBLANK(INDEX(Backlog[Jira Link],MATCH($A150,Backlog[Requirement ID],0))),"",INDEX(Backlog[Jira Link],MATCH($A150,Backlog[Requirement ID],0))),"")</f>
        <v/>
      </c>
      <c r="F150" s="21" t="inlineStr">
        <is>
          <t>Yes</t>
        </is>
      </c>
      <c r="G150" s="21" t="inlineStr">
        <is>
          <t>Yes</t>
        </is>
      </c>
      <c r="H150" s="29">
        <f>IFERROR(IF(ISBLANK(INDEX(SprintPlanning[Sprint],MATCH($A150,SprintPlanning[Requirement ID],0))),"",INDEX(SprintPlanning[Sprint],MATCH($A150,SprintPlanning[Requirement ID],0))),"")</f>
        <v/>
      </c>
      <c r="I150" s="23">
        <f>IFERROR(IF(ISBLANK(INDEX(Backlog[Status],MATCH($A150,Backlog[Requirement ID],0))),"",INDEX(Backlog[Status],MATCH($A150,Backlog[Requirement ID],0))),"")</f>
        <v/>
      </c>
      <c r="J150" s="23">
        <f>IFERROR(IF(ISBLANK(INDEX(Backlog[Priority],MATCH($A150,Backlog[Requirement ID],0))),"",INDEX(Backlog[Priority],MATCH($A150,Backlog[Requirement ID],0))),"")</f>
        <v/>
      </c>
      <c r="K150" s="21" t="n"/>
      <c r="L150" s="43" t="n"/>
      <c r="M150" s="43" t="n"/>
      <c r="N150" s="21" t="n"/>
      <c r="O150" s="44" t="n"/>
      <c r="P150" s="33" t="n"/>
      <c r="Q150" s="33" t="n"/>
    </row>
    <row r="151" ht="15" customHeight="1">
      <c r="A151" s="21" t="inlineStr">
        <is>
          <t>NEW-0309</t>
        </is>
      </c>
      <c r="B151" s="39">
        <f>IFERROR(IF(ISBLANK(INDEX(Backlog[Requirement Name],MATCH($A151,Backlog[Requirement ID],0))),"",INDEX(Backlog[Requirement Name],MATCH($A151,Backlog[Requirement ID],0))),"")</f>
        <v/>
      </c>
      <c r="C151" s="23">
        <f>IFERROR(IF(ISBLANK(INDEX(Backlog[Stream],MATCH($A151,Backlog[Requirement ID],0))),"",INDEX(Backlog[Stream],MATCH($A151,Backlog[Requirement ID],0))),"")</f>
        <v/>
      </c>
      <c r="D151" s="23">
        <f>IFERROR(IF(ISBLANK(INDEX(Backlog[Stream Owner],MATCH($A151,Backlog[Requirement ID],0))),"",INDEX(Backlog[Stream Owner],MATCH($A151,Backlog[Requirement ID],0))),"")</f>
        <v/>
      </c>
      <c r="E151" s="23">
        <f>IFERROR(IF(ISBLANK(INDEX(Backlog[Jira Link],MATCH($A151,Backlog[Requirement ID],0))),"",INDEX(Backlog[Jira Link],MATCH($A151,Backlog[Requirement ID],0))),"")</f>
        <v/>
      </c>
      <c r="F151" s="21" t="inlineStr">
        <is>
          <t>Yes</t>
        </is>
      </c>
      <c r="G151" s="21" t="inlineStr">
        <is>
          <t>Yes</t>
        </is>
      </c>
      <c r="H151" s="29">
        <f>IFERROR(IF(ISBLANK(INDEX(SprintPlanning[Sprint],MATCH($A151,SprintPlanning[Requirement ID],0))),"",INDEX(SprintPlanning[Sprint],MATCH($A151,SprintPlanning[Requirement ID],0))),"")</f>
        <v/>
      </c>
      <c r="I151" s="23">
        <f>IFERROR(IF(ISBLANK(INDEX(Backlog[Status],MATCH($A151,Backlog[Requirement ID],0))),"",INDEX(Backlog[Status],MATCH($A151,Backlog[Requirement ID],0))),"")</f>
        <v/>
      </c>
      <c r="J151" s="23">
        <f>IFERROR(IF(ISBLANK(INDEX(Backlog[Priority],MATCH($A151,Backlog[Requirement ID],0))),"",INDEX(Backlog[Priority],MATCH($A151,Backlog[Requirement ID],0))),"")</f>
        <v/>
      </c>
      <c r="K151" s="21" t="n"/>
      <c r="L151" s="43" t="n"/>
      <c r="M151" s="43" t="n"/>
      <c r="N151" s="21" t="n"/>
      <c r="O151" s="44" t="n"/>
      <c r="P151" s="33" t="n"/>
      <c r="Q151" s="33" t="n"/>
    </row>
    <row r="152" ht="15" customHeight="1">
      <c r="A152" s="21" t="inlineStr">
        <is>
          <t>NEW-0310</t>
        </is>
      </c>
      <c r="B152" s="39">
        <f>IFERROR(IF(ISBLANK(INDEX(Backlog[Requirement Name],MATCH($A152,Backlog[Requirement ID],0))),"",INDEX(Backlog[Requirement Name],MATCH($A152,Backlog[Requirement ID],0))),"")</f>
        <v/>
      </c>
      <c r="C152" s="23">
        <f>IFERROR(IF(ISBLANK(INDEX(Backlog[Stream],MATCH($A152,Backlog[Requirement ID],0))),"",INDEX(Backlog[Stream],MATCH($A152,Backlog[Requirement ID],0))),"")</f>
        <v/>
      </c>
      <c r="D152" s="23">
        <f>IFERROR(IF(ISBLANK(INDEX(Backlog[Stream Owner],MATCH($A152,Backlog[Requirement ID],0))),"",INDEX(Backlog[Stream Owner],MATCH($A152,Backlog[Requirement ID],0))),"")</f>
        <v/>
      </c>
      <c r="E152" s="23">
        <f>IFERROR(IF(ISBLANK(INDEX(Backlog[Jira Link],MATCH($A152,Backlog[Requirement ID],0))),"",INDEX(Backlog[Jira Link],MATCH($A152,Backlog[Requirement ID],0))),"")</f>
        <v/>
      </c>
      <c r="F152" s="21" t="inlineStr">
        <is>
          <t>Yes</t>
        </is>
      </c>
      <c r="G152" s="21" t="inlineStr">
        <is>
          <t>Yes</t>
        </is>
      </c>
      <c r="H152" s="29">
        <f>IFERROR(IF(ISBLANK(INDEX(SprintPlanning[Sprint],MATCH($A152,SprintPlanning[Requirement ID],0))),"",INDEX(SprintPlanning[Sprint],MATCH($A152,SprintPlanning[Requirement ID],0))),"")</f>
        <v/>
      </c>
      <c r="I152" s="23">
        <f>IFERROR(IF(ISBLANK(INDEX(Backlog[Status],MATCH($A152,Backlog[Requirement ID],0))),"",INDEX(Backlog[Status],MATCH($A152,Backlog[Requirement ID],0))),"")</f>
        <v/>
      </c>
      <c r="J152" s="23">
        <f>IFERROR(IF(ISBLANK(INDEX(Backlog[Priority],MATCH($A152,Backlog[Requirement ID],0))),"",INDEX(Backlog[Priority],MATCH($A152,Backlog[Requirement ID],0))),"")</f>
        <v/>
      </c>
      <c r="K152" s="21" t="n"/>
      <c r="L152" s="43" t="n"/>
      <c r="M152" s="43" t="n"/>
      <c r="N152" s="21" t="n"/>
      <c r="O152" s="44" t="n"/>
      <c r="P152" s="33" t="n"/>
      <c r="Q152" s="33" t="n"/>
    </row>
    <row r="153" ht="15" customHeight="1">
      <c r="A153" s="21" t="inlineStr">
        <is>
          <t>NEW-0312</t>
        </is>
      </c>
      <c r="B153" s="23">
        <f>IFERROR(IF(ISBLANK(INDEX(Backlog[Requirement Name],MATCH($A153,Backlog[Requirement ID],0))),"",INDEX(Backlog[Requirement Name],MATCH($A153,Backlog[Requirement ID],0))),"")</f>
        <v/>
      </c>
      <c r="C153" s="23">
        <f>IFERROR(IF(ISBLANK(INDEX(Backlog[Stream],MATCH($A153,Backlog[Requirement ID],0))),"",INDEX(Backlog[Stream],MATCH($A153,Backlog[Requirement ID],0))),"")</f>
        <v/>
      </c>
      <c r="D153" s="23">
        <f>IFERROR(IF(ISBLANK(INDEX(Backlog[Stream Owner],MATCH($A153,Backlog[Requirement ID],0))),"",INDEX(Backlog[Stream Owner],MATCH($A153,Backlog[Requirement ID],0))),"")</f>
        <v/>
      </c>
      <c r="E153" s="23">
        <f>IFERROR(IF(ISBLANK(INDEX(Backlog[Jira Link],MATCH($A153,Backlog[Requirement ID],0))),"",INDEX(Backlog[Jira Link],MATCH($A153,Backlog[Requirement ID],0))),"")</f>
        <v/>
      </c>
      <c r="F153" s="21" t="inlineStr">
        <is>
          <t>Yes</t>
        </is>
      </c>
      <c r="G153" s="21" t="inlineStr">
        <is>
          <t>Yes</t>
        </is>
      </c>
      <c r="H153" s="29">
        <f>IFERROR(IF(ISBLANK(INDEX(SprintPlanning[Sprint],MATCH($A153,SprintPlanning[Requirement ID],0))),"",INDEX(SprintPlanning[Sprint],MATCH($A153,SprintPlanning[Requirement ID],0))),"")</f>
        <v/>
      </c>
      <c r="I153" s="23">
        <f>IFERROR(IF(ISBLANK(INDEX(Backlog[Status],MATCH($A153,Backlog[Requirement ID],0))),"",INDEX(Backlog[Status],MATCH($A153,Backlog[Requirement ID],0))),"")</f>
        <v/>
      </c>
      <c r="J153" s="23">
        <f>IFERROR(IF(ISBLANK(INDEX(Backlog[Priority],MATCH($A153,Backlog[Requirement ID],0))),"",INDEX(Backlog[Priority],MATCH($A153,Backlog[Requirement ID],0))),"")</f>
        <v/>
      </c>
      <c r="K153" s="21" t="n"/>
      <c r="L153" s="43" t="n"/>
      <c r="M153" s="43" t="n"/>
      <c r="N153" s="21" t="n"/>
      <c r="O153" s="44" t="n"/>
      <c r="P153" s="33" t="n"/>
      <c r="Q153" s="33" t="n"/>
    </row>
    <row r="154" ht="15" customHeight="1">
      <c r="A154" s="21" t="inlineStr">
        <is>
          <t>NEW-0313</t>
        </is>
      </c>
      <c r="B154" s="23">
        <f>IFERROR(IF(ISBLANK(INDEX(Backlog[Requirement Name],MATCH($A154,Backlog[Requirement ID],0))),"",INDEX(Backlog[Requirement Name],MATCH($A154,Backlog[Requirement ID],0))),"")</f>
        <v/>
      </c>
      <c r="C154" s="23">
        <f>IFERROR(IF(ISBLANK(INDEX(Backlog[Stream],MATCH($A154,Backlog[Requirement ID],0))),"",INDEX(Backlog[Stream],MATCH($A154,Backlog[Requirement ID],0))),"")</f>
        <v/>
      </c>
      <c r="D154" s="23">
        <f>IFERROR(IF(ISBLANK(INDEX(Backlog[Stream Owner],MATCH($A154,Backlog[Requirement ID],0))),"",INDEX(Backlog[Stream Owner],MATCH($A154,Backlog[Requirement ID],0))),"")</f>
        <v/>
      </c>
      <c r="E154" s="23">
        <f>IFERROR(IF(ISBLANK(INDEX(Backlog[Jira Link],MATCH($A154,Backlog[Requirement ID],0))),"",INDEX(Backlog[Jira Link],MATCH($A154,Backlog[Requirement ID],0))),"")</f>
        <v/>
      </c>
      <c r="F154" s="21" t="inlineStr">
        <is>
          <t>Yes</t>
        </is>
      </c>
      <c r="G154" s="21" t="inlineStr">
        <is>
          <t>Yes</t>
        </is>
      </c>
      <c r="H154" s="29">
        <f>IFERROR(IF(ISBLANK(INDEX(SprintPlanning[Sprint],MATCH($A154,SprintPlanning[Requirement ID],0))),"",INDEX(SprintPlanning[Sprint],MATCH($A154,SprintPlanning[Requirement ID],0))),"")</f>
        <v/>
      </c>
      <c r="I154" s="23">
        <f>IFERROR(IF(ISBLANK(INDEX(Backlog[Status],MATCH($A154,Backlog[Requirement ID],0))),"",INDEX(Backlog[Status],MATCH($A154,Backlog[Requirement ID],0))),"")</f>
        <v/>
      </c>
      <c r="J154" s="23">
        <f>IFERROR(IF(ISBLANK(INDEX(Backlog[Priority],MATCH($A154,Backlog[Requirement ID],0))),"",INDEX(Backlog[Priority],MATCH($A154,Backlog[Requirement ID],0))),"")</f>
        <v/>
      </c>
      <c r="K154" s="21" t="n"/>
      <c r="L154" s="43" t="n"/>
      <c r="M154" s="43" t="n"/>
      <c r="N154" s="21" t="n"/>
      <c r="O154" s="44" t="n"/>
      <c r="P154" s="33" t="n"/>
      <c r="Q154" s="33" t="n"/>
    </row>
    <row r="155" ht="15" customHeight="1">
      <c r="A155" s="21" t="inlineStr">
        <is>
          <t>NEW-0315</t>
        </is>
      </c>
      <c r="B155" s="23">
        <f>IFERROR(IF(ISBLANK(INDEX(Backlog[Requirement Name],MATCH($A155,Backlog[Requirement ID],0))),"",INDEX(Backlog[Requirement Name],MATCH($A155,Backlog[Requirement ID],0))),"")</f>
        <v/>
      </c>
      <c r="C155" s="23">
        <f>IFERROR(IF(ISBLANK(INDEX(Backlog[Stream],MATCH($A155,Backlog[Requirement ID],0))),"",INDEX(Backlog[Stream],MATCH($A155,Backlog[Requirement ID],0))),"")</f>
        <v/>
      </c>
      <c r="D155" s="23">
        <f>IFERROR(IF(ISBLANK(INDEX(Backlog[Stream Owner],MATCH($A155,Backlog[Requirement ID],0))),"",INDEX(Backlog[Stream Owner],MATCH($A155,Backlog[Requirement ID],0))),"")</f>
        <v/>
      </c>
      <c r="E155" s="23">
        <f>IFERROR(IF(ISBLANK(INDEX(Backlog[Jira Link],MATCH($A155,Backlog[Requirement ID],0))),"",INDEX(Backlog[Jira Link],MATCH($A155,Backlog[Requirement ID],0))),"")</f>
        <v/>
      </c>
      <c r="F155" s="21" t="inlineStr">
        <is>
          <t>No</t>
        </is>
      </c>
      <c r="G155" s="21" t="inlineStr">
        <is>
          <t>No</t>
        </is>
      </c>
      <c r="H155" s="29">
        <f>IFERROR(IF(ISBLANK(INDEX(SprintPlanning[Sprint],MATCH($A155,SprintPlanning[Requirement ID],0))),"",INDEX(SprintPlanning[Sprint],MATCH($A155,SprintPlanning[Requirement ID],0))),"")</f>
        <v/>
      </c>
      <c r="I155" s="23">
        <f>IFERROR(IF(ISBLANK(INDEX(Backlog[Status],MATCH($A155,Backlog[Requirement ID],0))),"",INDEX(Backlog[Status],MATCH($A155,Backlog[Requirement ID],0))),"")</f>
        <v/>
      </c>
      <c r="J155" s="23">
        <f>IFERROR(IF(ISBLANK(INDEX(Backlog[Priority],MATCH($A155,Backlog[Requirement ID],0))),"",INDEX(Backlog[Priority],MATCH($A155,Backlog[Requirement ID],0))),"")</f>
        <v/>
      </c>
      <c r="K155" s="21" t="n"/>
      <c r="L155" s="43" t="n"/>
      <c r="M155" s="43" t="n"/>
      <c r="N155" s="21" t="n"/>
      <c r="O155" s="44" t="n"/>
      <c r="P155" s="33" t="n"/>
      <c r="Q155" s="33" t="n"/>
    </row>
    <row r="156" ht="15" customHeight="1">
      <c r="A156" s="21" t="inlineStr">
        <is>
          <t>NEW-0316</t>
        </is>
      </c>
      <c r="B156" s="23">
        <f>IFERROR(IF(ISBLANK(INDEX(Backlog[Requirement Name],MATCH($A156,Backlog[Requirement ID],0))),"",INDEX(Backlog[Requirement Name],MATCH($A156,Backlog[Requirement ID],0))),"")</f>
        <v/>
      </c>
      <c r="C156" s="23">
        <f>IFERROR(IF(ISBLANK(INDEX(Backlog[Stream],MATCH($A156,Backlog[Requirement ID],0))),"",INDEX(Backlog[Stream],MATCH($A156,Backlog[Requirement ID],0))),"")</f>
        <v/>
      </c>
      <c r="D156" s="23">
        <f>IFERROR(IF(ISBLANK(INDEX(Backlog[Stream Owner],MATCH($A156,Backlog[Requirement ID],0))),"",INDEX(Backlog[Stream Owner],MATCH($A156,Backlog[Requirement ID],0))),"")</f>
        <v/>
      </c>
      <c r="E156" s="23">
        <f>IFERROR(IF(ISBLANK(INDEX(Backlog[Jira Link],MATCH($A156,Backlog[Requirement ID],0))),"",INDEX(Backlog[Jira Link],MATCH($A156,Backlog[Requirement ID],0))),"")</f>
        <v/>
      </c>
      <c r="F156" s="21" t="inlineStr">
        <is>
          <t>Yes</t>
        </is>
      </c>
      <c r="G156" s="21" t="inlineStr">
        <is>
          <t>No</t>
        </is>
      </c>
      <c r="H156" s="29">
        <f>IFERROR(IF(ISBLANK(INDEX(SprintPlanning[Sprint],MATCH($A156,SprintPlanning[Requirement ID],0))),"",INDEX(SprintPlanning[Sprint],MATCH($A156,SprintPlanning[Requirement ID],0))),"")</f>
        <v/>
      </c>
      <c r="I156" s="23">
        <f>IFERROR(IF(ISBLANK(INDEX(Backlog[Status],MATCH($A156,Backlog[Requirement ID],0))),"",INDEX(Backlog[Status],MATCH($A156,Backlog[Requirement ID],0))),"")</f>
        <v/>
      </c>
      <c r="J156" s="23">
        <f>IFERROR(IF(ISBLANK(INDEX(Backlog[Priority],MATCH($A156,Backlog[Requirement ID],0))),"",INDEX(Backlog[Priority],MATCH($A156,Backlog[Requirement ID],0))),"")</f>
        <v/>
      </c>
      <c r="K156" s="21" t="n"/>
      <c r="L156" s="43" t="n"/>
      <c r="M156" s="43" t="n"/>
      <c r="N156" s="21" t="n"/>
      <c r="O156" s="44" t="n"/>
      <c r="P156" s="33" t="n"/>
      <c r="Q156" s="33" t="n"/>
    </row>
    <row r="157" ht="15" customHeight="1">
      <c r="A157" s="21" t="inlineStr">
        <is>
          <t>NEW-0319</t>
        </is>
      </c>
      <c r="B157" s="23">
        <f>IFERROR(IF(ISBLANK(INDEX(Backlog[Requirement Name],MATCH($A157,Backlog[Requirement ID],0))),"",INDEX(Backlog[Requirement Name],MATCH($A157,Backlog[Requirement ID],0))),"")</f>
        <v/>
      </c>
      <c r="C157" s="23">
        <f>IFERROR(IF(ISBLANK(INDEX(Backlog[Stream],MATCH($A157,Backlog[Requirement ID],0))),"",INDEX(Backlog[Stream],MATCH($A157,Backlog[Requirement ID],0))),"")</f>
        <v/>
      </c>
      <c r="D157" s="23">
        <f>IFERROR(IF(ISBLANK(INDEX(Backlog[Stream Owner],MATCH($A157,Backlog[Requirement ID],0))),"",INDEX(Backlog[Stream Owner],MATCH($A157,Backlog[Requirement ID],0))),"")</f>
        <v/>
      </c>
      <c r="E157" s="23">
        <f>IFERROR(IF(ISBLANK(INDEX(Backlog[Jira Link],MATCH($A157,Backlog[Requirement ID],0))),"",INDEX(Backlog[Jira Link],MATCH($A157,Backlog[Requirement ID],0))),"")</f>
        <v/>
      </c>
      <c r="F157" s="21" t="inlineStr">
        <is>
          <t>Yes</t>
        </is>
      </c>
      <c r="G157" s="21" t="inlineStr">
        <is>
          <t>Yes</t>
        </is>
      </c>
      <c r="H157" s="29">
        <f>IFERROR(IF(ISBLANK(INDEX(SprintPlanning[Sprint],MATCH($A157,SprintPlanning[Requirement ID],0))),"",INDEX(SprintPlanning[Sprint],MATCH($A157,SprintPlanning[Requirement ID],0))),"")</f>
        <v/>
      </c>
      <c r="I157" s="23">
        <f>IFERROR(IF(ISBLANK(INDEX(Backlog[Status],MATCH($A157,Backlog[Requirement ID],0))),"",INDEX(Backlog[Status],MATCH($A157,Backlog[Requirement ID],0))),"")</f>
        <v/>
      </c>
      <c r="J157" s="23">
        <f>IFERROR(IF(ISBLANK(INDEX(Backlog[Priority],MATCH($A157,Backlog[Requirement ID],0))),"",INDEX(Backlog[Priority],MATCH($A157,Backlog[Requirement ID],0))),"")</f>
        <v/>
      </c>
      <c r="K157" s="21" t="n"/>
      <c r="L157" s="43" t="n"/>
      <c r="M157" s="43" t="n"/>
      <c r="N157" s="21" t="n"/>
      <c r="O157" s="44" t="n"/>
      <c r="P157" s="33" t="n"/>
      <c r="Q157" s="33" t="n"/>
    </row>
    <row r="158" ht="15" customHeight="1">
      <c r="A158" s="21" t="inlineStr">
        <is>
          <t>NEW-0322</t>
        </is>
      </c>
      <c r="B158" s="23">
        <f>IFERROR(IF(ISBLANK(INDEX(Backlog[Requirement Name],MATCH($A158,Backlog[Requirement ID],0))),"",INDEX(Backlog[Requirement Name],MATCH($A158,Backlog[Requirement ID],0))),"")</f>
        <v/>
      </c>
      <c r="C158" s="23">
        <f>IFERROR(IF(ISBLANK(INDEX(Backlog[Stream],MATCH($A158,Backlog[Requirement ID],0))),"",INDEX(Backlog[Stream],MATCH($A158,Backlog[Requirement ID],0))),"")</f>
        <v/>
      </c>
      <c r="D158" s="23">
        <f>IFERROR(IF(ISBLANK(INDEX(Backlog[Stream Owner],MATCH($A158,Backlog[Requirement ID],0))),"",INDEX(Backlog[Stream Owner],MATCH($A158,Backlog[Requirement ID],0))),"")</f>
        <v/>
      </c>
      <c r="E158" s="23">
        <f>IFERROR(IF(ISBLANK(INDEX(Backlog[Jira Link],MATCH($A158,Backlog[Requirement ID],0))),"",INDEX(Backlog[Jira Link],MATCH($A158,Backlog[Requirement ID],0))),"")</f>
        <v/>
      </c>
      <c r="F158" s="21" t="inlineStr">
        <is>
          <t>No</t>
        </is>
      </c>
      <c r="G158" s="21" t="inlineStr">
        <is>
          <t>No</t>
        </is>
      </c>
      <c r="H158" s="29">
        <f>IFERROR(IF(ISBLANK(INDEX(SprintPlanning[Sprint],MATCH($A158,SprintPlanning[Requirement ID],0))),"",INDEX(SprintPlanning[Sprint],MATCH($A158,SprintPlanning[Requirement ID],0))),"")</f>
        <v/>
      </c>
      <c r="I158" s="23">
        <f>IFERROR(IF(ISBLANK(INDEX(Backlog[Status],MATCH($A158,Backlog[Requirement ID],0))),"",INDEX(Backlog[Status],MATCH($A158,Backlog[Requirement ID],0))),"")</f>
        <v/>
      </c>
      <c r="J158" s="23">
        <f>IFERROR(IF(ISBLANK(INDEX(Backlog[Priority],MATCH($A158,Backlog[Requirement ID],0))),"",INDEX(Backlog[Priority],MATCH($A158,Backlog[Requirement ID],0))),"")</f>
        <v/>
      </c>
      <c r="K158" s="21" t="n"/>
      <c r="L158" s="43" t="n"/>
      <c r="M158" s="43" t="n"/>
      <c r="N158" s="21" t="n"/>
      <c r="O158" s="44" t="n"/>
      <c r="P158" s="33" t="n"/>
      <c r="Q158" s="33" t="n"/>
    </row>
    <row r="159" ht="15" customHeight="1">
      <c r="A159" s="21" t="inlineStr">
        <is>
          <t>NEW-0324</t>
        </is>
      </c>
      <c r="B159" s="23">
        <f>IFERROR(IF(ISBLANK(INDEX(Backlog[Requirement Name],MATCH($A159,Backlog[Requirement ID],0))),"",INDEX(Backlog[Requirement Name],MATCH($A159,Backlog[Requirement ID],0))),"")</f>
        <v/>
      </c>
      <c r="C159" s="23">
        <f>IFERROR(IF(ISBLANK(INDEX(Backlog[Stream],MATCH($A159,Backlog[Requirement ID],0))),"",INDEX(Backlog[Stream],MATCH($A159,Backlog[Requirement ID],0))),"")</f>
        <v/>
      </c>
      <c r="D159" s="23">
        <f>IFERROR(IF(ISBLANK(INDEX(Backlog[Stream Owner],MATCH($A159,Backlog[Requirement ID],0))),"",INDEX(Backlog[Stream Owner],MATCH($A159,Backlog[Requirement ID],0))),"")</f>
        <v/>
      </c>
      <c r="E159" s="23">
        <f>IFERROR(IF(ISBLANK(INDEX(Backlog[Jira Link],MATCH($A159,Backlog[Requirement ID],0))),"",INDEX(Backlog[Jira Link],MATCH($A159,Backlog[Requirement ID],0))),"")</f>
        <v/>
      </c>
      <c r="F159" s="21" t="inlineStr">
        <is>
          <t>No</t>
        </is>
      </c>
      <c r="G159" s="21" t="inlineStr">
        <is>
          <t>No</t>
        </is>
      </c>
      <c r="H159" s="29">
        <f>IFERROR(IF(ISBLANK(INDEX(SprintPlanning[Sprint],MATCH($A159,SprintPlanning[Requirement ID],0))),"",INDEX(SprintPlanning[Sprint],MATCH($A159,SprintPlanning[Requirement ID],0))),"")</f>
        <v/>
      </c>
      <c r="I159" s="23">
        <f>IFERROR(IF(ISBLANK(INDEX(Backlog[Status],MATCH($A159,Backlog[Requirement ID],0))),"",INDEX(Backlog[Status],MATCH($A159,Backlog[Requirement ID],0))),"")</f>
        <v/>
      </c>
      <c r="J159" s="23">
        <f>IFERROR(IF(ISBLANK(INDEX(Backlog[Priority],MATCH($A159,Backlog[Requirement ID],0))),"",INDEX(Backlog[Priority],MATCH($A159,Backlog[Requirement ID],0))),"")</f>
        <v/>
      </c>
      <c r="K159" s="21" t="n"/>
      <c r="L159" s="43" t="n"/>
      <c r="M159" s="43" t="n"/>
      <c r="N159" s="21" t="n"/>
      <c r="O159" s="44" t="n"/>
      <c r="P159" s="33" t="n"/>
      <c r="Q159" s="33" t="n"/>
    </row>
    <row r="160" ht="15" customHeight="1">
      <c r="A160" s="21" t="inlineStr">
        <is>
          <t>NEW-0329</t>
        </is>
      </c>
      <c r="B160" s="23">
        <f>IFERROR(IF(ISBLANK(INDEX(Backlog[Requirement Name],MATCH($A160,Backlog[Requirement ID],0))),"",INDEX(Backlog[Requirement Name],MATCH($A160,Backlog[Requirement ID],0))),"")</f>
        <v/>
      </c>
      <c r="C160" s="23">
        <f>IFERROR(IF(ISBLANK(INDEX(Backlog[Stream],MATCH($A160,Backlog[Requirement ID],0))),"",INDEX(Backlog[Stream],MATCH($A160,Backlog[Requirement ID],0))),"")</f>
        <v/>
      </c>
      <c r="D160" s="23">
        <f>IFERROR(IF(ISBLANK(INDEX(Backlog[Stream Owner],MATCH($A160,Backlog[Requirement ID],0))),"",INDEX(Backlog[Stream Owner],MATCH($A160,Backlog[Requirement ID],0))),"")</f>
        <v/>
      </c>
      <c r="E160" s="23">
        <f>IFERROR(IF(ISBLANK(INDEX(Backlog[Jira Link],MATCH($A160,Backlog[Requirement ID],0))),"",INDEX(Backlog[Jira Link],MATCH($A160,Backlog[Requirement ID],0))),"")</f>
        <v/>
      </c>
      <c r="F160" s="21" t="inlineStr">
        <is>
          <t>Yes</t>
        </is>
      </c>
      <c r="G160" s="21" t="inlineStr">
        <is>
          <t>Yes</t>
        </is>
      </c>
      <c r="H160" s="29">
        <f>IFERROR(IF(ISBLANK(INDEX(SprintPlanning[Sprint],MATCH($A160,SprintPlanning[Requirement ID],0))),"",INDEX(SprintPlanning[Sprint],MATCH($A160,SprintPlanning[Requirement ID],0))),"")</f>
        <v/>
      </c>
      <c r="I160" s="23">
        <f>IFERROR(IF(ISBLANK(INDEX(Backlog[Status],MATCH($A160,Backlog[Requirement ID],0))),"",INDEX(Backlog[Status],MATCH($A160,Backlog[Requirement ID],0))),"")</f>
        <v/>
      </c>
      <c r="J160" s="23">
        <f>IFERROR(IF(ISBLANK(INDEX(Backlog[Priority],MATCH($A160,Backlog[Requirement ID],0))),"",INDEX(Backlog[Priority],MATCH($A160,Backlog[Requirement ID],0))),"")</f>
        <v/>
      </c>
      <c r="K160" s="21" t="n"/>
      <c r="L160" s="43" t="n"/>
      <c r="M160" s="43" t="n"/>
      <c r="N160" s="21" t="n"/>
      <c r="O160" s="44" t="n"/>
      <c r="P160" s="33" t="n"/>
      <c r="Q160" s="33" t="n"/>
    </row>
    <row r="161" ht="15" customHeight="1">
      <c r="A161" s="21" t="inlineStr">
        <is>
          <t>NEW-0330</t>
        </is>
      </c>
      <c r="B161" s="39">
        <f>IFERROR(IF(ISBLANK(INDEX(Backlog[Requirement Name],MATCH($A161,Backlog[Requirement ID],0))),"",INDEX(Backlog[Requirement Name],MATCH($A161,Backlog[Requirement ID],0))),"")</f>
        <v/>
      </c>
      <c r="C161" s="23">
        <f>IFERROR(IF(ISBLANK(INDEX(Backlog[Stream],MATCH($A161,Backlog[Requirement ID],0))),"",INDEX(Backlog[Stream],MATCH($A161,Backlog[Requirement ID],0))),"")</f>
        <v/>
      </c>
      <c r="D161" s="23">
        <f>IFERROR(IF(ISBLANK(INDEX(Backlog[Stream Owner],MATCH($A161,Backlog[Requirement ID],0))),"",INDEX(Backlog[Stream Owner],MATCH($A161,Backlog[Requirement ID],0))),"")</f>
        <v/>
      </c>
      <c r="E161" s="23">
        <f>IFERROR(IF(ISBLANK(INDEX(Backlog[Jira Link],MATCH($A161,Backlog[Requirement ID],0))),"",INDEX(Backlog[Jira Link],MATCH($A161,Backlog[Requirement ID],0))),"")</f>
        <v/>
      </c>
      <c r="F161" s="21" t="inlineStr">
        <is>
          <t>Yes</t>
        </is>
      </c>
      <c r="G161" s="21" t="inlineStr">
        <is>
          <t>Yes</t>
        </is>
      </c>
      <c r="H161" s="29">
        <f>IFERROR(IF(ISBLANK(INDEX(SprintPlanning[Sprint],MATCH($A161,SprintPlanning[Requirement ID],0))),"",INDEX(SprintPlanning[Sprint],MATCH($A161,SprintPlanning[Requirement ID],0))),"")</f>
        <v/>
      </c>
      <c r="I161" s="23">
        <f>IFERROR(IF(ISBLANK(INDEX(Backlog[Status],MATCH($A161,Backlog[Requirement ID],0))),"",INDEX(Backlog[Status],MATCH($A161,Backlog[Requirement ID],0))),"")</f>
        <v/>
      </c>
      <c r="J161" s="23">
        <f>IFERROR(IF(ISBLANK(INDEX(Backlog[Priority],MATCH($A161,Backlog[Requirement ID],0))),"",INDEX(Backlog[Priority],MATCH($A161,Backlog[Requirement ID],0))),"")</f>
        <v/>
      </c>
      <c r="K161" s="21" t="n"/>
      <c r="L161" s="43" t="n"/>
      <c r="M161" s="43" t="n"/>
      <c r="N161" s="21" t="n"/>
      <c r="O161" s="44" t="n"/>
      <c r="P161" s="33" t="n"/>
      <c r="Q161" s="33" t="n"/>
    </row>
    <row r="162" ht="15" customHeight="1">
      <c r="A162" s="21" t="inlineStr">
        <is>
          <t>NEW-0331</t>
        </is>
      </c>
      <c r="B162" s="23">
        <f>IFERROR(IF(ISBLANK(INDEX(Backlog[Requirement Name],MATCH($A162,Backlog[Requirement ID],0))),"",INDEX(Backlog[Requirement Name],MATCH($A162,Backlog[Requirement ID],0))),"")</f>
        <v/>
      </c>
      <c r="C162" s="23">
        <f>IFERROR(IF(ISBLANK(INDEX(Backlog[Stream],MATCH($A162,Backlog[Requirement ID],0))),"",INDEX(Backlog[Stream],MATCH($A162,Backlog[Requirement ID],0))),"")</f>
        <v/>
      </c>
      <c r="D162" s="23">
        <f>IFERROR(IF(ISBLANK(INDEX(Backlog[Stream Owner],MATCH($A162,Backlog[Requirement ID],0))),"",INDEX(Backlog[Stream Owner],MATCH($A162,Backlog[Requirement ID],0))),"")</f>
        <v/>
      </c>
      <c r="E162" s="23">
        <f>IFERROR(IF(ISBLANK(INDEX(Backlog[Jira Link],MATCH($A162,Backlog[Requirement ID],0))),"",INDEX(Backlog[Jira Link],MATCH($A162,Backlog[Requirement ID],0))),"")</f>
        <v/>
      </c>
      <c r="F162" s="21" t="inlineStr">
        <is>
          <t>Yes</t>
        </is>
      </c>
      <c r="G162" s="21" t="inlineStr">
        <is>
          <t>Yes</t>
        </is>
      </c>
      <c r="H162" s="29">
        <f>IFERROR(IF(ISBLANK(INDEX(SprintPlanning[Sprint],MATCH($A162,SprintPlanning[Requirement ID],0))),"",INDEX(SprintPlanning[Sprint],MATCH($A162,SprintPlanning[Requirement ID],0))),"")</f>
        <v/>
      </c>
      <c r="I162" s="23">
        <f>IFERROR(IF(ISBLANK(INDEX(Backlog[Status],MATCH($A162,Backlog[Requirement ID],0))),"",INDEX(Backlog[Status],MATCH($A162,Backlog[Requirement ID],0))),"")</f>
        <v/>
      </c>
      <c r="J162" s="23">
        <f>IFERROR(IF(ISBLANK(INDEX(Backlog[Priority],MATCH($A162,Backlog[Requirement ID],0))),"",INDEX(Backlog[Priority],MATCH($A162,Backlog[Requirement ID],0))),"")</f>
        <v/>
      </c>
      <c r="K162" s="21" t="n"/>
      <c r="L162" s="43" t="n"/>
      <c r="M162" s="43" t="n"/>
      <c r="N162" s="21" t="n"/>
      <c r="O162" s="44" t="n"/>
      <c r="P162" s="33" t="n"/>
      <c r="Q162" s="33" t="n"/>
    </row>
    <row r="163" ht="15" customHeight="1">
      <c r="A163" s="21" t="inlineStr">
        <is>
          <t>NEW-0336</t>
        </is>
      </c>
      <c r="B163" s="39">
        <f>IFERROR(IF(ISBLANK(INDEX(Backlog[Requirement Name],MATCH($A163,Backlog[Requirement ID],0))),"",INDEX(Backlog[Requirement Name],MATCH($A163,Backlog[Requirement ID],0))),"")</f>
        <v/>
      </c>
      <c r="C163" s="23">
        <f>IFERROR(IF(ISBLANK(INDEX(Backlog[Stream],MATCH($A163,Backlog[Requirement ID],0))),"",INDEX(Backlog[Stream],MATCH($A163,Backlog[Requirement ID],0))),"")</f>
        <v/>
      </c>
      <c r="D163" s="23">
        <f>IFERROR(IF(ISBLANK(INDEX(Backlog[Stream Owner],MATCH($A163,Backlog[Requirement ID],0))),"",INDEX(Backlog[Stream Owner],MATCH($A163,Backlog[Requirement ID],0))),"")</f>
        <v/>
      </c>
      <c r="E163" s="23">
        <f>IFERROR(IF(ISBLANK(INDEX(Backlog[Jira Link],MATCH($A163,Backlog[Requirement ID],0))),"",INDEX(Backlog[Jira Link],MATCH($A163,Backlog[Requirement ID],0))),"")</f>
        <v/>
      </c>
      <c r="F163" s="21" t="inlineStr">
        <is>
          <t>Yes</t>
        </is>
      </c>
      <c r="G163" s="21" t="inlineStr">
        <is>
          <t>Yes</t>
        </is>
      </c>
      <c r="H163" s="29">
        <f>IFERROR(IF(ISBLANK(INDEX(SprintPlanning[Sprint],MATCH($A163,SprintPlanning[Requirement ID],0))),"",INDEX(SprintPlanning[Sprint],MATCH($A163,SprintPlanning[Requirement ID],0))),"")</f>
        <v/>
      </c>
      <c r="I163" s="23">
        <f>IFERROR(IF(ISBLANK(INDEX(Backlog[Status],MATCH($A163,Backlog[Requirement ID],0))),"",INDEX(Backlog[Status],MATCH($A163,Backlog[Requirement ID],0))),"")</f>
        <v/>
      </c>
      <c r="J163" s="23">
        <f>IFERROR(IF(ISBLANK(INDEX(Backlog[Priority],MATCH($A163,Backlog[Requirement ID],0))),"",INDEX(Backlog[Priority],MATCH($A163,Backlog[Requirement ID],0))),"")</f>
        <v/>
      </c>
      <c r="K163" s="21" t="n"/>
      <c r="L163" s="43" t="n"/>
      <c r="M163" s="43" t="n"/>
      <c r="N163" s="21" t="n"/>
      <c r="O163" s="44" t="n"/>
      <c r="P163" s="33" t="n"/>
      <c r="Q163" s="33" t="n"/>
    </row>
    <row r="164" ht="15" customHeight="1">
      <c r="A164" s="21" t="inlineStr">
        <is>
          <t>NEW-0337</t>
        </is>
      </c>
      <c r="B164" s="23">
        <f>IFERROR(IF(ISBLANK(INDEX(Backlog[Requirement Name],MATCH($A164,Backlog[Requirement ID],0))),"",INDEX(Backlog[Requirement Name],MATCH($A164,Backlog[Requirement ID],0))),"")</f>
        <v/>
      </c>
      <c r="C164" s="23">
        <f>IFERROR(IF(ISBLANK(INDEX(Backlog[Stream],MATCH($A164,Backlog[Requirement ID],0))),"",INDEX(Backlog[Stream],MATCH($A164,Backlog[Requirement ID],0))),"")</f>
        <v/>
      </c>
      <c r="D164" s="23">
        <f>IFERROR(IF(ISBLANK(INDEX(Backlog[Stream Owner],MATCH($A164,Backlog[Requirement ID],0))),"",INDEX(Backlog[Stream Owner],MATCH($A164,Backlog[Requirement ID],0))),"")</f>
        <v/>
      </c>
      <c r="E164" s="23">
        <f>IFERROR(IF(ISBLANK(INDEX(Backlog[Jira Link],MATCH($A164,Backlog[Requirement ID],0))),"",INDEX(Backlog[Jira Link],MATCH($A164,Backlog[Requirement ID],0))),"")</f>
        <v/>
      </c>
      <c r="F164" s="21" t="inlineStr">
        <is>
          <t>Yes</t>
        </is>
      </c>
      <c r="G164" s="21" t="inlineStr">
        <is>
          <t>Yes</t>
        </is>
      </c>
      <c r="H164" s="29">
        <f>IFERROR(IF(ISBLANK(INDEX(SprintPlanning[Sprint],MATCH($A164,SprintPlanning[Requirement ID],0))),"",INDEX(SprintPlanning[Sprint],MATCH($A164,SprintPlanning[Requirement ID],0))),"")</f>
        <v/>
      </c>
      <c r="I164" s="23">
        <f>IFERROR(IF(ISBLANK(INDEX(Backlog[Status],MATCH($A164,Backlog[Requirement ID],0))),"",INDEX(Backlog[Status],MATCH($A164,Backlog[Requirement ID],0))),"")</f>
        <v/>
      </c>
      <c r="J164" s="23">
        <f>IFERROR(IF(ISBLANK(INDEX(Backlog[Priority],MATCH($A164,Backlog[Requirement ID],0))),"",INDEX(Backlog[Priority],MATCH($A164,Backlog[Requirement ID],0))),"")</f>
        <v/>
      </c>
      <c r="K164" s="21" t="n"/>
      <c r="L164" s="43" t="n"/>
      <c r="M164" s="43" t="n"/>
      <c r="N164" s="21" t="n"/>
      <c r="O164" s="44" t="n"/>
      <c r="P164" s="33" t="n"/>
      <c r="Q164" s="33" t="n"/>
    </row>
    <row r="165" ht="15" customHeight="1">
      <c r="A165" s="21" t="inlineStr">
        <is>
          <t>NEW-0338</t>
        </is>
      </c>
      <c r="B165" s="39">
        <f>IFERROR(IF(ISBLANK(INDEX(Backlog[Requirement Name],MATCH($A165,Backlog[Requirement ID],0))),"",INDEX(Backlog[Requirement Name],MATCH($A165,Backlog[Requirement ID],0))),"")</f>
        <v/>
      </c>
      <c r="C165" s="23">
        <f>IFERROR(IF(ISBLANK(INDEX(Backlog[Stream],MATCH($A165,Backlog[Requirement ID],0))),"",INDEX(Backlog[Stream],MATCH($A165,Backlog[Requirement ID],0))),"")</f>
        <v/>
      </c>
      <c r="D165" s="23">
        <f>IFERROR(IF(ISBLANK(INDEX(Backlog[Stream Owner],MATCH($A165,Backlog[Requirement ID],0))),"",INDEX(Backlog[Stream Owner],MATCH($A165,Backlog[Requirement ID],0))),"")</f>
        <v/>
      </c>
      <c r="E165" s="23">
        <f>IFERROR(IF(ISBLANK(INDEX(Backlog[Jira Link],MATCH($A165,Backlog[Requirement ID],0))),"",INDEX(Backlog[Jira Link],MATCH($A165,Backlog[Requirement ID],0))),"")</f>
        <v/>
      </c>
      <c r="F165" s="21" t="inlineStr">
        <is>
          <t>Yes</t>
        </is>
      </c>
      <c r="G165" s="21" t="inlineStr">
        <is>
          <t>Yes</t>
        </is>
      </c>
      <c r="H165" s="29">
        <f>IFERROR(IF(ISBLANK(INDEX(SprintPlanning[Sprint],MATCH($A165,SprintPlanning[Requirement ID],0))),"",INDEX(SprintPlanning[Sprint],MATCH($A165,SprintPlanning[Requirement ID],0))),"")</f>
        <v/>
      </c>
      <c r="I165" s="23">
        <f>IFERROR(IF(ISBLANK(INDEX(Backlog[Status],MATCH($A165,Backlog[Requirement ID],0))),"",INDEX(Backlog[Status],MATCH($A165,Backlog[Requirement ID],0))),"")</f>
        <v/>
      </c>
      <c r="J165" s="23">
        <f>IFERROR(IF(ISBLANK(INDEX(Backlog[Priority],MATCH($A165,Backlog[Requirement ID],0))),"",INDEX(Backlog[Priority],MATCH($A165,Backlog[Requirement ID],0))),"")</f>
        <v/>
      </c>
      <c r="K165" s="21" t="n"/>
      <c r="L165" s="43" t="n"/>
      <c r="M165" s="43" t="n"/>
      <c r="N165" s="21" t="n"/>
      <c r="O165" s="44" t="n"/>
      <c r="P165" s="33" t="n"/>
      <c r="Q165" s="33" t="n"/>
    </row>
    <row r="166" ht="15" customHeight="1">
      <c r="A166" s="21" t="inlineStr">
        <is>
          <t>NEW-0339</t>
        </is>
      </c>
      <c r="B166" s="23">
        <f>IFERROR(IF(ISBLANK(INDEX(Backlog[Requirement Name],MATCH($A166,Backlog[Requirement ID],0))),"",INDEX(Backlog[Requirement Name],MATCH($A166,Backlog[Requirement ID],0))),"")</f>
        <v/>
      </c>
      <c r="C166" s="23">
        <f>IFERROR(IF(ISBLANK(INDEX(Backlog[Stream],MATCH($A166,Backlog[Requirement ID],0))),"",INDEX(Backlog[Stream],MATCH($A166,Backlog[Requirement ID],0))),"")</f>
        <v/>
      </c>
      <c r="D166" s="23">
        <f>IFERROR(IF(ISBLANK(INDEX(Backlog[Stream Owner],MATCH($A166,Backlog[Requirement ID],0))),"",INDEX(Backlog[Stream Owner],MATCH($A166,Backlog[Requirement ID],0))),"")</f>
        <v/>
      </c>
      <c r="E166" s="23">
        <f>IFERROR(IF(ISBLANK(INDEX(Backlog[Jira Link],MATCH($A166,Backlog[Requirement ID],0))),"",INDEX(Backlog[Jira Link],MATCH($A166,Backlog[Requirement ID],0))),"")</f>
        <v/>
      </c>
      <c r="F166" s="21" t="inlineStr">
        <is>
          <t>Yes</t>
        </is>
      </c>
      <c r="G166" s="21" t="inlineStr">
        <is>
          <t>Yes</t>
        </is>
      </c>
      <c r="H166" s="29">
        <f>IFERROR(IF(ISBLANK(INDEX(SprintPlanning[Sprint],MATCH($A166,SprintPlanning[Requirement ID],0))),"",INDEX(SprintPlanning[Sprint],MATCH($A166,SprintPlanning[Requirement ID],0))),"")</f>
        <v/>
      </c>
      <c r="I166" s="23">
        <f>IFERROR(IF(ISBLANK(INDEX(Backlog[Status],MATCH($A166,Backlog[Requirement ID],0))),"",INDEX(Backlog[Status],MATCH($A166,Backlog[Requirement ID],0))),"")</f>
        <v/>
      </c>
      <c r="J166" s="23">
        <f>IFERROR(IF(ISBLANK(INDEX(Backlog[Priority],MATCH($A166,Backlog[Requirement ID],0))),"",INDEX(Backlog[Priority],MATCH($A166,Backlog[Requirement ID],0))),"")</f>
        <v/>
      </c>
      <c r="K166" s="21" t="n"/>
      <c r="L166" s="43" t="n"/>
      <c r="M166" s="43" t="n"/>
      <c r="N166" s="21" t="n"/>
      <c r="O166" s="44" t="n"/>
      <c r="P166" s="33" t="n"/>
      <c r="Q166" s="33" t="n"/>
    </row>
    <row r="167" ht="15" customHeight="1">
      <c r="A167" s="21" t="inlineStr">
        <is>
          <t>NEW-0341</t>
        </is>
      </c>
      <c r="B167" s="23">
        <f>IFERROR(IF(ISBLANK(INDEX(Backlog[Requirement Name],MATCH($A167,Backlog[Requirement ID],0))),"",INDEX(Backlog[Requirement Name],MATCH($A167,Backlog[Requirement ID],0))),"")</f>
        <v/>
      </c>
      <c r="C167" s="23">
        <f>IFERROR(IF(ISBLANK(INDEX(Backlog[Stream],MATCH($A167,Backlog[Requirement ID],0))),"",INDEX(Backlog[Stream],MATCH($A167,Backlog[Requirement ID],0))),"")</f>
        <v/>
      </c>
      <c r="D167" s="23">
        <f>IFERROR(IF(ISBLANK(INDEX(Backlog[Stream Owner],MATCH($A167,Backlog[Requirement ID],0))),"",INDEX(Backlog[Stream Owner],MATCH($A167,Backlog[Requirement ID],0))),"")</f>
        <v/>
      </c>
      <c r="E167" s="23">
        <f>IFERROR(IF(ISBLANK(INDEX(Backlog[Jira Link],MATCH($A167,Backlog[Requirement ID],0))),"",INDEX(Backlog[Jira Link],MATCH($A167,Backlog[Requirement ID],0))),"")</f>
        <v/>
      </c>
      <c r="F167" s="21" t="inlineStr">
        <is>
          <t>Yes</t>
        </is>
      </c>
      <c r="G167" s="21" t="inlineStr">
        <is>
          <t>Yes</t>
        </is>
      </c>
      <c r="H167" s="29">
        <f>IFERROR(IF(ISBLANK(INDEX(SprintPlanning[Sprint],MATCH($A167,SprintPlanning[Requirement ID],0))),"",INDEX(SprintPlanning[Sprint],MATCH($A167,SprintPlanning[Requirement ID],0))),"")</f>
        <v/>
      </c>
      <c r="I167" s="23">
        <f>IFERROR(IF(ISBLANK(INDEX(Backlog[Status],MATCH($A167,Backlog[Requirement ID],0))),"",INDEX(Backlog[Status],MATCH($A167,Backlog[Requirement ID],0))),"")</f>
        <v/>
      </c>
      <c r="J167" s="23">
        <f>IFERROR(IF(ISBLANK(INDEX(Backlog[Priority],MATCH($A167,Backlog[Requirement ID],0))),"",INDEX(Backlog[Priority],MATCH($A167,Backlog[Requirement ID],0))),"")</f>
        <v/>
      </c>
      <c r="K167" s="21" t="n"/>
      <c r="L167" s="43" t="n"/>
      <c r="M167" s="43" t="n"/>
      <c r="N167" s="21" t="n"/>
      <c r="O167" s="44" t="n"/>
      <c r="P167" s="33" t="n"/>
      <c r="Q167" s="33" t="n"/>
    </row>
    <row r="168" ht="15" customHeight="1">
      <c r="A168" s="21" t="inlineStr">
        <is>
          <t>NEW-0342</t>
        </is>
      </c>
      <c r="B168" s="23">
        <f>IFERROR(IF(ISBLANK(INDEX(Backlog[Requirement Name],MATCH($A168,Backlog[Requirement ID],0))),"",INDEX(Backlog[Requirement Name],MATCH($A168,Backlog[Requirement ID],0))),"")</f>
        <v/>
      </c>
      <c r="C168" s="23">
        <f>IFERROR(IF(ISBLANK(INDEX(Backlog[Stream],MATCH($A168,Backlog[Requirement ID],0))),"",INDEX(Backlog[Stream],MATCH($A168,Backlog[Requirement ID],0))),"")</f>
        <v/>
      </c>
      <c r="D168" s="23">
        <f>IFERROR(IF(ISBLANK(INDEX(Backlog[Stream Owner],MATCH($A168,Backlog[Requirement ID],0))),"",INDEX(Backlog[Stream Owner],MATCH($A168,Backlog[Requirement ID],0))),"")</f>
        <v/>
      </c>
      <c r="E168" s="23">
        <f>IFERROR(IF(ISBLANK(INDEX(Backlog[Jira Link],MATCH($A168,Backlog[Requirement ID],0))),"",INDEX(Backlog[Jira Link],MATCH($A168,Backlog[Requirement ID],0))),"")</f>
        <v/>
      </c>
      <c r="F168" s="21" t="inlineStr">
        <is>
          <t>Yes</t>
        </is>
      </c>
      <c r="G168" s="21" t="inlineStr">
        <is>
          <t>Yes</t>
        </is>
      </c>
      <c r="H168" s="29">
        <f>IFERROR(IF(ISBLANK(INDEX(SprintPlanning[Sprint],MATCH($A168,SprintPlanning[Requirement ID],0))),"",INDEX(SprintPlanning[Sprint],MATCH($A168,SprintPlanning[Requirement ID],0))),"")</f>
        <v/>
      </c>
      <c r="I168" s="23">
        <f>IFERROR(IF(ISBLANK(INDEX(Backlog[Status],MATCH($A168,Backlog[Requirement ID],0))),"",INDEX(Backlog[Status],MATCH($A168,Backlog[Requirement ID],0))),"")</f>
        <v/>
      </c>
      <c r="J168" s="23">
        <f>IFERROR(IF(ISBLANK(INDEX(Backlog[Priority],MATCH($A168,Backlog[Requirement ID],0))),"",INDEX(Backlog[Priority],MATCH($A168,Backlog[Requirement ID],0))),"")</f>
        <v/>
      </c>
      <c r="K168" s="21" t="n"/>
      <c r="L168" s="43" t="n"/>
      <c r="M168" s="43" t="n"/>
      <c r="N168" s="21" t="n"/>
      <c r="O168" s="44" t="n"/>
      <c r="P168" s="33" t="n"/>
      <c r="Q168" s="33" t="n"/>
    </row>
    <row r="169" ht="15" customHeight="1">
      <c r="A169" s="21" t="inlineStr">
        <is>
          <t>NEW-0343</t>
        </is>
      </c>
      <c r="B169" s="23">
        <f>IFERROR(IF(ISBLANK(INDEX(Backlog[Requirement Name],MATCH($A169,Backlog[Requirement ID],0))),"",INDEX(Backlog[Requirement Name],MATCH($A169,Backlog[Requirement ID],0))),"")</f>
        <v/>
      </c>
      <c r="C169" s="23">
        <f>IFERROR(IF(ISBLANK(INDEX(Backlog[Stream],MATCH($A169,Backlog[Requirement ID],0))),"",INDEX(Backlog[Stream],MATCH($A169,Backlog[Requirement ID],0))),"")</f>
        <v/>
      </c>
      <c r="D169" s="23">
        <f>IFERROR(IF(ISBLANK(INDEX(Backlog[Stream Owner],MATCH($A169,Backlog[Requirement ID],0))),"",INDEX(Backlog[Stream Owner],MATCH($A169,Backlog[Requirement ID],0))),"")</f>
        <v/>
      </c>
      <c r="E169" s="23">
        <f>IFERROR(IF(ISBLANK(INDEX(Backlog[Jira Link],MATCH($A169,Backlog[Requirement ID],0))),"",INDEX(Backlog[Jira Link],MATCH($A169,Backlog[Requirement ID],0))),"")</f>
        <v/>
      </c>
      <c r="F169" s="21" t="inlineStr">
        <is>
          <t>No</t>
        </is>
      </c>
      <c r="G169" s="21" t="inlineStr">
        <is>
          <t>No</t>
        </is>
      </c>
      <c r="H169" s="29">
        <f>IFERROR(IF(ISBLANK(INDEX(SprintPlanning[Sprint],MATCH($A169,SprintPlanning[Requirement ID],0))),"",INDEX(SprintPlanning[Sprint],MATCH($A169,SprintPlanning[Requirement ID],0))),"")</f>
        <v/>
      </c>
      <c r="I169" s="23">
        <f>IFERROR(IF(ISBLANK(INDEX(Backlog[Status],MATCH($A169,Backlog[Requirement ID],0))),"",INDEX(Backlog[Status],MATCH($A169,Backlog[Requirement ID],0))),"")</f>
        <v/>
      </c>
      <c r="J169" s="23">
        <f>IFERROR(IF(ISBLANK(INDEX(Backlog[Priority],MATCH($A169,Backlog[Requirement ID],0))),"",INDEX(Backlog[Priority],MATCH($A169,Backlog[Requirement ID],0))),"")</f>
        <v/>
      </c>
      <c r="K169" s="21" t="n"/>
      <c r="L169" s="43" t="n"/>
      <c r="M169" s="43" t="n"/>
      <c r="N169" s="21" t="n"/>
      <c r="O169" s="44" t="n"/>
      <c r="P169" s="33" t="n"/>
      <c r="Q169" s="33" t="n"/>
    </row>
    <row r="170" ht="15" customHeight="1">
      <c r="A170" s="21" t="inlineStr">
        <is>
          <t>NEW-0344</t>
        </is>
      </c>
      <c r="B170" s="23">
        <f>IFERROR(IF(ISBLANK(INDEX(Backlog[Requirement Name],MATCH($A170,Backlog[Requirement ID],0))),"",INDEX(Backlog[Requirement Name],MATCH($A170,Backlog[Requirement ID],0))),"")</f>
        <v/>
      </c>
      <c r="C170" s="23">
        <f>IFERROR(IF(ISBLANK(INDEX(Backlog[Stream],MATCH($A170,Backlog[Requirement ID],0))),"",INDEX(Backlog[Stream],MATCH($A170,Backlog[Requirement ID],0))),"")</f>
        <v/>
      </c>
      <c r="D170" s="23">
        <f>IFERROR(IF(ISBLANK(INDEX(Backlog[Stream Owner],MATCH($A170,Backlog[Requirement ID],0))),"",INDEX(Backlog[Stream Owner],MATCH($A170,Backlog[Requirement ID],0))),"")</f>
        <v/>
      </c>
      <c r="E170" s="23">
        <f>IFERROR(IF(ISBLANK(INDEX(Backlog[Jira Link],MATCH($A170,Backlog[Requirement ID],0))),"",INDEX(Backlog[Jira Link],MATCH($A170,Backlog[Requirement ID],0))),"")</f>
        <v/>
      </c>
      <c r="F170" s="21" t="inlineStr">
        <is>
          <t>No</t>
        </is>
      </c>
      <c r="G170" s="21" t="inlineStr">
        <is>
          <t>No</t>
        </is>
      </c>
      <c r="H170" s="29">
        <f>IFERROR(IF(ISBLANK(INDEX(SprintPlanning[Sprint],MATCH($A170,SprintPlanning[Requirement ID],0))),"",INDEX(SprintPlanning[Sprint],MATCH($A170,SprintPlanning[Requirement ID],0))),"")</f>
        <v/>
      </c>
      <c r="I170" s="23">
        <f>IFERROR(IF(ISBLANK(INDEX(Backlog[Status],MATCH($A170,Backlog[Requirement ID],0))),"",INDEX(Backlog[Status],MATCH($A170,Backlog[Requirement ID],0))),"")</f>
        <v/>
      </c>
      <c r="J170" s="23">
        <f>IFERROR(IF(ISBLANK(INDEX(Backlog[Priority],MATCH($A170,Backlog[Requirement ID],0))),"",INDEX(Backlog[Priority],MATCH($A170,Backlog[Requirement ID],0))),"")</f>
        <v/>
      </c>
      <c r="K170" s="21" t="n"/>
      <c r="L170" s="43" t="n"/>
      <c r="M170" s="43" t="n"/>
      <c r="N170" s="21" t="n"/>
      <c r="O170" s="44" t="n"/>
      <c r="P170" s="33" t="n"/>
      <c r="Q170" s="33" t="n"/>
    </row>
    <row r="171" ht="15" customHeight="1">
      <c r="A171" s="21" t="inlineStr">
        <is>
          <t>NEW-0345</t>
        </is>
      </c>
      <c r="B171" s="23">
        <f>IFERROR(IF(ISBLANK(INDEX(Backlog[Requirement Name],MATCH($A171,Backlog[Requirement ID],0))),"",INDEX(Backlog[Requirement Name],MATCH($A171,Backlog[Requirement ID],0))),"")</f>
        <v/>
      </c>
      <c r="C171" s="23">
        <f>IFERROR(IF(ISBLANK(INDEX(Backlog[Stream],MATCH($A171,Backlog[Requirement ID],0))),"",INDEX(Backlog[Stream],MATCH($A171,Backlog[Requirement ID],0))),"")</f>
        <v/>
      </c>
      <c r="D171" s="23">
        <f>IFERROR(IF(ISBLANK(INDEX(Backlog[Stream Owner],MATCH($A171,Backlog[Requirement ID],0))),"",INDEX(Backlog[Stream Owner],MATCH($A171,Backlog[Requirement ID],0))),"")</f>
        <v/>
      </c>
      <c r="E171" s="23">
        <f>IFERROR(IF(ISBLANK(INDEX(Backlog[Jira Link],MATCH($A171,Backlog[Requirement ID],0))),"",INDEX(Backlog[Jira Link],MATCH($A171,Backlog[Requirement ID],0))),"")</f>
        <v/>
      </c>
      <c r="F171" s="21" t="inlineStr">
        <is>
          <t>No</t>
        </is>
      </c>
      <c r="G171" s="21" t="inlineStr">
        <is>
          <t>No</t>
        </is>
      </c>
      <c r="H171" s="29">
        <f>IFERROR(IF(ISBLANK(INDEX(SprintPlanning[Sprint],MATCH($A171,SprintPlanning[Requirement ID],0))),"",INDEX(SprintPlanning[Sprint],MATCH($A171,SprintPlanning[Requirement ID],0))),"")</f>
        <v/>
      </c>
      <c r="I171" s="23">
        <f>IFERROR(IF(ISBLANK(INDEX(Backlog[Status],MATCH($A171,Backlog[Requirement ID],0))),"",INDEX(Backlog[Status],MATCH($A171,Backlog[Requirement ID],0))),"")</f>
        <v/>
      </c>
      <c r="J171" s="23">
        <f>IFERROR(IF(ISBLANK(INDEX(Backlog[Priority],MATCH($A171,Backlog[Requirement ID],0))),"",INDEX(Backlog[Priority],MATCH($A171,Backlog[Requirement ID],0))),"")</f>
        <v/>
      </c>
      <c r="K171" s="21" t="n"/>
      <c r="L171" s="43" t="n"/>
      <c r="M171" s="43" t="n"/>
      <c r="N171" s="21" t="n"/>
      <c r="O171" s="44" t="n"/>
      <c r="P171" s="33" t="n"/>
      <c r="Q171" s="33" t="n"/>
    </row>
    <row r="172" ht="15" customHeight="1">
      <c r="A172" s="21" t="inlineStr">
        <is>
          <t>NEW-0346</t>
        </is>
      </c>
      <c r="B172" s="23">
        <f>IFERROR(IF(ISBLANK(INDEX(Backlog[Requirement Name],MATCH($A172,Backlog[Requirement ID],0))),"",INDEX(Backlog[Requirement Name],MATCH($A172,Backlog[Requirement ID],0))),"")</f>
        <v/>
      </c>
      <c r="C172" s="23">
        <f>IFERROR(IF(ISBLANK(INDEX(Backlog[Stream],MATCH($A172,Backlog[Requirement ID],0))),"",INDEX(Backlog[Stream],MATCH($A172,Backlog[Requirement ID],0))),"")</f>
        <v/>
      </c>
      <c r="D172" s="23">
        <f>IFERROR(IF(ISBLANK(INDEX(Backlog[Stream Owner],MATCH($A172,Backlog[Requirement ID],0))),"",INDEX(Backlog[Stream Owner],MATCH($A172,Backlog[Requirement ID],0))),"")</f>
        <v/>
      </c>
      <c r="E172" s="23">
        <f>IFERROR(IF(ISBLANK(INDEX(Backlog[Jira Link],MATCH($A172,Backlog[Requirement ID],0))),"",INDEX(Backlog[Jira Link],MATCH($A172,Backlog[Requirement ID],0))),"")</f>
        <v/>
      </c>
      <c r="F172" s="21" t="inlineStr">
        <is>
          <t>No</t>
        </is>
      </c>
      <c r="G172" s="21" t="inlineStr">
        <is>
          <t>No</t>
        </is>
      </c>
      <c r="H172" s="29">
        <f>IFERROR(IF(ISBLANK(INDEX(SprintPlanning[Sprint],MATCH($A172,SprintPlanning[Requirement ID],0))),"",INDEX(SprintPlanning[Sprint],MATCH($A172,SprintPlanning[Requirement ID],0))),"")</f>
        <v/>
      </c>
      <c r="I172" s="23">
        <f>IFERROR(IF(ISBLANK(INDEX(Backlog[Status],MATCH($A172,Backlog[Requirement ID],0))),"",INDEX(Backlog[Status],MATCH($A172,Backlog[Requirement ID],0))),"")</f>
        <v/>
      </c>
      <c r="J172" s="23">
        <f>IFERROR(IF(ISBLANK(INDEX(Backlog[Priority],MATCH($A172,Backlog[Requirement ID],0))),"",INDEX(Backlog[Priority],MATCH($A172,Backlog[Requirement ID],0))),"")</f>
        <v/>
      </c>
      <c r="K172" s="21" t="n"/>
      <c r="L172" s="43" t="n"/>
      <c r="M172" s="43" t="n"/>
      <c r="N172" s="21" t="n"/>
      <c r="O172" s="44" t="n"/>
      <c r="P172" s="33" t="n"/>
      <c r="Q172" s="33" t="n"/>
    </row>
    <row r="173" ht="15" customHeight="1">
      <c r="A173" s="21" t="inlineStr">
        <is>
          <t>NEW-0350</t>
        </is>
      </c>
      <c r="B173" s="23">
        <f>IFERROR(IF(ISBLANK(INDEX(Backlog[Requirement Name],MATCH($A173,Backlog[Requirement ID],0))),"",INDEX(Backlog[Requirement Name],MATCH($A173,Backlog[Requirement ID],0))),"")</f>
        <v/>
      </c>
      <c r="C173" s="23">
        <f>IFERROR(IF(ISBLANK(INDEX(Backlog[Stream],MATCH($A173,Backlog[Requirement ID],0))),"",INDEX(Backlog[Stream],MATCH($A173,Backlog[Requirement ID],0))),"")</f>
        <v/>
      </c>
      <c r="D173" s="23">
        <f>IFERROR(IF(ISBLANK(INDEX(Backlog[Stream Owner],MATCH($A173,Backlog[Requirement ID],0))),"",INDEX(Backlog[Stream Owner],MATCH($A173,Backlog[Requirement ID],0))),"")</f>
        <v/>
      </c>
      <c r="E173" s="23">
        <f>IFERROR(IF(ISBLANK(INDEX(Backlog[Jira Link],MATCH($A173,Backlog[Requirement ID],0))),"",INDEX(Backlog[Jira Link],MATCH($A173,Backlog[Requirement ID],0))),"")</f>
        <v/>
      </c>
      <c r="F173" s="21" t="inlineStr">
        <is>
          <t>Yes</t>
        </is>
      </c>
      <c r="G173" s="21" t="inlineStr">
        <is>
          <t>Yes</t>
        </is>
      </c>
      <c r="H173" s="29">
        <f>IFERROR(IF(ISBLANK(INDEX(SprintPlanning[Sprint],MATCH($A173,SprintPlanning[Requirement ID],0))),"",INDEX(SprintPlanning[Sprint],MATCH($A173,SprintPlanning[Requirement ID],0))),"")</f>
        <v/>
      </c>
      <c r="I173" s="23">
        <f>IFERROR(IF(ISBLANK(INDEX(Backlog[Status],MATCH($A173,Backlog[Requirement ID],0))),"",INDEX(Backlog[Status],MATCH($A173,Backlog[Requirement ID],0))),"")</f>
        <v/>
      </c>
      <c r="J173" s="23">
        <f>IFERROR(IF(ISBLANK(INDEX(Backlog[Priority],MATCH($A173,Backlog[Requirement ID],0))),"",INDEX(Backlog[Priority],MATCH($A173,Backlog[Requirement ID],0))),"")</f>
        <v/>
      </c>
      <c r="K173" s="21" t="n"/>
      <c r="L173" s="43" t="n"/>
      <c r="M173" s="43" t="n"/>
      <c r="N173" s="21" t="n"/>
      <c r="O173" s="44" t="n"/>
      <c r="P173" s="33" t="n"/>
      <c r="Q173" s="33" t="n"/>
    </row>
    <row r="174" ht="15" customHeight="1">
      <c r="A174" s="21" t="inlineStr">
        <is>
          <t>NEW-0351</t>
        </is>
      </c>
      <c r="B174" s="23">
        <f>IFERROR(IF(ISBLANK(INDEX(Backlog[Requirement Name],MATCH($A174,Backlog[Requirement ID],0))),"",INDEX(Backlog[Requirement Name],MATCH($A174,Backlog[Requirement ID],0))),"")</f>
        <v/>
      </c>
      <c r="C174" s="23">
        <f>IFERROR(IF(ISBLANK(INDEX(Backlog[Stream],MATCH($A174,Backlog[Requirement ID],0))),"",INDEX(Backlog[Stream],MATCH($A174,Backlog[Requirement ID],0))),"")</f>
        <v/>
      </c>
      <c r="D174" s="23">
        <f>IFERROR(IF(ISBLANK(INDEX(Backlog[Stream Owner],MATCH($A174,Backlog[Requirement ID],0))),"",INDEX(Backlog[Stream Owner],MATCH($A174,Backlog[Requirement ID],0))),"")</f>
        <v/>
      </c>
      <c r="E174" s="23">
        <f>IFERROR(IF(ISBLANK(INDEX(Backlog[Jira Link],MATCH($A174,Backlog[Requirement ID],0))),"",INDEX(Backlog[Jira Link],MATCH($A174,Backlog[Requirement ID],0))),"")</f>
        <v/>
      </c>
      <c r="F174" s="21" t="inlineStr">
        <is>
          <t>Yes</t>
        </is>
      </c>
      <c r="G174" s="21" t="inlineStr">
        <is>
          <t>Yes</t>
        </is>
      </c>
      <c r="H174" s="29">
        <f>IFERROR(IF(ISBLANK(INDEX(SprintPlanning[Sprint],MATCH($A174,SprintPlanning[Requirement ID],0))),"",INDEX(SprintPlanning[Sprint],MATCH($A174,SprintPlanning[Requirement ID],0))),"")</f>
        <v/>
      </c>
      <c r="I174" s="23">
        <f>IFERROR(IF(ISBLANK(INDEX(Backlog[Status],MATCH($A174,Backlog[Requirement ID],0))),"",INDEX(Backlog[Status],MATCH($A174,Backlog[Requirement ID],0))),"")</f>
        <v/>
      </c>
      <c r="J174" s="23">
        <f>IFERROR(IF(ISBLANK(INDEX(Backlog[Priority],MATCH($A174,Backlog[Requirement ID],0))),"",INDEX(Backlog[Priority],MATCH($A174,Backlog[Requirement ID],0))),"")</f>
        <v/>
      </c>
      <c r="K174" s="21" t="n"/>
      <c r="L174" s="43" t="n"/>
      <c r="M174" s="43" t="n"/>
      <c r="N174" s="21" t="n"/>
      <c r="O174" s="44" t="n"/>
      <c r="P174" s="33" t="n"/>
      <c r="Q174" s="33" t="n"/>
    </row>
    <row r="175" ht="15" customHeight="1">
      <c r="A175" s="21" t="inlineStr">
        <is>
          <t>NEW-0352</t>
        </is>
      </c>
      <c r="B175" s="23">
        <f>IFERROR(IF(ISBLANK(INDEX(Backlog[Requirement Name],MATCH($A175,Backlog[Requirement ID],0))),"",INDEX(Backlog[Requirement Name],MATCH($A175,Backlog[Requirement ID],0))),"")</f>
        <v/>
      </c>
      <c r="C175" s="23">
        <f>IFERROR(IF(ISBLANK(INDEX(Backlog[Stream],MATCH($A175,Backlog[Requirement ID],0))),"",INDEX(Backlog[Stream],MATCH($A175,Backlog[Requirement ID],0))),"")</f>
        <v/>
      </c>
      <c r="D175" s="23">
        <f>IFERROR(IF(ISBLANK(INDEX(Backlog[Stream Owner],MATCH($A175,Backlog[Requirement ID],0))),"",INDEX(Backlog[Stream Owner],MATCH($A175,Backlog[Requirement ID],0))),"")</f>
        <v/>
      </c>
      <c r="E175" s="23">
        <f>IFERROR(IF(ISBLANK(INDEX(Backlog[Jira Link],MATCH($A175,Backlog[Requirement ID],0))),"",INDEX(Backlog[Jira Link],MATCH($A175,Backlog[Requirement ID],0))),"")</f>
        <v/>
      </c>
      <c r="F175" s="21" t="inlineStr">
        <is>
          <t>Yes</t>
        </is>
      </c>
      <c r="G175" s="21" t="inlineStr">
        <is>
          <t>Yes</t>
        </is>
      </c>
      <c r="H175" s="29">
        <f>IFERROR(IF(ISBLANK(INDEX(SprintPlanning[Sprint],MATCH($A175,SprintPlanning[Requirement ID],0))),"",INDEX(SprintPlanning[Sprint],MATCH($A175,SprintPlanning[Requirement ID],0))),"")</f>
        <v/>
      </c>
      <c r="I175" s="23">
        <f>IFERROR(IF(ISBLANK(INDEX(Backlog[Status],MATCH($A175,Backlog[Requirement ID],0))),"",INDEX(Backlog[Status],MATCH($A175,Backlog[Requirement ID],0))),"")</f>
        <v/>
      </c>
      <c r="J175" s="23">
        <f>IFERROR(IF(ISBLANK(INDEX(Backlog[Priority],MATCH($A175,Backlog[Requirement ID],0))),"",INDEX(Backlog[Priority],MATCH($A175,Backlog[Requirement ID],0))),"")</f>
        <v/>
      </c>
      <c r="K175" s="21" t="n"/>
      <c r="L175" s="43" t="n"/>
      <c r="M175" s="43" t="n"/>
      <c r="N175" s="21" t="n"/>
      <c r="O175" s="44" t="n"/>
      <c r="P175" s="33" t="n"/>
      <c r="Q175" s="33" t="n"/>
    </row>
    <row r="176" ht="15" customHeight="1">
      <c r="A176" s="21" t="inlineStr">
        <is>
          <t>NEW-0356</t>
        </is>
      </c>
      <c r="B176" s="23">
        <f>IFERROR(IF(ISBLANK(INDEX(Backlog[Requirement Name],MATCH($A176,Backlog[Requirement ID],0))),"",INDEX(Backlog[Requirement Name],MATCH($A176,Backlog[Requirement ID],0))),"")</f>
        <v/>
      </c>
      <c r="C176" s="23">
        <f>IFERROR(IF(ISBLANK(INDEX(Backlog[Stream],MATCH($A176,Backlog[Requirement ID],0))),"",INDEX(Backlog[Stream],MATCH($A176,Backlog[Requirement ID],0))),"")</f>
        <v/>
      </c>
      <c r="D176" s="23">
        <f>IFERROR(IF(ISBLANK(INDEX(Backlog[Stream Owner],MATCH($A176,Backlog[Requirement ID],0))),"",INDEX(Backlog[Stream Owner],MATCH($A176,Backlog[Requirement ID],0))),"")</f>
        <v/>
      </c>
      <c r="E176" s="23">
        <f>IFERROR(IF(ISBLANK(INDEX(Backlog[Jira Link],MATCH($A176,Backlog[Requirement ID],0))),"",INDEX(Backlog[Jira Link],MATCH($A176,Backlog[Requirement ID],0))),"")</f>
        <v/>
      </c>
      <c r="F176" s="21" t="inlineStr">
        <is>
          <t>No</t>
        </is>
      </c>
      <c r="G176" s="21" t="inlineStr">
        <is>
          <t>No</t>
        </is>
      </c>
      <c r="H176" s="29">
        <f>IFERROR(IF(ISBLANK(INDEX(SprintPlanning[Sprint],MATCH($A176,SprintPlanning[Requirement ID],0))),"",INDEX(SprintPlanning[Sprint],MATCH($A176,SprintPlanning[Requirement ID],0))),"")</f>
        <v/>
      </c>
      <c r="I176" s="23">
        <f>IFERROR(IF(ISBLANK(INDEX(Backlog[Status],MATCH($A176,Backlog[Requirement ID],0))),"",INDEX(Backlog[Status],MATCH($A176,Backlog[Requirement ID],0))),"")</f>
        <v/>
      </c>
      <c r="J176" s="23">
        <f>IFERROR(IF(ISBLANK(INDEX(Backlog[Priority],MATCH($A176,Backlog[Requirement ID],0))),"",INDEX(Backlog[Priority],MATCH($A176,Backlog[Requirement ID],0))),"")</f>
        <v/>
      </c>
      <c r="K176" s="21" t="n"/>
      <c r="L176" s="43" t="n"/>
      <c r="M176" s="43" t="n"/>
      <c r="N176" s="21" t="n"/>
      <c r="O176" s="44" t="n"/>
      <c r="P176" s="33" t="n"/>
      <c r="Q176" s="33" t="n"/>
    </row>
    <row r="177" ht="15" customHeight="1">
      <c r="A177" s="21" t="inlineStr">
        <is>
          <t>NEW-0357</t>
        </is>
      </c>
      <c r="B177" s="23">
        <f>IFERROR(IF(ISBLANK(INDEX(Backlog[Requirement Name],MATCH($A177,Backlog[Requirement ID],0))),"",INDEX(Backlog[Requirement Name],MATCH($A177,Backlog[Requirement ID],0))),"")</f>
        <v/>
      </c>
      <c r="C177" s="23">
        <f>IFERROR(IF(ISBLANK(INDEX(Backlog[Stream],MATCH($A177,Backlog[Requirement ID],0))),"",INDEX(Backlog[Stream],MATCH($A177,Backlog[Requirement ID],0))),"")</f>
        <v/>
      </c>
      <c r="D177" s="23">
        <f>IFERROR(IF(ISBLANK(INDEX(Backlog[Stream Owner],MATCH($A177,Backlog[Requirement ID],0))),"",INDEX(Backlog[Stream Owner],MATCH($A177,Backlog[Requirement ID],0))),"")</f>
        <v/>
      </c>
      <c r="E177" s="23">
        <f>IFERROR(IF(ISBLANK(INDEX(Backlog[Jira Link],MATCH($A177,Backlog[Requirement ID],0))),"",INDEX(Backlog[Jira Link],MATCH($A177,Backlog[Requirement ID],0))),"")</f>
        <v/>
      </c>
      <c r="F177" s="21" t="inlineStr">
        <is>
          <t>Yes</t>
        </is>
      </c>
      <c r="G177" s="21" t="inlineStr">
        <is>
          <t>Yes</t>
        </is>
      </c>
      <c r="H177" s="29">
        <f>IFERROR(IF(ISBLANK(INDEX(SprintPlanning[Sprint],MATCH($A177,SprintPlanning[Requirement ID],0))),"",INDEX(SprintPlanning[Sprint],MATCH($A177,SprintPlanning[Requirement ID],0))),"")</f>
        <v/>
      </c>
      <c r="I177" s="23">
        <f>IFERROR(IF(ISBLANK(INDEX(Backlog[Status],MATCH($A177,Backlog[Requirement ID],0))),"",INDEX(Backlog[Status],MATCH($A177,Backlog[Requirement ID],0))),"")</f>
        <v/>
      </c>
      <c r="J177" s="23">
        <f>IFERROR(IF(ISBLANK(INDEX(Backlog[Priority],MATCH($A177,Backlog[Requirement ID],0))),"",INDEX(Backlog[Priority],MATCH($A177,Backlog[Requirement ID],0))),"")</f>
        <v/>
      </c>
      <c r="K177" s="21" t="n"/>
      <c r="L177" s="43" t="n"/>
      <c r="M177" s="43" t="n"/>
      <c r="N177" s="21" t="n"/>
      <c r="O177" s="44" t="n"/>
      <c r="P177" s="33" t="n"/>
      <c r="Q177" s="33" t="n"/>
    </row>
    <row r="178" ht="15" customHeight="1">
      <c r="A178" s="21" t="inlineStr">
        <is>
          <t>NEW-0358</t>
        </is>
      </c>
      <c r="B178" s="23">
        <f>IFERROR(IF(ISBLANK(INDEX(Backlog[Requirement Name],MATCH($A178,Backlog[Requirement ID],0))),"",INDEX(Backlog[Requirement Name],MATCH($A178,Backlog[Requirement ID],0))),"")</f>
        <v/>
      </c>
      <c r="C178" s="23">
        <f>IFERROR(IF(ISBLANK(INDEX(Backlog[Stream],MATCH($A178,Backlog[Requirement ID],0))),"",INDEX(Backlog[Stream],MATCH($A178,Backlog[Requirement ID],0))),"")</f>
        <v/>
      </c>
      <c r="D178" s="23">
        <f>IFERROR(IF(ISBLANK(INDEX(Backlog[Stream Owner],MATCH($A178,Backlog[Requirement ID],0))),"",INDEX(Backlog[Stream Owner],MATCH($A178,Backlog[Requirement ID],0))),"")</f>
        <v/>
      </c>
      <c r="E178" s="23">
        <f>IFERROR(IF(ISBLANK(INDEX(Backlog[Jira Link],MATCH($A178,Backlog[Requirement ID],0))),"",INDEX(Backlog[Jira Link],MATCH($A178,Backlog[Requirement ID],0))),"")</f>
        <v/>
      </c>
      <c r="F178" s="21" t="inlineStr">
        <is>
          <t>No</t>
        </is>
      </c>
      <c r="G178" s="21" t="inlineStr">
        <is>
          <t>No</t>
        </is>
      </c>
      <c r="H178" s="29">
        <f>IFERROR(IF(ISBLANK(INDEX(SprintPlanning[Sprint],MATCH($A178,SprintPlanning[Requirement ID],0))),"",INDEX(SprintPlanning[Sprint],MATCH($A178,SprintPlanning[Requirement ID],0))),"")</f>
        <v/>
      </c>
      <c r="I178" s="23">
        <f>IFERROR(IF(ISBLANK(INDEX(Backlog[Status],MATCH($A178,Backlog[Requirement ID],0))),"",INDEX(Backlog[Status],MATCH($A178,Backlog[Requirement ID],0))),"")</f>
        <v/>
      </c>
      <c r="J178" s="23">
        <f>IFERROR(IF(ISBLANK(INDEX(Backlog[Priority],MATCH($A178,Backlog[Requirement ID],0))),"",INDEX(Backlog[Priority],MATCH($A178,Backlog[Requirement ID],0))),"")</f>
        <v/>
      </c>
      <c r="K178" s="21" t="n"/>
      <c r="L178" s="43" t="n"/>
      <c r="M178" s="43" t="n"/>
      <c r="N178" s="21" t="n"/>
      <c r="O178" s="44" t="n"/>
      <c r="P178" s="33" t="n"/>
      <c r="Q178" s="33" t="n"/>
    </row>
    <row r="179" ht="15" customHeight="1">
      <c r="A179" s="21" t="inlineStr">
        <is>
          <t>NEW-0359</t>
        </is>
      </c>
      <c r="B179" s="39">
        <f>IFERROR(IF(ISBLANK(INDEX(Backlog[Requirement Name],MATCH($A179,Backlog[Requirement ID],0))),"",INDEX(Backlog[Requirement Name],MATCH($A179,Backlog[Requirement ID],0))),"")</f>
        <v/>
      </c>
      <c r="C179" s="23">
        <f>IFERROR(IF(ISBLANK(INDEX(Backlog[Stream],MATCH($A179,Backlog[Requirement ID],0))),"",INDEX(Backlog[Stream],MATCH($A179,Backlog[Requirement ID],0))),"")</f>
        <v/>
      </c>
      <c r="D179" s="23">
        <f>IFERROR(IF(ISBLANK(INDEX(Backlog[Stream Owner],MATCH($A179,Backlog[Requirement ID],0))),"",INDEX(Backlog[Stream Owner],MATCH($A179,Backlog[Requirement ID],0))),"")</f>
        <v/>
      </c>
      <c r="E179" s="23">
        <f>IFERROR(IF(ISBLANK(INDEX(Backlog[Jira Link],MATCH($A179,Backlog[Requirement ID],0))),"",INDEX(Backlog[Jira Link],MATCH($A179,Backlog[Requirement ID],0))),"")</f>
        <v/>
      </c>
      <c r="F179" s="21" t="inlineStr">
        <is>
          <t>Yes</t>
        </is>
      </c>
      <c r="G179" s="21" t="inlineStr">
        <is>
          <t>Yes</t>
        </is>
      </c>
      <c r="H179" s="29">
        <f>IFERROR(IF(ISBLANK(INDEX(SprintPlanning[Sprint],MATCH($A179,SprintPlanning[Requirement ID],0))),"",INDEX(SprintPlanning[Sprint],MATCH($A179,SprintPlanning[Requirement ID],0))),"")</f>
        <v/>
      </c>
      <c r="I179" s="23" t="inlineStr">
        <is>
          <t>DONE</t>
        </is>
      </c>
      <c r="J179" s="23">
        <f>IFERROR(IF(ISBLANK(INDEX(Backlog[Priority],MATCH($A179,Backlog[Requirement ID],0))),"",INDEX(Backlog[Priority],MATCH($A179,Backlog[Requirement ID],0))),"")</f>
        <v/>
      </c>
      <c r="K179" s="21" t="n"/>
      <c r="L179" s="43" t="n"/>
      <c r="M179" s="43" t="n"/>
      <c r="N179" s="21" t="n"/>
      <c r="O179" s="44" t="n"/>
      <c r="P179" s="33" t="n"/>
      <c r="Q179" s="33" t="n"/>
    </row>
    <row r="180" ht="15" customHeight="1">
      <c r="A180" s="21" t="inlineStr">
        <is>
          <t>NEW-0360</t>
        </is>
      </c>
      <c r="B180" s="23">
        <f>IFERROR(IF(ISBLANK(INDEX(Backlog[Requirement Name],MATCH($A180,Backlog[Requirement ID],0))),"",INDEX(Backlog[Requirement Name],MATCH($A180,Backlog[Requirement ID],0))),"")</f>
        <v/>
      </c>
      <c r="C180" s="23">
        <f>IFERROR(IF(ISBLANK(INDEX(Backlog[Stream],MATCH($A180,Backlog[Requirement ID],0))),"",INDEX(Backlog[Stream],MATCH($A180,Backlog[Requirement ID],0))),"")</f>
        <v/>
      </c>
      <c r="D180" s="23">
        <f>IFERROR(IF(ISBLANK(INDEX(Backlog[Stream Owner],MATCH($A180,Backlog[Requirement ID],0))),"",INDEX(Backlog[Stream Owner],MATCH($A180,Backlog[Requirement ID],0))),"")</f>
        <v/>
      </c>
      <c r="E180" s="23">
        <f>IFERROR(IF(ISBLANK(INDEX(Backlog[Jira Link],MATCH($A180,Backlog[Requirement ID],0))),"",INDEX(Backlog[Jira Link],MATCH($A180,Backlog[Requirement ID],0))),"")</f>
        <v/>
      </c>
      <c r="F180" s="21" t="inlineStr">
        <is>
          <t>No</t>
        </is>
      </c>
      <c r="G180" s="21" t="inlineStr">
        <is>
          <t>No</t>
        </is>
      </c>
      <c r="H180" s="29">
        <f>IFERROR(IF(ISBLANK(INDEX(SprintPlanning[Sprint],MATCH($A180,SprintPlanning[Requirement ID],0))),"",INDEX(SprintPlanning[Sprint],MATCH($A180,SprintPlanning[Requirement ID],0))),"")</f>
        <v/>
      </c>
      <c r="I180" s="23">
        <f>IFERROR(IF(ISBLANK(INDEX(Backlog[Status],MATCH($A180,Backlog[Requirement ID],0))),"",INDEX(Backlog[Status],MATCH($A180,Backlog[Requirement ID],0))),"")</f>
        <v/>
      </c>
      <c r="J180" s="23">
        <f>IFERROR(IF(ISBLANK(INDEX(Backlog[Priority],MATCH($A180,Backlog[Requirement ID],0))),"",INDEX(Backlog[Priority],MATCH($A180,Backlog[Requirement ID],0))),"")</f>
        <v/>
      </c>
      <c r="K180" s="21" t="n"/>
      <c r="L180" s="43" t="n"/>
      <c r="M180" s="43" t="n"/>
      <c r="N180" s="21" t="n"/>
      <c r="O180" s="44" t="n"/>
      <c r="P180" s="33" t="n"/>
      <c r="Q180" s="33" t="n"/>
    </row>
    <row r="181" ht="15" customHeight="1">
      <c r="A181" s="21" t="inlineStr">
        <is>
          <t>NEW-0361</t>
        </is>
      </c>
      <c r="B181" s="39">
        <f>IFERROR(IF(ISBLANK(INDEX(Backlog[Requirement Name],MATCH($A181,Backlog[Requirement ID],0))),"",INDEX(Backlog[Requirement Name],MATCH($A181,Backlog[Requirement ID],0))),"")</f>
        <v/>
      </c>
      <c r="C181" s="23">
        <f>IFERROR(IF(ISBLANK(INDEX(Backlog[Stream],MATCH($A181,Backlog[Requirement ID],0))),"",INDEX(Backlog[Stream],MATCH($A181,Backlog[Requirement ID],0))),"")</f>
        <v/>
      </c>
      <c r="D181" s="23">
        <f>IFERROR(IF(ISBLANK(INDEX(Backlog[Stream Owner],MATCH($A181,Backlog[Requirement ID],0))),"",INDEX(Backlog[Stream Owner],MATCH($A181,Backlog[Requirement ID],0))),"")</f>
        <v/>
      </c>
      <c r="E181" s="23">
        <f>IFERROR(IF(ISBLANK(INDEX(Backlog[Jira Link],MATCH($A181,Backlog[Requirement ID],0))),"",INDEX(Backlog[Jira Link],MATCH($A181,Backlog[Requirement ID],0))),"")</f>
        <v/>
      </c>
      <c r="F181" s="21" t="inlineStr">
        <is>
          <t>No</t>
        </is>
      </c>
      <c r="G181" s="21" t="inlineStr">
        <is>
          <t>No</t>
        </is>
      </c>
      <c r="H181" s="29">
        <f>IFERROR(IF(ISBLANK(INDEX(SprintPlanning[Sprint],MATCH($A181,SprintPlanning[Requirement ID],0))),"",INDEX(SprintPlanning[Sprint],MATCH($A181,SprintPlanning[Requirement ID],0))),"")</f>
        <v/>
      </c>
      <c r="I181" s="23">
        <f>IFERROR(IF(ISBLANK(INDEX(Backlog[Status],MATCH($A181,Backlog[Requirement ID],0))),"",INDEX(Backlog[Status],MATCH($A181,Backlog[Requirement ID],0))),"")</f>
        <v/>
      </c>
      <c r="J181" s="23">
        <f>IFERROR(IF(ISBLANK(INDEX(Backlog[Priority],MATCH($A181,Backlog[Requirement ID],0))),"",INDEX(Backlog[Priority],MATCH($A181,Backlog[Requirement ID],0))),"")</f>
        <v/>
      </c>
      <c r="K181" s="21" t="n"/>
      <c r="L181" s="43" t="n"/>
      <c r="M181" s="43" t="n"/>
      <c r="N181" s="21" t="n"/>
      <c r="O181" s="44" t="n"/>
      <c r="P181" s="33" t="n"/>
      <c r="Q181" s="33" t="n"/>
    </row>
    <row r="182" ht="15" customHeight="1">
      <c r="A182" s="21" t="inlineStr">
        <is>
          <t>NEW-0362</t>
        </is>
      </c>
      <c r="B182" s="23">
        <f>IFERROR(IF(ISBLANK(INDEX(Backlog[Requirement Name],MATCH($A182,Backlog[Requirement ID],0))),"",INDEX(Backlog[Requirement Name],MATCH($A182,Backlog[Requirement ID],0))),"")</f>
        <v/>
      </c>
      <c r="C182" s="23">
        <f>IFERROR(IF(ISBLANK(INDEX(Backlog[Stream],MATCH($A182,Backlog[Requirement ID],0))),"",INDEX(Backlog[Stream],MATCH($A182,Backlog[Requirement ID],0))),"")</f>
        <v/>
      </c>
      <c r="D182" s="23">
        <f>IFERROR(IF(ISBLANK(INDEX(Backlog[Stream Owner],MATCH($A182,Backlog[Requirement ID],0))),"",INDEX(Backlog[Stream Owner],MATCH($A182,Backlog[Requirement ID],0))),"")</f>
        <v/>
      </c>
      <c r="E182" s="23">
        <f>IFERROR(IF(ISBLANK(INDEX(Backlog[Jira Link],MATCH($A182,Backlog[Requirement ID],0))),"",INDEX(Backlog[Jira Link],MATCH($A182,Backlog[Requirement ID],0))),"")</f>
        <v/>
      </c>
      <c r="F182" s="21" t="inlineStr">
        <is>
          <t>No</t>
        </is>
      </c>
      <c r="G182" s="21" t="inlineStr">
        <is>
          <t>No</t>
        </is>
      </c>
      <c r="H182" s="29">
        <f>IFERROR(IF(ISBLANK(INDEX(SprintPlanning[Sprint],MATCH($A182,SprintPlanning[Requirement ID],0))),"",INDEX(SprintPlanning[Sprint],MATCH($A182,SprintPlanning[Requirement ID],0))),"")</f>
        <v/>
      </c>
      <c r="I182" s="23">
        <f>IFERROR(IF(ISBLANK(INDEX(Backlog[Status],MATCH($A182,Backlog[Requirement ID],0))),"",INDEX(Backlog[Status],MATCH($A182,Backlog[Requirement ID],0))),"")</f>
        <v/>
      </c>
      <c r="J182" s="23">
        <f>IFERROR(IF(ISBLANK(INDEX(Backlog[Priority],MATCH($A182,Backlog[Requirement ID],0))),"",INDEX(Backlog[Priority],MATCH($A182,Backlog[Requirement ID],0))),"")</f>
        <v/>
      </c>
      <c r="K182" s="21" t="n"/>
      <c r="L182" s="43" t="n"/>
      <c r="M182" s="43" t="n"/>
      <c r="N182" s="21" t="n"/>
      <c r="O182" s="44" t="n"/>
      <c r="P182" s="33" t="n"/>
      <c r="Q182" s="33" t="n"/>
    </row>
    <row r="183" ht="15" customHeight="1">
      <c r="A183" s="21" t="inlineStr">
        <is>
          <t>NEW-0363</t>
        </is>
      </c>
      <c r="B183" s="23">
        <f>IFERROR(IF(ISBLANK(INDEX(Backlog[Requirement Name],MATCH($A183,Backlog[Requirement ID],0))),"",INDEX(Backlog[Requirement Name],MATCH($A183,Backlog[Requirement ID],0))),"")</f>
        <v/>
      </c>
      <c r="C183" s="23">
        <f>IFERROR(IF(ISBLANK(INDEX(Backlog[Stream],MATCH($A183,Backlog[Requirement ID],0))),"",INDEX(Backlog[Stream],MATCH($A183,Backlog[Requirement ID],0))),"")</f>
        <v/>
      </c>
      <c r="D183" s="23">
        <f>IFERROR(IF(ISBLANK(INDEX(Backlog[Stream Owner],MATCH($A183,Backlog[Requirement ID],0))),"",INDEX(Backlog[Stream Owner],MATCH($A183,Backlog[Requirement ID],0))),"")</f>
        <v/>
      </c>
      <c r="E183" s="23">
        <f>IFERROR(IF(ISBLANK(INDEX(Backlog[Jira Link],MATCH($A183,Backlog[Requirement ID],0))),"",INDEX(Backlog[Jira Link],MATCH($A183,Backlog[Requirement ID],0))),"")</f>
        <v/>
      </c>
      <c r="F183" s="21" t="inlineStr">
        <is>
          <t>No</t>
        </is>
      </c>
      <c r="G183" s="21" t="inlineStr">
        <is>
          <t>No</t>
        </is>
      </c>
      <c r="H183" s="29">
        <f>IFERROR(IF(ISBLANK(INDEX(SprintPlanning[Sprint],MATCH($A183,SprintPlanning[Requirement ID],0))),"",INDEX(SprintPlanning[Sprint],MATCH($A183,SprintPlanning[Requirement ID],0))),"")</f>
        <v/>
      </c>
      <c r="I183" s="23">
        <f>IFERROR(IF(ISBLANK(INDEX(Backlog[Status],MATCH($A183,Backlog[Requirement ID],0))),"",INDEX(Backlog[Status],MATCH($A183,Backlog[Requirement ID],0))),"")</f>
        <v/>
      </c>
      <c r="J183" s="23">
        <f>IFERROR(IF(ISBLANK(INDEX(Backlog[Priority],MATCH($A183,Backlog[Requirement ID],0))),"",INDEX(Backlog[Priority],MATCH($A183,Backlog[Requirement ID],0))),"")</f>
        <v/>
      </c>
      <c r="K183" s="21" t="n"/>
      <c r="L183" s="43" t="n"/>
      <c r="M183" s="43" t="n"/>
      <c r="N183" s="21" t="n"/>
      <c r="O183" s="44" t="n"/>
      <c r="P183" s="33" t="n"/>
      <c r="Q183" s="33" t="n"/>
    </row>
    <row r="184" ht="15" customHeight="1">
      <c r="A184" s="21" t="inlineStr">
        <is>
          <t>NEW-0364</t>
        </is>
      </c>
      <c r="B184" s="23">
        <f>IFERROR(IF(ISBLANK(INDEX(Backlog[Requirement Name],MATCH($A184,Backlog[Requirement ID],0))),"",INDEX(Backlog[Requirement Name],MATCH($A184,Backlog[Requirement ID],0))),"")</f>
        <v/>
      </c>
      <c r="C184" s="23">
        <f>IFERROR(IF(ISBLANK(INDEX(Backlog[Stream],MATCH($A184,Backlog[Requirement ID],0))),"",INDEX(Backlog[Stream],MATCH($A184,Backlog[Requirement ID],0))),"")</f>
        <v/>
      </c>
      <c r="D184" s="23">
        <f>IFERROR(IF(ISBLANK(INDEX(Backlog[Stream Owner],MATCH($A184,Backlog[Requirement ID],0))),"",INDEX(Backlog[Stream Owner],MATCH($A184,Backlog[Requirement ID],0))),"")</f>
        <v/>
      </c>
      <c r="E184" s="23">
        <f>IFERROR(IF(ISBLANK(INDEX(Backlog[Jira Link],MATCH($A184,Backlog[Requirement ID],0))),"",INDEX(Backlog[Jira Link],MATCH($A184,Backlog[Requirement ID],0))),"")</f>
        <v/>
      </c>
      <c r="F184" s="21" t="inlineStr">
        <is>
          <t>No</t>
        </is>
      </c>
      <c r="G184" s="21" t="inlineStr">
        <is>
          <t>No</t>
        </is>
      </c>
      <c r="H184" s="29">
        <f>IFERROR(IF(ISBLANK(INDEX(SprintPlanning[Sprint],MATCH($A184,SprintPlanning[Requirement ID],0))),"",INDEX(SprintPlanning[Sprint],MATCH($A184,SprintPlanning[Requirement ID],0))),"")</f>
        <v/>
      </c>
      <c r="I184" s="23">
        <f>IFERROR(IF(ISBLANK(INDEX(Backlog[Status],MATCH($A184,Backlog[Requirement ID],0))),"",INDEX(Backlog[Status],MATCH($A184,Backlog[Requirement ID],0))),"")</f>
        <v/>
      </c>
      <c r="J184" s="23">
        <f>IFERROR(IF(ISBLANK(INDEX(Backlog[Priority],MATCH($A184,Backlog[Requirement ID],0))),"",INDEX(Backlog[Priority],MATCH($A184,Backlog[Requirement ID],0))),"")</f>
        <v/>
      </c>
      <c r="K184" s="21" t="n"/>
      <c r="L184" s="43" t="n"/>
      <c r="M184" s="43" t="n"/>
      <c r="N184" s="21" t="n"/>
      <c r="O184" s="44" t="n"/>
      <c r="P184" s="33" t="n"/>
      <c r="Q184" s="33" t="n"/>
    </row>
    <row r="185" ht="15" customHeight="1">
      <c r="A185" s="21" t="inlineStr">
        <is>
          <t>NEW-0366</t>
        </is>
      </c>
      <c r="B185" s="23">
        <f>IFERROR(IF(ISBLANK(INDEX(Backlog[Requirement Name],MATCH($A185,Backlog[Requirement ID],0))),"",INDEX(Backlog[Requirement Name],MATCH($A185,Backlog[Requirement ID],0))),"")</f>
        <v/>
      </c>
      <c r="C185" s="23">
        <f>IFERROR(IF(ISBLANK(INDEX(Backlog[Stream],MATCH($A185,Backlog[Requirement ID],0))),"",INDEX(Backlog[Stream],MATCH($A185,Backlog[Requirement ID],0))),"")</f>
        <v/>
      </c>
      <c r="D185" s="23">
        <f>IFERROR(IF(ISBLANK(INDEX(Backlog[Stream Owner],MATCH($A185,Backlog[Requirement ID],0))),"",INDEX(Backlog[Stream Owner],MATCH($A185,Backlog[Requirement ID],0))),"")</f>
        <v/>
      </c>
      <c r="E185" s="23">
        <f>IFERROR(IF(ISBLANK(INDEX(Backlog[Jira Link],MATCH($A185,Backlog[Requirement ID],0))),"",INDEX(Backlog[Jira Link],MATCH($A185,Backlog[Requirement ID],0))),"")</f>
        <v/>
      </c>
      <c r="F185" s="21" t="inlineStr">
        <is>
          <t>No</t>
        </is>
      </c>
      <c r="G185" s="21" t="inlineStr">
        <is>
          <t>No</t>
        </is>
      </c>
      <c r="H185" s="29">
        <f>IFERROR(IF(ISBLANK(INDEX(SprintPlanning[Sprint],MATCH($A185,SprintPlanning[Requirement ID],0))),"",INDEX(SprintPlanning[Sprint],MATCH($A185,SprintPlanning[Requirement ID],0))),"")</f>
        <v/>
      </c>
      <c r="I185" s="23">
        <f>IFERROR(IF(ISBLANK(INDEX(Backlog[Status],MATCH($A185,Backlog[Requirement ID],0))),"",INDEX(Backlog[Status],MATCH($A185,Backlog[Requirement ID],0))),"")</f>
        <v/>
      </c>
      <c r="J185" s="23">
        <f>IFERROR(IF(ISBLANK(INDEX(Backlog[Priority],MATCH($A185,Backlog[Requirement ID],0))),"",INDEX(Backlog[Priority],MATCH($A185,Backlog[Requirement ID],0))),"")</f>
        <v/>
      </c>
      <c r="K185" s="21" t="n"/>
      <c r="L185" s="43" t="n"/>
      <c r="M185" s="43" t="n"/>
      <c r="N185" s="21" t="n"/>
      <c r="O185" s="44" t="n"/>
      <c r="P185" s="33" t="n"/>
      <c r="Q185" s="33" t="n"/>
    </row>
    <row r="186" ht="15" customHeight="1">
      <c r="A186" s="21" t="inlineStr">
        <is>
          <t>NEW-0367</t>
        </is>
      </c>
      <c r="B186" s="23">
        <f>IFERROR(IF(ISBLANK(INDEX(Backlog[Requirement Name],MATCH($A186,Backlog[Requirement ID],0))),"",INDEX(Backlog[Requirement Name],MATCH($A186,Backlog[Requirement ID],0))),"")</f>
        <v/>
      </c>
      <c r="C186" s="23">
        <f>IFERROR(IF(ISBLANK(INDEX(Backlog[Stream],MATCH($A186,Backlog[Requirement ID],0))),"",INDEX(Backlog[Stream],MATCH($A186,Backlog[Requirement ID],0))),"")</f>
        <v/>
      </c>
      <c r="D186" s="23">
        <f>IFERROR(IF(ISBLANK(INDEX(Backlog[Stream Owner],MATCH($A186,Backlog[Requirement ID],0))),"",INDEX(Backlog[Stream Owner],MATCH($A186,Backlog[Requirement ID],0))),"")</f>
        <v/>
      </c>
      <c r="E186" s="23">
        <f>IFERROR(IF(ISBLANK(INDEX(Backlog[Jira Link],MATCH($A186,Backlog[Requirement ID],0))),"",INDEX(Backlog[Jira Link],MATCH($A186,Backlog[Requirement ID],0))),"")</f>
        <v/>
      </c>
      <c r="F186" s="21" t="inlineStr">
        <is>
          <t>No</t>
        </is>
      </c>
      <c r="G186" s="21" t="inlineStr">
        <is>
          <t>No</t>
        </is>
      </c>
      <c r="H186" s="29">
        <f>IFERROR(IF(ISBLANK(INDEX(SprintPlanning[Sprint],MATCH($A186,SprintPlanning[Requirement ID],0))),"",INDEX(SprintPlanning[Sprint],MATCH($A186,SprintPlanning[Requirement ID],0))),"")</f>
        <v/>
      </c>
      <c r="I186" s="23">
        <f>IFERROR(IF(ISBLANK(INDEX(Backlog[Status],MATCH($A186,Backlog[Requirement ID],0))),"",INDEX(Backlog[Status],MATCH($A186,Backlog[Requirement ID],0))),"")</f>
        <v/>
      </c>
      <c r="J186" s="23">
        <f>IFERROR(IF(ISBLANK(INDEX(Backlog[Priority],MATCH($A186,Backlog[Requirement ID],0))),"",INDEX(Backlog[Priority],MATCH($A186,Backlog[Requirement ID],0))),"")</f>
        <v/>
      </c>
      <c r="K186" s="21" t="n"/>
      <c r="L186" s="43" t="n"/>
      <c r="M186" s="43" t="n"/>
      <c r="N186" s="21" t="n"/>
      <c r="O186" s="44" t="n"/>
      <c r="P186" s="33" t="n"/>
      <c r="Q186" s="33" t="n"/>
    </row>
    <row r="187" ht="15" customHeight="1">
      <c r="A187" s="21" t="inlineStr">
        <is>
          <t>NEW-0368</t>
        </is>
      </c>
      <c r="B187" s="23">
        <f>IFERROR(IF(ISBLANK(INDEX(Backlog[Requirement Name],MATCH($A187,Backlog[Requirement ID],0))),"",INDEX(Backlog[Requirement Name],MATCH($A187,Backlog[Requirement ID],0))),"")</f>
        <v/>
      </c>
      <c r="C187" s="23">
        <f>IFERROR(IF(ISBLANK(INDEX(Backlog[Stream],MATCH($A187,Backlog[Requirement ID],0))),"",INDEX(Backlog[Stream],MATCH($A187,Backlog[Requirement ID],0))),"")</f>
        <v/>
      </c>
      <c r="D187" s="23">
        <f>IFERROR(IF(ISBLANK(INDEX(Backlog[Stream Owner],MATCH($A187,Backlog[Requirement ID],0))),"",INDEX(Backlog[Stream Owner],MATCH($A187,Backlog[Requirement ID],0))),"")</f>
        <v/>
      </c>
      <c r="E187" s="23">
        <f>IFERROR(IF(ISBLANK(INDEX(Backlog[Jira Link],MATCH($A187,Backlog[Requirement ID],0))),"",INDEX(Backlog[Jira Link],MATCH($A187,Backlog[Requirement ID],0))),"")</f>
        <v/>
      </c>
      <c r="F187" s="21" t="inlineStr">
        <is>
          <t>Yes</t>
        </is>
      </c>
      <c r="G187" s="21" t="inlineStr">
        <is>
          <t>Yes</t>
        </is>
      </c>
      <c r="H187" s="29">
        <f>IFERROR(IF(ISBLANK(INDEX(SprintPlanning[Sprint],MATCH($A187,SprintPlanning[Requirement ID],0))),"",INDEX(SprintPlanning[Sprint],MATCH($A187,SprintPlanning[Requirement ID],0))),"")</f>
        <v/>
      </c>
      <c r="I187" s="23">
        <f>IFERROR(IF(ISBLANK(INDEX(Backlog[Status],MATCH($A187,Backlog[Requirement ID],0))),"",INDEX(Backlog[Status],MATCH($A187,Backlog[Requirement ID],0))),"")</f>
        <v/>
      </c>
      <c r="J187" s="23">
        <f>IFERROR(IF(ISBLANK(INDEX(Backlog[Priority],MATCH($A187,Backlog[Requirement ID],0))),"",INDEX(Backlog[Priority],MATCH($A187,Backlog[Requirement ID],0))),"")</f>
        <v/>
      </c>
      <c r="K187" s="21" t="n"/>
      <c r="L187" s="43" t="n"/>
      <c r="M187" s="43" t="n"/>
      <c r="N187" s="21" t="n"/>
      <c r="O187" s="44" t="n"/>
      <c r="P187" s="33" t="n"/>
      <c r="Q187" s="33" t="n"/>
    </row>
    <row r="188" ht="15" customHeight="1">
      <c r="A188" s="21" t="inlineStr">
        <is>
          <t>NEW-0370</t>
        </is>
      </c>
      <c r="B188" s="23">
        <f>IFERROR(IF(ISBLANK(INDEX(Backlog[Requirement Name],MATCH($A188,Backlog[Requirement ID],0))),"",INDEX(Backlog[Requirement Name],MATCH($A188,Backlog[Requirement ID],0))),"")</f>
        <v/>
      </c>
      <c r="C188" s="23">
        <f>IFERROR(IF(ISBLANK(INDEX(Backlog[Stream],MATCH($A188,Backlog[Requirement ID],0))),"",INDEX(Backlog[Stream],MATCH($A188,Backlog[Requirement ID],0))),"")</f>
        <v/>
      </c>
      <c r="D188" s="23">
        <f>IFERROR(IF(ISBLANK(INDEX(Backlog[Stream Owner],MATCH($A188,Backlog[Requirement ID],0))),"",INDEX(Backlog[Stream Owner],MATCH($A188,Backlog[Requirement ID],0))),"")</f>
        <v/>
      </c>
      <c r="E188" s="23">
        <f>IFERROR(IF(ISBLANK(INDEX(Backlog[Jira Link],MATCH($A188,Backlog[Requirement ID],0))),"",INDEX(Backlog[Jira Link],MATCH($A188,Backlog[Requirement ID],0))),"")</f>
        <v/>
      </c>
      <c r="F188" s="21" t="inlineStr">
        <is>
          <t>No</t>
        </is>
      </c>
      <c r="G188" s="21" t="inlineStr">
        <is>
          <t>No</t>
        </is>
      </c>
      <c r="H188" s="29">
        <f>IFERROR(IF(ISBLANK(INDEX(SprintPlanning[Sprint],MATCH($A188,SprintPlanning[Requirement ID],0))),"",INDEX(SprintPlanning[Sprint],MATCH($A188,SprintPlanning[Requirement ID],0))),"")</f>
        <v/>
      </c>
      <c r="I188" s="23">
        <f>IFERROR(IF(ISBLANK(INDEX(Backlog[Status],MATCH($A188,Backlog[Requirement ID],0))),"",INDEX(Backlog[Status],MATCH($A188,Backlog[Requirement ID],0))),"")</f>
        <v/>
      </c>
      <c r="J188" s="23">
        <f>IFERROR(IF(ISBLANK(INDEX(Backlog[Priority],MATCH($A188,Backlog[Requirement ID],0))),"",INDEX(Backlog[Priority],MATCH($A188,Backlog[Requirement ID],0))),"")</f>
        <v/>
      </c>
      <c r="K188" s="21" t="n"/>
      <c r="L188" s="43" t="n"/>
      <c r="M188" s="43" t="n"/>
      <c r="N188" s="21" t="n"/>
      <c r="O188" s="44" t="n"/>
      <c r="P188" s="33" t="n"/>
      <c r="Q188" s="33" t="n"/>
    </row>
    <row r="189" ht="15" customHeight="1">
      <c r="A189" s="21" t="inlineStr">
        <is>
          <t>NEW-0371</t>
        </is>
      </c>
      <c r="B189" s="23">
        <f>IFERROR(IF(ISBLANK(INDEX(Backlog[Requirement Name],MATCH($A189,Backlog[Requirement ID],0))),"",INDEX(Backlog[Requirement Name],MATCH($A189,Backlog[Requirement ID],0))),"")</f>
        <v/>
      </c>
      <c r="C189" s="23">
        <f>IFERROR(IF(ISBLANK(INDEX(Backlog[Stream],MATCH($A189,Backlog[Requirement ID],0))),"",INDEX(Backlog[Stream],MATCH($A189,Backlog[Requirement ID],0))),"")</f>
        <v/>
      </c>
      <c r="D189" s="23">
        <f>IFERROR(IF(ISBLANK(INDEX(Backlog[Stream Owner],MATCH($A189,Backlog[Requirement ID],0))),"",INDEX(Backlog[Stream Owner],MATCH($A189,Backlog[Requirement ID],0))),"")</f>
        <v/>
      </c>
      <c r="E189" s="23">
        <f>IFERROR(IF(ISBLANK(INDEX(Backlog[Jira Link],MATCH($A189,Backlog[Requirement ID],0))),"",INDEX(Backlog[Jira Link],MATCH($A189,Backlog[Requirement ID],0))),"")</f>
        <v/>
      </c>
      <c r="F189" s="21" t="inlineStr">
        <is>
          <t>No</t>
        </is>
      </c>
      <c r="G189" s="21" t="inlineStr">
        <is>
          <t>No</t>
        </is>
      </c>
      <c r="H189" s="29">
        <f>IFERROR(IF(ISBLANK(INDEX(SprintPlanning[Sprint],MATCH($A189,SprintPlanning[Requirement ID],0))),"",INDEX(SprintPlanning[Sprint],MATCH($A189,SprintPlanning[Requirement ID],0))),"")</f>
        <v/>
      </c>
      <c r="I189" s="23">
        <f>IFERROR(IF(ISBLANK(INDEX(Backlog[Status],MATCH($A189,Backlog[Requirement ID],0))),"",INDEX(Backlog[Status],MATCH($A189,Backlog[Requirement ID],0))),"")</f>
        <v/>
      </c>
      <c r="J189" s="23">
        <f>IFERROR(IF(ISBLANK(INDEX(Backlog[Priority],MATCH($A189,Backlog[Requirement ID],0))),"",INDEX(Backlog[Priority],MATCH($A189,Backlog[Requirement ID],0))),"")</f>
        <v/>
      </c>
      <c r="K189" s="21" t="n"/>
      <c r="L189" s="43" t="n"/>
      <c r="M189" s="43" t="n"/>
      <c r="N189" s="21" t="n"/>
      <c r="O189" s="44" t="n"/>
      <c r="P189" s="33" t="n"/>
      <c r="Q189" s="33" t="n"/>
    </row>
    <row r="190" ht="15" customHeight="1">
      <c r="A190" s="21" t="inlineStr">
        <is>
          <t>NEW-0372</t>
        </is>
      </c>
      <c r="B190" s="23">
        <f>IFERROR(IF(ISBLANK(INDEX(Backlog[Requirement Name],MATCH($A190,Backlog[Requirement ID],0))),"",INDEX(Backlog[Requirement Name],MATCH($A190,Backlog[Requirement ID],0))),"")</f>
        <v/>
      </c>
      <c r="C190" s="23">
        <f>IFERROR(IF(ISBLANK(INDEX(Backlog[Stream],MATCH($A190,Backlog[Requirement ID],0))),"",INDEX(Backlog[Stream],MATCH($A190,Backlog[Requirement ID],0))),"")</f>
        <v/>
      </c>
      <c r="D190" s="23">
        <f>IFERROR(IF(ISBLANK(INDEX(Backlog[Stream Owner],MATCH($A190,Backlog[Requirement ID],0))),"",INDEX(Backlog[Stream Owner],MATCH($A190,Backlog[Requirement ID],0))),"")</f>
        <v/>
      </c>
      <c r="E190" s="23">
        <f>IFERROR(IF(ISBLANK(INDEX(Backlog[Jira Link],MATCH($A190,Backlog[Requirement ID],0))),"",INDEX(Backlog[Jira Link],MATCH($A190,Backlog[Requirement ID],0))),"")</f>
        <v/>
      </c>
      <c r="F190" s="21" t="inlineStr">
        <is>
          <t>Yes</t>
        </is>
      </c>
      <c r="G190" s="21" t="inlineStr">
        <is>
          <t>Yes</t>
        </is>
      </c>
      <c r="H190" s="29">
        <f>IFERROR(IF(ISBLANK(INDEX(SprintPlanning[Sprint],MATCH($A190,SprintPlanning[Requirement ID],0))),"",INDEX(SprintPlanning[Sprint],MATCH($A190,SprintPlanning[Requirement ID],0))),"")</f>
        <v/>
      </c>
      <c r="I190" s="23">
        <f>IFERROR(IF(ISBLANK(INDEX(Backlog[Status],MATCH($A190,Backlog[Requirement ID],0))),"",INDEX(Backlog[Status],MATCH($A190,Backlog[Requirement ID],0))),"")</f>
        <v/>
      </c>
      <c r="J190" s="23">
        <f>IFERROR(IF(ISBLANK(INDEX(Backlog[Priority],MATCH($A190,Backlog[Requirement ID],0))),"",INDEX(Backlog[Priority],MATCH($A190,Backlog[Requirement ID],0))),"")</f>
        <v/>
      </c>
      <c r="K190" s="21" t="n"/>
      <c r="L190" s="43" t="n"/>
      <c r="M190" s="43" t="n"/>
      <c r="N190" s="21" t="n"/>
      <c r="O190" s="44" t="n"/>
      <c r="P190" s="33" t="n"/>
      <c r="Q190" s="33" t="n"/>
    </row>
    <row r="191" ht="15" customHeight="1">
      <c r="A191" s="21" t="inlineStr">
        <is>
          <t>NEW-0373</t>
        </is>
      </c>
      <c r="B191" s="23">
        <f>IFERROR(IF(ISBLANK(INDEX(Backlog[Requirement Name],MATCH($A191,Backlog[Requirement ID],0))),"",INDEX(Backlog[Requirement Name],MATCH($A191,Backlog[Requirement ID],0))),"")</f>
        <v/>
      </c>
      <c r="C191" s="23">
        <f>IFERROR(IF(ISBLANK(INDEX(Backlog[Stream],MATCH($A191,Backlog[Requirement ID],0))),"",INDEX(Backlog[Stream],MATCH($A191,Backlog[Requirement ID],0))),"")</f>
        <v/>
      </c>
      <c r="D191" s="23">
        <f>IFERROR(IF(ISBLANK(INDEX(Backlog[Stream Owner],MATCH($A191,Backlog[Requirement ID],0))),"",INDEX(Backlog[Stream Owner],MATCH($A191,Backlog[Requirement ID],0))),"")</f>
        <v/>
      </c>
      <c r="E191" s="23">
        <f>IFERROR(IF(ISBLANK(INDEX(Backlog[Jira Link],MATCH($A191,Backlog[Requirement ID],0))),"",INDEX(Backlog[Jira Link],MATCH($A191,Backlog[Requirement ID],0))),"")</f>
        <v/>
      </c>
      <c r="F191" s="21" t="inlineStr">
        <is>
          <t>No</t>
        </is>
      </c>
      <c r="G191" s="21" t="inlineStr">
        <is>
          <t>No</t>
        </is>
      </c>
      <c r="H191" s="29">
        <f>IFERROR(IF(ISBLANK(INDEX(SprintPlanning[Sprint],MATCH($A191,SprintPlanning[Requirement ID],0))),"",INDEX(SprintPlanning[Sprint],MATCH($A191,SprintPlanning[Requirement ID],0))),"")</f>
        <v/>
      </c>
      <c r="I191" s="23">
        <f>IFERROR(IF(ISBLANK(INDEX(Backlog[Status],MATCH($A191,Backlog[Requirement ID],0))),"",INDEX(Backlog[Status],MATCH($A191,Backlog[Requirement ID],0))),"")</f>
        <v/>
      </c>
      <c r="J191" s="23">
        <f>IFERROR(IF(ISBLANK(INDEX(Backlog[Priority],MATCH($A191,Backlog[Requirement ID],0))),"",INDEX(Backlog[Priority],MATCH($A191,Backlog[Requirement ID],0))),"")</f>
        <v/>
      </c>
      <c r="K191" s="21" t="n"/>
      <c r="L191" s="43" t="n"/>
      <c r="M191" s="43" t="n"/>
      <c r="N191" s="21" t="n"/>
      <c r="O191" s="44" t="n"/>
      <c r="P191" s="33" t="n"/>
      <c r="Q191" s="33" t="n"/>
    </row>
    <row r="192" ht="15" customHeight="1">
      <c r="A192" s="21" t="inlineStr">
        <is>
          <t>NEW-0374</t>
        </is>
      </c>
      <c r="B192" s="23">
        <f>IFERROR(IF(ISBLANK(INDEX(Backlog[Requirement Name],MATCH($A192,Backlog[Requirement ID],0))),"",INDEX(Backlog[Requirement Name],MATCH($A192,Backlog[Requirement ID],0))),"")</f>
        <v/>
      </c>
      <c r="C192" s="23">
        <f>IFERROR(IF(ISBLANK(INDEX(Backlog[Stream],MATCH($A192,Backlog[Requirement ID],0))),"",INDEX(Backlog[Stream],MATCH($A192,Backlog[Requirement ID],0))),"")</f>
        <v/>
      </c>
      <c r="D192" s="23">
        <f>IFERROR(IF(ISBLANK(INDEX(Backlog[Stream Owner],MATCH($A192,Backlog[Requirement ID],0))),"",INDEX(Backlog[Stream Owner],MATCH($A192,Backlog[Requirement ID],0))),"")</f>
        <v/>
      </c>
      <c r="E192" s="23">
        <f>IFERROR(IF(ISBLANK(INDEX(Backlog[Jira Link],MATCH($A192,Backlog[Requirement ID],0))),"",INDEX(Backlog[Jira Link],MATCH($A192,Backlog[Requirement ID],0))),"")</f>
        <v/>
      </c>
      <c r="F192" s="21" t="inlineStr">
        <is>
          <t>Yes</t>
        </is>
      </c>
      <c r="G192" s="21" t="inlineStr">
        <is>
          <t>Yes</t>
        </is>
      </c>
      <c r="H192" s="29">
        <f>IFERROR(IF(ISBLANK(INDEX(SprintPlanning[Sprint],MATCH($A192,SprintPlanning[Requirement ID],0))),"",INDEX(SprintPlanning[Sprint],MATCH($A192,SprintPlanning[Requirement ID],0))),"")</f>
        <v/>
      </c>
      <c r="I192" s="23">
        <f>IFERROR(IF(ISBLANK(INDEX(Backlog[Status],MATCH($A192,Backlog[Requirement ID],0))),"",INDEX(Backlog[Status],MATCH($A192,Backlog[Requirement ID],0))),"")</f>
        <v/>
      </c>
      <c r="J192" s="23">
        <f>IFERROR(IF(ISBLANK(INDEX(Backlog[Priority],MATCH($A192,Backlog[Requirement ID],0))),"",INDEX(Backlog[Priority],MATCH($A192,Backlog[Requirement ID],0))),"")</f>
        <v/>
      </c>
      <c r="K192" s="21" t="n"/>
      <c r="L192" s="43" t="n"/>
      <c r="M192" s="43" t="n"/>
      <c r="N192" s="21" t="n"/>
      <c r="O192" s="44" t="n"/>
      <c r="P192" s="33" t="n"/>
      <c r="Q192" s="33" t="n"/>
    </row>
    <row r="193" ht="15" customHeight="1">
      <c r="A193" s="21" t="inlineStr">
        <is>
          <t>NEW-0375</t>
        </is>
      </c>
      <c r="B193" s="23">
        <f>IFERROR(IF(ISBLANK(INDEX(Backlog[Requirement Name],MATCH($A193,Backlog[Requirement ID],0))),"",INDEX(Backlog[Requirement Name],MATCH($A193,Backlog[Requirement ID],0))),"")</f>
        <v/>
      </c>
      <c r="C193" s="23">
        <f>IFERROR(IF(ISBLANK(INDEX(Backlog[Stream],MATCH($A193,Backlog[Requirement ID],0))),"",INDEX(Backlog[Stream],MATCH($A193,Backlog[Requirement ID],0))),"")</f>
        <v/>
      </c>
      <c r="D193" s="23">
        <f>IFERROR(IF(ISBLANK(INDEX(Backlog[Stream Owner],MATCH($A193,Backlog[Requirement ID],0))),"",INDEX(Backlog[Stream Owner],MATCH($A193,Backlog[Requirement ID],0))),"")</f>
        <v/>
      </c>
      <c r="E193" s="23">
        <f>IFERROR(IF(ISBLANK(INDEX(Backlog[Jira Link],MATCH($A193,Backlog[Requirement ID],0))),"",INDEX(Backlog[Jira Link],MATCH($A193,Backlog[Requirement ID],0))),"")</f>
        <v/>
      </c>
      <c r="F193" s="21" t="inlineStr">
        <is>
          <t>No</t>
        </is>
      </c>
      <c r="G193" s="21" t="inlineStr">
        <is>
          <t>No</t>
        </is>
      </c>
      <c r="H193" s="29">
        <f>IFERROR(IF(ISBLANK(INDEX(SprintPlanning[Sprint],MATCH($A193,SprintPlanning[Requirement ID],0))),"",INDEX(SprintPlanning[Sprint],MATCH($A193,SprintPlanning[Requirement ID],0))),"")</f>
        <v/>
      </c>
      <c r="I193" s="23">
        <f>IFERROR(IF(ISBLANK(INDEX(Backlog[Status],MATCH($A193,Backlog[Requirement ID],0))),"",INDEX(Backlog[Status],MATCH($A193,Backlog[Requirement ID],0))),"")</f>
        <v/>
      </c>
      <c r="J193" s="23">
        <f>IFERROR(IF(ISBLANK(INDEX(Backlog[Priority],MATCH($A193,Backlog[Requirement ID],0))),"",INDEX(Backlog[Priority],MATCH($A193,Backlog[Requirement ID],0))),"")</f>
        <v/>
      </c>
      <c r="K193" s="21" t="n"/>
      <c r="L193" s="43" t="n"/>
      <c r="M193" s="43" t="n"/>
      <c r="N193" s="21" t="n"/>
      <c r="O193" s="44" t="n"/>
      <c r="P193" s="33" t="n"/>
      <c r="Q193" s="33" t="n"/>
    </row>
    <row r="194" ht="15" customHeight="1">
      <c r="A194" s="21" t="inlineStr">
        <is>
          <t>NEW-0376</t>
        </is>
      </c>
      <c r="B194" s="23">
        <f>IFERROR(IF(ISBLANK(INDEX(Backlog[Requirement Name],MATCH($A194,Backlog[Requirement ID],0))),"",INDEX(Backlog[Requirement Name],MATCH($A194,Backlog[Requirement ID],0))),"")</f>
        <v/>
      </c>
      <c r="C194" s="23">
        <f>IFERROR(IF(ISBLANK(INDEX(Backlog[Stream],MATCH($A194,Backlog[Requirement ID],0))),"",INDEX(Backlog[Stream],MATCH($A194,Backlog[Requirement ID],0))),"")</f>
        <v/>
      </c>
      <c r="D194" s="23">
        <f>IFERROR(IF(ISBLANK(INDEX(Backlog[Stream Owner],MATCH($A194,Backlog[Requirement ID],0))),"",INDEX(Backlog[Stream Owner],MATCH($A194,Backlog[Requirement ID],0))),"")</f>
        <v/>
      </c>
      <c r="E194" s="23">
        <f>IFERROR(IF(ISBLANK(INDEX(Backlog[Jira Link],MATCH($A194,Backlog[Requirement ID],0))),"",INDEX(Backlog[Jira Link],MATCH($A194,Backlog[Requirement ID],0))),"")</f>
        <v/>
      </c>
      <c r="F194" s="21" t="inlineStr">
        <is>
          <t>No</t>
        </is>
      </c>
      <c r="G194" s="21" t="inlineStr">
        <is>
          <t>No</t>
        </is>
      </c>
      <c r="H194" s="29">
        <f>IFERROR(IF(ISBLANK(INDEX(SprintPlanning[Sprint],MATCH($A194,SprintPlanning[Requirement ID],0))),"",INDEX(SprintPlanning[Sprint],MATCH($A194,SprintPlanning[Requirement ID],0))),"")</f>
        <v/>
      </c>
      <c r="I194" s="23">
        <f>IFERROR(IF(ISBLANK(INDEX(Backlog[Status],MATCH($A194,Backlog[Requirement ID],0))),"",INDEX(Backlog[Status],MATCH($A194,Backlog[Requirement ID],0))),"")</f>
        <v/>
      </c>
      <c r="J194" s="23">
        <f>IFERROR(IF(ISBLANK(INDEX(Backlog[Priority],MATCH($A194,Backlog[Requirement ID],0))),"",INDEX(Backlog[Priority],MATCH($A194,Backlog[Requirement ID],0))),"")</f>
        <v/>
      </c>
      <c r="K194" s="21" t="n"/>
      <c r="L194" s="43" t="n"/>
      <c r="M194" s="43" t="n"/>
      <c r="N194" s="21" t="n"/>
      <c r="O194" s="44" t="n"/>
      <c r="P194" s="33" t="n"/>
      <c r="Q194" s="33" t="n"/>
    </row>
    <row r="195" ht="15" customHeight="1">
      <c r="A195" s="21" t="inlineStr">
        <is>
          <t>NEW-0377</t>
        </is>
      </c>
      <c r="B195" s="23">
        <f>IFERROR(IF(ISBLANK(INDEX(Backlog[Requirement Name],MATCH($A195,Backlog[Requirement ID],0))),"",INDEX(Backlog[Requirement Name],MATCH($A195,Backlog[Requirement ID],0))),"")</f>
        <v/>
      </c>
      <c r="C195" s="23">
        <f>IFERROR(IF(ISBLANK(INDEX(Backlog[Stream],MATCH($A195,Backlog[Requirement ID],0))),"",INDEX(Backlog[Stream],MATCH($A195,Backlog[Requirement ID],0))),"")</f>
        <v/>
      </c>
      <c r="D195" s="23">
        <f>IFERROR(IF(ISBLANK(INDEX(Backlog[Stream Owner],MATCH($A195,Backlog[Requirement ID],0))),"",INDEX(Backlog[Stream Owner],MATCH($A195,Backlog[Requirement ID],0))),"")</f>
        <v/>
      </c>
      <c r="E195" s="23">
        <f>IFERROR(IF(ISBLANK(INDEX(Backlog[Jira Link],MATCH($A195,Backlog[Requirement ID],0))),"",INDEX(Backlog[Jira Link],MATCH($A195,Backlog[Requirement ID],0))),"")</f>
        <v/>
      </c>
      <c r="F195" s="21" t="inlineStr">
        <is>
          <t>No</t>
        </is>
      </c>
      <c r="G195" s="21" t="inlineStr">
        <is>
          <t>No</t>
        </is>
      </c>
      <c r="H195" s="29">
        <f>IFERROR(IF(ISBLANK(INDEX(SprintPlanning[Sprint],MATCH($A195,SprintPlanning[Requirement ID],0))),"",INDEX(SprintPlanning[Sprint],MATCH($A195,SprintPlanning[Requirement ID],0))),"")</f>
        <v/>
      </c>
      <c r="I195" s="23">
        <f>IFERROR(IF(ISBLANK(INDEX(Backlog[Status],MATCH($A195,Backlog[Requirement ID],0))),"",INDEX(Backlog[Status],MATCH($A195,Backlog[Requirement ID],0))),"")</f>
        <v/>
      </c>
      <c r="J195" s="23">
        <f>IFERROR(IF(ISBLANK(INDEX(Backlog[Priority],MATCH($A195,Backlog[Requirement ID],0))),"",INDEX(Backlog[Priority],MATCH($A195,Backlog[Requirement ID],0))),"")</f>
        <v/>
      </c>
      <c r="K195" s="21" t="n"/>
      <c r="L195" s="43" t="n"/>
      <c r="M195" s="43" t="n"/>
      <c r="N195" s="21" t="n"/>
      <c r="O195" s="44" t="n"/>
      <c r="P195" s="33" t="n"/>
      <c r="Q195" s="33" t="n"/>
    </row>
    <row r="196" ht="15" customHeight="1">
      <c r="A196" s="21" t="inlineStr">
        <is>
          <t>NEW-0379</t>
        </is>
      </c>
      <c r="B196" s="23">
        <f>IFERROR(IF(ISBLANK(INDEX(Backlog[Requirement Name],MATCH($A196,Backlog[Requirement ID],0))),"",INDEX(Backlog[Requirement Name],MATCH($A196,Backlog[Requirement ID],0))),"")</f>
        <v/>
      </c>
      <c r="C196" s="23">
        <f>IFERROR(IF(ISBLANK(INDEX(Backlog[Stream],MATCH($A196,Backlog[Requirement ID],0))),"",INDEX(Backlog[Stream],MATCH($A196,Backlog[Requirement ID],0))),"")</f>
        <v/>
      </c>
      <c r="D196" s="23">
        <f>IFERROR(IF(ISBLANK(INDEX(Backlog[Stream Owner],MATCH($A196,Backlog[Requirement ID],0))),"",INDEX(Backlog[Stream Owner],MATCH($A196,Backlog[Requirement ID],0))),"")</f>
        <v/>
      </c>
      <c r="E196" s="23">
        <f>IFERROR(IF(ISBLANK(INDEX(Backlog[Jira Link],MATCH($A196,Backlog[Requirement ID],0))),"",INDEX(Backlog[Jira Link],MATCH($A196,Backlog[Requirement ID],0))),"")</f>
        <v/>
      </c>
      <c r="F196" s="21" t="inlineStr">
        <is>
          <t>Yes</t>
        </is>
      </c>
      <c r="G196" s="21" t="inlineStr">
        <is>
          <t>Yes</t>
        </is>
      </c>
      <c r="H196" s="29">
        <f>IFERROR(IF(ISBLANK(INDEX(SprintPlanning[Sprint],MATCH($A196,SprintPlanning[Requirement ID],0))),"",INDEX(SprintPlanning[Sprint],MATCH($A196,SprintPlanning[Requirement ID],0))),"")</f>
        <v/>
      </c>
      <c r="I196" s="23">
        <f>IFERROR(IF(ISBLANK(INDEX(Backlog[Status],MATCH($A196,Backlog[Requirement ID],0))),"",INDEX(Backlog[Status],MATCH($A196,Backlog[Requirement ID],0))),"")</f>
        <v/>
      </c>
      <c r="J196" s="23">
        <f>IFERROR(IF(ISBLANK(INDEX(Backlog[Priority],MATCH($A196,Backlog[Requirement ID],0))),"",INDEX(Backlog[Priority],MATCH($A196,Backlog[Requirement ID],0))),"")</f>
        <v/>
      </c>
      <c r="K196" s="21" t="n"/>
      <c r="L196" s="43" t="n"/>
      <c r="M196" s="43" t="n"/>
      <c r="N196" s="21" t="n"/>
      <c r="O196" s="44" t="n"/>
      <c r="P196" s="33" t="n"/>
      <c r="Q196" s="33" t="n"/>
    </row>
    <row r="197" ht="15" customHeight="1">
      <c r="A197" s="21" t="inlineStr">
        <is>
          <t>NEW-0380</t>
        </is>
      </c>
      <c r="B197" s="23">
        <f>IFERROR(IF(ISBLANK(INDEX(Backlog[Requirement Name],MATCH($A197,Backlog[Requirement ID],0))),"",INDEX(Backlog[Requirement Name],MATCH($A197,Backlog[Requirement ID],0))),"")</f>
        <v/>
      </c>
      <c r="C197" s="23">
        <f>IFERROR(IF(ISBLANK(INDEX(Backlog[Stream],MATCH($A197,Backlog[Requirement ID],0))),"",INDEX(Backlog[Stream],MATCH($A197,Backlog[Requirement ID],0))),"")</f>
        <v/>
      </c>
      <c r="D197" s="23">
        <f>IFERROR(IF(ISBLANK(INDEX(Backlog[Stream Owner],MATCH($A197,Backlog[Requirement ID],0))),"",INDEX(Backlog[Stream Owner],MATCH($A197,Backlog[Requirement ID],0))),"")</f>
        <v/>
      </c>
      <c r="E197" s="23">
        <f>IFERROR(IF(ISBLANK(INDEX(Backlog[Jira Link],MATCH($A197,Backlog[Requirement ID],0))),"",INDEX(Backlog[Jira Link],MATCH($A197,Backlog[Requirement ID],0))),"")</f>
        <v/>
      </c>
      <c r="F197" s="21" t="inlineStr">
        <is>
          <t>Yes</t>
        </is>
      </c>
      <c r="G197" s="21" t="inlineStr">
        <is>
          <t>Yes</t>
        </is>
      </c>
      <c r="H197" s="29">
        <f>IFERROR(IF(ISBLANK(INDEX(SprintPlanning[Sprint],MATCH($A197,SprintPlanning[Requirement ID],0))),"",INDEX(SprintPlanning[Sprint],MATCH($A197,SprintPlanning[Requirement ID],0))),"")</f>
        <v/>
      </c>
      <c r="I197" s="23">
        <f>IFERROR(IF(ISBLANK(INDEX(Backlog[Status],MATCH($A197,Backlog[Requirement ID],0))),"",INDEX(Backlog[Status],MATCH($A197,Backlog[Requirement ID],0))),"")</f>
        <v/>
      </c>
      <c r="J197" s="23">
        <f>IFERROR(IF(ISBLANK(INDEX(Backlog[Priority],MATCH($A197,Backlog[Requirement ID],0))),"",INDEX(Backlog[Priority],MATCH($A197,Backlog[Requirement ID],0))),"")</f>
        <v/>
      </c>
      <c r="K197" s="21" t="n"/>
      <c r="L197" s="43" t="n"/>
      <c r="M197" s="43" t="n"/>
      <c r="N197" s="21" t="n"/>
      <c r="O197" s="44" t="n"/>
      <c r="P197" s="33" t="n"/>
      <c r="Q197" s="33" t="n"/>
    </row>
    <row r="198" ht="15" customHeight="1">
      <c r="A198" s="21" t="inlineStr">
        <is>
          <t>NEW-0381</t>
        </is>
      </c>
      <c r="B198" s="23">
        <f>IFERROR(IF(ISBLANK(INDEX(Backlog[Requirement Name],MATCH($A198,Backlog[Requirement ID],0))),"",INDEX(Backlog[Requirement Name],MATCH($A198,Backlog[Requirement ID],0))),"")</f>
        <v/>
      </c>
      <c r="C198" s="23">
        <f>IFERROR(IF(ISBLANK(INDEX(Backlog[Stream],MATCH($A198,Backlog[Requirement ID],0))),"",INDEX(Backlog[Stream],MATCH($A198,Backlog[Requirement ID],0))),"")</f>
        <v/>
      </c>
      <c r="D198" s="23">
        <f>IFERROR(IF(ISBLANK(INDEX(Backlog[Stream Owner],MATCH($A198,Backlog[Requirement ID],0))),"",INDEX(Backlog[Stream Owner],MATCH($A198,Backlog[Requirement ID],0))),"")</f>
        <v/>
      </c>
      <c r="E198" s="23">
        <f>IFERROR(IF(ISBLANK(INDEX(Backlog[Jira Link],MATCH($A198,Backlog[Requirement ID],0))),"",INDEX(Backlog[Jira Link],MATCH($A198,Backlog[Requirement ID],0))),"")</f>
        <v/>
      </c>
      <c r="F198" s="21" t="inlineStr">
        <is>
          <t>Yes</t>
        </is>
      </c>
      <c r="G198" s="21" t="inlineStr">
        <is>
          <t>Yes</t>
        </is>
      </c>
      <c r="H198" s="29">
        <f>IFERROR(IF(ISBLANK(INDEX(SprintPlanning[Sprint],MATCH($A198,SprintPlanning[Requirement ID],0))),"",INDEX(SprintPlanning[Sprint],MATCH($A198,SprintPlanning[Requirement ID],0))),"")</f>
        <v/>
      </c>
      <c r="I198" s="23">
        <f>IFERROR(IF(ISBLANK(INDEX(Backlog[Status],MATCH($A198,Backlog[Requirement ID],0))),"",INDEX(Backlog[Status],MATCH($A198,Backlog[Requirement ID],0))),"")</f>
        <v/>
      </c>
      <c r="J198" s="23">
        <f>IFERROR(IF(ISBLANK(INDEX(Backlog[Priority],MATCH($A198,Backlog[Requirement ID],0))),"",INDEX(Backlog[Priority],MATCH($A198,Backlog[Requirement ID],0))),"")</f>
        <v/>
      </c>
      <c r="K198" s="21" t="n"/>
      <c r="L198" s="43" t="n"/>
      <c r="M198" s="43" t="n"/>
      <c r="N198" s="21" t="n"/>
      <c r="O198" s="44" t="n"/>
      <c r="P198" s="33" t="n"/>
      <c r="Q198" s="33" t="n"/>
    </row>
    <row r="199" ht="15" customHeight="1">
      <c r="A199" s="21" t="inlineStr">
        <is>
          <t>NEW-0382</t>
        </is>
      </c>
      <c r="B199" s="23">
        <f>IFERROR(IF(ISBLANK(INDEX(Backlog[Requirement Name],MATCH($A199,Backlog[Requirement ID],0))),"",INDEX(Backlog[Requirement Name],MATCH($A199,Backlog[Requirement ID],0))),"")</f>
        <v/>
      </c>
      <c r="C199" s="23">
        <f>IFERROR(IF(ISBLANK(INDEX(Backlog[Stream],MATCH($A199,Backlog[Requirement ID],0))),"",INDEX(Backlog[Stream],MATCH($A199,Backlog[Requirement ID],0))),"")</f>
        <v/>
      </c>
      <c r="D199" s="23">
        <f>IFERROR(IF(ISBLANK(INDEX(Backlog[Stream Owner],MATCH($A199,Backlog[Requirement ID],0))),"",INDEX(Backlog[Stream Owner],MATCH($A199,Backlog[Requirement ID],0))),"")</f>
        <v/>
      </c>
      <c r="E199" s="23">
        <f>IFERROR(IF(ISBLANK(INDEX(Backlog[Jira Link],MATCH($A199,Backlog[Requirement ID],0))),"",INDEX(Backlog[Jira Link],MATCH($A199,Backlog[Requirement ID],0))),"")</f>
        <v/>
      </c>
      <c r="F199" s="21" t="inlineStr">
        <is>
          <t>Yes</t>
        </is>
      </c>
      <c r="G199" s="21" t="inlineStr">
        <is>
          <t>Yes</t>
        </is>
      </c>
      <c r="H199" s="29">
        <f>IFERROR(IF(ISBLANK(INDEX(SprintPlanning[Sprint],MATCH($A199,SprintPlanning[Requirement ID],0))),"",INDEX(SprintPlanning[Sprint],MATCH($A199,SprintPlanning[Requirement ID],0))),"")</f>
        <v/>
      </c>
      <c r="I199" s="23">
        <f>IFERROR(IF(ISBLANK(INDEX(Backlog[Status],MATCH($A199,Backlog[Requirement ID],0))),"",INDEX(Backlog[Status],MATCH($A199,Backlog[Requirement ID],0))),"")</f>
        <v/>
      </c>
      <c r="J199" s="23">
        <f>IFERROR(IF(ISBLANK(INDEX(Backlog[Priority],MATCH($A199,Backlog[Requirement ID],0))),"",INDEX(Backlog[Priority],MATCH($A199,Backlog[Requirement ID],0))),"")</f>
        <v/>
      </c>
      <c r="K199" s="21" t="n"/>
      <c r="L199" s="43" t="n"/>
      <c r="M199" s="43" t="n"/>
      <c r="N199" s="21" t="n"/>
      <c r="O199" s="44" t="n"/>
      <c r="P199" s="33" t="n"/>
      <c r="Q199" s="33" t="n"/>
    </row>
    <row r="200" ht="15" customHeight="1">
      <c r="A200" s="21" t="inlineStr">
        <is>
          <t>NEW-0383</t>
        </is>
      </c>
      <c r="B200" s="23">
        <f>IFERROR(IF(ISBLANK(INDEX(Backlog[Requirement Name],MATCH($A200,Backlog[Requirement ID],0))),"",INDEX(Backlog[Requirement Name],MATCH($A200,Backlog[Requirement ID],0))),"")</f>
        <v/>
      </c>
      <c r="C200" s="23">
        <f>IFERROR(IF(ISBLANK(INDEX(Backlog[Stream],MATCH($A200,Backlog[Requirement ID],0))),"",INDEX(Backlog[Stream],MATCH($A200,Backlog[Requirement ID],0))),"")</f>
        <v/>
      </c>
      <c r="D200" s="23">
        <f>IFERROR(IF(ISBLANK(INDEX(Backlog[Stream Owner],MATCH($A200,Backlog[Requirement ID],0))),"",INDEX(Backlog[Stream Owner],MATCH($A200,Backlog[Requirement ID],0))),"")</f>
        <v/>
      </c>
      <c r="E200" s="23">
        <f>IFERROR(IF(ISBLANK(INDEX(Backlog[Jira Link],MATCH($A200,Backlog[Requirement ID],0))),"",INDEX(Backlog[Jira Link],MATCH($A200,Backlog[Requirement ID],0))),"")</f>
        <v/>
      </c>
      <c r="F200" s="21" t="inlineStr">
        <is>
          <t>Yes</t>
        </is>
      </c>
      <c r="G200" s="21" t="inlineStr">
        <is>
          <t>Yes</t>
        </is>
      </c>
      <c r="H200" s="29">
        <f>IFERROR(IF(ISBLANK(INDEX(SprintPlanning[Sprint],MATCH($A200,SprintPlanning[Requirement ID],0))),"",INDEX(SprintPlanning[Sprint],MATCH($A200,SprintPlanning[Requirement ID],0))),"")</f>
        <v/>
      </c>
      <c r="I200" s="23">
        <f>IFERROR(IF(ISBLANK(INDEX(Backlog[Status],MATCH($A200,Backlog[Requirement ID],0))),"",INDEX(Backlog[Status],MATCH($A200,Backlog[Requirement ID],0))),"")</f>
        <v/>
      </c>
      <c r="J200" s="23">
        <f>IFERROR(IF(ISBLANK(INDEX(Backlog[Priority],MATCH($A200,Backlog[Requirement ID],0))),"",INDEX(Backlog[Priority],MATCH($A200,Backlog[Requirement ID],0))),"")</f>
        <v/>
      </c>
      <c r="K200" s="21" t="n"/>
      <c r="L200" s="43" t="n"/>
      <c r="M200" s="43" t="n"/>
      <c r="N200" s="21" t="n"/>
      <c r="O200" s="44" t="n"/>
      <c r="P200" s="33" t="n"/>
      <c r="Q200" s="33" t="n"/>
    </row>
    <row r="201" ht="15" customHeight="1">
      <c r="A201" s="21" t="inlineStr">
        <is>
          <t>NEW-0384</t>
        </is>
      </c>
      <c r="B201" s="23">
        <f>IFERROR(IF(ISBLANK(INDEX(Backlog[Requirement Name],MATCH($A201,Backlog[Requirement ID],0))),"",INDEX(Backlog[Requirement Name],MATCH($A201,Backlog[Requirement ID],0))),"")</f>
        <v/>
      </c>
      <c r="C201" s="23">
        <f>IFERROR(IF(ISBLANK(INDEX(Backlog[Stream],MATCH($A201,Backlog[Requirement ID],0))),"",INDEX(Backlog[Stream],MATCH($A201,Backlog[Requirement ID],0))),"")</f>
        <v/>
      </c>
      <c r="D201" s="23">
        <f>IFERROR(IF(ISBLANK(INDEX(Backlog[Stream Owner],MATCH($A201,Backlog[Requirement ID],0))),"",INDEX(Backlog[Stream Owner],MATCH($A201,Backlog[Requirement ID],0))),"")</f>
        <v/>
      </c>
      <c r="E201" s="23">
        <f>IFERROR(IF(ISBLANK(INDEX(Backlog[Jira Link],MATCH($A201,Backlog[Requirement ID],0))),"",INDEX(Backlog[Jira Link],MATCH($A201,Backlog[Requirement ID],0))),"")</f>
        <v/>
      </c>
      <c r="F201" s="21" t="inlineStr">
        <is>
          <t>Yes</t>
        </is>
      </c>
      <c r="G201" s="21" t="inlineStr">
        <is>
          <t>Yes</t>
        </is>
      </c>
      <c r="H201" s="29">
        <f>IFERROR(IF(ISBLANK(INDEX(SprintPlanning[Sprint],MATCH($A201,SprintPlanning[Requirement ID],0))),"",INDEX(SprintPlanning[Sprint],MATCH($A201,SprintPlanning[Requirement ID],0))),"")</f>
        <v/>
      </c>
      <c r="I201" s="23">
        <f>IFERROR(IF(ISBLANK(INDEX(Backlog[Status],MATCH($A201,Backlog[Requirement ID],0))),"",INDEX(Backlog[Status],MATCH($A201,Backlog[Requirement ID],0))),"")</f>
        <v/>
      </c>
      <c r="J201" s="23">
        <f>IFERROR(IF(ISBLANK(INDEX(Backlog[Priority],MATCH($A201,Backlog[Requirement ID],0))),"",INDEX(Backlog[Priority],MATCH($A201,Backlog[Requirement ID],0))),"")</f>
        <v/>
      </c>
      <c r="K201" s="21" t="n"/>
      <c r="L201" s="43" t="n"/>
      <c r="M201" s="43" t="n"/>
      <c r="N201" s="21" t="n"/>
      <c r="O201" s="44" t="n"/>
      <c r="P201" s="33" t="n"/>
      <c r="Q201" s="33" t="n"/>
    </row>
    <row r="202" ht="15" customHeight="1">
      <c r="A202" s="21" t="inlineStr">
        <is>
          <t>NEW-0386</t>
        </is>
      </c>
      <c r="B202" s="23">
        <f>IFERROR(IF(ISBLANK(INDEX(Backlog[Requirement Name],MATCH($A202,Backlog[Requirement ID],0))),"",INDEX(Backlog[Requirement Name],MATCH($A202,Backlog[Requirement ID],0))),"")</f>
        <v/>
      </c>
      <c r="C202" s="23">
        <f>IFERROR(IF(ISBLANK(INDEX(Backlog[Stream],MATCH($A202,Backlog[Requirement ID],0))),"",INDEX(Backlog[Stream],MATCH($A202,Backlog[Requirement ID],0))),"")</f>
        <v/>
      </c>
      <c r="D202" s="23">
        <f>IFERROR(IF(ISBLANK(INDEX(Backlog[Stream Owner],MATCH($A202,Backlog[Requirement ID],0))),"",INDEX(Backlog[Stream Owner],MATCH($A202,Backlog[Requirement ID],0))),"")</f>
        <v/>
      </c>
      <c r="E202" s="23">
        <f>IFERROR(IF(ISBLANK(INDEX(Backlog[Jira Link],MATCH($A202,Backlog[Requirement ID],0))),"",INDEX(Backlog[Jira Link],MATCH($A202,Backlog[Requirement ID],0))),"")</f>
        <v/>
      </c>
      <c r="F202" s="21" t="inlineStr">
        <is>
          <t>Yes</t>
        </is>
      </c>
      <c r="G202" s="21" t="inlineStr">
        <is>
          <t>Yes</t>
        </is>
      </c>
      <c r="H202" s="29">
        <f>IFERROR(IF(ISBLANK(INDEX(SprintPlanning[Sprint],MATCH($A202,SprintPlanning[Requirement ID],0))),"",INDEX(SprintPlanning[Sprint],MATCH($A202,SprintPlanning[Requirement ID],0))),"")</f>
        <v/>
      </c>
      <c r="I202" s="23">
        <f>IFERROR(IF(ISBLANK(INDEX(Backlog[Status],MATCH($A202,Backlog[Requirement ID],0))),"",INDEX(Backlog[Status],MATCH($A202,Backlog[Requirement ID],0))),"")</f>
        <v/>
      </c>
      <c r="J202" s="23">
        <f>IFERROR(IF(ISBLANK(INDEX(Backlog[Priority],MATCH($A202,Backlog[Requirement ID],0))),"",INDEX(Backlog[Priority],MATCH($A202,Backlog[Requirement ID],0))),"")</f>
        <v/>
      </c>
      <c r="K202" s="21" t="n"/>
      <c r="L202" s="43" t="n"/>
      <c r="M202" s="43" t="n"/>
      <c r="N202" s="21" t="n"/>
      <c r="O202" s="44" t="n"/>
      <c r="P202" s="33" t="n"/>
      <c r="Q202" s="33" t="n"/>
    </row>
    <row r="203" ht="15" customHeight="1">
      <c r="A203" s="21" t="inlineStr">
        <is>
          <t>NEW-0387</t>
        </is>
      </c>
      <c r="B203" s="23">
        <f>IFERROR(IF(ISBLANK(INDEX(Backlog[Requirement Name],MATCH($A203,Backlog[Requirement ID],0))),"",INDEX(Backlog[Requirement Name],MATCH($A203,Backlog[Requirement ID],0))),"")</f>
        <v/>
      </c>
      <c r="C203" s="23">
        <f>IFERROR(IF(ISBLANK(INDEX(Backlog[Stream],MATCH($A203,Backlog[Requirement ID],0))),"",INDEX(Backlog[Stream],MATCH($A203,Backlog[Requirement ID],0))),"")</f>
        <v/>
      </c>
      <c r="D203" s="23">
        <f>IFERROR(IF(ISBLANK(INDEX(Backlog[Stream Owner],MATCH($A203,Backlog[Requirement ID],0))),"",INDEX(Backlog[Stream Owner],MATCH($A203,Backlog[Requirement ID],0))),"")</f>
        <v/>
      </c>
      <c r="E203" s="23">
        <f>IFERROR(IF(ISBLANK(INDEX(Backlog[Jira Link],MATCH($A203,Backlog[Requirement ID],0))),"",INDEX(Backlog[Jira Link],MATCH($A203,Backlog[Requirement ID],0))),"")</f>
        <v/>
      </c>
      <c r="F203" s="21" t="inlineStr">
        <is>
          <t>Yes</t>
        </is>
      </c>
      <c r="G203" s="21" t="inlineStr">
        <is>
          <t>Yes</t>
        </is>
      </c>
      <c r="H203" s="29">
        <f>IFERROR(IF(ISBLANK(INDEX(SprintPlanning[Sprint],MATCH($A203,SprintPlanning[Requirement ID],0))),"",INDEX(SprintPlanning[Sprint],MATCH($A203,SprintPlanning[Requirement ID],0))),"")</f>
        <v/>
      </c>
      <c r="I203" s="23">
        <f>IFERROR(IF(ISBLANK(INDEX(Backlog[Status],MATCH($A203,Backlog[Requirement ID],0))),"",INDEX(Backlog[Status],MATCH($A203,Backlog[Requirement ID],0))),"")</f>
        <v/>
      </c>
      <c r="J203" s="23">
        <f>IFERROR(IF(ISBLANK(INDEX(Backlog[Priority],MATCH($A203,Backlog[Requirement ID],0))),"",INDEX(Backlog[Priority],MATCH($A203,Backlog[Requirement ID],0))),"")</f>
        <v/>
      </c>
      <c r="K203" s="21" t="n"/>
      <c r="L203" s="43" t="n"/>
      <c r="M203" s="43" t="n"/>
      <c r="N203" s="21" t="n"/>
      <c r="O203" s="44" t="n"/>
      <c r="P203" s="33" t="n"/>
      <c r="Q203" s="33" t="n"/>
    </row>
    <row r="204" ht="15" customHeight="1">
      <c r="A204" s="21" t="inlineStr">
        <is>
          <t>NEW-0388</t>
        </is>
      </c>
      <c r="B204" s="23">
        <f>IFERROR(IF(ISBLANK(INDEX(Backlog[Requirement Name],MATCH($A204,Backlog[Requirement ID],0))),"",INDEX(Backlog[Requirement Name],MATCH($A204,Backlog[Requirement ID],0))),"")</f>
        <v/>
      </c>
      <c r="C204" s="23">
        <f>IFERROR(IF(ISBLANK(INDEX(Backlog[Stream],MATCH($A204,Backlog[Requirement ID],0))),"",INDEX(Backlog[Stream],MATCH($A204,Backlog[Requirement ID],0))),"")</f>
        <v/>
      </c>
      <c r="D204" s="23">
        <f>IFERROR(IF(ISBLANK(INDEX(Backlog[Stream Owner],MATCH($A204,Backlog[Requirement ID],0))),"",INDEX(Backlog[Stream Owner],MATCH($A204,Backlog[Requirement ID],0))),"")</f>
        <v/>
      </c>
      <c r="E204" s="23">
        <f>IFERROR(IF(ISBLANK(INDEX(Backlog[Jira Link],MATCH($A204,Backlog[Requirement ID],0))),"",INDEX(Backlog[Jira Link],MATCH($A204,Backlog[Requirement ID],0))),"")</f>
        <v/>
      </c>
      <c r="F204" s="21" t="inlineStr">
        <is>
          <t>Yes</t>
        </is>
      </c>
      <c r="G204" s="21" t="inlineStr">
        <is>
          <t>Yes</t>
        </is>
      </c>
      <c r="H204" s="29">
        <f>IFERROR(IF(ISBLANK(INDEX(SprintPlanning[Sprint],MATCH($A204,SprintPlanning[Requirement ID],0))),"",INDEX(SprintPlanning[Sprint],MATCH($A204,SprintPlanning[Requirement ID],0))),"")</f>
        <v/>
      </c>
      <c r="I204" s="23">
        <f>IFERROR(IF(ISBLANK(INDEX(Backlog[Status],MATCH($A204,Backlog[Requirement ID],0))),"",INDEX(Backlog[Status],MATCH($A204,Backlog[Requirement ID],0))),"")</f>
        <v/>
      </c>
      <c r="J204" s="23">
        <f>IFERROR(IF(ISBLANK(INDEX(Backlog[Priority],MATCH($A204,Backlog[Requirement ID],0))),"",INDEX(Backlog[Priority],MATCH($A204,Backlog[Requirement ID],0))),"")</f>
        <v/>
      </c>
      <c r="K204" s="21" t="n"/>
      <c r="L204" s="43" t="n"/>
      <c r="M204" s="43" t="n"/>
      <c r="N204" s="21" t="n"/>
      <c r="O204" s="44" t="n"/>
      <c r="P204" s="33" t="n"/>
      <c r="Q204" s="33" t="n"/>
    </row>
    <row r="205" ht="15" customHeight="1">
      <c r="A205" s="21" t="inlineStr">
        <is>
          <t>NEW-0389</t>
        </is>
      </c>
      <c r="B205" s="23">
        <f>IFERROR(IF(ISBLANK(INDEX(Backlog[Requirement Name],MATCH($A205,Backlog[Requirement ID],0))),"",INDEX(Backlog[Requirement Name],MATCH($A205,Backlog[Requirement ID],0))),"")</f>
        <v/>
      </c>
      <c r="C205" s="23">
        <f>IFERROR(IF(ISBLANK(INDEX(Backlog[Stream],MATCH($A205,Backlog[Requirement ID],0))),"",INDEX(Backlog[Stream],MATCH($A205,Backlog[Requirement ID],0))),"")</f>
        <v/>
      </c>
      <c r="D205" s="23">
        <f>IFERROR(IF(ISBLANK(INDEX(Backlog[Stream Owner],MATCH($A205,Backlog[Requirement ID],0))),"",INDEX(Backlog[Stream Owner],MATCH($A205,Backlog[Requirement ID],0))),"")</f>
        <v/>
      </c>
      <c r="E205" s="23">
        <f>IFERROR(IF(ISBLANK(INDEX(Backlog[Jira Link],MATCH($A205,Backlog[Requirement ID],0))),"",INDEX(Backlog[Jira Link],MATCH($A205,Backlog[Requirement ID],0))),"")</f>
        <v/>
      </c>
      <c r="F205" s="21" t="inlineStr">
        <is>
          <t>NA</t>
        </is>
      </c>
      <c r="G205" s="21" t="inlineStr">
        <is>
          <t>NA</t>
        </is>
      </c>
      <c r="H205" s="29">
        <f>IFERROR(IF(ISBLANK(INDEX(SprintPlanning[Sprint],MATCH($A205,SprintPlanning[Requirement ID],0))),"",INDEX(SprintPlanning[Sprint],MATCH($A205,SprintPlanning[Requirement ID],0))),"")</f>
        <v/>
      </c>
      <c r="I205" s="23">
        <f>IFERROR(IF(ISBLANK(INDEX(Backlog[Status],MATCH($A205,Backlog[Requirement ID],0))),"",INDEX(Backlog[Status],MATCH($A205,Backlog[Requirement ID],0))),"")</f>
        <v/>
      </c>
      <c r="J205" s="23">
        <f>IFERROR(IF(ISBLANK(INDEX(Backlog[Priority],MATCH($A205,Backlog[Requirement ID],0))),"",INDEX(Backlog[Priority],MATCH($A205,Backlog[Requirement ID],0))),"")</f>
        <v/>
      </c>
      <c r="K205" s="21" t="n"/>
      <c r="L205" s="43" t="n"/>
      <c r="M205" s="43" t="n"/>
      <c r="N205" s="21" t="n"/>
      <c r="O205" s="44" t="n"/>
      <c r="P205" s="33" t="n"/>
      <c r="Q205" s="33" t="n"/>
    </row>
    <row r="206" ht="23.25" customHeight="1">
      <c r="A206" s="21" t="inlineStr">
        <is>
          <t>NEW-0390</t>
        </is>
      </c>
      <c r="B206" s="23">
        <f>IFERROR(IF(ISBLANK(INDEX(Backlog[Requirement Name],MATCH($A206,Backlog[Requirement ID],0))),"",INDEX(Backlog[Requirement Name],MATCH($A206,Backlog[Requirement ID],0))),"")</f>
        <v/>
      </c>
      <c r="C206" s="23">
        <f>IFERROR(IF(ISBLANK(INDEX(Backlog[Stream],MATCH($A206,Backlog[Requirement ID],0))),"",INDEX(Backlog[Stream],MATCH($A206,Backlog[Requirement ID],0))),"")</f>
        <v/>
      </c>
      <c r="D206" s="23">
        <f>IFERROR(IF(ISBLANK(INDEX(Backlog[Stream Owner],MATCH($A206,Backlog[Requirement ID],0))),"",INDEX(Backlog[Stream Owner],MATCH($A206,Backlog[Requirement ID],0))),"")</f>
        <v/>
      </c>
      <c r="E206" s="23">
        <f>IFERROR(IF(ISBLANK(INDEX(Backlog[Jira Link],MATCH($A206,Backlog[Requirement ID],0))),"",INDEX(Backlog[Jira Link],MATCH($A206,Backlog[Requirement ID],0))),"")</f>
        <v/>
      </c>
      <c r="F206" s="21" t="inlineStr">
        <is>
          <t>Yes</t>
        </is>
      </c>
      <c r="G206" s="21" t="inlineStr">
        <is>
          <t>Yes</t>
        </is>
      </c>
      <c r="H206" s="29">
        <f>IFERROR(IF(ISBLANK(INDEX(SprintPlanning[Sprint],MATCH($A206,SprintPlanning[Requirement ID],0))),"",INDEX(SprintPlanning[Sprint],MATCH($A206,SprintPlanning[Requirement ID],0))),"")</f>
        <v/>
      </c>
      <c r="I206" s="23">
        <f>IFERROR(IF(ISBLANK(INDEX(Backlog[Status],MATCH($A206,Backlog[Requirement ID],0))),"",INDEX(Backlog[Status],MATCH($A206,Backlog[Requirement ID],0))),"")</f>
        <v/>
      </c>
      <c r="J206" s="23">
        <f>IFERROR(IF(ISBLANK(INDEX(Backlog[Priority],MATCH($A206,Backlog[Requirement ID],0))),"",INDEX(Backlog[Priority],MATCH($A206,Backlog[Requirement ID],0))),"")</f>
        <v/>
      </c>
      <c r="K206" s="21" t="n"/>
      <c r="L206" s="43" t="n"/>
      <c r="M206" s="43" t="n"/>
      <c r="N206" s="21" t="n"/>
      <c r="O206" s="44" t="n"/>
      <c r="P206" s="33" t="n"/>
      <c r="Q206" s="33" t="n"/>
    </row>
    <row r="207" ht="15" customHeight="1">
      <c r="A207" s="21" t="inlineStr">
        <is>
          <t>NEW-0391</t>
        </is>
      </c>
      <c r="B207" s="23">
        <f>IFERROR(IF(ISBLANK(INDEX(Backlog[Requirement Name],MATCH($A207,Backlog[Requirement ID],0))),"",INDEX(Backlog[Requirement Name],MATCH($A207,Backlog[Requirement ID],0))),"")</f>
        <v/>
      </c>
      <c r="C207" s="23">
        <f>IFERROR(IF(ISBLANK(INDEX(Backlog[Stream],MATCH($A207,Backlog[Requirement ID],0))),"",INDEX(Backlog[Stream],MATCH($A207,Backlog[Requirement ID],0))),"")</f>
        <v/>
      </c>
      <c r="D207" s="23">
        <f>IFERROR(IF(ISBLANK(INDEX(Backlog[Stream Owner],MATCH($A207,Backlog[Requirement ID],0))),"",INDEX(Backlog[Stream Owner],MATCH($A207,Backlog[Requirement ID],0))),"")</f>
        <v/>
      </c>
      <c r="E207" s="23">
        <f>IFERROR(IF(ISBLANK(INDEX(Backlog[Jira Link],MATCH($A207,Backlog[Requirement ID],0))),"",INDEX(Backlog[Jira Link],MATCH($A207,Backlog[Requirement ID],0))),"")</f>
        <v/>
      </c>
      <c r="F207" s="21" t="inlineStr">
        <is>
          <t>Yes</t>
        </is>
      </c>
      <c r="G207" s="21" t="inlineStr">
        <is>
          <t>Yes</t>
        </is>
      </c>
      <c r="H207" s="29">
        <f>IFERROR(IF(ISBLANK(INDEX(SprintPlanning[Sprint],MATCH($A207,SprintPlanning[Requirement ID],0))),"",INDEX(SprintPlanning[Sprint],MATCH($A207,SprintPlanning[Requirement ID],0))),"")</f>
        <v/>
      </c>
      <c r="I207" s="23">
        <f>IFERROR(IF(ISBLANK(INDEX(Backlog[Status],MATCH($A207,Backlog[Requirement ID],0))),"",INDEX(Backlog[Status],MATCH($A207,Backlog[Requirement ID],0))),"")</f>
        <v/>
      </c>
      <c r="J207" s="23">
        <f>IFERROR(IF(ISBLANK(INDEX(Backlog[Priority],MATCH($A207,Backlog[Requirement ID],0))),"",INDEX(Backlog[Priority],MATCH($A207,Backlog[Requirement ID],0))),"")</f>
        <v/>
      </c>
      <c r="K207" s="21" t="n"/>
      <c r="L207" s="43" t="n"/>
      <c r="M207" s="43" t="n"/>
      <c r="N207" s="21" t="n"/>
      <c r="O207" s="44" t="n"/>
      <c r="P207" s="33" t="n"/>
      <c r="Q207" s="33" t="n"/>
    </row>
    <row r="208" ht="15" customHeight="1">
      <c r="A208" s="21" t="inlineStr">
        <is>
          <t>NEW-0392</t>
        </is>
      </c>
      <c r="B208" s="23">
        <f>IFERROR(IF(ISBLANK(INDEX(Backlog[Requirement Name],MATCH($A208,Backlog[Requirement ID],0))),"",INDEX(Backlog[Requirement Name],MATCH($A208,Backlog[Requirement ID],0))),"")</f>
        <v/>
      </c>
      <c r="C208" s="23">
        <f>IFERROR(IF(ISBLANK(INDEX(Backlog[Stream],MATCH($A208,Backlog[Requirement ID],0))),"",INDEX(Backlog[Stream],MATCH($A208,Backlog[Requirement ID],0))),"")</f>
        <v/>
      </c>
      <c r="D208" s="23">
        <f>IFERROR(IF(ISBLANK(INDEX(Backlog[Stream Owner],MATCH($A208,Backlog[Requirement ID],0))),"",INDEX(Backlog[Stream Owner],MATCH($A208,Backlog[Requirement ID],0))),"")</f>
        <v/>
      </c>
      <c r="E208" s="23">
        <f>IFERROR(IF(ISBLANK(INDEX(Backlog[Jira Link],MATCH($A208,Backlog[Requirement ID],0))),"",INDEX(Backlog[Jira Link],MATCH($A208,Backlog[Requirement ID],0))),"")</f>
        <v/>
      </c>
      <c r="F208" s="21" t="inlineStr">
        <is>
          <t>Yes</t>
        </is>
      </c>
      <c r="G208" s="21" t="inlineStr">
        <is>
          <t>Yes</t>
        </is>
      </c>
      <c r="H208" s="29">
        <f>IFERROR(IF(ISBLANK(INDEX(SprintPlanning[Sprint],MATCH($A208,SprintPlanning[Requirement ID],0))),"",INDEX(SprintPlanning[Sprint],MATCH($A208,SprintPlanning[Requirement ID],0))),"")</f>
        <v/>
      </c>
      <c r="I208" s="23">
        <f>IFERROR(IF(ISBLANK(INDEX(Backlog[Status],MATCH($A208,Backlog[Requirement ID],0))),"",INDEX(Backlog[Status],MATCH($A208,Backlog[Requirement ID],0))),"")</f>
        <v/>
      </c>
      <c r="J208" s="23">
        <f>IFERROR(IF(ISBLANK(INDEX(Backlog[Priority],MATCH($A208,Backlog[Requirement ID],0))),"",INDEX(Backlog[Priority],MATCH($A208,Backlog[Requirement ID],0))),"")</f>
        <v/>
      </c>
      <c r="K208" s="21" t="n"/>
      <c r="L208" s="43" t="n"/>
      <c r="M208" s="43" t="n"/>
      <c r="N208" s="21" t="n"/>
      <c r="O208" s="44" t="n"/>
      <c r="P208" s="33" t="n"/>
      <c r="Q208" s="33" t="n"/>
    </row>
    <row r="209" ht="15" customHeight="1">
      <c r="A209" s="21" t="inlineStr">
        <is>
          <t>NEW-0395</t>
        </is>
      </c>
      <c r="B209" s="23">
        <f>IFERROR(IF(ISBLANK(INDEX(Backlog[Requirement Name],MATCH($A209,Backlog[Requirement ID],0))),"",INDEX(Backlog[Requirement Name],MATCH($A209,Backlog[Requirement ID],0))),"")</f>
        <v/>
      </c>
      <c r="C209" s="23">
        <f>IFERROR(IF(ISBLANK(INDEX(Backlog[Stream],MATCH($A209,Backlog[Requirement ID],0))),"",INDEX(Backlog[Stream],MATCH($A209,Backlog[Requirement ID],0))),"")</f>
        <v/>
      </c>
      <c r="D209" s="23">
        <f>IFERROR(IF(ISBLANK(INDEX(Backlog[Stream Owner],MATCH($A209,Backlog[Requirement ID],0))),"",INDEX(Backlog[Stream Owner],MATCH($A209,Backlog[Requirement ID],0))),"")</f>
        <v/>
      </c>
      <c r="E209" s="23">
        <f>IFERROR(IF(ISBLANK(INDEX(Backlog[Jira Link],MATCH($A209,Backlog[Requirement ID],0))),"",INDEX(Backlog[Jira Link],MATCH($A209,Backlog[Requirement ID],0))),"")</f>
        <v/>
      </c>
      <c r="F209" s="21" t="inlineStr">
        <is>
          <t>No</t>
        </is>
      </c>
      <c r="G209" s="21" t="inlineStr">
        <is>
          <t>No</t>
        </is>
      </c>
      <c r="H209" s="29">
        <f>IFERROR(IF(ISBLANK(INDEX(SprintPlanning[Sprint],MATCH($A209,SprintPlanning[Requirement ID],0))),"",INDEX(SprintPlanning[Sprint],MATCH($A209,SprintPlanning[Requirement ID],0))),"")</f>
        <v/>
      </c>
      <c r="I209" s="23">
        <f>IFERROR(IF(ISBLANK(INDEX(Backlog[Status],MATCH($A209,Backlog[Requirement ID],0))),"",INDEX(Backlog[Status],MATCH($A209,Backlog[Requirement ID],0))),"")</f>
        <v/>
      </c>
      <c r="J209" s="23">
        <f>IFERROR(IF(ISBLANK(INDEX(Backlog[Priority],MATCH($A209,Backlog[Requirement ID],0))),"",INDEX(Backlog[Priority],MATCH($A209,Backlog[Requirement ID],0))),"")</f>
        <v/>
      </c>
      <c r="K209" s="21" t="n"/>
      <c r="L209" s="43" t="n"/>
      <c r="M209" s="43" t="n"/>
      <c r="N209" s="21" t="n"/>
      <c r="O209" s="44" t="n"/>
      <c r="P209" s="33" t="n"/>
      <c r="Q209" s="33" t="n"/>
    </row>
    <row r="210" ht="15" customHeight="1">
      <c r="A210" s="21" t="inlineStr">
        <is>
          <t>NEW-0397</t>
        </is>
      </c>
      <c r="B210" s="23">
        <f>IFERROR(IF(ISBLANK(INDEX(Backlog[Requirement Name],MATCH($A210,Backlog[Requirement ID],0))),"",INDEX(Backlog[Requirement Name],MATCH($A210,Backlog[Requirement ID],0))),"")</f>
        <v/>
      </c>
      <c r="C210" s="23">
        <f>IFERROR(IF(ISBLANK(INDEX(Backlog[Stream],MATCH($A210,Backlog[Requirement ID],0))),"",INDEX(Backlog[Stream],MATCH($A210,Backlog[Requirement ID],0))),"")</f>
        <v/>
      </c>
      <c r="D210" s="23">
        <f>IFERROR(IF(ISBLANK(INDEX(Backlog[Stream Owner],MATCH($A210,Backlog[Requirement ID],0))),"",INDEX(Backlog[Stream Owner],MATCH($A210,Backlog[Requirement ID],0))),"")</f>
        <v/>
      </c>
      <c r="E210" s="23">
        <f>IFERROR(IF(ISBLANK(INDEX(Backlog[Jira Link],MATCH($A210,Backlog[Requirement ID],0))),"",INDEX(Backlog[Jira Link],MATCH($A210,Backlog[Requirement ID],0))),"")</f>
        <v/>
      </c>
      <c r="F210" s="21" t="inlineStr">
        <is>
          <t>No</t>
        </is>
      </c>
      <c r="G210" s="21" t="inlineStr">
        <is>
          <t>No</t>
        </is>
      </c>
      <c r="H210" s="29">
        <f>IFERROR(IF(ISBLANK(INDEX(SprintPlanning[Sprint],MATCH($A210,SprintPlanning[Requirement ID],0))),"",INDEX(SprintPlanning[Sprint],MATCH($A210,SprintPlanning[Requirement ID],0))),"")</f>
        <v/>
      </c>
      <c r="I210" s="23">
        <f>IFERROR(IF(ISBLANK(INDEX(Backlog[Status],MATCH($A210,Backlog[Requirement ID],0))),"",INDEX(Backlog[Status],MATCH($A210,Backlog[Requirement ID],0))),"")</f>
        <v/>
      </c>
      <c r="J210" s="23">
        <f>IFERROR(IF(ISBLANK(INDEX(Backlog[Priority],MATCH($A210,Backlog[Requirement ID],0))),"",INDEX(Backlog[Priority],MATCH($A210,Backlog[Requirement ID],0))),"")</f>
        <v/>
      </c>
      <c r="K210" s="21" t="n"/>
      <c r="L210" s="43" t="n"/>
      <c r="M210" s="43" t="n"/>
      <c r="N210" s="21" t="n"/>
      <c r="O210" s="44" t="n"/>
      <c r="P210" s="33" t="n"/>
      <c r="Q210" s="33" t="n"/>
    </row>
    <row r="211" ht="15" customHeight="1">
      <c r="A211" s="21" t="inlineStr">
        <is>
          <t>NEW-0398</t>
        </is>
      </c>
      <c r="B211" s="23">
        <f>IFERROR(IF(ISBLANK(INDEX(Backlog[Requirement Name],MATCH($A211,Backlog[Requirement ID],0))),"",INDEX(Backlog[Requirement Name],MATCH($A211,Backlog[Requirement ID],0))),"")</f>
        <v/>
      </c>
      <c r="C211" s="23">
        <f>IFERROR(IF(ISBLANK(INDEX(Backlog[Stream],MATCH($A211,Backlog[Requirement ID],0))),"",INDEX(Backlog[Stream],MATCH($A211,Backlog[Requirement ID],0))),"")</f>
        <v/>
      </c>
      <c r="D211" s="23">
        <f>IFERROR(IF(ISBLANK(INDEX(Backlog[Stream Owner],MATCH($A211,Backlog[Requirement ID],0))),"",INDEX(Backlog[Stream Owner],MATCH($A211,Backlog[Requirement ID],0))),"")</f>
        <v/>
      </c>
      <c r="E211" s="23">
        <f>IFERROR(IF(ISBLANK(INDEX(Backlog[Jira Link],MATCH($A211,Backlog[Requirement ID],0))),"",INDEX(Backlog[Jira Link],MATCH($A211,Backlog[Requirement ID],0))),"")</f>
        <v/>
      </c>
      <c r="F211" s="21" t="inlineStr">
        <is>
          <t>No</t>
        </is>
      </c>
      <c r="G211" s="21" t="inlineStr">
        <is>
          <t>No</t>
        </is>
      </c>
      <c r="H211" s="29">
        <f>IFERROR(IF(ISBLANK(INDEX(SprintPlanning[Sprint],MATCH($A211,SprintPlanning[Requirement ID],0))),"",INDEX(SprintPlanning[Sprint],MATCH($A211,SprintPlanning[Requirement ID],0))),"")</f>
        <v/>
      </c>
      <c r="I211" s="23">
        <f>IFERROR(IF(ISBLANK(INDEX(Backlog[Status],MATCH($A211,Backlog[Requirement ID],0))),"",INDEX(Backlog[Status],MATCH($A211,Backlog[Requirement ID],0))),"")</f>
        <v/>
      </c>
      <c r="J211" s="23">
        <f>IFERROR(IF(ISBLANK(INDEX(Backlog[Priority],MATCH($A211,Backlog[Requirement ID],0))),"",INDEX(Backlog[Priority],MATCH($A211,Backlog[Requirement ID],0))),"")</f>
        <v/>
      </c>
      <c r="K211" s="21" t="n"/>
      <c r="L211" s="43" t="n"/>
      <c r="M211" s="43" t="n"/>
      <c r="N211" s="21" t="n"/>
      <c r="O211" s="44" t="n"/>
      <c r="P211" s="33" t="n"/>
      <c r="Q211" s="33" t="n"/>
    </row>
    <row r="212" ht="15" customHeight="1">
      <c r="A212" s="21" t="inlineStr">
        <is>
          <t>NEW-0399</t>
        </is>
      </c>
      <c r="B212" s="23">
        <f>IFERROR(IF(ISBLANK(INDEX(Backlog[Requirement Name],MATCH($A212,Backlog[Requirement ID],0))),"",INDEX(Backlog[Requirement Name],MATCH($A212,Backlog[Requirement ID],0))),"")</f>
        <v/>
      </c>
      <c r="C212" s="23">
        <f>IFERROR(IF(ISBLANK(INDEX(Backlog[Stream],MATCH($A212,Backlog[Requirement ID],0))),"",INDEX(Backlog[Stream],MATCH($A212,Backlog[Requirement ID],0))),"")</f>
        <v/>
      </c>
      <c r="D212" s="23">
        <f>IFERROR(IF(ISBLANK(INDEX(Backlog[Stream Owner],MATCH($A212,Backlog[Requirement ID],0))),"",INDEX(Backlog[Stream Owner],MATCH($A212,Backlog[Requirement ID],0))),"")</f>
        <v/>
      </c>
      <c r="E212" s="23">
        <f>IFERROR(IF(ISBLANK(INDEX(Backlog[Jira Link],MATCH($A212,Backlog[Requirement ID],0))),"",INDEX(Backlog[Jira Link],MATCH($A212,Backlog[Requirement ID],0))),"")</f>
        <v/>
      </c>
      <c r="F212" s="21" t="inlineStr">
        <is>
          <t>No</t>
        </is>
      </c>
      <c r="G212" s="21" t="inlineStr">
        <is>
          <t>No</t>
        </is>
      </c>
      <c r="H212" s="29">
        <f>IFERROR(IF(ISBLANK(INDEX(SprintPlanning[Sprint],MATCH($A212,SprintPlanning[Requirement ID],0))),"",INDEX(SprintPlanning[Sprint],MATCH($A212,SprintPlanning[Requirement ID],0))),"")</f>
        <v/>
      </c>
      <c r="I212" s="23">
        <f>IFERROR(IF(ISBLANK(INDEX(Backlog[Status],MATCH($A212,Backlog[Requirement ID],0))),"",INDEX(Backlog[Status],MATCH($A212,Backlog[Requirement ID],0))),"")</f>
        <v/>
      </c>
      <c r="J212" s="23">
        <f>IFERROR(IF(ISBLANK(INDEX(Backlog[Priority],MATCH($A212,Backlog[Requirement ID],0))),"",INDEX(Backlog[Priority],MATCH($A212,Backlog[Requirement ID],0))),"")</f>
        <v/>
      </c>
      <c r="K212" s="21" t="n"/>
      <c r="L212" s="43" t="n"/>
      <c r="M212" s="43" t="n"/>
      <c r="N212" s="21" t="n"/>
      <c r="O212" s="44" t="n"/>
      <c r="P212" s="33" t="n"/>
      <c r="Q212" s="33" t="n"/>
    </row>
    <row r="213" ht="15" customHeight="1">
      <c r="A213" s="21" t="inlineStr">
        <is>
          <t>NEW-0400</t>
        </is>
      </c>
      <c r="B213" s="23">
        <f>IFERROR(IF(ISBLANK(INDEX(Backlog[Requirement Name],MATCH($A213,Backlog[Requirement ID],0))),"",INDEX(Backlog[Requirement Name],MATCH($A213,Backlog[Requirement ID],0))),"")</f>
        <v/>
      </c>
      <c r="C213" s="23">
        <f>IFERROR(IF(ISBLANK(INDEX(Backlog[Stream],MATCH($A213,Backlog[Requirement ID],0))),"",INDEX(Backlog[Stream],MATCH($A213,Backlog[Requirement ID],0))),"")</f>
        <v/>
      </c>
      <c r="D213" s="23">
        <f>IFERROR(IF(ISBLANK(INDEX(Backlog[Stream Owner],MATCH($A213,Backlog[Requirement ID],0))),"",INDEX(Backlog[Stream Owner],MATCH($A213,Backlog[Requirement ID],0))),"")</f>
        <v/>
      </c>
      <c r="E213" s="23">
        <f>IFERROR(IF(ISBLANK(INDEX(Backlog[Jira Link],MATCH($A213,Backlog[Requirement ID],0))),"",INDEX(Backlog[Jira Link],MATCH($A213,Backlog[Requirement ID],0))),"")</f>
        <v/>
      </c>
      <c r="F213" s="21" t="inlineStr">
        <is>
          <t>No</t>
        </is>
      </c>
      <c r="G213" s="21" t="inlineStr">
        <is>
          <t>No</t>
        </is>
      </c>
      <c r="H213" s="29">
        <f>IFERROR(IF(ISBLANK(INDEX(SprintPlanning[Sprint],MATCH($A213,SprintPlanning[Requirement ID],0))),"",INDEX(SprintPlanning[Sprint],MATCH($A213,SprintPlanning[Requirement ID],0))),"")</f>
        <v/>
      </c>
      <c r="I213" s="23">
        <f>IFERROR(IF(ISBLANK(INDEX(Backlog[Status],MATCH($A213,Backlog[Requirement ID],0))),"",INDEX(Backlog[Status],MATCH($A213,Backlog[Requirement ID],0))),"")</f>
        <v/>
      </c>
      <c r="J213" s="23">
        <f>IFERROR(IF(ISBLANK(INDEX(Backlog[Priority],MATCH($A213,Backlog[Requirement ID],0))),"",INDEX(Backlog[Priority],MATCH($A213,Backlog[Requirement ID],0))),"")</f>
        <v/>
      </c>
      <c r="K213" s="21" t="n"/>
      <c r="L213" s="43" t="n"/>
      <c r="M213" s="43" t="n"/>
      <c r="N213" s="21" t="n"/>
      <c r="O213" s="44" t="n"/>
      <c r="P213" s="33" t="n"/>
      <c r="Q213" s="33" t="n"/>
    </row>
    <row r="214" ht="15" customHeight="1">
      <c r="A214" s="21" t="inlineStr">
        <is>
          <t>NEW-0401</t>
        </is>
      </c>
      <c r="B214" s="23">
        <f>IFERROR(IF(ISBLANK(INDEX(Backlog[Requirement Name],MATCH($A214,Backlog[Requirement ID],0))),"",INDEX(Backlog[Requirement Name],MATCH($A214,Backlog[Requirement ID],0))),"")</f>
        <v/>
      </c>
      <c r="C214" s="23">
        <f>IFERROR(IF(ISBLANK(INDEX(Backlog[Stream],MATCH($A214,Backlog[Requirement ID],0))),"",INDEX(Backlog[Stream],MATCH($A214,Backlog[Requirement ID],0))),"")</f>
        <v/>
      </c>
      <c r="D214" s="23">
        <f>IFERROR(IF(ISBLANK(INDEX(Backlog[Stream Owner],MATCH($A214,Backlog[Requirement ID],0))),"",INDEX(Backlog[Stream Owner],MATCH($A214,Backlog[Requirement ID],0))),"")</f>
        <v/>
      </c>
      <c r="E214" s="23">
        <f>IFERROR(IF(ISBLANK(INDEX(Backlog[Jira Link],MATCH($A214,Backlog[Requirement ID],0))),"",INDEX(Backlog[Jira Link],MATCH($A214,Backlog[Requirement ID],0))),"")</f>
        <v/>
      </c>
      <c r="F214" s="21" t="inlineStr">
        <is>
          <t>No</t>
        </is>
      </c>
      <c r="G214" s="21" t="inlineStr">
        <is>
          <t>No</t>
        </is>
      </c>
      <c r="H214" s="29">
        <f>IFERROR(IF(ISBLANK(INDEX(SprintPlanning[Sprint],MATCH($A214,SprintPlanning[Requirement ID],0))),"",INDEX(SprintPlanning[Sprint],MATCH($A214,SprintPlanning[Requirement ID],0))),"")</f>
        <v/>
      </c>
      <c r="I214" s="23">
        <f>IFERROR(IF(ISBLANK(INDEX(Backlog[Status],MATCH($A214,Backlog[Requirement ID],0))),"",INDEX(Backlog[Status],MATCH($A214,Backlog[Requirement ID],0))),"")</f>
        <v/>
      </c>
      <c r="J214" s="23">
        <f>IFERROR(IF(ISBLANK(INDEX(Backlog[Priority],MATCH($A214,Backlog[Requirement ID],0))),"",INDEX(Backlog[Priority],MATCH($A214,Backlog[Requirement ID],0))),"")</f>
        <v/>
      </c>
      <c r="K214" s="21" t="n"/>
      <c r="L214" s="43" t="n"/>
      <c r="M214" s="43" t="n"/>
      <c r="N214" s="21" t="n"/>
      <c r="O214" s="44" t="n"/>
      <c r="P214" s="33" t="n"/>
      <c r="Q214" s="33" t="n"/>
    </row>
    <row r="215" ht="15" customHeight="1">
      <c r="A215" s="21" t="inlineStr">
        <is>
          <t>NEW-0402</t>
        </is>
      </c>
      <c r="B215" s="23">
        <f>IFERROR(IF(ISBLANK(INDEX(Backlog[Requirement Name],MATCH($A215,Backlog[Requirement ID],0))),"",INDEX(Backlog[Requirement Name],MATCH($A215,Backlog[Requirement ID],0))),"")</f>
        <v/>
      </c>
      <c r="C215" s="23">
        <f>IFERROR(IF(ISBLANK(INDEX(Backlog[Stream],MATCH($A215,Backlog[Requirement ID],0))),"",INDEX(Backlog[Stream],MATCH($A215,Backlog[Requirement ID],0))),"")</f>
        <v/>
      </c>
      <c r="D215" s="23">
        <f>IFERROR(IF(ISBLANK(INDEX(Backlog[Stream Owner],MATCH($A215,Backlog[Requirement ID],0))),"",INDEX(Backlog[Stream Owner],MATCH($A215,Backlog[Requirement ID],0))),"")</f>
        <v/>
      </c>
      <c r="E215" s="23">
        <f>IFERROR(IF(ISBLANK(INDEX(Backlog[Jira Link],MATCH($A215,Backlog[Requirement ID],0))),"",INDEX(Backlog[Jira Link],MATCH($A215,Backlog[Requirement ID],0))),"")</f>
        <v/>
      </c>
      <c r="F215" s="21" t="inlineStr">
        <is>
          <t>No</t>
        </is>
      </c>
      <c r="G215" s="21" t="inlineStr">
        <is>
          <t>No</t>
        </is>
      </c>
      <c r="H215" s="29">
        <f>IFERROR(IF(ISBLANK(INDEX(SprintPlanning[Sprint],MATCH($A215,SprintPlanning[Requirement ID],0))),"",INDEX(SprintPlanning[Sprint],MATCH($A215,SprintPlanning[Requirement ID],0))),"")</f>
        <v/>
      </c>
      <c r="I215" s="23">
        <f>IFERROR(IF(ISBLANK(INDEX(Backlog[Status],MATCH($A215,Backlog[Requirement ID],0))),"",INDEX(Backlog[Status],MATCH($A215,Backlog[Requirement ID],0))),"")</f>
        <v/>
      </c>
      <c r="J215" s="23">
        <f>IFERROR(IF(ISBLANK(INDEX(Backlog[Priority],MATCH($A215,Backlog[Requirement ID],0))),"",INDEX(Backlog[Priority],MATCH($A215,Backlog[Requirement ID],0))),"")</f>
        <v/>
      </c>
      <c r="K215" s="21" t="n"/>
      <c r="L215" s="43" t="n"/>
      <c r="M215" s="43" t="n"/>
      <c r="N215" s="21" t="n"/>
      <c r="O215" s="44" t="n"/>
      <c r="P215" s="33" t="n"/>
      <c r="Q215" s="33" t="n"/>
    </row>
    <row r="216" ht="15" customHeight="1">
      <c r="A216" s="21" t="inlineStr">
        <is>
          <t>NEW-0403</t>
        </is>
      </c>
      <c r="B216" s="23">
        <f>IFERROR(IF(ISBLANK(INDEX(Backlog[Requirement Name],MATCH($A216,Backlog[Requirement ID],0))),"",INDEX(Backlog[Requirement Name],MATCH($A216,Backlog[Requirement ID],0))),"")</f>
        <v/>
      </c>
      <c r="C216" s="23">
        <f>IFERROR(IF(ISBLANK(INDEX(Backlog[Stream],MATCH($A216,Backlog[Requirement ID],0))),"",INDEX(Backlog[Stream],MATCH($A216,Backlog[Requirement ID],0))),"")</f>
        <v/>
      </c>
      <c r="D216" s="23">
        <f>IFERROR(IF(ISBLANK(INDEX(Backlog[Stream Owner],MATCH($A216,Backlog[Requirement ID],0))),"",INDEX(Backlog[Stream Owner],MATCH($A216,Backlog[Requirement ID],0))),"")</f>
        <v/>
      </c>
      <c r="E216" s="23">
        <f>IFERROR(IF(ISBLANK(INDEX(Backlog[Jira Link],MATCH($A216,Backlog[Requirement ID],0))),"",INDEX(Backlog[Jira Link],MATCH($A216,Backlog[Requirement ID],0))),"")</f>
        <v/>
      </c>
      <c r="F216" s="21" t="inlineStr">
        <is>
          <t>No</t>
        </is>
      </c>
      <c r="G216" s="21" t="inlineStr">
        <is>
          <t>No</t>
        </is>
      </c>
      <c r="H216" s="29">
        <f>IFERROR(IF(ISBLANK(INDEX(SprintPlanning[Sprint],MATCH($A216,SprintPlanning[Requirement ID],0))),"",INDEX(SprintPlanning[Sprint],MATCH($A216,SprintPlanning[Requirement ID],0))),"")</f>
        <v/>
      </c>
      <c r="I216" s="23">
        <f>IFERROR(IF(ISBLANK(INDEX(Backlog[Status],MATCH($A216,Backlog[Requirement ID],0))),"",INDEX(Backlog[Status],MATCH($A216,Backlog[Requirement ID],0))),"")</f>
        <v/>
      </c>
      <c r="J216" s="23">
        <f>IFERROR(IF(ISBLANK(INDEX(Backlog[Priority],MATCH($A216,Backlog[Requirement ID],0))),"",INDEX(Backlog[Priority],MATCH($A216,Backlog[Requirement ID],0))),"")</f>
        <v/>
      </c>
      <c r="K216" s="21" t="n"/>
      <c r="L216" s="43" t="n"/>
      <c r="M216" s="43" t="n"/>
      <c r="N216" s="21" t="n"/>
      <c r="O216" s="44" t="n"/>
      <c r="P216" s="33" t="n"/>
      <c r="Q216" s="33" t="n"/>
    </row>
    <row r="217" ht="15" customHeight="1">
      <c r="A217" s="21" t="inlineStr">
        <is>
          <t>NEW-0404</t>
        </is>
      </c>
      <c r="B217" s="23">
        <f>IFERROR(IF(ISBLANK(INDEX(Backlog[Requirement Name],MATCH($A217,Backlog[Requirement ID],0))),"",INDEX(Backlog[Requirement Name],MATCH($A217,Backlog[Requirement ID],0))),"")</f>
        <v/>
      </c>
      <c r="C217" s="23">
        <f>IFERROR(IF(ISBLANK(INDEX(Backlog[Stream],MATCH($A217,Backlog[Requirement ID],0))),"",INDEX(Backlog[Stream],MATCH($A217,Backlog[Requirement ID],0))),"")</f>
        <v/>
      </c>
      <c r="D217" s="23">
        <f>IFERROR(IF(ISBLANK(INDEX(Backlog[Stream Owner],MATCH($A217,Backlog[Requirement ID],0))),"",INDEX(Backlog[Stream Owner],MATCH($A217,Backlog[Requirement ID],0))),"")</f>
        <v/>
      </c>
      <c r="E217" s="23">
        <f>IFERROR(IF(ISBLANK(INDEX(Backlog[Jira Link],MATCH($A217,Backlog[Requirement ID],0))),"",INDEX(Backlog[Jira Link],MATCH($A217,Backlog[Requirement ID],0))),"")</f>
        <v/>
      </c>
      <c r="F217" s="21" t="inlineStr">
        <is>
          <t>No</t>
        </is>
      </c>
      <c r="G217" s="21" t="inlineStr">
        <is>
          <t>No</t>
        </is>
      </c>
      <c r="H217" s="29">
        <f>IFERROR(IF(ISBLANK(INDEX(SprintPlanning[Sprint],MATCH($A217,SprintPlanning[Requirement ID],0))),"",INDEX(SprintPlanning[Sprint],MATCH($A217,SprintPlanning[Requirement ID],0))),"")</f>
        <v/>
      </c>
      <c r="I217" s="23">
        <f>IFERROR(IF(ISBLANK(INDEX(Backlog[Status],MATCH($A217,Backlog[Requirement ID],0))),"",INDEX(Backlog[Status],MATCH($A217,Backlog[Requirement ID],0))),"")</f>
        <v/>
      </c>
      <c r="J217" s="23">
        <f>IFERROR(IF(ISBLANK(INDEX(Backlog[Priority],MATCH($A217,Backlog[Requirement ID],0))),"",INDEX(Backlog[Priority],MATCH($A217,Backlog[Requirement ID],0))),"")</f>
        <v/>
      </c>
      <c r="K217" s="21" t="n"/>
      <c r="L217" s="43" t="n"/>
      <c r="M217" s="43" t="n"/>
      <c r="N217" s="21" t="n"/>
      <c r="O217" s="44" t="n"/>
      <c r="P217" s="33" t="n"/>
      <c r="Q217" s="33" t="n"/>
    </row>
    <row r="218" ht="15" customHeight="1">
      <c r="A218" s="21" t="inlineStr">
        <is>
          <t>NEW-0042</t>
        </is>
      </c>
      <c r="B218" s="23">
        <f>IFERROR(IF(ISBLANK(INDEX(Backlog[Requirement Name],MATCH($A218,Backlog[Requirement ID],0))),"",INDEX(Backlog[Requirement Name],MATCH($A218,Backlog[Requirement ID],0))),"")</f>
        <v/>
      </c>
      <c r="C218" s="23">
        <f>IFERROR(IF(ISBLANK(INDEX(Backlog[Stream],MATCH($A218,Backlog[Requirement ID],0))),"",INDEX(Backlog[Stream],MATCH($A218,Backlog[Requirement ID],0))),"")</f>
        <v/>
      </c>
      <c r="D218" s="23">
        <f>IFERROR(IF(ISBLANK(INDEX(Backlog[Stream Owner],MATCH($A218,Backlog[Requirement ID],0))),"",INDEX(Backlog[Stream Owner],MATCH($A218,Backlog[Requirement ID],0))),"")</f>
        <v/>
      </c>
      <c r="E218" s="23">
        <f>IFERROR(IF(ISBLANK(INDEX(Backlog[Jira Link],MATCH($A218,Backlog[Requirement ID],0))),"",INDEX(Backlog[Jira Link],MATCH($A218,Backlog[Requirement ID],0))),"")</f>
        <v/>
      </c>
      <c r="F218" s="21" t="inlineStr">
        <is>
          <t>Yes</t>
        </is>
      </c>
      <c r="G218" s="21" t="inlineStr">
        <is>
          <t>Yes</t>
        </is>
      </c>
      <c r="H218" s="29">
        <f>IFERROR(IF(ISBLANK(INDEX(SprintPlanning[Sprint],MATCH($A218,SprintPlanning[Requirement ID],0))),"",INDEX(SprintPlanning[Sprint],MATCH($A218,SprintPlanning[Requirement ID],0))),"")</f>
        <v/>
      </c>
      <c r="I218" s="23">
        <f>IFERROR(IF(ISBLANK(INDEX(Backlog[Status],MATCH($A218,Backlog[Requirement ID],0))),"",INDEX(Backlog[Status],MATCH($A218,Backlog[Requirement ID],0))),"")</f>
        <v/>
      </c>
      <c r="J218" s="23">
        <f>IFERROR(IF(ISBLANK(INDEX(Backlog[Priority],MATCH($A218,Backlog[Requirement ID],0))),"",INDEX(Backlog[Priority],MATCH($A218,Backlog[Requirement ID],0))),"")</f>
        <v/>
      </c>
      <c r="K218" s="21" t="n"/>
      <c r="L218" s="43" t="n"/>
      <c r="M218" s="43" t="n"/>
      <c r="N218" s="21" t="n"/>
      <c r="O218" s="44" t="n"/>
      <c r="P218" s="33" t="n"/>
      <c r="Q218" s="33" t="n"/>
    </row>
    <row r="219" ht="15" customHeight="1">
      <c r="A219" s="21" t="inlineStr">
        <is>
          <t>NEW-0405</t>
        </is>
      </c>
      <c r="B219" s="23">
        <f>IFERROR(IF(ISBLANK(INDEX(Backlog[Requirement Name],MATCH($A219,Backlog[Requirement ID],0))),"",INDEX(Backlog[Requirement Name],MATCH($A219,Backlog[Requirement ID],0))),"")</f>
        <v/>
      </c>
      <c r="C219" s="23">
        <f>IFERROR(IF(ISBLANK(INDEX(Backlog[Stream],MATCH($A219,Backlog[Requirement ID],0))),"",INDEX(Backlog[Stream],MATCH($A219,Backlog[Requirement ID],0))),"")</f>
        <v/>
      </c>
      <c r="D219" s="23">
        <f>IFERROR(IF(ISBLANK(INDEX(Backlog[Stream Owner],MATCH($A219,Backlog[Requirement ID],0))),"",INDEX(Backlog[Stream Owner],MATCH($A219,Backlog[Requirement ID],0))),"")</f>
        <v/>
      </c>
      <c r="E219" s="23">
        <f>IFERROR(IF(ISBLANK(INDEX(Backlog[Jira Link],MATCH($A219,Backlog[Requirement ID],0))),"",INDEX(Backlog[Jira Link],MATCH($A219,Backlog[Requirement ID],0))),"")</f>
        <v/>
      </c>
      <c r="F219" s="21" t="inlineStr">
        <is>
          <t>No</t>
        </is>
      </c>
      <c r="G219" s="21" t="inlineStr">
        <is>
          <t>No</t>
        </is>
      </c>
      <c r="H219" s="29">
        <f>IFERROR(IF(ISBLANK(INDEX(SprintPlanning[Sprint],MATCH($A219,SprintPlanning[Requirement ID],0))),"",INDEX(SprintPlanning[Sprint],MATCH($A219,SprintPlanning[Requirement ID],0))),"")</f>
        <v/>
      </c>
      <c r="I219" s="23">
        <f>IFERROR(IF(ISBLANK(INDEX(Backlog[Status],MATCH($A219,Backlog[Requirement ID],0))),"",INDEX(Backlog[Status],MATCH($A219,Backlog[Requirement ID],0))),"")</f>
        <v/>
      </c>
      <c r="J219" s="23">
        <f>IFERROR(IF(ISBLANK(INDEX(Backlog[Priority],MATCH($A219,Backlog[Requirement ID],0))),"",INDEX(Backlog[Priority],MATCH($A219,Backlog[Requirement ID],0))),"")</f>
        <v/>
      </c>
      <c r="K219" s="21" t="n"/>
      <c r="L219" s="43" t="n"/>
      <c r="M219" s="43" t="n"/>
      <c r="N219" s="21" t="n"/>
      <c r="O219" s="44" t="n"/>
      <c r="P219" s="33" t="n"/>
      <c r="Q219" s="33" t="n"/>
    </row>
    <row r="220" ht="15" customHeight="1">
      <c r="A220" t="inlineStr">
        <is>
          <t>NEW-0416</t>
        </is>
      </c>
      <c r="B220">
        <f>IFERROR(IF(ISBLANK(INDEX(Backlog[Requirement Name],MATCH($A220,Backlog[Requirement ID],0))),"",INDEX(Backlog[Requirement Name],MATCH($A220,Backlog[Requirement ID],0))),"")</f>
        <v/>
      </c>
      <c r="C220">
        <f>IFERROR(IF(ISBLANK(INDEX(Backlog[Stream],MATCH($A220,Backlog[Requirement ID],0))),"",INDEX(Backlog[Stream],MATCH($A220,Backlog[Requirement ID],0))),"")</f>
        <v/>
      </c>
      <c r="D220">
        <f>IFERROR(IF(ISBLANK(INDEX(Backlog[Stream Owner],MATCH($A220,Backlog[Requirement ID],0))),"",INDEX(Backlog[Stream Owner],MATCH($A220,Backlog[Requirement ID],0))),"")</f>
        <v/>
      </c>
      <c r="E220">
        <f>IFERROR(IF(ISBLANK(INDEX(Backlog[Jira Link],MATCH($A220,Backlog[Requirement ID],0))),"",INDEX(Backlog[Jira Link],MATCH($A220,Backlog[Requirement ID],0))),"")</f>
        <v/>
      </c>
      <c r="F220" s="21" t="inlineStr">
        <is>
          <t>Yes</t>
        </is>
      </c>
      <c r="G220" s="21" t="inlineStr">
        <is>
          <t>Yes</t>
        </is>
      </c>
      <c r="H220">
        <f>IFERROR(IF(ISBLANK(INDEX(SprintPlanning[Sprint],MATCH($A220,SprintPlanning[Requirement ID],0))),"",INDEX(SprintPlanning[Sprint],MATCH($A220,SprintPlanning[Requirement ID],0))),"")</f>
        <v/>
      </c>
      <c r="I220">
        <f>IFERROR(IF(ISBLANK(INDEX(Backlog[Status],MATCH($A220,Backlog[Requirement ID],0))),"",INDEX(Backlog[Status],MATCH($A220,Backlog[Requirement ID],0))),"")</f>
        <v/>
      </c>
      <c r="J220">
        <f>IFERROR(IF(ISBLANK(INDEX(Backlog[Priority],MATCH($A220,Backlog[Requirement ID],0))),"",INDEX(Backlog[Priority],MATCH($A220,Backlog[Requirement ID],0))),"")</f>
        <v/>
      </c>
      <c r="K220" s="33" t="n"/>
      <c r="L220" s="44" t="n"/>
      <c r="M220" s="44" t="n"/>
      <c r="N220" s="33" t="n"/>
      <c r="O220" s="44" t="n"/>
      <c r="P220" s="33" t="n"/>
      <c r="Q220" s="33" t="n"/>
    </row>
    <row r="221" ht="15" customHeight="1">
      <c r="A221" t="inlineStr">
        <is>
          <t>NEW-0417</t>
        </is>
      </c>
      <c r="B221">
        <f>IFERROR(IF(ISBLANK(INDEX(Backlog[Requirement Name],MATCH($A221,Backlog[Requirement ID],0))),"",INDEX(Backlog[Requirement Name],MATCH($A221,Backlog[Requirement ID],0))),"")</f>
        <v/>
      </c>
      <c r="C221">
        <f>IFERROR(IF(ISBLANK(INDEX(Backlog[Stream],MATCH($A221,Backlog[Requirement ID],0))),"",INDEX(Backlog[Stream],MATCH($A221,Backlog[Requirement ID],0))),"")</f>
        <v/>
      </c>
      <c r="D221">
        <f>IFERROR(IF(ISBLANK(INDEX(Backlog[Stream Owner],MATCH($A221,Backlog[Requirement ID],0))),"",INDEX(Backlog[Stream Owner],MATCH($A221,Backlog[Requirement ID],0))),"")</f>
        <v/>
      </c>
      <c r="E221">
        <f>IFERROR(IF(ISBLANK(INDEX(Backlog[Jira Link],MATCH($A221,Backlog[Requirement ID],0))),"",INDEX(Backlog[Jira Link],MATCH($A221,Backlog[Requirement ID],0))),"")</f>
        <v/>
      </c>
      <c r="F221" s="21" t="inlineStr">
        <is>
          <t>Yes</t>
        </is>
      </c>
      <c r="G221" s="21" t="inlineStr">
        <is>
          <t>Yes</t>
        </is>
      </c>
      <c r="H221">
        <f>IFERROR(IF(ISBLANK(INDEX(SprintPlanning[Sprint],MATCH($A221,SprintPlanning[Requirement ID],0))),"",INDEX(SprintPlanning[Sprint],MATCH($A221,SprintPlanning[Requirement ID],0))),"")</f>
        <v/>
      </c>
      <c r="I221">
        <f>IFERROR(IF(ISBLANK(INDEX(Backlog[Status],MATCH($A221,Backlog[Requirement ID],0))),"",INDEX(Backlog[Status],MATCH($A221,Backlog[Requirement ID],0))),"")</f>
        <v/>
      </c>
      <c r="J221">
        <f>IFERROR(IF(ISBLANK(INDEX(Backlog[Priority],MATCH($A221,Backlog[Requirement ID],0))),"",INDEX(Backlog[Priority],MATCH($A221,Backlog[Requirement ID],0))),"")</f>
        <v/>
      </c>
      <c r="K221" s="33" t="n"/>
      <c r="L221" s="44" t="n"/>
      <c r="M221" s="44" t="n"/>
      <c r="N221" s="33" t="n"/>
      <c r="O221" s="44" t="n"/>
      <c r="P221" s="33" t="n"/>
      <c r="Q221" s="33" t="n"/>
    </row>
    <row r="222" ht="15" customHeight="1">
      <c r="A222" t="inlineStr">
        <is>
          <t>NEW-0418</t>
        </is>
      </c>
      <c r="B222">
        <f>IFERROR(IF(ISBLANK(INDEX(Backlog[Requirement Name],MATCH($A222,Backlog[Requirement ID],0))),"",INDEX(Backlog[Requirement Name],MATCH($A222,Backlog[Requirement ID],0))),"")</f>
        <v/>
      </c>
      <c r="C222">
        <f>IFERROR(IF(ISBLANK(INDEX(Backlog[Stream],MATCH($A222,Backlog[Requirement ID],0))),"",INDEX(Backlog[Stream],MATCH($A222,Backlog[Requirement ID],0))),"")</f>
        <v/>
      </c>
      <c r="D222">
        <f>IFERROR(IF(ISBLANK(INDEX(Backlog[Stream Owner],MATCH($A222,Backlog[Requirement ID],0))),"",INDEX(Backlog[Stream Owner],MATCH($A222,Backlog[Requirement ID],0))),"")</f>
        <v/>
      </c>
      <c r="E222">
        <f>IFERROR(IF(ISBLANK(INDEX(Backlog[Jira Link],MATCH($A222,Backlog[Requirement ID],0))),"",INDEX(Backlog[Jira Link],MATCH($A222,Backlog[Requirement ID],0))),"")</f>
        <v/>
      </c>
      <c r="F222" s="21" t="inlineStr">
        <is>
          <t>Yes</t>
        </is>
      </c>
      <c r="G222" s="21" t="inlineStr">
        <is>
          <t>Yes</t>
        </is>
      </c>
      <c r="H222">
        <f>IFERROR(IF(ISBLANK(INDEX(SprintPlanning[Sprint],MATCH($A222,SprintPlanning[Requirement ID],0))),"",INDEX(SprintPlanning[Sprint],MATCH($A222,SprintPlanning[Requirement ID],0))),"")</f>
        <v/>
      </c>
      <c r="I222">
        <f>IFERROR(IF(ISBLANK(INDEX(Backlog[Status],MATCH($A222,Backlog[Requirement ID],0))),"",INDEX(Backlog[Status],MATCH($A222,Backlog[Requirement ID],0))),"")</f>
        <v/>
      </c>
      <c r="J222">
        <f>IFERROR(IF(ISBLANK(INDEX(Backlog[Priority],MATCH($A222,Backlog[Requirement ID],0))),"",INDEX(Backlog[Priority],MATCH($A222,Backlog[Requirement ID],0))),"")</f>
        <v/>
      </c>
      <c r="K222" s="33" t="n"/>
      <c r="L222" s="44" t="n"/>
      <c r="M222" s="44" t="n"/>
      <c r="N222" s="33" t="n"/>
      <c r="O222" s="44" t="n"/>
      <c r="P222" s="33" t="n"/>
      <c r="Q222" s="33" t="n"/>
    </row>
    <row r="223" ht="15" customHeight="1">
      <c r="A223" t="inlineStr">
        <is>
          <t>NEW-0419</t>
        </is>
      </c>
      <c r="B223">
        <f>IFERROR(IF(ISBLANK(INDEX(Backlog[Requirement Name],MATCH($A223,Backlog[Requirement ID],0))),"",INDEX(Backlog[Requirement Name],MATCH($A223,Backlog[Requirement ID],0))),"")</f>
        <v/>
      </c>
      <c r="C223">
        <f>IFERROR(IF(ISBLANK(INDEX(Backlog[Stream],MATCH($A223,Backlog[Requirement ID],0))),"",INDEX(Backlog[Stream],MATCH($A223,Backlog[Requirement ID],0))),"")</f>
        <v/>
      </c>
      <c r="D223">
        <f>IFERROR(IF(ISBLANK(INDEX(Backlog[Stream Owner],MATCH($A223,Backlog[Requirement ID],0))),"",INDEX(Backlog[Stream Owner],MATCH($A223,Backlog[Requirement ID],0))),"")</f>
        <v/>
      </c>
      <c r="E223">
        <f>IFERROR(IF(ISBLANK(INDEX(Backlog[Jira Link],MATCH($A223,Backlog[Requirement ID],0))),"",INDEX(Backlog[Jira Link],MATCH($A223,Backlog[Requirement ID],0))),"")</f>
        <v/>
      </c>
      <c r="F223" s="21" t="inlineStr">
        <is>
          <t>Yes</t>
        </is>
      </c>
      <c r="G223" s="21" t="inlineStr">
        <is>
          <t>Yes</t>
        </is>
      </c>
      <c r="H223">
        <f>IFERROR(IF(ISBLANK(INDEX(SprintPlanning[Sprint],MATCH($A223,SprintPlanning[Requirement ID],0))),"",INDEX(SprintPlanning[Sprint],MATCH($A223,SprintPlanning[Requirement ID],0))),"")</f>
        <v/>
      </c>
      <c r="I223">
        <f>IFERROR(IF(ISBLANK(INDEX(Backlog[Status],MATCH($A223,Backlog[Requirement ID],0))),"",INDEX(Backlog[Status],MATCH($A223,Backlog[Requirement ID],0))),"")</f>
        <v/>
      </c>
      <c r="J223">
        <f>IFERROR(IF(ISBLANK(INDEX(Backlog[Priority],MATCH($A223,Backlog[Requirement ID],0))),"",INDEX(Backlog[Priority],MATCH($A223,Backlog[Requirement ID],0))),"")</f>
        <v/>
      </c>
      <c r="K223" s="33" t="n"/>
      <c r="L223" s="44" t="n"/>
      <c r="M223" s="44" t="n"/>
      <c r="N223" s="33" t="n"/>
      <c r="O223" s="44" t="n"/>
      <c r="P223" s="33" t="n"/>
      <c r="Q223" s="33" t="n"/>
    </row>
    <row r="224" ht="15" customHeight="1">
      <c r="A224" t="inlineStr">
        <is>
          <t>NEW-0420</t>
        </is>
      </c>
      <c r="B224">
        <f>IFERROR(IF(ISBLANK(INDEX(Backlog[Requirement Name],MATCH($A224,Backlog[Requirement ID],0))),"",INDEX(Backlog[Requirement Name],MATCH($A224,Backlog[Requirement ID],0))),"")</f>
        <v/>
      </c>
      <c r="C224">
        <f>IFERROR(IF(ISBLANK(INDEX(Backlog[Stream],MATCH($A224,Backlog[Requirement ID],0))),"",INDEX(Backlog[Stream],MATCH($A224,Backlog[Requirement ID],0))),"")</f>
        <v/>
      </c>
      <c r="D224">
        <f>IFERROR(IF(ISBLANK(INDEX(Backlog[Stream Owner],MATCH($A224,Backlog[Requirement ID],0))),"",INDEX(Backlog[Stream Owner],MATCH($A224,Backlog[Requirement ID],0))),"")</f>
        <v/>
      </c>
      <c r="E224">
        <f>IFERROR(IF(ISBLANK(INDEX(Backlog[Jira Link],MATCH($A224,Backlog[Requirement ID],0))),"",INDEX(Backlog[Jira Link],MATCH($A224,Backlog[Requirement ID],0))),"")</f>
        <v/>
      </c>
      <c r="F224" s="21" t="inlineStr">
        <is>
          <t>Yes</t>
        </is>
      </c>
      <c r="G224" s="21" t="inlineStr">
        <is>
          <t>Yes</t>
        </is>
      </c>
      <c r="H224">
        <f>IFERROR(IF(ISBLANK(INDEX(SprintPlanning[Sprint],MATCH($A224,SprintPlanning[Requirement ID],0))),"",INDEX(SprintPlanning[Sprint],MATCH($A224,SprintPlanning[Requirement ID],0))),"")</f>
        <v/>
      </c>
      <c r="I224">
        <f>IFERROR(IF(ISBLANK(INDEX(Backlog[Status],MATCH($A224,Backlog[Requirement ID],0))),"",INDEX(Backlog[Status],MATCH($A224,Backlog[Requirement ID],0))),"")</f>
        <v/>
      </c>
      <c r="J224">
        <f>IFERROR(IF(ISBLANK(INDEX(Backlog[Priority],MATCH($A224,Backlog[Requirement ID],0))),"",INDEX(Backlog[Priority],MATCH($A224,Backlog[Requirement ID],0))),"")</f>
        <v/>
      </c>
      <c r="K224" s="33" t="n"/>
      <c r="L224" s="44" t="n"/>
      <c r="M224" s="44" t="n"/>
      <c r="N224" s="33" t="n"/>
      <c r="O224" s="44" t="n"/>
      <c r="P224" s="33" t="n"/>
      <c r="Q224" s="33" t="n"/>
    </row>
    <row r="225" ht="15" customHeight="1">
      <c r="A225" t="inlineStr">
        <is>
          <t>NEW-0421</t>
        </is>
      </c>
      <c r="B225">
        <f>IFERROR(IF(ISBLANK(INDEX(Backlog[Requirement Name],MATCH($A225,Backlog[Requirement ID],0))),"",INDEX(Backlog[Requirement Name],MATCH($A225,Backlog[Requirement ID],0))),"")</f>
        <v/>
      </c>
      <c r="C225">
        <f>IFERROR(IF(ISBLANK(INDEX(Backlog[Stream],MATCH($A225,Backlog[Requirement ID],0))),"",INDEX(Backlog[Stream],MATCH($A225,Backlog[Requirement ID],0))),"")</f>
        <v/>
      </c>
      <c r="D225">
        <f>IFERROR(IF(ISBLANK(INDEX(Backlog[Stream Owner],MATCH($A225,Backlog[Requirement ID],0))),"",INDEX(Backlog[Stream Owner],MATCH($A225,Backlog[Requirement ID],0))),"")</f>
        <v/>
      </c>
      <c r="E225">
        <f>IFERROR(IF(ISBLANK(INDEX(Backlog[Jira Link],MATCH($A225,Backlog[Requirement ID],0))),"",INDEX(Backlog[Jira Link],MATCH($A225,Backlog[Requirement ID],0))),"")</f>
        <v/>
      </c>
      <c r="F225" s="21" t="inlineStr">
        <is>
          <t>Yes</t>
        </is>
      </c>
      <c r="G225" s="21" t="inlineStr">
        <is>
          <t>Yes</t>
        </is>
      </c>
      <c r="H225">
        <f>IFERROR(IF(ISBLANK(INDEX(SprintPlanning[Sprint],MATCH($A225,SprintPlanning[Requirement ID],0))),"",INDEX(SprintPlanning[Sprint],MATCH($A225,SprintPlanning[Requirement ID],0))),"")</f>
        <v/>
      </c>
      <c r="I225">
        <f>IFERROR(IF(ISBLANK(INDEX(Backlog[Status],MATCH($A225,Backlog[Requirement ID],0))),"",INDEX(Backlog[Status],MATCH($A225,Backlog[Requirement ID],0))),"")</f>
        <v/>
      </c>
      <c r="J225">
        <f>IFERROR(IF(ISBLANK(INDEX(Backlog[Priority],MATCH($A225,Backlog[Requirement ID],0))),"",INDEX(Backlog[Priority],MATCH($A225,Backlog[Requirement ID],0))),"")</f>
        <v/>
      </c>
      <c r="K225" s="33" t="n"/>
      <c r="L225" s="44" t="n"/>
      <c r="M225" s="44" t="n"/>
      <c r="N225" s="33" t="n"/>
      <c r="O225" s="44" t="n"/>
      <c r="P225" s="33" t="n"/>
      <c r="Q225" s="33" t="n"/>
    </row>
    <row r="226" ht="23.25" customHeight="1">
      <c r="A226" t="inlineStr">
        <is>
          <t>NEW-0422</t>
        </is>
      </c>
      <c r="B226">
        <f>IFERROR(IF(ISBLANK(INDEX(Backlog[Requirement Name],MATCH($A226,Backlog[Requirement ID],0))),"",INDEX(Backlog[Requirement Name],MATCH($A226,Backlog[Requirement ID],0))),"")</f>
        <v/>
      </c>
      <c r="C226">
        <f>IFERROR(IF(ISBLANK(INDEX(Backlog[Stream],MATCH($A226,Backlog[Requirement ID],0))),"",INDEX(Backlog[Stream],MATCH($A226,Backlog[Requirement ID],0))),"")</f>
        <v/>
      </c>
      <c r="D226">
        <f>IFERROR(IF(ISBLANK(INDEX(Backlog[Stream Owner],MATCH($A226,Backlog[Requirement ID],0))),"",INDEX(Backlog[Stream Owner],MATCH($A226,Backlog[Requirement ID],0))),"")</f>
        <v/>
      </c>
      <c r="E226">
        <f>IFERROR(IF(ISBLANK(INDEX(Backlog[Jira Link],MATCH($A226,Backlog[Requirement ID],0))),"",INDEX(Backlog[Jira Link],MATCH($A226,Backlog[Requirement ID],0))),"")</f>
        <v/>
      </c>
      <c r="F226" s="21" t="inlineStr">
        <is>
          <t>Yes</t>
        </is>
      </c>
      <c r="G226" s="21" t="inlineStr">
        <is>
          <t>Yes</t>
        </is>
      </c>
      <c r="H226">
        <f>IFERROR(IF(ISBLANK(INDEX(SprintPlanning[Sprint],MATCH($A226,SprintPlanning[Requirement ID],0))),"",INDEX(SprintPlanning[Sprint],MATCH($A226,SprintPlanning[Requirement ID],0))),"")</f>
        <v/>
      </c>
      <c r="I226">
        <f>IFERROR(IF(ISBLANK(INDEX(Backlog[Status],MATCH($A226,Backlog[Requirement ID],0))),"",INDEX(Backlog[Status],MATCH($A226,Backlog[Requirement ID],0))),"")</f>
        <v/>
      </c>
      <c r="J226">
        <f>IFERROR(IF(ISBLANK(INDEX(Backlog[Priority],MATCH($A226,Backlog[Requirement ID],0))),"",INDEX(Backlog[Priority],MATCH($A226,Backlog[Requirement ID],0))),"")</f>
        <v/>
      </c>
      <c r="K226" s="33" t="n"/>
      <c r="L226" s="44" t="n"/>
      <c r="M226" s="44" t="n"/>
      <c r="N226" s="33" t="n"/>
      <c r="O226" s="44" t="n"/>
      <c r="P226" s="33" t="n"/>
      <c r="Q226" s="33" t="n"/>
    </row>
    <row r="227" ht="15" customHeight="1">
      <c r="A227" t="inlineStr">
        <is>
          <t>NEW-0423</t>
        </is>
      </c>
      <c r="B227">
        <f>IFERROR(IF(ISBLANK(INDEX(Backlog[Requirement Name],MATCH($A227,Backlog[Requirement ID],0))),"",INDEX(Backlog[Requirement Name],MATCH($A227,Backlog[Requirement ID],0))),"")</f>
        <v/>
      </c>
      <c r="C227">
        <f>IFERROR(IF(ISBLANK(INDEX(Backlog[Stream],MATCH($A227,Backlog[Requirement ID],0))),"",INDEX(Backlog[Stream],MATCH($A227,Backlog[Requirement ID],0))),"")</f>
        <v/>
      </c>
      <c r="D227">
        <f>IFERROR(IF(ISBLANK(INDEX(Backlog[Stream Owner],MATCH($A227,Backlog[Requirement ID],0))),"",INDEX(Backlog[Stream Owner],MATCH($A227,Backlog[Requirement ID],0))),"")</f>
        <v/>
      </c>
      <c r="E227">
        <f>IFERROR(IF(ISBLANK(INDEX(Backlog[Jira Link],MATCH($A227,Backlog[Requirement ID],0))),"",INDEX(Backlog[Jira Link],MATCH($A227,Backlog[Requirement ID],0))),"")</f>
        <v/>
      </c>
      <c r="F227" s="21" t="inlineStr">
        <is>
          <t>Yes</t>
        </is>
      </c>
      <c r="G227" s="21" t="inlineStr">
        <is>
          <t>Yes</t>
        </is>
      </c>
      <c r="H227">
        <f>IFERROR(IF(ISBLANK(INDEX(SprintPlanning[Sprint],MATCH($A227,SprintPlanning[Requirement ID],0))),"",INDEX(SprintPlanning[Sprint],MATCH($A227,SprintPlanning[Requirement ID],0))),"")</f>
        <v/>
      </c>
      <c r="I227">
        <f>IFERROR(IF(ISBLANK(INDEX(Backlog[Status],MATCH($A227,Backlog[Requirement ID],0))),"",INDEX(Backlog[Status],MATCH($A227,Backlog[Requirement ID],0))),"")</f>
        <v/>
      </c>
      <c r="J227">
        <f>IFERROR(IF(ISBLANK(INDEX(Backlog[Priority],MATCH($A227,Backlog[Requirement ID],0))),"",INDEX(Backlog[Priority],MATCH($A227,Backlog[Requirement ID],0))),"")</f>
        <v/>
      </c>
      <c r="K227" s="33" t="n"/>
      <c r="L227" s="44" t="n"/>
      <c r="M227" s="44" t="n"/>
      <c r="N227" s="33" t="n"/>
      <c r="O227" s="44" t="n"/>
      <c r="P227" s="33" t="n"/>
      <c r="Q227" s="33" t="n"/>
    </row>
    <row r="228" ht="15" customHeight="1">
      <c r="A228" t="inlineStr">
        <is>
          <t>NEW-0406</t>
        </is>
      </c>
      <c r="B228">
        <f>IFERROR(IF(ISBLANK(INDEX(Backlog[Requirement Name],MATCH($A228,Backlog[Requirement ID],0))),"",INDEX(Backlog[Requirement Name],MATCH($A228,Backlog[Requirement ID],0))),"")</f>
        <v/>
      </c>
      <c r="C228">
        <f>IFERROR(IF(ISBLANK(INDEX(Backlog[Stream],MATCH($A228,Backlog[Requirement ID],0))),"",INDEX(Backlog[Stream],MATCH($A228,Backlog[Requirement ID],0))),"")</f>
        <v/>
      </c>
      <c r="D228">
        <f>IFERROR(IF(ISBLANK(INDEX(Backlog[Stream Owner],MATCH($A228,Backlog[Requirement ID],0))),"",INDEX(Backlog[Stream Owner],MATCH($A228,Backlog[Requirement ID],0))),"")</f>
        <v/>
      </c>
      <c r="E228">
        <f>IFERROR(IF(ISBLANK(INDEX(Backlog[Jira Link],MATCH($A228,Backlog[Requirement ID],0))),"",INDEX(Backlog[Jira Link],MATCH($A228,Backlog[Requirement ID],0))),"")</f>
        <v/>
      </c>
      <c r="F228" s="21" t="inlineStr">
        <is>
          <t>Yes</t>
        </is>
      </c>
      <c r="G228" s="21" t="inlineStr">
        <is>
          <t>Yes</t>
        </is>
      </c>
      <c r="H228">
        <f>IFERROR(IF(ISBLANK(INDEX(SprintPlanning[Sprint],MATCH($A228,SprintPlanning[Requirement ID],0))),"",INDEX(SprintPlanning[Sprint],MATCH($A228,SprintPlanning[Requirement ID],0))),"")</f>
        <v/>
      </c>
      <c r="I228">
        <f>IFERROR(IF(ISBLANK(INDEX(Backlog[Status],MATCH($A228,Backlog[Requirement ID],0))),"",INDEX(Backlog[Status],MATCH($A228,Backlog[Requirement ID],0))),"")</f>
        <v/>
      </c>
      <c r="J228">
        <f>IFERROR(IF(ISBLANK(INDEX(Backlog[Priority],MATCH($A228,Backlog[Requirement ID],0))),"",INDEX(Backlog[Priority],MATCH($A228,Backlog[Requirement ID],0))),"")</f>
        <v/>
      </c>
      <c r="K228" s="33" t="n"/>
      <c r="L228" s="44" t="n"/>
      <c r="M228" s="44" t="n"/>
      <c r="N228" s="33" t="n"/>
      <c r="O228" s="44" t="n"/>
      <c r="P228" s="33" t="n"/>
      <c r="Q228" s="33" t="n"/>
    </row>
    <row r="229" ht="15" customHeight="1">
      <c r="A229" t="inlineStr">
        <is>
          <t>NEW-0407</t>
        </is>
      </c>
      <c r="B229">
        <f>IFERROR(IF(ISBLANK(INDEX(Backlog[Requirement Name],MATCH($A229,Backlog[Requirement ID],0))),"",INDEX(Backlog[Requirement Name],MATCH($A229,Backlog[Requirement ID],0))),"")</f>
        <v/>
      </c>
      <c r="C229">
        <f>IFERROR(IF(ISBLANK(INDEX(Backlog[Stream],MATCH($A229,Backlog[Requirement ID],0))),"",INDEX(Backlog[Stream],MATCH($A229,Backlog[Requirement ID],0))),"")</f>
        <v/>
      </c>
      <c r="D229">
        <f>IFERROR(IF(ISBLANK(INDEX(Backlog[Stream Owner],MATCH($A229,Backlog[Requirement ID],0))),"",INDEX(Backlog[Stream Owner],MATCH($A229,Backlog[Requirement ID],0))),"")</f>
        <v/>
      </c>
      <c r="E229">
        <f>IFERROR(IF(ISBLANK(INDEX(Backlog[Jira Link],MATCH($A229,Backlog[Requirement ID],0))),"",INDEX(Backlog[Jira Link],MATCH($A229,Backlog[Requirement ID],0))),"")</f>
        <v/>
      </c>
      <c r="F229" s="21" t="inlineStr">
        <is>
          <t>No</t>
        </is>
      </c>
      <c r="G229" s="21" t="inlineStr">
        <is>
          <t>No</t>
        </is>
      </c>
      <c r="H229">
        <f>IFERROR(IF(ISBLANK(INDEX(SprintPlanning[Sprint],MATCH($A229,SprintPlanning[Requirement ID],0))),"",INDEX(SprintPlanning[Sprint],MATCH($A229,SprintPlanning[Requirement ID],0))),"")</f>
        <v/>
      </c>
      <c r="I229">
        <f>IFERROR(IF(ISBLANK(INDEX(Backlog[Status],MATCH($A229,Backlog[Requirement ID],0))),"",INDEX(Backlog[Status],MATCH($A229,Backlog[Requirement ID],0))),"")</f>
        <v/>
      </c>
      <c r="J229">
        <f>IFERROR(IF(ISBLANK(INDEX(Backlog[Priority],MATCH($A229,Backlog[Requirement ID],0))),"",INDEX(Backlog[Priority],MATCH($A229,Backlog[Requirement ID],0))),"")</f>
        <v/>
      </c>
      <c r="K229" s="33" t="n"/>
      <c r="L229" s="44" t="n"/>
      <c r="M229" s="44" t="n"/>
      <c r="N229" s="33" t="n"/>
      <c r="O229" s="44" t="n"/>
      <c r="P229" s="33" t="n"/>
      <c r="Q229" s="33" t="n"/>
    </row>
    <row r="230" ht="15" customHeight="1">
      <c r="A230" t="inlineStr">
        <is>
          <t>NEW-0408</t>
        </is>
      </c>
      <c r="B230">
        <f>IFERROR(IF(ISBLANK(INDEX(Backlog[Requirement Name],MATCH($A230,Backlog[Requirement ID],0))),"",INDEX(Backlog[Requirement Name],MATCH($A230,Backlog[Requirement ID],0))),"")</f>
        <v/>
      </c>
      <c r="C230">
        <f>IFERROR(IF(ISBLANK(INDEX(Backlog[Stream],MATCH($A230,Backlog[Requirement ID],0))),"",INDEX(Backlog[Stream],MATCH($A230,Backlog[Requirement ID],0))),"")</f>
        <v/>
      </c>
      <c r="D230">
        <f>IFERROR(IF(ISBLANK(INDEX(Backlog[Stream Owner],MATCH($A230,Backlog[Requirement ID],0))),"",INDEX(Backlog[Stream Owner],MATCH($A230,Backlog[Requirement ID],0))),"")</f>
        <v/>
      </c>
      <c r="E230">
        <f>IFERROR(IF(ISBLANK(INDEX(Backlog[Jira Link],MATCH($A230,Backlog[Requirement ID],0))),"",INDEX(Backlog[Jira Link],MATCH($A230,Backlog[Requirement ID],0))),"")</f>
        <v/>
      </c>
      <c r="F230" s="33" t="inlineStr">
        <is>
          <t>Yes</t>
        </is>
      </c>
      <c r="G230" s="33" t="inlineStr">
        <is>
          <t>No</t>
        </is>
      </c>
      <c r="H230">
        <f>IFERROR(IF(ISBLANK(INDEX(SprintPlanning[Sprint],MATCH($A230,SprintPlanning[Requirement ID],0))),"",INDEX(SprintPlanning[Sprint],MATCH($A230,SprintPlanning[Requirement ID],0))),"")</f>
        <v/>
      </c>
      <c r="I230">
        <f>IFERROR(IF(ISBLANK(INDEX(Backlog[Status],MATCH($A230,Backlog[Requirement ID],0))),"",INDEX(Backlog[Status],MATCH($A230,Backlog[Requirement ID],0))),"")</f>
        <v/>
      </c>
      <c r="J230">
        <f>IFERROR(IF(ISBLANK(INDEX(Backlog[Priority],MATCH($A230,Backlog[Requirement ID],0))),"",INDEX(Backlog[Priority],MATCH($A230,Backlog[Requirement ID],0))),"")</f>
        <v/>
      </c>
      <c r="K230" s="33" t="n"/>
      <c r="L230" s="44" t="n"/>
      <c r="M230" s="44" t="n"/>
      <c r="N230" s="33" t="n"/>
      <c r="O230" s="44" t="n"/>
      <c r="P230" s="33" t="n"/>
      <c r="Q230" s="33" t="n"/>
    </row>
    <row r="231" ht="15" customHeight="1">
      <c r="A231" t="inlineStr">
        <is>
          <t>NEW-0409</t>
        </is>
      </c>
      <c r="B231">
        <f>IFERROR(IF(ISBLANK(INDEX(Backlog[Requirement Name],MATCH($A231,Backlog[Requirement ID],0))),"",INDEX(Backlog[Requirement Name],MATCH($A231,Backlog[Requirement ID],0))),"")</f>
        <v/>
      </c>
      <c r="C231">
        <f>IFERROR(IF(ISBLANK(INDEX(Backlog[Stream],MATCH($A231,Backlog[Requirement ID],0))),"",INDEX(Backlog[Stream],MATCH($A231,Backlog[Requirement ID],0))),"")</f>
        <v/>
      </c>
      <c r="D231">
        <f>IFERROR(IF(ISBLANK(INDEX(Backlog[Stream Owner],MATCH($A231,Backlog[Requirement ID],0))),"",INDEX(Backlog[Stream Owner],MATCH($A231,Backlog[Requirement ID],0))),"")</f>
        <v/>
      </c>
      <c r="E231">
        <f>IFERROR(IF(ISBLANK(INDEX(Backlog[Jira Link],MATCH($A231,Backlog[Requirement ID],0))),"",INDEX(Backlog[Jira Link],MATCH($A231,Backlog[Requirement ID],0))),"")</f>
        <v/>
      </c>
      <c r="F231" s="33" t="inlineStr">
        <is>
          <t>Yes</t>
        </is>
      </c>
      <c r="G231" s="33" t="inlineStr">
        <is>
          <t>No</t>
        </is>
      </c>
      <c r="H231">
        <f>IFERROR(IF(ISBLANK(INDEX(SprintPlanning[Sprint],MATCH($A231,SprintPlanning[Requirement ID],0))),"",INDEX(SprintPlanning[Sprint],MATCH($A231,SprintPlanning[Requirement ID],0))),"")</f>
        <v/>
      </c>
      <c r="I231">
        <f>IFERROR(IF(ISBLANK(INDEX(Backlog[Status],MATCH($A231,Backlog[Requirement ID],0))),"",INDEX(Backlog[Status],MATCH($A231,Backlog[Requirement ID],0))),"")</f>
        <v/>
      </c>
      <c r="J231">
        <f>IFERROR(IF(ISBLANK(INDEX(Backlog[Priority],MATCH($A231,Backlog[Requirement ID],0))),"",INDEX(Backlog[Priority],MATCH($A231,Backlog[Requirement ID],0))),"")</f>
        <v/>
      </c>
      <c r="K231" s="33" t="n"/>
      <c r="L231" s="44" t="n"/>
      <c r="M231" s="44" t="n"/>
      <c r="N231" s="33" t="n"/>
      <c r="O231" s="44" t="n"/>
      <c r="P231" s="33" t="n"/>
      <c r="Q231" s="33" t="n"/>
    </row>
    <row r="232" ht="15" customHeight="1">
      <c r="A232" t="inlineStr">
        <is>
          <t>NEW-0410</t>
        </is>
      </c>
      <c r="B232">
        <f>IFERROR(IF(ISBLANK(INDEX(Backlog[Requirement Name],MATCH($A232,Backlog[Requirement ID],0))),"",INDEX(Backlog[Requirement Name],MATCH($A232,Backlog[Requirement ID],0))),"")</f>
        <v/>
      </c>
      <c r="C232">
        <f>IFERROR(IF(ISBLANK(INDEX(Backlog[Stream],MATCH($A232,Backlog[Requirement ID],0))),"",INDEX(Backlog[Stream],MATCH($A232,Backlog[Requirement ID],0))),"")</f>
        <v/>
      </c>
      <c r="D232">
        <f>IFERROR(IF(ISBLANK(INDEX(Backlog[Stream Owner],MATCH($A232,Backlog[Requirement ID],0))),"",INDEX(Backlog[Stream Owner],MATCH($A232,Backlog[Requirement ID],0))),"")</f>
        <v/>
      </c>
      <c r="E232">
        <f>IFERROR(IF(ISBLANK(INDEX(Backlog[Jira Link],MATCH($A232,Backlog[Requirement ID],0))),"",INDEX(Backlog[Jira Link],MATCH($A232,Backlog[Requirement ID],0))),"")</f>
        <v/>
      </c>
      <c r="F232" s="33" t="inlineStr">
        <is>
          <t>Yes</t>
        </is>
      </c>
      <c r="G232" s="33" t="inlineStr">
        <is>
          <t>No</t>
        </is>
      </c>
      <c r="H232">
        <f>IFERROR(IF(ISBLANK(INDEX(SprintPlanning[Sprint],MATCH($A232,SprintPlanning[Requirement ID],0))),"",INDEX(SprintPlanning[Sprint],MATCH($A232,SprintPlanning[Requirement ID],0))),"")</f>
        <v/>
      </c>
      <c r="I232">
        <f>IFERROR(IF(ISBLANK(INDEX(Backlog[Status],MATCH($A232,Backlog[Requirement ID],0))),"",INDEX(Backlog[Status],MATCH($A232,Backlog[Requirement ID],0))),"")</f>
        <v/>
      </c>
      <c r="J232">
        <f>IFERROR(IF(ISBLANK(INDEX(Backlog[Priority],MATCH($A232,Backlog[Requirement ID],0))),"",INDEX(Backlog[Priority],MATCH($A232,Backlog[Requirement ID],0))),"")</f>
        <v/>
      </c>
      <c r="K232" s="33" t="n"/>
      <c r="L232" s="44" t="n"/>
      <c r="M232" s="44" t="n"/>
      <c r="N232" s="33" t="n"/>
      <c r="O232" s="44" t="n"/>
      <c r="P232" s="33" t="n"/>
      <c r="Q232" s="33" t="n"/>
    </row>
    <row r="233" ht="15" customHeight="1">
      <c r="A233" t="inlineStr">
        <is>
          <t>NEW-0411</t>
        </is>
      </c>
      <c r="B233">
        <f>IFERROR(IF(ISBLANK(INDEX(Backlog[Requirement Name],MATCH($A233,Backlog[Requirement ID],0))),"",INDEX(Backlog[Requirement Name],MATCH($A233,Backlog[Requirement ID],0))),"")</f>
        <v/>
      </c>
      <c r="C233">
        <f>IFERROR(IF(ISBLANK(INDEX(Backlog[Stream],MATCH($A233,Backlog[Requirement ID],0))),"",INDEX(Backlog[Stream],MATCH($A233,Backlog[Requirement ID],0))),"")</f>
        <v/>
      </c>
      <c r="D233">
        <f>IFERROR(IF(ISBLANK(INDEX(Backlog[Stream Owner],MATCH($A233,Backlog[Requirement ID],0))),"",INDEX(Backlog[Stream Owner],MATCH($A233,Backlog[Requirement ID],0))),"")</f>
        <v/>
      </c>
      <c r="E233">
        <f>IFERROR(IF(ISBLANK(INDEX(Backlog[Jira Link],MATCH($A233,Backlog[Requirement ID],0))),"",INDEX(Backlog[Jira Link],MATCH($A233,Backlog[Requirement ID],0))),"")</f>
        <v/>
      </c>
      <c r="F233" s="33" t="inlineStr">
        <is>
          <t>NA</t>
        </is>
      </c>
      <c r="G233" s="33" t="inlineStr">
        <is>
          <t>NA</t>
        </is>
      </c>
      <c r="H233">
        <f>IFERROR(IF(ISBLANK(INDEX(SprintPlanning[Sprint],MATCH($A233,SprintPlanning[Requirement ID],0))),"",INDEX(SprintPlanning[Sprint],MATCH($A233,SprintPlanning[Requirement ID],0))),"")</f>
        <v/>
      </c>
      <c r="I233">
        <f>IFERROR(IF(ISBLANK(INDEX(Backlog[Status],MATCH($A233,Backlog[Requirement ID],0))),"",INDEX(Backlog[Status],MATCH($A233,Backlog[Requirement ID],0))),"")</f>
        <v/>
      </c>
      <c r="J233">
        <f>IFERROR(IF(ISBLANK(INDEX(Backlog[Priority],MATCH($A233,Backlog[Requirement ID],0))),"",INDEX(Backlog[Priority],MATCH($A233,Backlog[Requirement ID],0))),"")</f>
        <v/>
      </c>
      <c r="K233" s="33" t="n"/>
      <c r="L233" s="44" t="n"/>
      <c r="M233" s="44" t="n"/>
      <c r="N233" s="33" t="n"/>
      <c r="O233" s="44" t="n"/>
      <c r="P233" s="33" t="n"/>
      <c r="Q233" s="33" t="n"/>
    </row>
    <row r="234" ht="15" customHeight="1">
      <c r="A234" t="inlineStr">
        <is>
          <t>NEW-0412</t>
        </is>
      </c>
      <c r="B234">
        <f>IFERROR(IF(ISBLANK(INDEX(Backlog[Requirement Name],MATCH($A234,Backlog[Requirement ID],0))),"",INDEX(Backlog[Requirement Name],MATCH($A234,Backlog[Requirement ID],0))),"")</f>
        <v/>
      </c>
      <c r="C234">
        <f>IFERROR(IF(ISBLANK(INDEX(Backlog[Stream],MATCH($A234,Backlog[Requirement ID],0))),"",INDEX(Backlog[Stream],MATCH($A234,Backlog[Requirement ID],0))),"")</f>
        <v/>
      </c>
      <c r="D234">
        <f>IFERROR(IF(ISBLANK(INDEX(Backlog[Stream Owner],MATCH($A234,Backlog[Requirement ID],0))),"",INDEX(Backlog[Stream Owner],MATCH($A234,Backlog[Requirement ID],0))),"")</f>
        <v/>
      </c>
      <c r="E234">
        <f>IFERROR(IF(ISBLANK(INDEX(Backlog[Jira Link],MATCH($A234,Backlog[Requirement ID],0))),"",INDEX(Backlog[Jira Link],MATCH($A234,Backlog[Requirement ID],0))),"")</f>
        <v/>
      </c>
      <c r="F234" s="33" t="inlineStr">
        <is>
          <t>NA</t>
        </is>
      </c>
      <c r="G234" s="33" t="inlineStr">
        <is>
          <t>NA</t>
        </is>
      </c>
      <c r="H234">
        <f>IFERROR(IF(ISBLANK(INDEX(SprintPlanning[Sprint],MATCH($A234,SprintPlanning[Requirement ID],0))),"",INDEX(SprintPlanning[Sprint],MATCH($A234,SprintPlanning[Requirement ID],0))),"")</f>
        <v/>
      </c>
      <c r="I234">
        <f>IFERROR(IF(ISBLANK(INDEX(Backlog[Status],MATCH($A234,Backlog[Requirement ID],0))),"",INDEX(Backlog[Status],MATCH($A234,Backlog[Requirement ID],0))),"")</f>
        <v/>
      </c>
      <c r="J234">
        <f>IFERROR(IF(ISBLANK(INDEX(Backlog[Priority],MATCH($A234,Backlog[Requirement ID],0))),"",INDEX(Backlog[Priority],MATCH($A234,Backlog[Requirement ID],0))),"")</f>
        <v/>
      </c>
      <c r="K234" s="33" t="n"/>
      <c r="L234" s="44" t="n"/>
      <c r="M234" s="44" t="n"/>
      <c r="N234" s="33" t="n"/>
      <c r="O234" s="44" t="n"/>
      <c r="P234" s="33" t="n"/>
      <c r="Q234" s="33" t="n"/>
    </row>
    <row r="235" ht="15" customHeight="1">
      <c r="A235" t="inlineStr">
        <is>
          <t>NEW-0413</t>
        </is>
      </c>
      <c r="B235">
        <f>IFERROR(IF(ISBLANK(INDEX(Backlog[Requirement Name],MATCH($A235,Backlog[Requirement ID],0))),"",INDEX(Backlog[Requirement Name],MATCH($A235,Backlog[Requirement ID],0))),"")</f>
        <v/>
      </c>
      <c r="C235">
        <f>IFERROR(IF(ISBLANK(INDEX(Backlog[Stream],MATCH($A235,Backlog[Requirement ID],0))),"",INDEX(Backlog[Stream],MATCH($A235,Backlog[Requirement ID],0))),"")</f>
        <v/>
      </c>
      <c r="D235">
        <f>IFERROR(IF(ISBLANK(INDEX(Backlog[Stream Owner],MATCH($A235,Backlog[Requirement ID],0))),"",INDEX(Backlog[Stream Owner],MATCH($A235,Backlog[Requirement ID],0))),"")</f>
        <v/>
      </c>
      <c r="E235">
        <f>IFERROR(IF(ISBLANK(INDEX(Backlog[Jira Link],MATCH($A235,Backlog[Requirement ID],0))),"",INDEX(Backlog[Jira Link],MATCH($A235,Backlog[Requirement ID],0))),"")</f>
        <v/>
      </c>
      <c r="F235" s="21" t="inlineStr">
        <is>
          <t>No</t>
        </is>
      </c>
      <c r="G235" s="21" t="inlineStr">
        <is>
          <t>No</t>
        </is>
      </c>
      <c r="H235">
        <f>IFERROR(IF(ISBLANK(INDEX(SprintPlanning[Sprint],MATCH($A235,SprintPlanning[Requirement ID],0))),"",INDEX(SprintPlanning[Sprint],MATCH($A235,SprintPlanning[Requirement ID],0))),"")</f>
        <v/>
      </c>
      <c r="I235">
        <f>IFERROR(IF(ISBLANK(INDEX(Backlog[Status],MATCH($A235,Backlog[Requirement ID],0))),"",INDEX(Backlog[Status],MATCH($A235,Backlog[Requirement ID],0))),"")</f>
        <v/>
      </c>
      <c r="J235">
        <f>IFERROR(IF(ISBLANK(INDEX(Backlog[Priority],MATCH($A235,Backlog[Requirement ID],0))),"",INDEX(Backlog[Priority],MATCH($A235,Backlog[Requirement ID],0))),"")</f>
        <v/>
      </c>
      <c r="K235" s="33" t="n"/>
      <c r="L235" s="44" t="n"/>
      <c r="M235" s="44" t="n"/>
      <c r="N235" s="33" t="n"/>
      <c r="O235" s="44" t="n"/>
      <c r="P235" s="33" t="n"/>
      <c r="Q235" s="33" t="n"/>
    </row>
    <row r="236" ht="15" customHeight="1">
      <c r="A236" t="inlineStr">
        <is>
          <t>NEW-0414</t>
        </is>
      </c>
      <c r="B236">
        <f>IFERROR(IF(ISBLANK(INDEX(Backlog[Requirement Name],MATCH($A236,Backlog[Requirement ID],0))),"",INDEX(Backlog[Requirement Name],MATCH($A236,Backlog[Requirement ID],0))),"")</f>
        <v/>
      </c>
      <c r="C236">
        <f>IFERROR(IF(ISBLANK(INDEX(Backlog[Stream],MATCH($A236,Backlog[Requirement ID],0))),"",INDEX(Backlog[Stream],MATCH($A236,Backlog[Requirement ID],0))),"")</f>
        <v/>
      </c>
      <c r="D236">
        <f>IFERROR(IF(ISBLANK(INDEX(Backlog[Stream Owner],MATCH($A236,Backlog[Requirement ID],0))),"",INDEX(Backlog[Stream Owner],MATCH($A236,Backlog[Requirement ID],0))),"")</f>
        <v/>
      </c>
      <c r="E236">
        <f>IFERROR(IF(ISBLANK(INDEX(Backlog[Jira Link],MATCH($A236,Backlog[Requirement ID],0))),"",INDEX(Backlog[Jira Link],MATCH($A236,Backlog[Requirement ID],0))),"")</f>
        <v/>
      </c>
      <c r="F236" s="21" t="inlineStr">
        <is>
          <t>No</t>
        </is>
      </c>
      <c r="G236" s="21" t="inlineStr">
        <is>
          <t>No</t>
        </is>
      </c>
      <c r="H236">
        <f>IFERROR(IF(ISBLANK(INDEX(SprintPlanning[Sprint],MATCH($A236,SprintPlanning[Requirement ID],0))),"",INDEX(SprintPlanning[Sprint],MATCH($A236,SprintPlanning[Requirement ID],0))),"")</f>
        <v/>
      </c>
      <c r="I236">
        <f>IFERROR(IF(ISBLANK(INDEX(Backlog[Status],MATCH($A236,Backlog[Requirement ID],0))),"",INDEX(Backlog[Status],MATCH($A236,Backlog[Requirement ID],0))),"")</f>
        <v/>
      </c>
      <c r="J236">
        <f>IFERROR(IF(ISBLANK(INDEX(Backlog[Priority],MATCH($A236,Backlog[Requirement ID],0))),"",INDEX(Backlog[Priority],MATCH($A236,Backlog[Requirement ID],0))),"")</f>
        <v/>
      </c>
      <c r="K236" s="33" t="n"/>
      <c r="L236" s="44" t="n"/>
      <c r="M236" s="44" t="n"/>
      <c r="N236" s="33" t="n"/>
      <c r="O236" s="44" t="n"/>
      <c r="P236" s="33" t="n"/>
      <c r="Q236" s="33" t="n"/>
    </row>
    <row r="237" ht="15" customHeight="1">
      <c r="A237" t="inlineStr">
        <is>
          <t>NEW-0415</t>
        </is>
      </c>
      <c r="B237">
        <f>IFERROR(IF(ISBLANK(INDEX(Backlog[Requirement Name],MATCH($A237,Backlog[Requirement ID],0))),"",INDEX(Backlog[Requirement Name],MATCH($A237,Backlog[Requirement ID],0))),"")</f>
        <v/>
      </c>
      <c r="C237">
        <f>IFERROR(IF(ISBLANK(INDEX(Backlog[Stream],MATCH($A237,Backlog[Requirement ID],0))),"",INDEX(Backlog[Stream],MATCH($A237,Backlog[Requirement ID],0))),"")</f>
        <v/>
      </c>
      <c r="D237">
        <f>IFERROR(IF(ISBLANK(INDEX(Backlog[Stream Owner],MATCH($A237,Backlog[Requirement ID],0))),"",INDEX(Backlog[Stream Owner],MATCH($A237,Backlog[Requirement ID],0))),"")</f>
        <v/>
      </c>
      <c r="E237">
        <f>IFERROR(IF(ISBLANK(INDEX(Backlog[Jira Link],MATCH($A237,Backlog[Requirement ID],0))),"",INDEX(Backlog[Jira Link],MATCH($A237,Backlog[Requirement ID],0))),"")</f>
        <v/>
      </c>
      <c r="F237" s="21" t="inlineStr">
        <is>
          <t>No</t>
        </is>
      </c>
      <c r="G237" s="21" t="inlineStr">
        <is>
          <t>No</t>
        </is>
      </c>
      <c r="H237">
        <f>IFERROR(IF(ISBLANK(INDEX(SprintPlanning[Sprint],MATCH($A237,SprintPlanning[Requirement ID],0))),"",INDEX(SprintPlanning[Sprint],MATCH($A237,SprintPlanning[Requirement ID],0))),"")</f>
        <v/>
      </c>
      <c r="I237">
        <f>IFERROR(IF(ISBLANK(INDEX(Backlog[Status],MATCH($A237,Backlog[Requirement ID],0))),"",INDEX(Backlog[Status],MATCH($A237,Backlog[Requirement ID],0))),"")</f>
        <v/>
      </c>
      <c r="J237">
        <f>IFERROR(IF(ISBLANK(INDEX(Backlog[Priority],MATCH($A237,Backlog[Requirement ID],0))),"",INDEX(Backlog[Priority],MATCH($A237,Backlog[Requirement ID],0))),"")</f>
        <v/>
      </c>
      <c r="K237" s="33" t="n"/>
      <c r="L237" s="44" t="n"/>
      <c r="M237" s="44" t="n"/>
      <c r="N237" s="33" t="n"/>
      <c r="O237" s="44" t="n"/>
      <c r="P237" s="33" t="n"/>
      <c r="Q237" s="33" t="n"/>
    </row>
    <row r="238" ht="15" customHeight="1">
      <c r="A238" t="inlineStr">
        <is>
          <t>NEW-0424</t>
        </is>
      </c>
      <c r="B238">
        <f>IFERROR(IF(ISBLANK(INDEX(Backlog[Requirement Name],MATCH($A238,Backlog[Requirement ID],0))),"",INDEX(Backlog[Requirement Name],MATCH($A238,Backlog[Requirement ID],0))),"")</f>
        <v/>
      </c>
      <c r="C238">
        <f>IFERROR(IF(ISBLANK(INDEX(Backlog[Stream],MATCH($A238,Backlog[Requirement ID],0))),"",INDEX(Backlog[Stream],MATCH($A238,Backlog[Requirement ID],0))),"")</f>
        <v/>
      </c>
      <c r="D238">
        <f>IFERROR(IF(ISBLANK(INDEX(Backlog[Stream Owner],MATCH($A238,Backlog[Requirement ID],0))),"",INDEX(Backlog[Stream Owner],MATCH($A238,Backlog[Requirement ID],0))),"")</f>
        <v/>
      </c>
      <c r="E238">
        <f>IFERROR(IF(ISBLANK(INDEX(Backlog[Jira Link],MATCH($A238,Backlog[Requirement ID],0))),"",INDEX(Backlog[Jira Link],MATCH($A238,Backlog[Requirement ID],0))),"")</f>
        <v/>
      </c>
      <c r="F238" s="21" t="inlineStr">
        <is>
          <t>Yes</t>
        </is>
      </c>
      <c r="G238" s="21" t="inlineStr">
        <is>
          <t>Yes</t>
        </is>
      </c>
      <c r="H238">
        <f>IFERROR(IF(ISBLANK(INDEX(SprintPlanning[Sprint],MATCH($A238,SprintPlanning[Requirement ID],0))),"",INDEX(SprintPlanning[Sprint],MATCH($A238,SprintPlanning[Requirement ID],0))),"")</f>
        <v/>
      </c>
      <c r="I238">
        <f>IFERROR(IF(ISBLANK(INDEX(Backlog[Status],MATCH($A238,Backlog[Requirement ID],0))),"",INDEX(Backlog[Status],MATCH($A238,Backlog[Requirement ID],0))),"")</f>
        <v/>
      </c>
      <c r="J238">
        <f>IFERROR(IF(ISBLANK(INDEX(Backlog[Priority],MATCH($A238,Backlog[Requirement ID],0))),"",INDEX(Backlog[Priority],MATCH($A238,Backlog[Requirement ID],0))),"")</f>
        <v/>
      </c>
      <c r="K238" s="33" t="n"/>
      <c r="L238" s="44" t="n"/>
      <c r="M238" s="44" t="n"/>
      <c r="N238" s="33" t="n"/>
      <c r="O238" s="44" t="n"/>
      <c r="P238" s="33" t="n"/>
      <c r="Q238" s="33" t="n"/>
    </row>
    <row r="239" ht="15" customHeight="1">
      <c r="A239" t="inlineStr">
        <is>
          <t>NEW-0425</t>
        </is>
      </c>
      <c r="B239">
        <f>IFERROR(IF(ISBLANK(INDEX(Backlog[Requirement Name],MATCH($A239,Backlog[Requirement ID],0))),"",INDEX(Backlog[Requirement Name],MATCH($A239,Backlog[Requirement ID],0))),"")</f>
        <v/>
      </c>
      <c r="C239">
        <f>IFERROR(IF(ISBLANK(INDEX(Backlog[Stream],MATCH($A239,Backlog[Requirement ID],0))),"",INDEX(Backlog[Stream],MATCH($A239,Backlog[Requirement ID],0))),"")</f>
        <v/>
      </c>
      <c r="D239">
        <f>IFERROR(IF(ISBLANK(INDEX(Backlog[Stream Owner],MATCH($A239,Backlog[Requirement ID],0))),"",INDEX(Backlog[Stream Owner],MATCH($A239,Backlog[Requirement ID],0))),"")</f>
        <v/>
      </c>
      <c r="E239">
        <f>IFERROR(IF(ISBLANK(INDEX(Backlog[Jira Link],MATCH($A239,Backlog[Requirement ID],0))),"",INDEX(Backlog[Jira Link],MATCH($A239,Backlog[Requirement ID],0))),"")</f>
        <v/>
      </c>
      <c r="F239" s="21" t="inlineStr">
        <is>
          <t>Yes</t>
        </is>
      </c>
      <c r="G239" s="21" t="inlineStr">
        <is>
          <t>Yes</t>
        </is>
      </c>
      <c r="H239">
        <f>IFERROR(IF(ISBLANK(INDEX(SprintPlanning[Sprint],MATCH($A239,SprintPlanning[Requirement ID],0))),"",INDEX(SprintPlanning[Sprint],MATCH($A239,SprintPlanning[Requirement ID],0))),"")</f>
        <v/>
      </c>
      <c r="I239">
        <f>IFERROR(IF(ISBLANK(INDEX(Backlog[Status],MATCH($A239,Backlog[Requirement ID],0))),"",INDEX(Backlog[Status],MATCH($A239,Backlog[Requirement ID],0))),"")</f>
        <v/>
      </c>
      <c r="J239">
        <f>IFERROR(IF(ISBLANK(INDEX(Backlog[Priority],MATCH($A239,Backlog[Requirement ID],0))),"",INDEX(Backlog[Priority],MATCH($A239,Backlog[Requirement ID],0))),"")</f>
        <v/>
      </c>
      <c r="K239" s="33" t="n"/>
      <c r="L239" s="44" t="n"/>
      <c r="M239" s="44" t="n"/>
      <c r="N239" s="33" t="n"/>
      <c r="O239" s="44" t="n"/>
      <c r="P239" s="33" t="n"/>
      <c r="Q239" s="33" t="n"/>
    </row>
    <row r="240" ht="15" customHeight="1">
      <c r="A240" t="inlineStr">
        <is>
          <t>NEW-0426</t>
        </is>
      </c>
      <c r="B240">
        <f>IFERROR(IF(ISBLANK(INDEX(Backlog[Requirement Name],MATCH($A240,Backlog[Requirement ID],0))),"",INDEX(Backlog[Requirement Name],MATCH($A240,Backlog[Requirement ID],0))),"")</f>
        <v/>
      </c>
      <c r="C240">
        <f>IFERROR(IF(ISBLANK(INDEX(Backlog[Stream],MATCH($A240,Backlog[Requirement ID],0))),"",INDEX(Backlog[Stream],MATCH($A240,Backlog[Requirement ID],0))),"")</f>
        <v/>
      </c>
      <c r="D240">
        <f>IFERROR(IF(ISBLANK(INDEX(Backlog[Stream Owner],MATCH($A240,Backlog[Requirement ID],0))),"",INDEX(Backlog[Stream Owner],MATCH($A240,Backlog[Requirement ID],0))),"")</f>
        <v/>
      </c>
      <c r="E240">
        <f>IFERROR(IF(ISBLANK(INDEX(Backlog[Jira Link],MATCH($A240,Backlog[Requirement ID],0))),"",INDEX(Backlog[Jira Link],MATCH($A240,Backlog[Requirement ID],0))),"")</f>
        <v/>
      </c>
      <c r="F240" t="inlineStr">
        <is>
          <t>Yes</t>
        </is>
      </c>
      <c r="G240" t="inlineStr">
        <is>
          <t>Yes</t>
        </is>
      </c>
      <c r="H240">
        <f>IFERROR(IF(ISBLANK(INDEX(SprintPlanning[Sprint],MATCH($A240,SprintPlanning[Requirement ID],0))),"",INDEX(SprintPlanning[Sprint],MATCH($A240,SprintPlanning[Requirement ID],0))),"")</f>
        <v/>
      </c>
      <c r="I240">
        <f>IFERROR(IF(ISBLANK(INDEX(Backlog[Status],MATCH($A240,Backlog[Requirement ID],0))),"",INDEX(Backlog[Status],MATCH($A240,Backlog[Requirement ID],0))),"")</f>
        <v/>
      </c>
      <c r="J240">
        <f>IFERROR(IF(ISBLANK(INDEX(Backlog[Priority],MATCH($A240,Backlog[Requirement ID],0))),"",INDEX(Backlog[Priority],MATCH($A240,Backlog[Requirement ID],0))),"")</f>
        <v/>
      </c>
    </row>
    <row r="241" ht="15" customHeight="1">
      <c r="A241" t="inlineStr">
        <is>
          <t>NEW-0427</t>
        </is>
      </c>
      <c r="B241">
        <f>IFERROR(IF(ISBLANK(INDEX(Backlog[Requirement Name],MATCH($A241,Backlog[Requirement ID],0))),"",INDEX(Backlog[Requirement Name],MATCH($A241,Backlog[Requirement ID],0))),"")</f>
        <v/>
      </c>
      <c r="C241">
        <f>IFERROR(IF(ISBLANK(INDEX(Backlog[Stream],MATCH($A241,Backlog[Requirement ID],0))),"",INDEX(Backlog[Stream],MATCH($A241,Backlog[Requirement ID],0))),"")</f>
        <v/>
      </c>
      <c r="D241">
        <f>IFERROR(IF(ISBLANK(INDEX(Backlog[Stream Owner],MATCH($A241,Backlog[Requirement ID],0))),"",INDEX(Backlog[Stream Owner],MATCH($A241,Backlog[Requirement ID],0))),"")</f>
        <v/>
      </c>
      <c r="E241">
        <f>IFERROR(IF(ISBLANK(INDEX(Backlog[Jira Link],MATCH($A241,Backlog[Requirement ID],0))),"",INDEX(Backlog[Jira Link],MATCH($A241,Backlog[Requirement ID],0))),"")</f>
        <v/>
      </c>
      <c r="F241" t="inlineStr">
        <is>
          <t>Yes</t>
        </is>
      </c>
      <c r="G241" t="inlineStr">
        <is>
          <t>Yes</t>
        </is>
      </c>
      <c r="H241">
        <f>IFERROR(IF(ISBLANK(INDEX(SprintPlanning[Sprint],MATCH($A241,SprintPlanning[Requirement ID],0))),"",INDEX(SprintPlanning[Sprint],MATCH($A241,SprintPlanning[Requirement ID],0))),"")</f>
        <v/>
      </c>
      <c r="I241">
        <f>IFERROR(IF(ISBLANK(INDEX(Backlog[Status],MATCH($A241,Backlog[Requirement ID],0))),"",INDEX(Backlog[Status],MATCH($A241,Backlog[Requirement ID],0))),"")</f>
        <v/>
      </c>
      <c r="J241">
        <f>IFERROR(IF(ISBLANK(INDEX(Backlog[Priority],MATCH($A241,Backlog[Requirement ID],0))),"",INDEX(Backlog[Priority],MATCH($A241,Backlog[Requirement ID],0))),"")</f>
        <v/>
      </c>
    </row>
    <row r="242" ht="15" customHeight="1">
      <c r="A242" t="inlineStr">
        <is>
          <t>NEW-0428</t>
        </is>
      </c>
      <c r="B242">
        <f>IFERROR(IF(ISBLANK(INDEX(Backlog[Requirement Name],MATCH($A242,Backlog[Requirement ID],0))),"",INDEX(Backlog[Requirement Name],MATCH($A242,Backlog[Requirement ID],0))),"")</f>
        <v/>
      </c>
      <c r="C242">
        <f>IFERROR(IF(ISBLANK(INDEX(Backlog[Stream],MATCH($A242,Backlog[Requirement ID],0))),"",INDEX(Backlog[Stream],MATCH($A242,Backlog[Requirement ID],0))),"")</f>
        <v/>
      </c>
      <c r="D242">
        <f>IFERROR(IF(ISBLANK(INDEX(Backlog[Stream Owner],MATCH($A242,Backlog[Requirement ID],0))),"",INDEX(Backlog[Stream Owner],MATCH($A242,Backlog[Requirement ID],0))),"")</f>
        <v/>
      </c>
      <c r="E242">
        <f>IFERROR(IF(ISBLANK(INDEX(Backlog[Jira Link],MATCH($A242,Backlog[Requirement ID],0))),"",INDEX(Backlog[Jira Link],MATCH($A242,Backlog[Requirement ID],0))),"")</f>
        <v/>
      </c>
      <c r="F242" t="inlineStr">
        <is>
          <t>Yes</t>
        </is>
      </c>
      <c r="G242" t="inlineStr">
        <is>
          <t>Yes</t>
        </is>
      </c>
      <c r="H242">
        <f>IFERROR(IF(ISBLANK(INDEX(SprintPlanning[Sprint],MATCH($A242,SprintPlanning[Requirement ID],0))),"",INDEX(SprintPlanning[Sprint],MATCH($A242,SprintPlanning[Requirement ID],0))),"")</f>
        <v/>
      </c>
      <c r="I242">
        <f>IFERROR(IF(ISBLANK(INDEX(Backlog[Status],MATCH($A242,Backlog[Requirement ID],0))),"",INDEX(Backlog[Status],MATCH($A242,Backlog[Requirement ID],0))),"")</f>
        <v/>
      </c>
      <c r="J242">
        <f>IFERROR(IF(ISBLANK(INDEX(Backlog[Priority],MATCH($A242,Backlog[Requirement ID],0))),"",INDEX(Backlog[Priority],MATCH($A242,Backlog[Requirement ID],0))),"")</f>
        <v/>
      </c>
    </row>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sheetData>
  <conditionalFormatting sqref="A2:Q1000">
    <cfRule type="expression" priority="2" dxfId="7">
      <formula>$C2="US"</formula>
    </cfRule>
    <cfRule type="expression" priority="3" dxfId="6">
      <formula>$C2="MyMSC"</formula>
    </cfRule>
    <cfRule type="expression" priority="4" dxfId="4">
      <formula>$C2="Rollout"</formula>
    </cfRule>
    <cfRule type="expression" priority="5" dxfId="4">
      <formula>$C2="MVP Rollout"</formula>
    </cfRule>
    <cfRule type="expression" priority="6" dxfId="2">
      <formula>$C2="Backlog"</formula>
    </cfRule>
    <cfRule type="expression" priority="7" dxfId="2">
      <formula>$C2="Growth"</formula>
    </cfRule>
    <cfRule type="expression" priority="8" dxfId="1">
      <formula>$C2="Tech Enhancements"</formula>
    </cfRule>
    <cfRule type="expression" priority="9" dxfId="0">
      <formula>LEFT($C2,2)="PI"</formula>
    </cfRule>
  </conditionalFormatting>
  <dataValidations count="1">
    <dataValidation sqref="F2:G500" showDropDown="0" showInputMessage="0" showErrorMessage="0" allowBlank="1" type="list">
      <formula1>"Yes,No,NA"</formula1>
      <formula2>0</formula2>
    </dataValidation>
  </dataValidations>
  <hyperlinks>
    <hyperlink xmlns:r="http://schemas.openxmlformats.org/officeDocument/2006/relationships" ref="O4" r:id="rId1"/>
  </hyperlinks>
  <pageMargins left="0.75" right="0.75" top="1" bottom="1" header="0.511811023622047" footer="0.511811023622047"/>
  <pageSetup orientation="portrait" paperSize="9" horizontalDpi="300" verticalDpi="300"/>
  <tableParts count="1">
    <tablePart xmlns:r="http://schemas.openxmlformats.org/officeDocument/2006/relationships" r:id="rId2"/>
  </tableParts>
</worksheet>
</file>

<file path=xl/worksheets/sheet5.xml><?xml version="1.0" encoding="utf-8"?>
<worksheet xmlns="http://schemas.openxmlformats.org/spreadsheetml/2006/main">
  <sheetPr>
    <outlinePr summaryBelow="1" summaryRight="1"/>
    <pageSetUpPr/>
  </sheetPr>
  <dimension ref="A1:J242"/>
  <sheetViews>
    <sheetView zoomScaleNormal="100" workbookViewId="0">
      <pane ySplit="1" topLeftCell="A8" activePane="bottomLeft" state="frozen"/>
      <selection pane="bottomLeft" activeCell="J43" sqref="J43"/>
    </sheetView>
  </sheetViews>
  <sheetFormatPr baseColWidth="10" defaultColWidth="8.6640625" defaultRowHeight="15"/>
  <cols>
    <col width="16" customWidth="1" min="1" max="1"/>
    <col width="78" customWidth="1" min="2" max="2"/>
    <col width="12" customWidth="1" min="3" max="4"/>
    <col width="14" customWidth="1" min="5" max="6"/>
    <col width="8" customWidth="1" min="7" max="7"/>
    <col hidden="1" width="10.33203125" customWidth="1" min="8" max="8"/>
    <col width="14" customWidth="1" min="9" max="9"/>
    <col width="12" customWidth="1" min="10" max="10"/>
  </cols>
  <sheetData>
    <row r="1" ht="30" customHeight="1">
      <c r="A1" s="19" t="inlineStr">
        <is>
          <t>Requirement ID</t>
        </is>
      </c>
      <c r="B1" s="20" t="inlineStr">
        <is>
          <t>Requirement Name</t>
        </is>
      </c>
      <c r="C1" s="20" t="inlineStr">
        <is>
          <t>Stream</t>
        </is>
      </c>
      <c r="D1" s="20" t="inlineStr">
        <is>
          <t>Priority</t>
        </is>
      </c>
      <c r="E1" s="20" t="inlineStr">
        <is>
          <t>Status</t>
        </is>
      </c>
      <c r="F1" s="19" t="inlineStr">
        <is>
          <t>Sprint</t>
        </is>
      </c>
      <c r="G1" s="20" t="inlineStr">
        <is>
          <t>HLE</t>
        </is>
      </c>
      <c r="H1" s="20" t="inlineStr">
        <is>
          <t>Sort Key</t>
        </is>
      </c>
      <c r="I1" s="3" t="inlineStr">
        <is>
          <t>Total HLE by Sprint</t>
        </is>
      </c>
      <c r="J1" s="58" t="n"/>
    </row>
    <row r="2" ht="15" customHeight="1">
      <c r="A2" s="21" t="inlineStr">
        <is>
          <t>NEW-0001</t>
        </is>
      </c>
      <c r="B2" s="23">
        <f>IFERROR(IF(ISBLANK(INDEX(Backlog[Requirement Name],MATCH($A2,Backlog[Requirement ID],0))),"",INDEX(Backlog[Requirement Name],MATCH($A2,Backlog[Requirement ID],0))),"")</f>
        <v/>
      </c>
      <c r="C2" s="23">
        <f>IFERROR(IF(ISBLANK(INDEX(Backlog[Stream],MATCH($A2,Backlog[Requirement ID],0))),"",INDEX(Backlog[Stream],MATCH($A2,Backlog[Requirement ID],0))),"")</f>
        <v/>
      </c>
      <c r="D2" s="23">
        <f>IFERROR(IF(ISBLANK(INDEX(Backlog[Priority],MATCH($A2,Backlog[Requirement ID],0))),"",INDEX(Backlog[Priority],MATCH($A2,Backlog[Requirement ID],0))),"")</f>
        <v/>
      </c>
      <c r="E2" s="23">
        <f>IFERROR(IF(ISBLANK(INDEX(Backlog[Status],MATCH($A2,Backlog[Requirement ID],0))),"",INDEX(Backlog[Status],MATCH($A2,Backlog[Requirement ID],0))),"")</f>
        <v/>
      </c>
      <c r="F2" s="21" t="inlineStr">
        <is>
          <t>Sprint 12</t>
        </is>
      </c>
      <c r="G2" s="23">
        <f>IFERROR(IF(ISBLANK(INDEX(Backlog[HLE],MATCH($A2,Backlog[Requirement ID],0))),"",INDEX(Backlog[HLE],MATCH($A2,Backlog[Requirement ID],0))),"")</f>
        <v/>
      </c>
      <c r="H2" s="45">
        <f>IFERROR(VALUE(SUBSTITUTE($F2,"Sprint ","")),9999)</f>
        <v/>
      </c>
      <c r="I2" s="46" t="inlineStr">
        <is>
          <t>Sprint</t>
        </is>
      </c>
      <c r="J2" s="46" t="inlineStr">
        <is>
          <t>Total HLE</t>
        </is>
      </c>
    </row>
    <row r="3" ht="15" customHeight="1">
      <c r="A3" s="21" t="inlineStr">
        <is>
          <t>NEW-0002</t>
        </is>
      </c>
      <c r="B3" s="23">
        <f>IFERROR(IF(ISBLANK(INDEX(Backlog[Requirement Name],MATCH($A3,Backlog[Requirement ID],0))),"",INDEX(Backlog[Requirement Name],MATCH($A3,Backlog[Requirement ID],0))),"")</f>
        <v/>
      </c>
      <c r="C3" s="23">
        <f>IFERROR(IF(ISBLANK(INDEX(Backlog[Stream],MATCH($A3,Backlog[Requirement ID],0))),"",INDEX(Backlog[Stream],MATCH($A3,Backlog[Requirement ID],0))),"")</f>
        <v/>
      </c>
      <c r="D3" s="23">
        <f>IFERROR(IF(ISBLANK(INDEX(Backlog[Priority],MATCH($A3,Backlog[Requirement ID],0))),"",INDEX(Backlog[Priority],MATCH($A3,Backlog[Requirement ID],0))),"")</f>
        <v/>
      </c>
      <c r="E3" s="23">
        <f>IFERROR(IF(ISBLANK(INDEX(Backlog[Status],MATCH($A3,Backlog[Requirement ID],0))),"",INDEX(Backlog[Status],MATCH($A3,Backlog[Requirement ID],0))),"")</f>
        <v/>
      </c>
      <c r="F3" s="21" t="inlineStr">
        <is>
          <t>To Plan</t>
        </is>
      </c>
      <c r="G3" s="23">
        <f>IFERROR(IF(ISBLANK(INDEX(Backlog[HLE],MATCH($A3,Backlog[Requirement ID],0))),"",INDEX(Backlog[HLE],MATCH($A3,Backlog[Requirement ID],0))),"")</f>
        <v/>
      </c>
      <c r="H3" s="45">
        <f>IFERROR(VALUE(SUBSTITUTE($F3,"Sprint ","")),9999)</f>
        <v/>
      </c>
      <c r="I3" s="47" t="inlineStr">
        <is>
          <t>Sprint 1</t>
        </is>
      </c>
      <c r="J3" s="47">
        <f>SUMIFS(SprintPlanning[HLE],SprintPlanning[Sprint],I3)</f>
        <v/>
      </c>
    </row>
    <row r="4" ht="15" customHeight="1">
      <c r="A4" s="21" t="inlineStr">
        <is>
          <t>NEW-0003</t>
        </is>
      </c>
      <c r="B4" s="23">
        <f>IFERROR(IF(ISBLANK(INDEX(Backlog[Requirement Name],MATCH($A4,Backlog[Requirement ID],0))),"",INDEX(Backlog[Requirement Name],MATCH($A4,Backlog[Requirement ID],0))),"")</f>
        <v/>
      </c>
      <c r="C4" s="23">
        <f>IFERROR(IF(ISBLANK(INDEX(Backlog[Stream],MATCH($A4,Backlog[Requirement ID],0))),"",INDEX(Backlog[Stream],MATCH($A4,Backlog[Requirement ID],0))),"")</f>
        <v/>
      </c>
      <c r="D4" s="23">
        <f>IFERROR(IF(ISBLANK(INDEX(Backlog[Priority],MATCH($A4,Backlog[Requirement ID],0))),"",INDEX(Backlog[Priority],MATCH($A4,Backlog[Requirement ID],0))),"")</f>
        <v/>
      </c>
      <c r="E4" s="23">
        <f>IFERROR(IF(ISBLANK(INDEX(Backlog[Status],MATCH($A4,Backlog[Requirement ID],0))),"",INDEX(Backlog[Status],MATCH($A4,Backlog[Requirement ID],0))),"")</f>
        <v/>
      </c>
      <c r="F4" s="21" t="inlineStr">
        <is>
          <t>Sprint 12</t>
        </is>
      </c>
      <c r="G4" s="23">
        <f>IFERROR(IF(ISBLANK(INDEX(Backlog[HLE],MATCH($A4,Backlog[Requirement ID],0))),"",INDEX(Backlog[HLE],MATCH($A4,Backlog[Requirement ID],0))),"")</f>
        <v/>
      </c>
      <c r="H4" s="45">
        <f>IFERROR(VALUE(SUBSTITUTE($F4,"Sprint ","")),9999)</f>
        <v/>
      </c>
      <c r="I4" s="47" t="inlineStr">
        <is>
          <t>Sprint 2</t>
        </is>
      </c>
      <c r="J4" s="47">
        <f>SUMIFS(SprintPlanning[HLE],SprintPlanning[Sprint],I4)</f>
        <v/>
      </c>
    </row>
    <row r="5" ht="15" customHeight="1">
      <c r="A5" s="21" t="inlineStr">
        <is>
          <t>NEW-0005</t>
        </is>
      </c>
      <c r="B5" s="23">
        <f>IFERROR(IF(ISBLANK(INDEX(Backlog[Requirement Name],MATCH($A5,Backlog[Requirement ID],0))),"",INDEX(Backlog[Requirement Name],MATCH($A5,Backlog[Requirement ID],0))),"")</f>
        <v/>
      </c>
      <c r="C5" s="23">
        <f>IFERROR(IF(ISBLANK(INDEX(Backlog[Stream],MATCH($A5,Backlog[Requirement ID],0))),"",INDEX(Backlog[Stream],MATCH($A5,Backlog[Requirement ID],0))),"")</f>
        <v/>
      </c>
      <c r="D5" s="23">
        <f>IFERROR(IF(ISBLANK(INDEX(Backlog[Priority],MATCH($A5,Backlog[Requirement ID],0))),"",INDEX(Backlog[Priority],MATCH($A5,Backlog[Requirement ID],0))),"")</f>
        <v/>
      </c>
      <c r="E5" s="23">
        <f>IFERROR(IF(ISBLANK(INDEX(Backlog[Status],MATCH($A5,Backlog[Requirement ID],0))),"",INDEX(Backlog[Status],MATCH($A5,Backlog[Requirement ID],0))),"")</f>
        <v/>
      </c>
      <c r="F5" s="21" t="inlineStr">
        <is>
          <t>To Plan</t>
        </is>
      </c>
      <c r="G5" s="23">
        <f>IFERROR(IF(ISBLANK(INDEX(Backlog[HLE],MATCH($A5,Backlog[Requirement ID],0))),"",INDEX(Backlog[HLE],MATCH($A5,Backlog[Requirement ID],0))),"")</f>
        <v/>
      </c>
      <c r="H5" s="45">
        <f>IFERROR(VALUE(SUBSTITUTE($F5,"Sprint ","")),9999)</f>
        <v/>
      </c>
      <c r="I5" s="47" t="inlineStr">
        <is>
          <t>Sprint 3</t>
        </is>
      </c>
      <c r="J5" s="47">
        <f>SUMIFS(SprintPlanning[HLE],SprintPlanning[Sprint],I5)</f>
        <v/>
      </c>
    </row>
    <row r="6" ht="15" customHeight="1">
      <c r="A6" s="21" t="inlineStr">
        <is>
          <t>NEW-0006</t>
        </is>
      </c>
      <c r="B6" s="23">
        <f>IFERROR(IF(ISBLANK(INDEX(Backlog[Requirement Name],MATCH($A6,Backlog[Requirement ID],0))),"",INDEX(Backlog[Requirement Name],MATCH($A6,Backlog[Requirement ID],0))),"")</f>
        <v/>
      </c>
      <c r="C6" s="23">
        <f>IFERROR(IF(ISBLANK(INDEX(Backlog[Stream],MATCH($A6,Backlog[Requirement ID],0))),"",INDEX(Backlog[Stream],MATCH($A6,Backlog[Requirement ID],0))),"")</f>
        <v/>
      </c>
      <c r="D6" s="23">
        <f>IFERROR(IF(ISBLANK(INDEX(Backlog[Priority],MATCH($A6,Backlog[Requirement ID],0))),"",INDEX(Backlog[Priority],MATCH($A6,Backlog[Requirement ID],0))),"")</f>
        <v/>
      </c>
      <c r="E6" s="23">
        <f>IFERROR(IF(ISBLANK(INDEX(Backlog[Status],MATCH($A6,Backlog[Requirement ID],0))),"",INDEX(Backlog[Status],MATCH($A6,Backlog[Requirement ID],0))),"")</f>
        <v/>
      </c>
      <c r="F6" s="21" t="inlineStr">
        <is>
          <t>To Plan</t>
        </is>
      </c>
      <c r="G6" s="23">
        <f>IFERROR(IF(ISBLANK(INDEX(Backlog[HLE],MATCH($A6,Backlog[Requirement ID],0))),"",INDEX(Backlog[HLE],MATCH($A6,Backlog[Requirement ID],0))),"")</f>
        <v/>
      </c>
      <c r="H6" s="45">
        <f>IFERROR(VALUE(SUBSTITUTE($F6,"Sprint ","")),9999)</f>
        <v/>
      </c>
      <c r="I6" s="47" t="inlineStr">
        <is>
          <t>Sprint 4</t>
        </is>
      </c>
      <c r="J6" s="47">
        <f>SUMIFS(SprintPlanning[HLE],SprintPlanning[Sprint],I6)</f>
        <v/>
      </c>
    </row>
    <row r="7" ht="15" customHeight="1">
      <c r="A7" s="21" t="inlineStr">
        <is>
          <t>NEW-0007</t>
        </is>
      </c>
      <c r="B7" s="23">
        <f>IFERROR(IF(ISBLANK(INDEX(Backlog[Requirement Name],MATCH($A7,Backlog[Requirement ID],0))),"",INDEX(Backlog[Requirement Name],MATCH($A7,Backlog[Requirement ID],0))),"")</f>
        <v/>
      </c>
      <c r="C7" s="23">
        <f>IFERROR(IF(ISBLANK(INDEX(Backlog[Stream],MATCH($A7,Backlog[Requirement ID],0))),"",INDEX(Backlog[Stream],MATCH($A7,Backlog[Requirement ID],0))),"")</f>
        <v/>
      </c>
      <c r="D7" s="23">
        <f>IFERROR(IF(ISBLANK(INDEX(Backlog[Priority],MATCH($A7,Backlog[Requirement ID],0))),"",INDEX(Backlog[Priority],MATCH($A7,Backlog[Requirement ID],0))),"")</f>
        <v/>
      </c>
      <c r="E7" s="23">
        <f>IFERROR(IF(ISBLANK(INDEX(Backlog[Status],MATCH($A7,Backlog[Requirement ID],0))),"",INDEX(Backlog[Status],MATCH($A7,Backlog[Requirement ID],0))),"")</f>
        <v/>
      </c>
      <c r="F7" s="21" t="inlineStr">
        <is>
          <t>To Plan</t>
        </is>
      </c>
      <c r="G7" s="23">
        <f>IFERROR(IF(ISBLANK(INDEX(Backlog[HLE],MATCH($A7,Backlog[Requirement ID],0))),"",INDEX(Backlog[HLE],MATCH($A7,Backlog[Requirement ID],0))),"")</f>
        <v/>
      </c>
      <c r="H7" s="45">
        <f>IFERROR(VALUE(SUBSTITUTE($F7,"Sprint ","")),9999)</f>
        <v/>
      </c>
      <c r="I7" s="47" t="inlineStr">
        <is>
          <t>Sprint 5</t>
        </is>
      </c>
      <c r="J7" s="47">
        <f>SUMIFS(SprintPlanning[HLE],SprintPlanning[Sprint],I7)</f>
        <v/>
      </c>
    </row>
    <row r="8" ht="15" customHeight="1">
      <c r="A8" s="21" t="inlineStr">
        <is>
          <t>NEW-0011</t>
        </is>
      </c>
      <c r="B8" s="23">
        <f>IFERROR(IF(ISBLANK(INDEX(Backlog[Requirement Name],MATCH($A8,Backlog[Requirement ID],0))),"",INDEX(Backlog[Requirement Name],MATCH($A8,Backlog[Requirement ID],0))),"")</f>
        <v/>
      </c>
      <c r="C8" s="23">
        <f>IFERROR(IF(ISBLANK(INDEX(Backlog[Stream],MATCH($A8,Backlog[Requirement ID],0))),"",INDEX(Backlog[Stream],MATCH($A8,Backlog[Requirement ID],0))),"")</f>
        <v/>
      </c>
      <c r="D8" s="23">
        <f>IFERROR(IF(ISBLANK(INDEX(Backlog[Priority],MATCH($A8,Backlog[Requirement ID],0))),"",INDEX(Backlog[Priority],MATCH($A8,Backlog[Requirement ID],0))),"")</f>
        <v/>
      </c>
      <c r="E8" s="23">
        <f>IFERROR(IF(ISBLANK(INDEX(Backlog[Status],MATCH($A8,Backlog[Requirement ID],0))),"",INDEX(Backlog[Status],MATCH($A8,Backlog[Requirement ID],0))),"")</f>
        <v/>
      </c>
      <c r="F8" s="21" t="inlineStr">
        <is>
          <t>To Plan</t>
        </is>
      </c>
      <c r="G8" s="23">
        <f>IFERROR(IF(ISBLANK(INDEX(Backlog[HLE],MATCH($A8,Backlog[Requirement ID],0))),"",INDEX(Backlog[HLE],MATCH($A8,Backlog[Requirement ID],0))),"")</f>
        <v/>
      </c>
      <c r="H8" s="45">
        <f>IFERROR(VALUE(SUBSTITUTE($F8,"Sprint ","")),9999)</f>
        <v/>
      </c>
      <c r="I8" s="47" t="inlineStr">
        <is>
          <t>Sprint 6</t>
        </is>
      </c>
      <c r="J8" s="47">
        <f>SUMIFS(SprintPlanning[HLE],SprintPlanning[Sprint],I8)</f>
        <v/>
      </c>
    </row>
    <row r="9" ht="15" customHeight="1">
      <c r="A9" s="21" t="inlineStr">
        <is>
          <t>NEW-0012</t>
        </is>
      </c>
      <c r="B9" s="23">
        <f>IFERROR(IF(ISBLANK(INDEX(Backlog[Requirement Name],MATCH($A9,Backlog[Requirement ID],0))),"",INDEX(Backlog[Requirement Name],MATCH($A9,Backlog[Requirement ID],0))),"")</f>
        <v/>
      </c>
      <c r="C9" s="23">
        <f>IFERROR(IF(ISBLANK(INDEX(Backlog[Stream],MATCH($A9,Backlog[Requirement ID],0))),"",INDEX(Backlog[Stream],MATCH($A9,Backlog[Requirement ID],0))),"")</f>
        <v/>
      </c>
      <c r="D9" s="23">
        <f>IFERROR(IF(ISBLANK(INDEX(Backlog[Priority],MATCH($A9,Backlog[Requirement ID],0))),"",INDEX(Backlog[Priority],MATCH($A9,Backlog[Requirement ID],0))),"")</f>
        <v/>
      </c>
      <c r="E9" s="23">
        <f>IFERROR(IF(ISBLANK(INDEX(Backlog[Status],MATCH($A9,Backlog[Requirement ID],0))),"",INDEX(Backlog[Status],MATCH($A9,Backlog[Requirement ID],0))),"")</f>
        <v/>
      </c>
      <c r="F9" s="21" t="inlineStr">
        <is>
          <t>Sprint 8</t>
        </is>
      </c>
      <c r="G9" s="23">
        <f>IFERROR(IF(ISBLANK(INDEX(Backlog[HLE],MATCH($A9,Backlog[Requirement ID],0))),"",INDEX(Backlog[HLE],MATCH($A9,Backlog[Requirement ID],0))),"")</f>
        <v/>
      </c>
      <c r="H9" s="45">
        <f>IFERROR(VALUE(SUBSTITUTE($F9,"Sprint ","")),9999)</f>
        <v/>
      </c>
      <c r="I9" s="47" t="inlineStr">
        <is>
          <t>Sprint 7</t>
        </is>
      </c>
      <c r="J9" s="47">
        <f>SUMIFS(SprintPlanning[HLE],SprintPlanning[Sprint],I9)</f>
        <v/>
      </c>
    </row>
    <row r="10" ht="15" customHeight="1">
      <c r="A10" s="21" t="inlineStr">
        <is>
          <t>NEW-0015</t>
        </is>
      </c>
      <c r="B10" s="23">
        <f>IFERROR(IF(ISBLANK(INDEX(Backlog[Requirement Name],MATCH($A10,Backlog[Requirement ID],0))),"",INDEX(Backlog[Requirement Name],MATCH($A10,Backlog[Requirement ID],0))),"")</f>
        <v/>
      </c>
      <c r="C10" s="23">
        <f>IFERROR(IF(ISBLANK(INDEX(Backlog[Stream],MATCH($A10,Backlog[Requirement ID],0))),"",INDEX(Backlog[Stream],MATCH($A10,Backlog[Requirement ID],0))),"")</f>
        <v/>
      </c>
      <c r="D10" s="23">
        <f>IFERROR(IF(ISBLANK(INDEX(Backlog[Priority],MATCH($A10,Backlog[Requirement ID],0))),"",INDEX(Backlog[Priority],MATCH($A10,Backlog[Requirement ID],0))),"")</f>
        <v/>
      </c>
      <c r="E10" s="23">
        <f>IFERROR(IF(ISBLANK(INDEX(Backlog[Status],MATCH($A10,Backlog[Requirement ID],0))),"",INDEX(Backlog[Status],MATCH($A10,Backlog[Requirement ID],0))),"")</f>
        <v/>
      </c>
      <c r="F10" s="21" t="inlineStr">
        <is>
          <t>Sprint 8</t>
        </is>
      </c>
      <c r="G10" s="23">
        <f>IFERROR(IF(ISBLANK(INDEX(Backlog[HLE],MATCH($A10,Backlog[Requirement ID],0))),"",INDEX(Backlog[HLE],MATCH($A10,Backlog[Requirement ID],0))),"")</f>
        <v/>
      </c>
      <c r="H10" s="45">
        <f>IFERROR(VALUE(SUBSTITUTE($F10,"Sprint ","")),9999)</f>
        <v/>
      </c>
      <c r="I10" s="47" t="inlineStr">
        <is>
          <t>Sprint 8</t>
        </is>
      </c>
      <c r="J10" s="47">
        <f>SUMIFS(SprintPlanning[HLE],SprintPlanning[Sprint],I10)</f>
        <v/>
      </c>
    </row>
    <row r="11" ht="15" customHeight="1">
      <c r="A11" s="21" t="inlineStr">
        <is>
          <t>NEW-0016</t>
        </is>
      </c>
      <c r="B11" s="23">
        <f>IFERROR(IF(ISBLANK(INDEX(Backlog[Requirement Name],MATCH($A11,Backlog[Requirement ID],0))),"",INDEX(Backlog[Requirement Name],MATCH($A11,Backlog[Requirement ID],0))),"")</f>
        <v/>
      </c>
      <c r="C11" s="23">
        <f>IFERROR(IF(ISBLANK(INDEX(Backlog[Stream],MATCH($A11,Backlog[Requirement ID],0))),"",INDEX(Backlog[Stream],MATCH($A11,Backlog[Requirement ID],0))),"")</f>
        <v/>
      </c>
      <c r="D11" s="23">
        <f>IFERROR(IF(ISBLANK(INDEX(Backlog[Priority],MATCH($A11,Backlog[Requirement ID],0))),"",INDEX(Backlog[Priority],MATCH($A11,Backlog[Requirement ID],0))),"")</f>
        <v/>
      </c>
      <c r="E11" s="23">
        <f>IFERROR(IF(ISBLANK(INDEX(Backlog[Status],MATCH($A11,Backlog[Requirement ID],0))),"",INDEX(Backlog[Status],MATCH($A11,Backlog[Requirement ID],0))),"")</f>
        <v/>
      </c>
      <c r="F11" s="21" t="inlineStr">
        <is>
          <t>To Plan</t>
        </is>
      </c>
      <c r="G11" s="23">
        <f>IFERROR(IF(ISBLANK(INDEX(Backlog[HLE],MATCH($A11,Backlog[Requirement ID],0))),"",INDEX(Backlog[HLE],MATCH($A11,Backlog[Requirement ID],0))),"")</f>
        <v/>
      </c>
      <c r="H11" s="45">
        <f>IFERROR(VALUE(SUBSTITUTE($F11,"Sprint ","")),9999)</f>
        <v/>
      </c>
      <c r="I11" s="47" t="inlineStr">
        <is>
          <t>Sprint 9</t>
        </is>
      </c>
      <c r="J11" s="47">
        <f>SUMIFS(SprintPlanning[HLE],SprintPlanning[Sprint],I11)</f>
        <v/>
      </c>
    </row>
    <row r="12" ht="15" customHeight="1">
      <c r="A12" s="21" t="inlineStr">
        <is>
          <t>NEW-0017</t>
        </is>
      </c>
      <c r="B12" s="23">
        <f>IFERROR(IF(ISBLANK(INDEX(Backlog[Requirement Name],MATCH($A12,Backlog[Requirement ID],0))),"",INDEX(Backlog[Requirement Name],MATCH($A12,Backlog[Requirement ID],0))),"")</f>
        <v/>
      </c>
      <c r="C12" s="23">
        <f>IFERROR(IF(ISBLANK(INDEX(Backlog[Stream],MATCH($A12,Backlog[Requirement ID],0))),"",INDEX(Backlog[Stream],MATCH($A12,Backlog[Requirement ID],0))),"")</f>
        <v/>
      </c>
      <c r="D12" s="23">
        <f>IFERROR(IF(ISBLANK(INDEX(Backlog[Priority],MATCH($A12,Backlog[Requirement ID],0))),"",INDEX(Backlog[Priority],MATCH($A12,Backlog[Requirement ID],0))),"")</f>
        <v/>
      </c>
      <c r="E12" s="23">
        <f>IFERROR(IF(ISBLANK(INDEX(Backlog[Status],MATCH($A12,Backlog[Requirement ID],0))),"",INDEX(Backlog[Status],MATCH($A12,Backlog[Requirement ID],0))),"")</f>
        <v/>
      </c>
      <c r="F12" s="21" t="inlineStr">
        <is>
          <t>To Plan</t>
        </is>
      </c>
      <c r="G12" s="23">
        <f>IFERROR(IF(ISBLANK(INDEX(Backlog[HLE],MATCH($A12,Backlog[Requirement ID],0))),"",INDEX(Backlog[HLE],MATCH($A12,Backlog[Requirement ID],0))),"")</f>
        <v/>
      </c>
      <c r="H12" s="45">
        <f>IFERROR(VALUE(SUBSTITUTE($F12,"Sprint ","")),9999)</f>
        <v/>
      </c>
      <c r="I12" s="47" t="inlineStr">
        <is>
          <t>Sprint 10</t>
        </is>
      </c>
      <c r="J12" s="47">
        <f>SUMIFS(SprintPlanning[HLE],SprintPlanning[Sprint],I12)</f>
        <v/>
      </c>
    </row>
    <row r="13" ht="15" customHeight="1">
      <c r="A13" s="21" t="inlineStr">
        <is>
          <t>NEW-0018</t>
        </is>
      </c>
      <c r="B13" s="23">
        <f>IFERROR(IF(ISBLANK(INDEX(Backlog[Requirement Name],MATCH($A13,Backlog[Requirement ID],0))),"",INDEX(Backlog[Requirement Name],MATCH($A13,Backlog[Requirement ID],0))),"")</f>
        <v/>
      </c>
      <c r="C13" s="23">
        <f>IFERROR(IF(ISBLANK(INDEX(Backlog[Stream],MATCH($A13,Backlog[Requirement ID],0))),"",INDEX(Backlog[Stream],MATCH($A13,Backlog[Requirement ID],0))),"")</f>
        <v/>
      </c>
      <c r="D13" s="23">
        <f>IFERROR(IF(ISBLANK(INDEX(Backlog[Priority],MATCH($A13,Backlog[Requirement ID],0))),"",INDEX(Backlog[Priority],MATCH($A13,Backlog[Requirement ID],0))),"")</f>
        <v/>
      </c>
      <c r="E13" s="23">
        <f>IFERROR(IF(ISBLANK(INDEX(Backlog[Status],MATCH($A13,Backlog[Requirement ID],0))),"",INDEX(Backlog[Status],MATCH($A13,Backlog[Requirement ID],0))),"")</f>
        <v/>
      </c>
      <c r="F13" s="21" t="inlineStr">
        <is>
          <t>To Plan</t>
        </is>
      </c>
      <c r="G13" s="23">
        <f>IFERROR(IF(ISBLANK(INDEX(Backlog[HLE],MATCH($A13,Backlog[Requirement ID],0))),"",INDEX(Backlog[HLE],MATCH($A13,Backlog[Requirement ID],0))),"")</f>
        <v/>
      </c>
      <c r="H13" s="45">
        <f>IFERROR(VALUE(SUBSTITUTE($F13,"Sprint ","")),9999)</f>
        <v/>
      </c>
      <c r="I13" s="47" t="inlineStr">
        <is>
          <t>Sprint 11</t>
        </is>
      </c>
      <c r="J13" s="47">
        <f>SUMIFS(SprintPlanning[HLE],SprintPlanning[Sprint],I13)</f>
        <v/>
      </c>
    </row>
    <row r="14" ht="15" customHeight="1">
      <c r="A14" s="21" t="inlineStr">
        <is>
          <t>NEW-0020</t>
        </is>
      </c>
      <c r="B14" s="23">
        <f>IFERROR(IF(ISBLANK(INDEX(Backlog[Requirement Name],MATCH($A14,Backlog[Requirement ID],0))),"",INDEX(Backlog[Requirement Name],MATCH($A14,Backlog[Requirement ID],0))),"")</f>
        <v/>
      </c>
      <c r="C14" s="23">
        <f>IFERROR(IF(ISBLANK(INDEX(Backlog[Stream],MATCH($A14,Backlog[Requirement ID],0))),"",INDEX(Backlog[Stream],MATCH($A14,Backlog[Requirement ID],0))),"")</f>
        <v/>
      </c>
      <c r="D14" s="23">
        <f>IFERROR(IF(ISBLANK(INDEX(Backlog[Priority],MATCH($A14,Backlog[Requirement ID],0))),"",INDEX(Backlog[Priority],MATCH($A14,Backlog[Requirement ID],0))),"")</f>
        <v/>
      </c>
      <c r="E14" s="23">
        <f>IFERROR(IF(ISBLANK(INDEX(Backlog[Status],MATCH($A14,Backlog[Requirement ID],0))),"",INDEX(Backlog[Status],MATCH($A14,Backlog[Requirement ID],0))),"")</f>
        <v/>
      </c>
      <c r="F14" s="21" t="inlineStr">
        <is>
          <t>To Plan</t>
        </is>
      </c>
      <c r="G14" s="23">
        <f>IFERROR(IF(ISBLANK(INDEX(Backlog[HLE],MATCH($A14,Backlog[Requirement ID],0))),"",INDEX(Backlog[HLE],MATCH($A14,Backlog[Requirement ID],0))),"")</f>
        <v/>
      </c>
      <c r="H14" s="45">
        <f>IFERROR(VALUE(SUBSTITUTE($F14,"Sprint ","")),9999)</f>
        <v/>
      </c>
      <c r="I14" s="47" t="inlineStr">
        <is>
          <t>Sprint 12</t>
        </is>
      </c>
      <c r="J14" s="47">
        <f>SUMIFS(SprintPlanning[HLE],SprintPlanning[Sprint],I14)</f>
        <v/>
      </c>
    </row>
    <row r="15" ht="15" customHeight="1">
      <c r="A15" s="21" t="inlineStr">
        <is>
          <t>NEW-0022</t>
        </is>
      </c>
      <c r="B15" s="23">
        <f>IFERROR(IF(ISBLANK(INDEX(Backlog[Requirement Name],MATCH($A15,Backlog[Requirement ID],0))),"",INDEX(Backlog[Requirement Name],MATCH($A15,Backlog[Requirement ID],0))),"")</f>
        <v/>
      </c>
      <c r="C15" s="23">
        <f>IFERROR(IF(ISBLANK(INDEX(Backlog[Stream],MATCH($A15,Backlog[Requirement ID],0))),"",INDEX(Backlog[Stream],MATCH($A15,Backlog[Requirement ID],0))),"")</f>
        <v/>
      </c>
      <c r="D15" s="23">
        <f>IFERROR(IF(ISBLANK(INDEX(Backlog[Priority],MATCH($A15,Backlog[Requirement ID],0))),"",INDEX(Backlog[Priority],MATCH($A15,Backlog[Requirement ID],0))),"")</f>
        <v/>
      </c>
      <c r="E15" s="23">
        <f>IFERROR(IF(ISBLANK(INDEX(Backlog[Status],MATCH($A15,Backlog[Requirement ID],0))),"",INDEX(Backlog[Status],MATCH($A15,Backlog[Requirement ID],0))),"")</f>
        <v/>
      </c>
      <c r="F15" s="21" t="inlineStr">
        <is>
          <t>To Plan</t>
        </is>
      </c>
      <c r="G15" s="23">
        <f>IFERROR(IF(ISBLANK(INDEX(Backlog[HLE],MATCH($A15,Backlog[Requirement ID],0))),"",INDEX(Backlog[HLE],MATCH($A15,Backlog[Requirement ID],0))),"")</f>
        <v/>
      </c>
      <c r="H15" s="45">
        <f>IFERROR(VALUE(SUBSTITUTE($F15,"Sprint ","")),9999)</f>
        <v/>
      </c>
      <c r="I15" s="47" t="inlineStr">
        <is>
          <t>Sprint 13</t>
        </is>
      </c>
      <c r="J15" s="47">
        <f>SUMIFS(SprintPlanning[HLE],SprintPlanning[Sprint],I15)</f>
        <v/>
      </c>
    </row>
    <row r="16" ht="15" customHeight="1">
      <c r="A16" s="21" t="inlineStr">
        <is>
          <t>NEW-0029</t>
        </is>
      </c>
      <c r="B16" s="23">
        <f>IFERROR(IF(ISBLANK(INDEX(Backlog[Requirement Name],MATCH($A16,Backlog[Requirement ID],0))),"",INDEX(Backlog[Requirement Name],MATCH($A16,Backlog[Requirement ID],0))),"")</f>
        <v/>
      </c>
      <c r="C16" s="23">
        <f>IFERROR(IF(ISBLANK(INDEX(Backlog[Stream],MATCH($A16,Backlog[Requirement ID],0))),"",INDEX(Backlog[Stream],MATCH($A16,Backlog[Requirement ID],0))),"")</f>
        <v/>
      </c>
      <c r="D16" s="23">
        <f>IFERROR(IF(ISBLANK(INDEX(Backlog[Priority],MATCH($A16,Backlog[Requirement ID],0))),"",INDEX(Backlog[Priority],MATCH($A16,Backlog[Requirement ID],0))),"")</f>
        <v/>
      </c>
      <c r="E16" s="23">
        <f>IFERROR(IF(ISBLANK(INDEX(Backlog[Status],MATCH($A16,Backlog[Requirement ID],0))),"",INDEX(Backlog[Status],MATCH($A16,Backlog[Requirement ID],0))),"")</f>
        <v/>
      </c>
      <c r="F16" s="21" t="inlineStr">
        <is>
          <t>Sprint 12</t>
        </is>
      </c>
      <c r="G16" s="23">
        <f>IFERROR(IF(ISBLANK(INDEX(Backlog[HLE],MATCH($A16,Backlog[Requirement ID],0))),"",INDEX(Backlog[HLE],MATCH($A16,Backlog[Requirement ID],0))),"")</f>
        <v/>
      </c>
      <c r="H16" s="23">
        <f>IFERROR(VALUE(SUBSTITUTE($F16,"Sprint ","")),9999)</f>
        <v/>
      </c>
      <c r="I16" t="inlineStr">
        <is>
          <t>Sprint 14</t>
        </is>
      </c>
      <c r="J16">
        <f>SUMIFS(SprintPlanning[HLE],SprintPlanning[Sprint],I16)</f>
        <v/>
      </c>
    </row>
    <row r="17" ht="15" customHeight="1">
      <c r="A17" s="21" t="inlineStr">
        <is>
          <t>NEW-0030</t>
        </is>
      </c>
      <c r="B17" s="23">
        <f>IFERROR(IF(ISBLANK(INDEX(Backlog[Requirement Name],MATCH($A17,Backlog[Requirement ID],0))),"",INDEX(Backlog[Requirement Name],MATCH($A17,Backlog[Requirement ID],0))),"")</f>
        <v/>
      </c>
      <c r="C17" s="23">
        <f>IFERROR(IF(ISBLANK(INDEX(Backlog[Stream],MATCH($A17,Backlog[Requirement ID],0))),"",INDEX(Backlog[Stream],MATCH($A17,Backlog[Requirement ID],0))),"")</f>
        <v/>
      </c>
      <c r="D17" s="23">
        <f>IFERROR(IF(ISBLANK(INDEX(Backlog[Priority],MATCH($A17,Backlog[Requirement ID],0))),"",INDEX(Backlog[Priority],MATCH($A17,Backlog[Requirement ID],0))),"")</f>
        <v/>
      </c>
      <c r="E17" s="23">
        <f>IFERROR(IF(ISBLANK(INDEX(Backlog[Status],MATCH($A17,Backlog[Requirement ID],0))),"",INDEX(Backlog[Status],MATCH($A17,Backlog[Requirement ID],0))),"")</f>
        <v/>
      </c>
      <c r="F17" s="21" t="inlineStr">
        <is>
          <t>Sprint 12</t>
        </is>
      </c>
      <c r="G17" s="23">
        <f>IFERROR(IF(ISBLANK(INDEX(Backlog[HLE],MATCH($A17,Backlog[Requirement ID],0))),"",INDEX(Backlog[HLE],MATCH($A17,Backlog[Requirement ID],0))),"")</f>
        <v/>
      </c>
      <c r="H17" s="23">
        <f>IFERROR(VALUE(SUBSTITUTE($F17,"Sprint ","")),9999)</f>
        <v/>
      </c>
      <c r="I17" t="inlineStr">
        <is>
          <t>Sprint 15</t>
        </is>
      </c>
      <c r="J17">
        <f>SUMIFS(SprintPlanning[HLE],SprintPlanning[Sprint],I17)</f>
        <v/>
      </c>
    </row>
    <row r="18" ht="15" customHeight="1">
      <c r="A18" s="21" t="inlineStr">
        <is>
          <t>NEW-0032</t>
        </is>
      </c>
      <c r="B18" s="23">
        <f>IFERROR(IF(ISBLANK(INDEX(Backlog[Requirement Name],MATCH($A18,Backlog[Requirement ID],0))),"",INDEX(Backlog[Requirement Name],MATCH($A18,Backlog[Requirement ID],0))),"")</f>
        <v/>
      </c>
      <c r="C18" s="23">
        <f>IFERROR(IF(ISBLANK(INDEX(Backlog[Stream],MATCH($A18,Backlog[Requirement ID],0))),"",INDEX(Backlog[Stream],MATCH($A18,Backlog[Requirement ID],0))),"")</f>
        <v/>
      </c>
      <c r="D18" s="23">
        <f>IFERROR(IF(ISBLANK(INDEX(Backlog[Priority],MATCH($A18,Backlog[Requirement ID],0))),"",INDEX(Backlog[Priority],MATCH($A18,Backlog[Requirement ID],0))),"")</f>
        <v/>
      </c>
      <c r="E18" s="23">
        <f>IFERROR(IF(ISBLANK(INDEX(Backlog[Status],MATCH($A18,Backlog[Requirement ID],0))),"",INDEX(Backlog[Status],MATCH($A18,Backlog[Requirement ID],0))),"")</f>
        <v/>
      </c>
      <c r="F18" s="21" t="inlineStr">
        <is>
          <t>Sprint 9</t>
        </is>
      </c>
      <c r="G18" s="23">
        <f>IFERROR(IF(ISBLANK(INDEX(Backlog[HLE],MATCH($A18,Backlog[Requirement ID],0))),"",INDEX(Backlog[HLE],MATCH($A18,Backlog[Requirement ID],0))),"")</f>
        <v/>
      </c>
      <c r="H18" s="23">
        <f>IFERROR(VALUE(SUBSTITUTE($F18,"Sprint ","")),9999)</f>
        <v/>
      </c>
      <c r="I18" t="inlineStr">
        <is>
          <t>Sprint 16</t>
        </is>
      </c>
      <c r="J18">
        <f>SUMIFS(SprintPlanning[HLE],SprintPlanning[Sprint],I18)</f>
        <v/>
      </c>
    </row>
    <row r="19" ht="15" customHeight="1">
      <c r="A19" s="21" t="inlineStr">
        <is>
          <t>NEW-0033</t>
        </is>
      </c>
      <c r="B19" s="23">
        <f>IFERROR(IF(ISBLANK(INDEX(Backlog[Requirement Name],MATCH($A19,Backlog[Requirement ID],0))),"",INDEX(Backlog[Requirement Name],MATCH($A19,Backlog[Requirement ID],0))),"")</f>
        <v/>
      </c>
      <c r="C19" s="23">
        <f>IFERROR(IF(ISBLANK(INDEX(Backlog[Stream],MATCH($A19,Backlog[Requirement ID],0))),"",INDEX(Backlog[Stream],MATCH($A19,Backlog[Requirement ID],0))),"")</f>
        <v/>
      </c>
      <c r="D19" s="23">
        <f>IFERROR(IF(ISBLANK(INDEX(Backlog[Priority],MATCH($A19,Backlog[Requirement ID],0))),"",INDEX(Backlog[Priority],MATCH($A19,Backlog[Requirement ID],0))),"")</f>
        <v/>
      </c>
      <c r="E19" s="23">
        <f>IFERROR(IF(ISBLANK(INDEX(Backlog[Status],MATCH($A19,Backlog[Requirement ID],0))),"",INDEX(Backlog[Status],MATCH($A19,Backlog[Requirement ID],0))),"")</f>
        <v/>
      </c>
      <c r="F19" s="21" t="inlineStr">
        <is>
          <t>To Plan</t>
        </is>
      </c>
      <c r="G19" s="23">
        <f>IFERROR(IF(ISBLANK(INDEX(Backlog[HLE],MATCH($A19,Backlog[Requirement ID],0))),"",INDEX(Backlog[HLE],MATCH($A19,Backlog[Requirement ID],0))),"")</f>
        <v/>
      </c>
      <c r="H19" s="23">
        <f>IFERROR(VALUE(SUBSTITUTE($F19,"Sprint ","")),9999)</f>
        <v/>
      </c>
    </row>
    <row r="20" ht="15" customHeight="1">
      <c r="A20" s="21" t="inlineStr">
        <is>
          <t>NEW-0043</t>
        </is>
      </c>
      <c r="B20" s="23">
        <f>IFERROR(IF(ISBLANK(INDEX(Backlog[Requirement Name],MATCH($A20,Backlog[Requirement ID],0))),"",INDEX(Backlog[Requirement Name],MATCH($A20,Backlog[Requirement ID],0))),"")</f>
        <v/>
      </c>
      <c r="C20" s="23">
        <f>IFERROR(IF(ISBLANK(INDEX(Backlog[Stream],MATCH($A20,Backlog[Requirement ID],0))),"",INDEX(Backlog[Stream],MATCH($A20,Backlog[Requirement ID],0))),"")</f>
        <v/>
      </c>
      <c r="D20" s="23">
        <f>IFERROR(IF(ISBLANK(INDEX(Backlog[Priority],MATCH($A20,Backlog[Requirement ID],0))),"",INDEX(Backlog[Priority],MATCH($A20,Backlog[Requirement ID],0))),"")</f>
        <v/>
      </c>
      <c r="E20" s="23">
        <f>IFERROR(IF(ISBLANK(INDEX(Backlog[Status],MATCH($A20,Backlog[Requirement ID],0))),"",INDEX(Backlog[Status],MATCH($A20,Backlog[Requirement ID],0))),"")</f>
        <v/>
      </c>
      <c r="F20" s="21" t="inlineStr">
        <is>
          <t>Sprint 8</t>
        </is>
      </c>
      <c r="G20" s="23">
        <f>IFERROR(IF(ISBLANK(INDEX(Backlog[HLE],MATCH($A20,Backlog[Requirement ID],0))),"",INDEX(Backlog[HLE],MATCH($A20,Backlog[Requirement ID],0))),"")</f>
        <v/>
      </c>
      <c r="H20" s="23">
        <f>IFERROR(VALUE(SUBSTITUTE($F20,"Sprint ","")),9999)</f>
        <v/>
      </c>
    </row>
    <row r="21" ht="15" customHeight="1">
      <c r="A21" s="21" t="inlineStr">
        <is>
          <t>NEW-0044</t>
        </is>
      </c>
      <c r="B21" s="23">
        <f>IFERROR(IF(ISBLANK(INDEX(Backlog[Requirement Name],MATCH($A21,Backlog[Requirement ID],0))),"",INDEX(Backlog[Requirement Name],MATCH($A21,Backlog[Requirement ID],0))),"")</f>
        <v/>
      </c>
      <c r="C21" s="23">
        <f>IFERROR(IF(ISBLANK(INDEX(Backlog[Stream],MATCH($A21,Backlog[Requirement ID],0))),"",INDEX(Backlog[Stream],MATCH($A21,Backlog[Requirement ID],0))),"")</f>
        <v/>
      </c>
      <c r="D21" s="23">
        <f>IFERROR(IF(ISBLANK(INDEX(Backlog[Priority],MATCH($A21,Backlog[Requirement ID],0))),"",INDEX(Backlog[Priority],MATCH($A21,Backlog[Requirement ID],0))),"")</f>
        <v/>
      </c>
      <c r="E21" s="23">
        <f>IFERROR(IF(ISBLANK(INDEX(Backlog[Status],MATCH($A21,Backlog[Requirement ID],0))),"",INDEX(Backlog[Status],MATCH($A21,Backlog[Requirement ID],0))),"")</f>
        <v/>
      </c>
      <c r="F21" s="21" t="inlineStr">
        <is>
          <t>Sprint 8</t>
        </is>
      </c>
      <c r="G21" s="23">
        <f>IFERROR(IF(ISBLANK(INDEX(Backlog[HLE],MATCH($A21,Backlog[Requirement ID],0))),"",INDEX(Backlog[HLE],MATCH($A21,Backlog[Requirement ID],0))),"")</f>
        <v/>
      </c>
      <c r="H21" s="23">
        <f>IFERROR(VALUE(SUBSTITUTE($F21,"Sprint ","")),9999)</f>
        <v/>
      </c>
    </row>
    <row r="22" ht="15" customHeight="1">
      <c r="A22" s="21" t="inlineStr">
        <is>
          <t>NEW-0047</t>
        </is>
      </c>
      <c r="B22" s="23">
        <f>IFERROR(IF(ISBLANK(INDEX(Backlog[Requirement Name],MATCH($A22,Backlog[Requirement ID],0))),"",INDEX(Backlog[Requirement Name],MATCH($A22,Backlog[Requirement ID],0))),"")</f>
        <v/>
      </c>
      <c r="C22" s="23">
        <f>IFERROR(IF(ISBLANK(INDEX(Backlog[Stream],MATCH($A22,Backlog[Requirement ID],0))),"",INDEX(Backlog[Stream],MATCH($A22,Backlog[Requirement ID],0))),"")</f>
        <v/>
      </c>
      <c r="D22" s="23">
        <f>IFERROR(IF(ISBLANK(INDEX(Backlog[Priority],MATCH($A22,Backlog[Requirement ID],0))),"",INDEX(Backlog[Priority],MATCH($A22,Backlog[Requirement ID],0))),"")</f>
        <v/>
      </c>
      <c r="E22" s="23">
        <f>IFERROR(IF(ISBLANK(INDEX(Backlog[Status],MATCH($A22,Backlog[Requirement ID],0))),"",INDEX(Backlog[Status],MATCH($A22,Backlog[Requirement ID],0))),"")</f>
        <v/>
      </c>
      <c r="F22" s="21" t="inlineStr">
        <is>
          <t>Sprint 9</t>
        </is>
      </c>
      <c r="G22" s="23">
        <f>IFERROR(IF(ISBLANK(INDEX(Backlog[HLE],MATCH($A22,Backlog[Requirement ID],0))),"",INDEX(Backlog[HLE],MATCH($A22,Backlog[Requirement ID],0))),"")</f>
        <v/>
      </c>
      <c r="H22" s="23">
        <f>IFERROR(VALUE(SUBSTITUTE($F22,"Sprint ","")),9999)</f>
        <v/>
      </c>
    </row>
    <row r="23" ht="15" customHeight="1">
      <c r="A23" s="21" t="inlineStr">
        <is>
          <t>NEW-0048</t>
        </is>
      </c>
      <c r="B23" s="23">
        <f>IFERROR(IF(ISBLANK(INDEX(Backlog[Requirement Name],MATCH($A23,Backlog[Requirement ID],0))),"",INDEX(Backlog[Requirement Name],MATCH($A23,Backlog[Requirement ID],0))),"")</f>
        <v/>
      </c>
      <c r="C23" s="23">
        <f>IFERROR(IF(ISBLANK(INDEX(Backlog[Stream],MATCH($A23,Backlog[Requirement ID],0))),"",INDEX(Backlog[Stream],MATCH($A23,Backlog[Requirement ID],0))),"")</f>
        <v/>
      </c>
      <c r="D23" s="23">
        <f>IFERROR(IF(ISBLANK(INDEX(Backlog[Priority],MATCH($A23,Backlog[Requirement ID],0))),"",INDEX(Backlog[Priority],MATCH($A23,Backlog[Requirement ID],0))),"")</f>
        <v/>
      </c>
      <c r="E23" s="23">
        <f>IFERROR(IF(ISBLANK(INDEX(Backlog[Status],MATCH($A23,Backlog[Requirement ID],0))),"",INDEX(Backlog[Status],MATCH($A23,Backlog[Requirement ID],0))),"")</f>
        <v/>
      </c>
      <c r="F23" s="21" t="inlineStr">
        <is>
          <t>Sprint 9</t>
        </is>
      </c>
      <c r="G23" s="23">
        <f>IFERROR(IF(ISBLANK(INDEX(Backlog[HLE],MATCH($A23,Backlog[Requirement ID],0))),"",INDEX(Backlog[HLE],MATCH($A23,Backlog[Requirement ID],0))),"")</f>
        <v/>
      </c>
      <c r="H23" s="23">
        <f>IFERROR(VALUE(SUBSTITUTE($F23,"Sprint ","")),9999)</f>
        <v/>
      </c>
    </row>
    <row r="24" ht="15" customHeight="1">
      <c r="A24" s="21" t="inlineStr">
        <is>
          <t>NEW-0049</t>
        </is>
      </c>
      <c r="B24" s="23">
        <f>IFERROR(IF(ISBLANK(INDEX(Backlog[Requirement Name],MATCH($A24,Backlog[Requirement ID],0))),"",INDEX(Backlog[Requirement Name],MATCH($A24,Backlog[Requirement ID],0))),"")</f>
        <v/>
      </c>
      <c r="C24" s="23">
        <f>IFERROR(IF(ISBLANK(INDEX(Backlog[Stream],MATCH($A24,Backlog[Requirement ID],0))),"",INDEX(Backlog[Stream],MATCH($A24,Backlog[Requirement ID],0))),"")</f>
        <v/>
      </c>
      <c r="D24" s="23">
        <f>IFERROR(IF(ISBLANK(INDEX(Backlog[Priority],MATCH($A24,Backlog[Requirement ID],0))),"",INDEX(Backlog[Priority],MATCH($A24,Backlog[Requirement ID],0))),"")</f>
        <v/>
      </c>
      <c r="E24" s="23">
        <f>IFERROR(IF(ISBLANK(INDEX(Backlog[Status],MATCH($A24,Backlog[Requirement ID],0))),"",INDEX(Backlog[Status],MATCH($A24,Backlog[Requirement ID],0))),"")</f>
        <v/>
      </c>
      <c r="F24" s="21" t="inlineStr">
        <is>
          <t>Sprint 9</t>
        </is>
      </c>
      <c r="G24" s="23">
        <f>IFERROR(IF(ISBLANK(INDEX(Backlog[HLE],MATCH($A24,Backlog[Requirement ID],0))),"",INDEX(Backlog[HLE],MATCH($A24,Backlog[Requirement ID],0))),"")</f>
        <v/>
      </c>
      <c r="H24" s="23">
        <f>IFERROR(VALUE(SUBSTITUTE($F24,"Sprint ","")),9999)</f>
        <v/>
      </c>
    </row>
    <row r="25" ht="15" customHeight="1">
      <c r="A25" s="21" t="inlineStr">
        <is>
          <t>NEW-0050</t>
        </is>
      </c>
      <c r="B25" s="23">
        <f>IFERROR(IF(ISBLANK(INDEX(Backlog[Requirement Name],MATCH($A25,Backlog[Requirement ID],0))),"",INDEX(Backlog[Requirement Name],MATCH($A25,Backlog[Requirement ID],0))),"")</f>
        <v/>
      </c>
      <c r="C25" s="23">
        <f>IFERROR(IF(ISBLANK(INDEX(Backlog[Stream],MATCH($A25,Backlog[Requirement ID],0))),"",INDEX(Backlog[Stream],MATCH($A25,Backlog[Requirement ID],0))),"")</f>
        <v/>
      </c>
      <c r="D25" s="23">
        <f>IFERROR(IF(ISBLANK(INDEX(Backlog[Priority],MATCH($A25,Backlog[Requirement ID],0))),"",INDEX(Backlog[Priority],MATCH($A25,Backlog[Requirement ID],0))),"")</f>
        <v/>
      </c>
      <c r="E25" s="23">
        <f>IFERROR(IF(ISBLANK(INDEX(Backlog[Status],MATCH($A25,Backlog[Requirement ID],0))),"",INDEX(Backlog[Status],MATCH($A25,Backlog[Requirement ID],0))),"")</f>
        <v/>
      </c>
      <c r="F25" s="21" t="inlineStr">
        <is>
          <t>Sprint 9</t>
        </is>
      </c>
      <c r="G25" s="23">
        <f>IFERROR(IF(ISBLANK(INDEX(Backlog[HLE],MATCH($A25,Backlog[Requirement ID],0))),"",INDEX(Backlog[HLE],MATCH($A25,Backlog[Requirement ID],0))),"")</f>
        <v/>
      </c>
      <c r="H25" s="23">
        <f>IFERROR(VALUE(SUBSTITUTE($F25,"Sprint ","")),9999)</f>
        <v/>
      </c>
    </row>
    <row r="26" ht="15" customHeight="1">
      <c r="A26" s="21" t="inlineStr">
        <is>
          <t>NEW-0051</t>
        </is>
      </c>
      <c r="B26" s="23">
        <f>IFERROR(IF(ISBLANK(INDEX(Backlog[Requirement Name],MATCH($A26,Backlog[Requirement ID],0))),"",INDEX(Backlog[Requirement Name],MATCH($A26,Backlog[Requirement ID],0))),"")</f>
        <v/>
      </c>
      <c r="C26" s="23">
        <f>IFERROR(IF(ISBLANK(INDEX(Backlog[Stream],MATCH($A26,Backlog[Requirement ID],0))),"",INDEX(Backlog[Stream],MATCH($A26,Backlog[Requirement ID],0))),"")</f>
        <v/>
      </c>
      <c r="D26" s="23">
        <f>IFERROR(IF(ISBLANK(INDEX(Backlog[Priority],MATCH($A26,Backlog[Requirement ID],0))),"",INDEX(Backlog[Priority],MATCH($A26,Backlog[Requirement ID],0))),"")</f>
        <v/>
      </c>
      <c r="E26" s="23">
        <f>IFERROR(IF(ISBLANK(INDEX(Backlog[Status],MATCH($A26,Backlog[Requirement ID],0))),"",INDEX(Backlog[Status],MATCH($A26,Backlog[Requirement ID],0))),"")</f>
        <v/>
      </c>
      <c r="F26" s="21" t="inlineStr">
        <is>
          <t>Sprint 9</t>
        </is>
      </c>
      <c r="G26" s="23">
        <f>IFERROR(IF(ISBLANK(INDEX(Backlog[HLE],MATCH($A26,Backlog[Requirement ID],0))),"",INDEX(Backlog[HLE],MATCH($A26,Backlog[Requirement ID],0))),"")</f>
        <v/>
      </c>
      <c r="H26" s="23">
        <f>IFERROR(VALUE(SUBSTITUTE($F26,"Sprint ","")),9999)</f>
        <v/>
      </c>
    </row>
    <row r="27" ht="15" customHeight="1">
      <c r="A27" s="21" t="inlineStr">
        <is>
          <t>NEW-0053</t>
        </is>
      </c>
      <c r="B27" s="23">
        <f>IFERROR(IF(ISBLANK(INDEX(Backlog[Requirement Name],MATCH($A27,Backlog[Requirement ID],0))),"",INDEX(Backlog[Requirement Name],MATCH($A27,Backlog[Requirement ID],0))),"")</f>
        <v/>
      </c>
      <c r="C27" s="23">
        <f>IFERROR(IF(ISBLANK(INDEX(Backlog[Stream],MATCH($A27,Backlog[Requirement ID],0))),"",INDEX(Backlog[Stream],MATCH($A27,Backlog[Requirement ID],0))),"")</f>
        <v/>
      </c>
      <c r="D27" s="23">
        <f>IFERROR(IF(ISBLANK(INDEX(Backlog[Priority],MATCH($A27,Backlog[Requirement ID],0))),"",INDEX(Backlog[Priority],MATCH($A27,Backlog[Requirement ID],0))),"")</f>
        <v/>
      </c>
      <c r="E27" s="23">
        <f>IFERROR(IF(ISBLANK(INDEX(Backlog[Status],MATCH($A27,Backlog[Requirement ID],0))),"",INDEX(Backlog[Status],MATCH($A27,Backlog[Requirement ID],0))),"")</f>
        <v/>
      </c>
      <c r="F27" s="21" t="inlineStr">
        <is>
          <t>Sprint 9</t>
        </is>
      </c>
      <c r="G27" s="23">
        <f>IFERROR(IF(ISBLANK(INDEX(Backlog[HLE],MATCH($A27,Backlog[Requirement ID],0))),"",INDEX(Backlog[HLE],MATCH($A27,Backlog[Requirement ID],0))),"")</f>
        <v/>
      </c>
      <c r="H27" s="23">
        <f>IFERROR(VALUE(SUBSTITUTE($F27,"Sprint ","")),9999)</f>
        <v/>
      </c>
    </row>
    <row r="28" ht="15" customHeight="1">
      <c r="A28" s="21" t="inlineStr">
        <is>
          <t>NEW-0055</t>
        </is>
      </c>
      <c r="B28" s="23">
        <f>IFERROR(IF(ISBLANK(INDEX(Backlog[Requirement Name],MATCH($A28,Backlog[Requirement ID],0))),"",INDEX(Backlog[Requirement Name],MATCH($A28,Backlog[Requirement ID],0))),"")</f>
        <v/>
      </c>
      <c r="C28" s="23">
        <f>IFERROR(IF(ISBLANK(INDEX(Backlog[Stream],MATCH($A28,Backlog[Requirement ID],0))),"",INDEX(Backlog[Stream],MATCH($A28,Backlog[Requirement ID],0))),"")</f>
        <v/>
      </c>
      <c r="D28" s="23">
        <f>IFERROR(IF(ISBLANK(INDEX(Backlog[Priority],MATCH($A28,Backlog[Requirement ID],0))),"",INDEX(Backlog[Priority],MATCH($A28,Backlog[Requirement ID],0))),"")</f>
        <v/>
      </c>
      <c r="E28" s="23">
        <f>IFERROR(IF(ISBLANK(INDEX(Backlog[Status],MATCH($A28,Backlog[Requirement ID],0))),"",INDEX(Backlog[Status],MATCH($A28,Backlog[Requirement ID],0))),"")</f>
        <v/>
      </c>
      <c r="F28" s="21" t="inlineStr">
        <is>
          <t>Sprint 9</t>
        </is>
      </c>
      <c r="G28" s="23">
        <f>IFERROR(IF(ISBLANK(INDEX(Backlog[HLE],MATCH($A28,Backlog[Requirement ID],0))),"",INDEX(Backlog[HLE],MATCH($A28,Backlog[Requirement ID],0))),"")</f>
        <v/>
      </c>
      <c r="H28" s="23">
        <f>IFERROR(VALUE(SUBSTITUTE($F28,"Sprint ","")),9999)</f>
        <v/>
      </c>
    </row>
    <row r="29" ht="15" customHeight="1">
      <c r="A29" s="21" t="inlineStr">
        <is>
          <t>NEW-0057</t>
        </is>
      </c>
      <c r="B29" s="23">
        <f>IFERROR(IF(ISBLANK(INDEX(Backlog[Requirement Name],MATCH($A29,Backlog[Requirement ID],0))),"",INDEX(Backlog[Requirement Name],MATCH($A29,Backlog[Requirement ID],0))),"")</f>
        <v/>
      </c>
      <c r="C29" s="23">
        <f>IFERROR(IF(ISBLANK(INDEX(Backlog[Stream],MATCH($A29,Backlog[Requirement ID],0))),"",INDEX(Backlog[Stream],MATCH($A29,Backlog[Requirement ID],0))),"")</f>
        <v/>
      </c>
      <c r="D29" s="23">
        <f>IFERROR(IF(ISBLANK(INDEX(Backlog[Priority],MATCH($A29,Backlog[Requirement ID],0))),"",INDEX(Backlog[Priority],MATCH($A29,Backlog[Requirement ID],0))),"")</f>
        <v/>
      </c>
      <c r="E29" s="23">
        <f>IFERROR(IF(ISBLANK(INDEX(Backlog[Status],MATCH($A29,Backlog[Requirement ID],0))),"",INDEX(Backlog[Status],MATCH($A29,Backlog[Requirement ID],0))),"")</f>
        <v/>
      </c>
      <c r="F29" s="21" t="inlineStr">
        <is>
          <t>Sprint 10</t>
        </is>
      </c>
      <c r="G29" s="23">
        <f>IFERROR(IF(ISBLANK(INDEX(Backlog[HLE],MATCH($A29,Backlog[Requirement ID],0))),"",INDEX(Backlog[HLE],MATCH($A29,Backlog[Requirement ID],0))),"")</f>
        <v/>
      </c>
      <c r="H29" s="23">
        <f>IFERROR(VALUE(SUBSTITUTE($F29,"Sprint ","")),9999)</f>
        <v/>
      </c>
    </row>
    <row r="30" ht="15" customHeight="1">
      <c r="A30" s="21" t="inlineStr">
        <is>
          <t>NEW-0058</t>
        </is>
      </c>
      <c r="B30" s="23">
        <f>IFERROR(IF(ISBLANK(INDEX(Backlog[Requirement Name],MATCH($A30,Backlog[Requirement ID],0))),"",INDEX(Backlog[Requirement Name],MATCH($A30,Backlog[Requirement ID],0))),"")</f>
        <v/>
      </c>
      <c r="C30" s="23">
        <f>IFERROR(IF(ISBLANK(INDEX(Backlog[Stream],MATCH($A30,Backlog[Requirement ID],0))),"",INDEX(Backlog[Stream],MATCH($A30,Backlog[Requirement ID],0))),"")</f>
        <v/>
      </c>
      <c r="D30" s="23">
        <f>IFERROR(IF(ISBLANK(INDEX(Backlog[Priority],MATCH($A30,Backlog[Requirement ID],0))),"",INDEX(Backlog[Priority],MATCH($A30,Backlog[Requirement ID],0))),"")</f>
        <v/>
      </c>
      <c r="E30" s="23">
        <f>IFERROR(IF(ISBLANK(INDEX(Backlog[Status],MATCH($A30,Backlog[Requirement ID],0))),"",INDEX(Backlog[Status],MATCH($A30,Backlog[Requirement ID],0))),"")</f>
        <v/>
      </c>
      <c r="F30" s="21" t="inlineStr">
        <is>
          <t>Sprint 10</t>
        </is>
      </c>
      <c r="G30" s="23">
        <f>IFERROR(IF(ISBLANK(INDEX(Backlog[HLE],MATCH($A30,Backlog[Requirement ID],0))),"",INDEX(Backlog[HLE],MATCH($A30,Backlog[Requirement ID],0))),"")</f>
        <v/>
      </c>
      <c r="H30" s="23">
        <f>IFERROR(VALUE(SUBSTITUTE($F30,"Sprint ","")),9999)</f>
        <v/>
      </c>
    </row>
    <row r="31" ht="15" customHeight="1">
      <c r="A31" s="21" t="inlineStr">
        <is>
          <t>NEW-0060</t>
        </is>
      </c>
      <c r="B31" s="23">
        <f>IFERROR(IF(ISBLANK(INDEX(Backlog[Requirement Name],MATCH($A31,Backlog[Requirement ID],0))),"",INDEX(Backlog[Requirement Name],MATCH($A31,Backlog[Requirement ID],0))),"")</f>
        <v/>
      </c>
      <c r="C31" s="23">
        <f>IFERROR(IF(ISBLANK(INDEX(Backlog[Stream],MATCH($A31,Backlog[Requirement ID],0))),"",INDEX(Backlog[Stream],MATCH($A31,Backlog[Requirement ID],0))),"")</f>
        <v/>
      </c>
      <c r="D31" s="23">
        <f>IFERROR(IF(ISBLANK(INDEX(Backlog[Priority],MATCH($A31,Backlog[Requirement ID],0))),"",INDEX(Backlog[Priority],MATCH($A31,Backlog[Requirement ID],0))),"")</f>
        <v/>
      </c>
      <c r="E31" s="23">
        <f>IFERROR(IF(ISBLANK(INDEX(Backlog[Status],MATCH($A31,Backlog[Requirement ID],0))),"",INDEX(Backlog[Status],MATCH($A31,Backlog[Requirement ID],0))),"")</f>
        <v/>
      </c>
      <c r="F31" s="21" t="inlineStr">
        <is>
          <t>Sprint 10</t>
        </is>
      </c>
      <c r="G31" s="23">
        <f>IFERROR(IF(ISBLANK(INDEX(Backlog[HLE],MATCH($A31,Backlog[Requirement ID],0))),"",INDEX(Backlog[HLE],MATCH($A31,Backlog[Requirement ID],0))),"")</f>
        <v/>
      </c>
      <c r="H31" s="23">
        <f>IFERROR(VALUE(SUBSTITUTE($F31,"Sprint ","")),9999)</f>
        <v/>
      </c>
    </row>
    <row r="32" ht="15" customHeight="1">
      <c r="A32" s="21" t="inlineStr">
        <is>
          <t>NEW-0061</t>
        </is>
      </c>
      <c r="B32" s="23">
        <f>IFERROR(IF(ISBLANK(INDEX(Backlog[Requirement Name],MATCH($A32,Backlog[Requirement ID],0))),"",INDEX(Backlog[Requirement Name],MATCH($A32,Backlog[Requirement ID],0))),"")</f>
        <v/>
      </c>
      <c r="C32" s="23">
        <f>IFERROR(IF(ISBLANK(INDEX(Backlog[Stream],MATCH($A32,Backlog[Requirement ID],0))),"",INDEX(Backlog[Stream],MATCH($A32,Backlog[Requirement ID],0))),"")</f>
        <v/>
      </c>
      <c r="D32" s="23">
        <f>IFERROR(IF(ISBLANK(INDEX(Backlog[Priority],MATCH($A32,Backlog[Requirement ID],0))),"",INDEX(Backlog[Priority],MATCH($A32,Backlog[Requirement ID],0))),"")</f>
        <v/>
      </c>
      <c r="E32" s="23">
        <f>IFERROR(IF(ISBLANK(INDEX(Backlog[Status],MATCH($A32,Backlog[Requirement ID],0))),"",INDEX(Backlog[Status],MATCH($A32,Backlog[Requirement ID],0))),"")</f>
        <v/>
      </c>
      <c r="F32" s="21" t="inlineStr">
        <is>
          <t>Sprint 10</t>
        </is>
      </c>
      <c r="G32" s="23">
        <f>IFERROR(IF(ISBLANK(INDEX(Backlog[HLE],MATCH($A32,Backlog[Requirement ID],0))),"",INDEX(Backlog[HLE],MATCH($A32,Backlog[Requirement ID],0))),"")</f>
        <v/>
      </c>
      <c r="H32" s="23">
        <f>IFERROR(VALUE(SUBSTITUTE($F32,"Sprint ","")),9999)</f>
        <v/>
      </c>
    </row>
    <row r="33" ht="15" customHeight="1">
      <c r="A33" s="21" t="inlineStr">
        <is>
          <t>NEW-0063</t>
        </is>
      </c>
      <c r="B33" s="23">
        <f>IFERROR(IF(ISBLANK(INDEX(Backlog[Requirement Name],MATCH($A33,Backlog[Requirement ID],0))),"",INDEX(Backlog[Requirement Name],MATCH($A33,Backlog[Requirement ID],0))),"")</f>
        <v/>
      </c>
      <c r="C33" s="23">
        <f>IFERROR(IF(ISBLANK(INDEX(Backlog[Stream],MATCH($A33,Backlog[Requirement ID],0))),"",INDEX(Backlog[Stream],MATCH($A33,Backlog[Requirement ID],0))),"")</f>
        <v/>
      </c>
      <c r="D33" s="23">
        <f>IFERROR(IF(ISBLANK(INDEX(Backlog[Priority],MATCH($A33,Backlog[Requirement ID],0))),"",INDEX(Backlog[Priority],MATCH($A33,Backlog[Requirement ID],0))),"")</f>
        <v/>
      </c>
      <c r="E33" s="23">
        <f>IFERROR(IF(ISBLANK(INDEX(Backlog[Status],MATCH($A33,Backlog[Requirement ID],0))),"",INDEX(Backlog[Status],MATCH($A33,Backlog[Requirement ID],0))),"")</f>
        <v/>
      </c>
      <c r="F33" s="21" t="inlineStr">
        <is>
          <t>Sprint 7</t>
        </is>
      </c>
      <c r="G33" s="23">
        <f>IFERROR(IF(ISBLANK(INDEX(Backlog[HLE],MATCH($A33,Backlog[Requirement ID],0))),"",INDEX(Backlog[HLE],MATCH($A33,Backlog[Requirement ID],0))),"")</f>
        <v/>
      </c>
      <c r="H33" s="23">
        <f>IFERROR(VALUE(SUBSTITUTE($F33,"Sprint ","")),9999)</f>
        <v/>
      </c>
    </row>
    <row r="34" ht="15" customHeight="1">
      <c r="A34" s="21" t="inlineStr">
        <is>
          <t>NEW-0064</t>
        </is>
      </c>
      <c r="B34" s="23">
        <f>IFERROR(IF(ISBLANK(INDEX(Backlog[Requirement Name],MATCH($A34,Backlog[Requirement ID],0))),"",INDEX(Backlog[Requirement Name],MATCH($A34,Backlog[Requirement ID],0))),"")</f>
        <v/>
      </c>
      <c r="C34" s="23">
        <f>IFERROR(IF(ISBLANK(INDEX(Backlog[Stream],MATCH($A34,Backlog[Requirement ID],0))),"",INDEX(Backlog[Stream],MATCH($A34,Backlog[Requirement ID],0))),"")</f>
        <v/>
      </c>
      <c r="D34" s="23">
        <f>IFERROR(IF(ISBLANK(INDEX(Backlog[Priority],MATCH($A34,Backlog[Requirement ID],0))),"",INDEX(Backlog[Priority],MATCH($A34,Backlog[Requirement ID],0))),"")</f>
        <v/>
      </c>
      <c r="E34" s="23">
        <f>IFERROR(IF(ISBLANK(INDEX(Backlog[Status],MATCH($A34,Backlog[Requirement ID],0))),"",INDEX(Backlog[Status],MATCH($A34,Backlog[Requirement ID],0))),"")</f>
        <v/>
      </c>
      <c r="F34" s="21" t="inlineStr">
        <is>
          <t>Sprint 11</t>
        </is>
      </c>
      <c r="G34" s="23">
        <f>IFERROR(IF(ISBLANK(INDEX(Backlog[HLE],MATCH($A34,Backlog[Requirement ID],0))),"",INDEX(Backlog[HLE],MATCH($A34,Backlog[Requirement ID],0))),"")</f>
        <v/>
      </c>
      <c r="H34" s="23">
        <f>IFERROR(VALUE(SUBSTITUTE($F34,"Sprint ","")),9999)</f>
        <v/>
      </c>
    </row>
    <row r="35" ht="15" customHeight="1">
      <c r="A35" s="21" t="inlineStr">
        <is>
          <t>NEW-0065</t>
        </is>
      </c>
      <c r="B35" s="23">
        <f>IFERROR(IF(ISBLANK(INDEX(Backlog[Requirement Name],MATCH($A35,Backlog[Requirement ID],0))),"",INDEX(Backlog[Requirement Name],MATCH($A35,Backlog[Requirement ID],0))),"")</f>
        <v/>
      </c>
      <c r="C35" s="23">
        <f>IFERROR(IF(ISBLANK(INDEX(Backlog[Stream],MATCH($A35,Backlog[Requirement ID],0))),"",INDEX(Backlog[Stream],MATCH($A35,Backlog[Requirement ID],0))),"")</f>
        <v/>
      </c>
      <c r="D35" s="23">
        <f>IFERROR(IF(ISBLANK(INDEX(Backlog[Priority],MATCH($A35,Backlog[Requirement ID],0))),"",INDEX(Backlog[Priority],MATCH($A35,Backlog[Requirement ID],0))),"")</f>
        <v/>
      </c>
      <c r="E35" s="23">
        <f>IFERROR(IF(ISBLANK(INDEX(Backlog[Status],MATCH($A35,Backlog[Requirement ID],0))),"",INDEX(Backlog[Status],MATCH($A35,Backlog[Requirement ID],0))),"")</f>
        <v/>
      </c>
      <c r="F35" s="21" t="inlineStr">
        <is>
          <t>Sprint 11</t>
        </is>
      </c>
      <c r="G35" s="23">
        <f>IFERROR(IF(ISBLANK(INDEX(Backlog[HLE],MATCH($A35,Backlog[Requirement ID],0))),"",INDEX(Backlog[HLE],MATCH($A35,Backlog[Requirement ID],0))),"")</f>
        <v/>
      </c>
      <c r="H35" s="23">
        <f>IFERROR(VALUE(SUBSTITUTE($F35,"Sprint ","")),9999)</f>
        <v/>
      </c>
    </row>
    <row r="36" ht="15" customHeight="1">
      <c r="A36" s="21" t="inlineStr">
        <is>
          <t>NEW-0066</t>
        </is>
      </c>
      <c r="B36" s="23">
        <f>IFERROR(IF(ISBLANK(INDEX(Backlog[Requirement Name],MATCH($A36,Backlog[Requirement ID],0))),"",INDEX(Backlog[Requirement Name],MATCH($A36,Backlog[Requirement ID],0))),"")</f>
        <v/>
      </c>
      <c r="C36" s="23">
        <f>IFERROR(IF(ISBLANK(INDEX(Backlog[Stream],MATCH($A36,Backlog[Requirement ID],0))),"",INDEX(Backlog[Stream],MATCH($A36,Backlog[Requirement ID],0))),"")</f>
        <v/>
      </c>
      <c r="D36" s="23">
        <f>IFERROR(IF(ISBLANK(INDEX(Backlog[Priority],MATCH($A36,Backlog[Requirement ID],0))),"",INDEX(Backlog[Priority],MATCH($A36,Backlog[Requirement ID],0))),"")</f>
        <v/>
      </c>
      <c r="E36" s="23">
        <f>IFERROR(IF(ISBLANK(INDEX(Backlog[Status],MATCH($A36,Backlog[Requirement ID],0))),"",INDEX(Backlog[Status],MATCH($A36,Backlog[Requirement ID],0))),"")</f>
        <v/>
      </c>
      <c r="F36" s="21" t="inlineStr">
        <is>
          <t>Sprint 12</t>
        </is>
      </c>
      <c r="G36" s="23">
        <f>IFERROR(IF(ISBLANK(INDEX(Backlog[HLE],MATCH($A36,Backlog[Requirement ID],0))),"",INDEX(Backlog[HLE],MATCH($A36,Backlog[Requirement ID],0))),"")</f>
        <v/>
      </c>
      <c r="H36" s="23">
        <f>IFERROR(VALUE(SUBSTITUTE($F36,"Sprint ","")),9999)</f>
        <v/>
      </c>
    </row>
    <row r="37" ht="15" customHeight="1">
      <c r="A37" s="21" t="inlineStr">
        <is>
          <t>NEW-0067</t>
        </is>
      </c>
      <c r="B37" s="23">
        <f>IFERROR(IF(ISBLANK(INDEX(Backlog[Requirement Name],MATCH($A37,Backlog[Requirement ID],0))),"",INDEX(Backlog[Requirement Name],MATCH($A37,Backlog[Requirement ID],0))),"")</f>
        <v/>
      </c>
      <c r="C37" s="23">
        <f>IFERROR(IF(ISBLANK(INDEX(Backlog[Stream],MATCH($A37,Backlog[Requirement ID],0))),"",INDEX(Backlog[Stream],MATCH($A37,Backlog[Requirement ID],0))),"")</f>
        <v/>
      </c>
      <c r="D37" s="23">
        <f>IFERROR(IF(ISBLANK(INDEX(Backlog[Priority],MATCH($A37,Backlog[Requirement ID],0))),"",INDEX(Backlog[Priority],MATCH($A37,Backlog[Requirement ID],0))),"")</f>
        <v/>
      </c>
      <c r="E37" s="23">
        <f>IFERROR(IF(ISBLANK(INDEX(Backlog[Status],MATCH($A37,Backlog[Requirement ID],0))),"",INDEX(Backlog[Status],MATCH($A37,Backlog[Requirement ID],0))),"")</f>
        <v/>
      </c>
      <c r="F37" s="21" t="inlineStr">
        <is>
          <t>Sprint 12</t>
        </is>
      </c>
      <c r="G37" s="23">
        <f>IFERROR(IF(ISBLANK(INDEX(Backlog[HLE],MATCH($A37,Backlog[Requirement ID],0))),"",INDEX(Backlog[HLE],MATCH($A37,Backlog[Requirement ID],0))),"")</f>
        <v/>
      </c>
      <c r="H37" s="23">
        <f>IFERROR(VALUE(SUBSTITUTE($F37,"Sprint ","")),9999)</f>
        <v/>
      </c>
    </row>
    <row r="38" ht="15" customHeight="1">
      <c r="A38" s="21" t="inlineStr">
        <is>
          <t>NEW-0068</t>
        </is>
      </c>
      <c r="B38" s="23">
        <f>IFERROR(IF(ISBLANK(INDEX(Backlog[Requirement Name],MATCH($A38,Backlog[Requirement ID],0))),"",INDEX(Backlog[Requirement Name],MATCH($A38,Backlog[Requirement ID],0))),"")</f>
        <v/>
      </c>
      <c r="C38" s="23">
        <f>IFERROR(IF(ISBLANK(INDEX(Backlog[Stream],MATCH($A38,Backlog[Requirement ID],0))),"",INDEX(Backlog[Stream],MATCH($A38,Backlog[Requirement ID],0))),"")</f>
        <v/>
      </c>
      <c r="D38" s="23">
        <f>IFERROR(IF(ISBLANK(INDEX(Backlog[Priority],MATCH($A38,Backlog[Requirement ID],0))),"",INDEX(Backlog[Priority],MATCH($A38,Backlog[Requirement ID],0))),"")</f>
        <v/>
      </c>
      <c r="E38" s="23">
        <f>IFERROR(IF(ISBLANK(INDEX(Backlog[Status],MATCH($A38,Backlog[Requirement ID],0))),"",INDEX(Backlog[Status],MATCH($A38,Backlog[Requirement ID],0))),"")</f>
        <v/>
      </c>
      <c r="F38" s="21" t="inlineStr">
        <is>
          <t>To Plan</t>
        </is>
      </c>
      <c r="G38" s="23">
        <f>IFERROR(IF(ISBLANK(INDEX(Backlog[HLE],MATCH($A38,Backlog[Requirement ID],0))),"",INDEX(Backlog[HLE],MATCH($A38,Backlog[Requirement ID],0))),"")</f>
        <v/>
      </c>
      <c r="H38" s="23">
        <f>IFERROR(VALUE(SUBSTITUTE($F38,"Sprint ","")),9999)</f>
        <v/>
      </c>
    </row>
    <row r="39" ht="15" customHeight="1">
      <c r="A39" s="21" t="inlineStr">
        <is>
          <t>NEW-0071</t>
        </is>
      </c>
      <c r="B39" s="23">
        <f>IFERROR(IF(ISBLANK(INDEX(Backlog[Requirement Name],MATCH($A39,Backlog[Requirement ID],0))),"",INDEX(Backlog[Requirement Name],MATCH($A39,Backlog[Requirement ID],0))),"")</f>
        <v/>
      </c>
      <c r="C39" s="23">
        <f>IFERROR(IF(ISBLANK(INDEX(Backlog[Stream],MATCH($A39,Backlog[Requirement ID],0))),"",INDEX(Backlog[Stream],MATCH($A39,Backlog[Requirement ID],0))),"")</f>
        <v/>
      </c>
      <c r="D39" s="23">
        <f>IFERROR(IF(ISBLANK(INDEX(Backlog[Priority],MATCH($A39,Backlog[Requirement ID],0))),"",INDEX(Backlog[Priority],MATCH($A39,Backlog[Requirement ID],0))),"")</f>
        <v/>
      </c>
      <c r="E39" s="23">
        <f>IFERROR(IF(ISBLANK(INDEX(Backlog[Status],MATCH($A39,Backlog[Requirement ID],0))),"",INDEX(Backlog[Status],MATCH($A39,Backlog[Requirement ID],0))),"")</f>
        <v/>
      </c>
      <c r="F39" s="21" t="inlineStr">
        <is>
          <t>Sprint 10</t>
        </is>
      </c>
      <c r="G39" s="23">
        <f>IFERROR(IF(ISBLANK(INDEX(Backlog[HLE],MATCH($A39,Backlog[Requirement ID],0))),"",INDEX(Backlog[HLE],MATCH($A39,Backlog[Requirement ID],0))),"")</f>
        <v/>
      </c>
      <c r="H39" s="23">
        <f>IFERROR(VALUE(SUBSTITUTE($F39,"Sprint ","")),9999)</f>
        <v/>
      </c>
    </row>
    <row r="40" ht="15" customHeight="1">
      <c r="A40" s="21" t="inlineStr">
        <is>
          <t>NEW-0072</t>
        </is>
      </c>
      <c r="B40" s="23">
        <f>IFERROR(IF(ISBLANK(INDEX(Backlog[Requirement Name],MATCH($A40,Backlog[Requirement ID],0))),"",INDEX(Backlog[Requirement Name],MATCH($A40,Backlog[Requirement ID],0))),"")</f>
        <v/>
      </c>
      <c r="C40" s="23">
        <f>IFERROR(IF(ISBLANK(INDEX(Backlog[Stream],MATCH($A40,Backlog[Requirement ID],0))),"",INDEX(Backlog[Stream],MATCH($A40,Backlog[Requirement ID],0))),"")</f>
        <v/>
      </c>
      <c r="D40" s="23">
        <f>IFERROR(IF(ISBLANK(INDEX(Backlog[Priority],MATCH($A40,Backlog[Requirement ID],0))),"",INDEX(Backlog[Priority],MATCH($A40,Backlog[Requirement ID],0))),"")</f>
        <v/>
      </c>
      <c r="E40" s="23">
        <f>IFERROR(IF(ISBLANK(INDEX(Backlog[Status],MATCH($A40,Backlog[Requirement ID],0))),"",INDEX(Backlog[Status],MATCH($A40,Backlog[Requirement ID],0))),"")</f>
        <v/>
      </c>
      <c r="F40" s="21" t="inlineStr">
        <is>
          <t>To Plan</t>
        </is>
      </c>
      <c r="G40" s="23">
        <f>IFERROR(IF(ISBLANK(INDEX(Backlog[HLE],MATCH($A40,Backlog[Requirement ID],0))),"",INDEX(Backlog[HLE],MATCH($A40,Backlog[Requirement ID],0))),"")</f>
        <v/>
      </c>
      <c r="H40" s="23">
        <f>IFERROR(VALUE(SUBSTITUTE($F40,"Sprint ","")),9999)</f>
        <v/>
      </c>
    </row>
    <row r="41" ht="15" customHeight="1">
      <c r="A41" s="21" t="inlineStr">
        <is>
          <t>NEW-0073</t>
        </is>
      </c>
      <c r="B41" s="23">
        <f>IFERROR(IF(ISBLANK(INDEX(Backlog[Requirement Name],MATCH($A41,Backlog[Requirement ID],0))),"",INDEX(Backlog[Requirement Name],MATCH($A41,Backlog[Requirement ID],0))),"")</f>
        <v/>
      </c>
      <c r="C41" s="23">
        <f>IFERROR(IF(ISBLANK(INDEX(Backlog[Stream],MATCH($A41,Backlog[Requirement ID],0))),"",INDEX(Backlog[Stream],MATCH($A41,Backlog[Requirement ID],0))),"")</f>
        <v/>
      </c>
      <c r="D41" s="23">
        <f>IFERROR(IF(ISBLANK(INDEX(Backlog[Priority],MATCH($A41,Backlog[Requirement ID],0))),"",INDEX(Backlog[Priority],MATCH($A41,Backlog[Requirement ID],0))),"")</f>
        <v/>
      </c>
      <c r="E41" s="23">
        <f>IFERROR(IF(ISBLANK(INDEX(Backlog[Status],MATCH($A41,Backlog[Requirement ID],0))),"",INDEX(Backlog[Status],MATCH($A41,Backlog[Requirement ID],0))),"")</f>
        <v/>
      </c>
      <c r="F41" s="21" t="inlineStr">
        <is>
          <t>To Plan</t>
        </is>
      </c>
      <c r="G41" s="23">
        <f>IFERROR(IF(ISBLANK(INDEX(Backlog[HLE],MATCH($A41,Backlog[Requirement ID],0))),"",INDEX(Backlog[HLE],MATCH($A41,Backlog[Requirement ID],0))),"")</f>
        <v/>
      </c>
      <c r="H41" s="23">
        <f>IFERROR(VALUE(SUBSTITUTE($F41,"Sprint ","")),9999)</f>
        <v/>
      </c>
    </row>
    <row r="42" ht="15" customHeight="1">
      <c r="A42" s="21" t="inlineStr">
        <is>
          <t>NEW-0074</t>
        </is>
      </c>
      <c r="B42" s="23">
        <f>IFERROR(IF(ISBLANK(INDEX(Backlog[Requirement Name],MATCH($A42,Backlog[Requirement ID],0))),"",INDEX(Backlog[Requirement Name],MATCH($A42,Backlog[Requirement ID],0))),"")</f>
        <v/>
      </c>
      <c r="C42" s="23">
        <f>IFERROR(IF(ISBLANK(INDEX(Backlog[Stream],MATCH($A42,Backlog[Requirement ID],0))),"",INDEX(Backlog[Stream],MATCH($A42,Backlog[Requirement ID],0))),"")</f>
        <v/>
      </c>
      <c r="D42" s="23">
        <f>IFERROR(IF(ISBLANK(INDEX(Backlog[Priority],MATCH($A42,Backlog[Requirement ID],0))),"",INDEX(Backlog[Priority],MATCH($A42,Backlog[Requirement ID],0))),"")</f>
        <v/>
      </c>
      <c r="E42" s="23">
        <f>IFERROR(IF(ISBLANK(INDEX(Backlog[Status],MATCH($A42,Backlog[Requirement ID],0))),"",INDEX(Backlog[Status],MATCH($A42,Backlog[Requirement ID],0))),"")</f>
        <v/>
      </c>
      <c r="F42" s="21" t="inlineStr">
        <is>
          <t>To Plan</t>
        </is>
      </c>
      <c r="G42" s="23">
        <f>IFERROR(IF(ISBLANK(INDEX(Backlog[HLE],MATCH($A42,Backlog[Requirement ID],0))),"",INDEX(Backlog[HLE],MATCH($A42,Backlog[Requirement ID],0))),"")</f>
        <v/>
      </c>
      <c r="H42" s="23">
        <f>IFERROR(VALUE(SUBSTITUTE($F42,"Sprint ","")),9999)</f>
        <v/>
      </c>
    </row>
    <row r="43" ht="15" customHeight="1">
      <c r="A43" s="21" t="inlineStr">
        <is>
          <t>NEW-0075</t>
        </is>
      </c>
      <c r="B43" s="23">
        <f>IFERROR(IF(ISBLANK(INDEX(Backlog[Requirement Name],MATCH($A43,Backlog[Requirement ID],0))),"",INDEX(Backlog[Requirement Name],MATCH($A43,Backlog[Requirement ID],0))),"")</f>
        <v/>
      </c>
      <c r="C43" s="23">
        <f>IFERROR(IF(ISBLANK(INDEX(Backlog[Stream],MATCH($A43,Backlog[Requirement ID],0))),"",INDEX(Backlog[Stream],MATCH($A43,Backlog[Requirement ID],0))),"")</f>
        <v/>
      </c>
      <c r="D43" s="23">
        <f>IFERROR(IF(ISBLANK(INDEX(Backlog[Priority],MATCH($A43,Backlog[Requirement ID],0))),"",INDEX(Backlog[Priority],MATCH($A43,Backlog[Requirement ID],0))),"")</f>
        <v/>
      </c>
      <c r="E43" s="23">
        <f>IFERROR(IF(ISBLANK(INDEX(Backlog[Status],MATCH($A43,Backlog[Requirement ID],0))),"",INDEX(Backlog[Status],MATCH($A43,Backlog[Requirement ID],0))),"")</f>
        <v/>
      </c>
      <c r="F43" s="21" t="inlineStr">
        <is>
          <t>Sprint 11</t>
        </is>
      </c>
      <c r="G43" s="23">
        <f>IFERROR(IF(ISBLANK(INDEX(Backlog[HLE],MATCH($A43,Backlog[Requirement ID],0))),"",INDEX(Backlog[HLE],MATCH($A43,Backlog[Requirement ID],0))),"")</f>
        <v/>
      </c>
      <c r="H43" s="23">
        <f>IFERROR(VALUE(SUBSTITUTE($F43,"Sprint ","")),9999)</f>
        <v/>
      </c>
      <c r="I43" t="inlineStr">
        <is>
          <t> </t>
        </is>
      </c>
    </row>
    <row r="44" ht="15" customHeight="1">
      <c r="A44" s="21" t="inlineStr">
        <is>
          <t>NEW-0076</t>
        </is>
      </c>
      <c r="B44" s="23">
        <f>IFERROR(IF(ISBLANK(INDEX(Backlog[Requirement Name],MATCH($A44,Backlog[Requirement ID],0))),"",INDEX(Backlog[Requirement Name],MATCH($A44,Backlog[Requirement ID],0))),"")</f>
        <v/>
      </c>
      <c r="C44" s="23">
        <f>IFERROR(IF(ISBLANK(INDEX(Backlog[Stream],MATCH($A44,Backlog[Requirement ID],0))),"",INDEX(Backlog[Stream],MATCH($A44,Backlog[Requirement ID],0))),"")</f>
        <v/>
      </c>
      <c r="D44" s="23">
        <f>IFERROR(IF(ISBLANK(INDEX(Backlog[Priority],MATCH($A44,Backlog[Requirement ID],0))),"",INDEX(Backlog[Priority],MATCH($A44,Backlog[Requirement ID],0))),"")</f>
        <v/>
      </c>
      <c r="E44" s="23">
        <f>IFERROR(IF(ISBLANK(INDEX(Backlog[Status],MATCH($A44,Backlog[Requirement ID],0))),"",INDEX(Backlog[Status],MATCH($A44,Backlog[Requirement ID],0))),"")</f>
        <v/>
      </c>
      <c r="F44" s="21" t="inlineStr">
        <is>
          <t>Sprint 11</t>
        </is>
      </c>
      <c r="G44" s="23">
        <f>IFERROR(IF(ISBLANK(INDEX(Backlog[HLE],MATCH($A44,Backlog[Requirement ID],0))),"",INDEX(Backlog[HLE],MATCH($A44,Backlog[Requirement ID],0))),"")</f>
        <v/>
      </c>
      <c r="H44" s="23">
        <f>IFERROR(VALUE(SUBSTITUTE($F44,"Sprint ","")),9999)</f>
        <v/>
      </c>
    </row>
    <row r="45" ht="15" customHeight="1">
      <c r="A45" s="21" t="inlineStr">
        <is>
          <t>NEW-0077</t>
        </is>
      </c>
      <c r="B45" s="23">
        <f>IFERROR(IF(ISBLANK(INDEX(Backlog[Requirement Name],MATCH($A45,Backlog[Requirement ID],0))),"",INDEX(Backlog[Requirement Name],MATCH($A45,Backlog[Requirement ID],0))),"")</f>
        <v/>
      </c>
      <c r="C45" s="23">
        <f>IFERROR(IF(ISBLANK(INDEX(Backlog[Stream],MATCH($A45,Backlog[Requirement ID],0))),"",INDEX(Backlog[Stream],MATCH($A45,Backlog[Requirement ID],0))),"")</f>
        <v/>
      </c>
      <c r="D45" s="23">
        <f>IFERROR(IF(ISBLANK(INDEX(Backlog[Priority],MATCH($A45,Backlog[Requirement ID],0))),"",INDEX(Backlog[Priority],MATCH($A45,Backlog[Requirement ID],0))),"")</f>
        <v/>
      </c>
      <c r="E45" s="23">
        <f>IFERROR(IF(ISBLANK(INDEX(Backlog[Status],MATCH($A45,Backlog[Requirement ID],0))),"",INDEX(Backlog[Status],MATCH($A45,Backlog[Requirement ID],0))),"")</f>
        <v/>
      </c>
      <c r="F45" s="21" t="inlineStr">
        <is>
          <t>Sprint 11</t>
        </is>
      </c>
      <c r="G45" s="23">
        <f>IFERROR(IF(ISBLANK(INDEX(Backlog[HLE],MATCH($A45,Backlog[Requirement ID],0))),"",INDEX(Backlog[HLE],MATCH($A45,Backlog[Requirement ID],0))),"")</f>
        <v/>
      </c>
      <c r="H45" s="23">
        <f>IFERROR(VALUE(SUBSTITUTE($F45,"Sprint ","")),9999)</f>
        <v/>
      </c>
    </row>
    <row r="46" ht="15" customHeight="1">
      <c r="A46" s="21" t="inlineStr">
        <is>
          <t>NEW-0078</t>
        </is>
      </c>
      <c r="B46" s="23">
        <f>IFERROR(IF(ISBLANK(INDEX(Backlog[Requirement Name],MATCH($A46,Backlog[Requirement ID],0))),"",INDEX(Backlog[Requirement Name],MATCH($A46,Backlog[Requirement ID],0))),"")</f>
        <v/>
      </c>
      <c r="C46" s="23">
        <f>IFERROR(IF(ISBLANK(INDEX(Backlog[Stream],MATCH($A46,Backlog[Requirement ID],0))),"",INDEX(Backlog[Stream],MATCH($A46,Backlog[Requirement ID],0))),"")</f>
        <v/>
      </c>
      <c r="D46" s="23">
        <f>IFERROR(IF(ISBLANK(INDEX(Backlog[Priority],MATCH($A46,Backlog[Requirement ID],0))),"",INDEX(Backlog[Priority],MATCH($A46,Backlog[Requirement ID],0))),"")</f>
        <v/>
      </c>
      <c r="E46" s="23">
        <f>IFERROR(IF(ISBLANK(INDEX(Backlog[Status],MATCH($A46,Backlog[Requirement ID],0))),"",INDEX(Backlog[Status],MATCH($A46,Backlog[Requirement ID],0))),"")</f>
        <v/>
      </c>
      <c r="F46" s="21" t="inlineStr">
        <is>
          <t>Sprint 11</t>
        </is>
      </c>
      <c r="G46" s="23">
        <f>IFERROR(IF(ISBLANK(INDEX(Backlog[HLE],MATCH($A46,Backlog[Requirement ID],0))),"",INDEX(Backlog[HLE],MATCH($A46,Backlog[Requirement ID],0))),"")</f>
        <v/>
      </c>
      <c r="H46" s="23">
        <f>IFERROR(VALUE(SUBSTITUTE($F46,"Sprint ","")),9999)</f>
        <v/>
      </c>
    </row>
    <row r="47" ht="15" customHeight="1">
      <c r="A47" s="21" t="inlineStr">
        <is>
          <t>NEW-0080</t>
        </is>
      </c>
      <c r="B47" s="23">
        <f>IFERROR(IF(ISBLANK(INDEX(Backlog[Requirement Name],MATCH($A47,Backlog[Requirement ID],0))),"",INDEX(Backlog[Requirement Name],MATCH($A47,Backlog[Requirement ID],0))),"")</f>
        <v/>
      </c>
      <c r="C47" s="23">
        <f>IFERROR(IF(ISBLANK(INDEX(Backlog[Stream],MATCH($A47,Backlog[Requirement ID],0))),"",INDEX(Backlog[Stream],MATCH($A47,Backlog[Requirement ID],0))),"")</f>
        <v/>
      </c>
      <c r="D47" s="23">
        <f>IFERROR(IF(ISBLANK(INDEX(Backlog[Priority],MATCH($A47,Backlog[Requirement ID],0))),"",INDEX(Backlog[Priority],MATCH($A47,Backlog[Requirement ID],0))),"")</f>
        <v/>
      </c>
      <c r="E47" s="23">
        <f>IFERROR(IF(ISBLANK(INDEX(Backlog[Status],MATCH($A47,Backlog[Requirement ID],0))),"",INDEX(Backlog[Status],MATCH($A47,Backlog[Requirement ID],0))),"")</f>
        <v/>
      </c>
      <c r="F47" s="21" t="inlineStr">
        <is>
          <t>Sprint 12</t>
        </is>
      </c>
      <c r="G47" s="23">
        <f>IFERROR(IF(ISBLANK(INDEX(Backlog[HLE],MATCH($A47,Backlog[Requirement ID],0))),"",INDEX(Backlog[HLE],MATCH($A47,Backlog[Requirement ID],0))),"")</f>
        <v/>
      </c>
      <c r="H47" s="23">
        <f>IFERROR(VALUE(SUBSTITUTE($F47,"Sprint ","")),9999)</f>
        <v/>
      </c>
    </row>
    <row r="48" ht="15" customHeight="1">
      <c r="A48" s="21" t="inlineStr">
        <is>
          <t>NEW-0084</t>
        </is>
      </c>
      <c r="B48" s="23">
        <f>IFERROR(IF(ISBLANK(INDEX(Backlog[Requirement Name],MATCH($A48,Backlog[Requirement ID],0))),"",INDEX(Backlog[Requirement Name],MATCH($A48,Backlog[Requirement ID],0))),"")</f>
        <v/>
      </c>
      <c r="C48" s="23">
        <f>IFERROR(IF(ISBLANK(INDEX(Backlog[Stream],MATCH($A48,Backlog[Requirement ID],0))),"",INDEX(Backlog[Stream],MATCH($A48,Backlog[Requirement ID],0))),"")</f>
        <v/>
      </c>
      <c r="D48" s="23">
        <f>IFERROR(IF(ISBLANK(INDEX(Backlog[Priority],MATCH($A48,Backlog[Requirement ID],0))),"",INDEX(Backlog[Priority],MATCH($A48,Backlog[Requirement ID],0))),"")</f>
        <v/>
      </c>
      <c r="E48" s="23">
        <f>IFERROR(IF(ISBLANK(INDEX(Backlog[Status],MATCH($A48,Backlog[Requirement ID],0))),"",INDEX(Backlog[Status],MATCH($A48,Backlog[Requirement ID],0))),"")</f>
        <v/>
      </c>
      <c r="F48" s="21" t="inlineStr">
        <is>
          <t>To Plan</t>
        </is>
      </c>
      <c r="G48" s="23">
        <f>IFERROR(IF(ISBLANK(INDEX(Backlog[HLE],MATCH($A48,Backlog[Requirement ID],0))),"",INDEX(Backlog[HLE],MATCH($A48,Backlog[Requirement ID],0))),"")</f>
        <v/>
      </c>
      <c r="H48" s="23">
        <f>IFERROR(VALUE(SUBSTITUTE($F48,"Sprint ","")),9999)</f>
        <v/>
      </c>
    </row>
    <row r="49" ht="15" customHeight="1">
      <c r="A49" s="21" t="inlineStr">
        <is>
          <t>NEW-0085</t>
        </is>
      </c>
      <c r="B49" s="23">
        <f>IFERROR(IF(ISBLANK(INDEX(Backlog[Requirement Name],MATCH($A49,Backlog[Requirement ID],0))),"",INDEX(Backlog[Requirement Name],MATCH($A49,Backlog[Requirement ID],0))),"")</f>
        <v/>
      </c>
      <c r="C49" s="23">
        <f>IFERROR(IF(ISBLANK(INDEX(Backlog[Stream],MATCH($A49,Backlog[Requirement ID],0))),"",INDEX(Backlog[Stream],MATCH($A49,Backlog[Requirement ID],0))),"")</f>
        <v/>
      </c>
      <c r="D49" s="23">
        <f>IFERROR(IF(ISBLANK(INDEX(Backlog[Priority],MATCH($A49,Backlog[Requirement ID],0))),"",INDEX(Backlog[Priority],MATCH($A49,Backlog[Requirement ID],0))),"")</f>
        <v/>
      </c>
      <c r="E49" s="23">
        <f>IFERROR(IF(ISBLANK(INDEX(Backlog[Status],MATCH($A49,Backlog[Requirement ID],0))),"",INDEX(Backlog[Status],MATCH($A49,Backlog[Requirement ID],0))),"")</f>
        <v/>
      </c>
      <c r="F49" s="21" t="inlineStr">
        <is>
          <t>Sprint 12</t>
        </is>
      </c>
      <c r="G49" s="23">
        <f>IFERROR(IF(ISBLANK(INDEX(Backlog[HLE],MATCH($A49,Backlog[Requirement ID],0))),"",INDEX(Backlog[HLE],MATCH($A49,Backlog[Requirement ID],0))),"")</f>
        <v/>
      </c>
      <c r="H49" s="23">
        <f>IFERROR(VALUE(SUBSTITUTE($F49,"Sprint ","")),9999)</f>
        <v/>
      </c>
    </row>
    <row r="50" ht="15" customHeight="1">
      <c r="A50" s="21" t="inlineStr">
        <is>
          <t>NEW-0086</t>
        </is>
      </c>
      <c r="B50" s="23">
        <f>IFERROR(IF(ISBLANK(INDEX(Backlog[Requirement Name],MATCH($A50,Backlog[Requirement ID],0))),"",INDEX(Backlog[Requirement Name],MATCH($A50,Backlog[Requirement ID],0))),"")</f>
        <v/>
      </c>
      <c r="C50" s="23">
        <f>IFERROR(IF(ISBLANK(INDEX(Backlog[Stream],MATCH($A50,Backlog[Requirement ID],0))),"",INDEX(Backlog[Stream],MATCH($A50,Backlog[Requirement ID],0))),"")</f>
        <v/>
      </c>
      <c r="D50" s="23">
        <f>IFERROR(IF(ISBLANK(INDEX(Backlog[Priority],MATCH($A50,Backlog[Requirement ID],0))),"",INDEX(Backlog[Priority],MATCH($A50,Backlog[Requirement ID],0))),"")</f>
        <v/>
      </c>
      <c r="E50" s="23">
        <f>IFERROR(IF(ISBLANK(INDEX(Backlog[Status],MATCH($A50,Backlog[Requirement ID],0))),"",INDEX(Backlog[Status],MATCH($A50,Backlog[Requirement ID],0))),"")</f>
        <v/>
      </c>
      <c r="F50" s="21" t="inlineStr">
        <is>
          <t>Sprint 12</t>
        </is>
      </c>
      <c r="G50" s="23">
        <f>IFERROR(IF(ISBLANK(INDEX(Backlog[HLE],MATCH($A50,Backlog[Requirement ID],0))),"",INDEX(Backlog[HLE],MATCH($A50,Backlog[Requirement ID],0))),"")</f>
        <v/>
      </c>
      <c r="H50" s="23">
        <f>IFERROR(VALUE(SUBSTITUTE($F50,"Sprint ","")),9999)</f>
        <v/>
      </c>
    </row>
    <row r="51" ht="15" customHeight="1">
      <c r="A51" s="21" t="inlineStr">
        <is>
          <t>NEW-0087</t>
        </is>
      </c>
      <c r="B51" s="23">
        <f>IFERROR(IF(ISBLANK(INDEX(Backlog[Requirement Name],MATCH($A51,Backlog[Requirement ID],0))),"",INDEX(Backlog[Requirement Name],MATCH($A51,Backlog[Requirement ID],0))),"")</f>
        <v/>
      </c>
      <c r="C51" s="23">
        <f>IFERROR(IF(ISBLANK(INDEX(Backlog[Stream],MATCH($A51,Backlog[Requirement ID],0))),"",INDEX(Backlog[Stream],MATCH($A51,Backlog[Requirement ID],0))),"")</f>
        <v/>
      </c>
      <c r="D51" s="23">
        <f>IFERROR(IF(ISBLANK(INDEX(Backlog[Priority],MATCH($A51,Backlog[Requirement ID],0))),"",INDEX(Backlog[Priority],MATCH($A51,Backlog[Requirement ID],0))),"")</f>
        <v/>
      </c>
      <c r="E51" s="23">
        <f>IFERROR(IF(ISBLANK(INDEX(Backlog[Status],MATCH($A51,Backlog[Requirement ID],0))),"",INDEX(Backlog[Status],MATCH($A51,Backlog[Requirement ID],0))),"")</f>
        <v/>
      </c>
      <c r="F51" s="21" t="inlineStr">
        <is>
          <t>Sprint 12</t>
        </is>
      </c>
      <c r="G51" s="23">
        <f>IFERROR(IF(ISBLANK(INDEX(Backlog[HLE],MATCH($A51,Backlog[Requirement ID],0))),"",INDEX(Backlog[HLE],MATCH($A51,Backlog[Requirement ID],0))),"")</f>
        <v/>
      </c>
      <c r="H51" s="23">
        <f>IFERROR(VALUE(SUBSTITUTE($F51,"Sprint ","")),9999)</f>
        <v/>
      </c>
    </row>
    <row r="52" ht="15" customHeight="1">
      <c r="A52" s="21" t="inlineStr">
        <is>
          <t>NEW-0090</t>
        </is>
      </c>
      <c r="B52" s="23">
        <f>IFERROR(IF(ISBLANK(INDEX(Backlog[Requirement Name],MATCH($A52,Backlog[Requirement ID],0))),"",INDEX(Backlog[Requirement Name],MATCH($A52,Backlog[Requirement ID],0))),"")</f>
        <v/>
      </c>
      <c r="C52" s="23">
        <f>IFERROR(IF(ISBLANK(INDEX(Backlog[Stream],MATCH($A52,Backlog[Requirement ID],0))),"",INDEX(Backlog[Stream],MATCH($A52,Backlog[Requirement ID],0))),"")</f>
        <v/>
      </c>
      <c r="D52" s="23">
        <f>IFERROR(IF(ISBLANK(INDEX(Backlog[Priority],MATCH($A52,Backlog[Requirement ID],0))),"",INDEX(Backlog[Priority],MATCH($A52,Backlog[Requirement ID],0))),"")</f>
        <v/>
      </c>
      <c r="E52" s="23">
        <f>IFERROR(IF(ISBLANK(INDEX(Backlog[Status],MATCH($A52,Backlog[Requirement ID],0))),"",INDEX(Backlog[Status],MATCH($A52,Backlog[Requirement ID],0))),"")</f>
        <v/>
      </c>
      <c r="F52" s="21" t="inlineStr">
        <is>
          <t>Sprint 1</t>
        </is>
      </c>
      <c r="G52" s="23">
        <f>IFERROR(IF(ISBLANK(INDEX(Backlog[HLE],MATCH($A52,Backlog[Requirement ID],0))),"",INDEX(Backlog[HLE],MATCH($A52,Backlog[Requirement ID],0))),"")</f>
        <v/>
      </c>
      <c r="H52" s="23">
        <f>IFERROR(VALUE(SUBSTITUTE($F52,"Sprint ","")),9999)</f>
        <v/>
      </c>
    </row>
    <row r="53" ht="15" customHeight="1">
      <c r="A53" s="21" t="inlineStr">
        <is>
          <t>NEW-0093</t>
        </is>
      </c>
      <c r="B53" s="23">
        <f>IFERROR(IF(ISBLANK(INDEX(Backlog[Requirement Name],MATCH($A53,Backlog[Requirement ID],0))),"",INDEX(Backlog[Requirement Name],MATCH($A53,Backlog[Requirement ID],0))),"")</f>
        <v/>
      </c>
      <c r="C53" s="23">
        <f>IFERROR(IF(ISBLANK(INDEX(Backlog[Stream],MATCH($A53,Backlog[Requirement ID],0))),"",INDEX(Backlog[Stream],MATCH($A53,Backlog[Requirement ID],0))),"")</f>
        <v/>
      </c>
      <c r="D53" s="23">
        <f>IFERROR(IF(ISBLANK(INDEX(Backlog[Priority],MATCH($A53,Backlog[Requirement ID],0))),"",INDEX(Backlog[Priority],MATCH($A53,Backlog[Requirement ID],0))),"")</f>
        <v/>
      </c>
      <c r="E53" s="23">
        <f>IFERROR(IF(ISBLANK(INDEX(Backlog[Status],MATCH($A53,Backlog[Requirement ID],0))),"",INDEX(Backlog[Status],MATCH($A53,Backlog[Requirement ID],0))),"")</f>
        <v/>
      </c>
      <c r="F53" s="21" t="inlineStr">
        <is>
          <t>Sprint 2</t>
        </is>
      </c>
      <c r="G53" s="23">
        <f>IFERROR(IF(ISBLANK(INDEX(Backlog[HLE],MATCH($A53,Backlog[Requirement ID],0))),"",INDEX(Backlog[HLE],MATCH($A53,Backlog[Requirement ID],0))),"")</f>
        <v/>
      </c>
      <c r="H53" s="23">
        <f>IFERROR(VALUE(SUBSTITUTE($F53,"Sprint ","")),9999)</f>
        <v/>
      </c>
    </row>
    <row r="54" ht="15" customHeight="1">
      <c r="A54" s="21" t="inlineStr">
        <is>
          <t>NEW-0094</t>
        </is>
      </c>
      <c r="B54" s="23">
        <f>IFERROR(IF(ISBLANK(INDEX(Backlog[Requirement Name],MATCH($A54,Backlog[Requirement ID],0))),"",INDEX(Backlog[Requirement Name],MATCH($A54,Backlog[Requirement ID],0))),"")</f>
        <v/>
      </c>
      <c r="C54" s="23">
        <f>IFERROR(IF(ISBLANK(INDEX(Backlog[Stream],MATCH($A54,Backlog[Requirement ID],0))),"",INDEX(Backlog[Stream],MATCH($A54,Backlog[Requirement ID],0))),"")</f>
        <v/>
      </c>
      <c r="D54" s="23">
        <f>IFERROR(IF(ISBLANK(INDEX(Backlog[Priority],MATCH($A54,Backlog[Requirement ID],0))),"",INDEX(Backlog[Priority],MATCH($A54,Backlog[Requirement ID],0))),"")</f>
        <v/>
      </c>
      <c r="E54" s="23">
        <f>IFERROR(IF(ISBLANK(INDEX(Backlog[Status],MATCH($A54,Backlog[Requirement ID],0))),"",INDEX(Backlog[Status],MATCH($A54,Backlog[Requirement ID],0))),"")</f>
        <v/>
      </c>
      <c r="F54" s="21" t="inlineStr">
        <is>
          <t>Sprint 2</t>
        </is>
      </c>
      <c r="G54" s="23">
        <f>IFERROR(IF(ISBLANK(INDEX(Backlog[HLE],MATCH($A54,Backlog[Requirement ID],0))),"",INDEX(Backlog[HLE],MATCH($A54,Backlog[Requirement ID],0))),"")</f>
        <v/>
      </c>
      <c r="H54" s="23">
        <f>IFERROR(VALUE(SUBSTITUTE($F54,"Sprint ","")),9999)</f>
        <v/>
      </c>
    </row>
    <row r="55" ht="15" customHeight="1">
      <c r="A55" s="21" t="inlineStr">
        <is>
          <t>NEW-0099</t>
        </is>
      </c>
      <c r="B55" s="23">
        <f>IFERROR(IF(ISBLANK(INDEX(Backlog[Requirement Name],MATCH($A55,Backlog[Requirement ID],0))),"",INDEX(Backlog[Requirement Name],MATCH($A55,Backlog[Requirement ID],0))),"")</f>
        <v/>
      </c>
      <c r="C55" s="23">
        <f>IFERROR(IF(ISBLANK(INDEX(Backlog[Stream],MATCH($A55,Backlog[Requirement ID],0))),"",INDEX(Backlog[Stream],MATCH($A55,Backlog[Requirement ID],0))),"")</f>
        <v/>
      </c>
      <c r="D55" s="23">
        <f>IFERROR(IF(ISBLANK(INDEX(Backlog[Priority],MATCH($A55,Backlog[Requirement ID],0))),"",INDEX(Backlog[Priority],MATCH($A55,Backlog[Requirement ID],0))),"")</f>
        <v/>
      </c>
      <c r="E55" s="23">
        <f>IFERROR(IF(ISBLANK(INDEX(Backlog[Status],MATCH($A55,Backlog[Requirement ID],0))),"",INDEX(Backlog[Status],MATCH($A55,Backlog[Requirement ID],0))),"")</f>
        <v/>
      </c>
      <c r="F55" s="21" t="inlineStr">
        <is>
          <t>Sprint 3</t>
        </is>
      </c>
      <c r="G55" s="23">
        <f>IFERROR(IF(ISBLANK(INDEX(Backlog[HLE],MATCH($A55,Backlog[Requirement ID],0))),"",INDEX(Backlog[HLE],MATCH($A55,Backlog[Requirement ID],0))),"")</f>
        <v/>
      </c>
      <c r="H55" s="23">
        <f>IFERROR(VALUE(SUBSTITUTE($F55,"Sprint ","")),9999)</f>
        <v/>
      </c>
    </row>
    <row r="56" ht="15" customHeight="1">
      <c r="A56" s="21" t="inlineStr">
        <is>
          <t>NEW-0100</t>
        </is>
      </c>
      <c r="B56" s="23">
        <f>IFERROR(IF(ISBLANK(INDEX(Backlog[Requirement Name],MATCH($A56,Backlog[Requirement ID],0))),"",INDEX(Backlog[Requirement Name],MATCH($A56,Backlog[Requirement ID],0))),"")</f>
        <v/>
      </c>
      <c r="C56" s="23">
        <f>IFERROR(IF(ISBLANK(INDEX(Backlog[Stream],MATCH($A56,Backlog[Requirement ID],0))),"",INDEX(Backlog[Stream],MATCH($A56,Backlog[Requirement ID],0))),"")</f>
        <v/>
      </c>
      <c r="D56" s="23">
        <f>IFERROR(IF(ISBLANK(INDEX(Backlog[Priority],MATCH($A56,Backlog[Requirement ID],0))),"",INDEX(Backlog[Priority],MATCH($A56,Backlog[Requirement ID],0))),"")</f>
        <v/>
      </c>
      <c r="E56" s="23">
        <f>IFERROR(IF(ISBLANK(INDEX(Backlog[Status],MATCH($A56,Backlog[Requirement ID],0))),"",INDEX(Backlog[Status],MATCH($A56,Backlog[Requirement ID],0))),"")</f>
        <v/>
      </c>
      <c r="F56" s="21" t="inlineStr">
        <is>
          <t>Sprint 6</t>
        </is>
      </c>
      <c r="G56" s="23">
        <f>IFERROR(IF(ISBLANK(INDEX(Backlog[HLE],MATCH($A56,Backlog[Requirement ID],0))),"",INDEX(Backlog[HLE],MATCH($A56,Backlog[Requirement ID],0))),"")</f>
        <v/>
      </c>
      <c r="H56" s="23">
        <f>IFERROR(VALUE(SUBSTITUTE($F56,"Sprint ","")),9999)</f>
        <v/>
      </c>
    </row>
    <row r="57" ht="15" customHeight="1">
      <c r="A57" s="21" t="inlineStr">
        <is>
          <t>NEW-0103</t>
        </is>
      </c>
      <c r="B57" s="23">
        <f>IFERROR(IF(ISBLANK(INDEX(Backlog[Requirement Name],MATCH($A57,Backlog[Requirement ID],0))),"",INDEX(Backlog[Requirement Name],MATCH($A57,Backlog[Requirement ID],0))),"")</f>
        <v/>
      </c>
      <c r="C57" s="23">
        <f>IFERROR(IF(ISBLANK(INDEX(Backlog[Stream],MATCH($A57,Backlog[Requirement ID],0))),"",INDEX(Backlog[Stream],MATCH($A57,Backlog[Requirement ID],0))),"")</f>
        <v/>
      </c>
      <c r="D57" s="23">
        <f>IFERROR(IF(ISBLANK(INDEX(Backlog[Priority],MATCH($A57,Backlog[Requirement ID],0))),"",INDEX(Backlog[Priority],MATCH($A57,Backlog[Requirement ID],0))),"")</f>
        <v/>
      </c>
      <c r="E57" s="23">
        <f>IFERROR(IF(ISBLANK(INDEX(Backlog[Status],MATCH($A57,Backlog[Requirement ID],0))),"",INDEX(Backlog[Status],MATCH($A57,Backlog[Requirement ID],0))),"")</f>
        <v/>
      </c>
      <c r="F57" s="21" t="inlineStr">
        <is>
          <t>Sprint 6</t>
        </is>
      </c>
      <c r="G57" s="23">
        <f>IFERROR(IF(ISBLANK(INDEX(Backlog[HLE],MATCH($A57,Backlog[Requirement ID],0))),"",INDEX(Backlog[HLE],MATCH($A57,Backlog[Requirement ID],0))),"")</f>
        <v/>
      </c>
      <c r="H57" s="23">
        <f>IFERROR(VALUE(SUBSTITUTE($F57,"Sprint ","")),9999)</f>
        <v/>
      </c>
    </row>
    <row r="58" ht="15" customHeight="1">
      <c r="A58" s="21" t="inlineStr">
        <is>
          <t>NEW-0104</t>
        </is>
      </c>
      <c r="B58" s="23">
        <f>IFERROR(IF(ISBLANK(INDEX(Backlog[Requirement Name],MATCH($A58,Backlog[Requirement ID],0))),"",INDEX(Backlog[Requirement Name],MATCH($A58,Backlog[Requirement ID],0))),"")</f>
        <v/>
      </c>
      <c r="C58" s="23">
        <f>IFERROR(IF(ISBLANK(INDEX(Backlog[Stream],MATCH($A58,Backlog[Requirement ID],0))),"",INDEX(Backlog[Stream],MATCH($A58,Backlog[Requirement ID],0))),"")</f>
        <v/>
      </c>
      <c r="D58" s="23">
        <f>IFERROR(IF(ISBLANK(INDEX(Backlog[Priority],MATCH($A58,Backlog[Requirement ID],0))),"",INDEX(Backlog[Priority],MATCH($A58,Backlog[Requirement ID],0))),"")</f>
        <v/>
      </c>
      <c r="E58" s="23">
        <f>IFERROR(IF(ISBLANK(INDEX(Backlog[Status],MATCH($A58,Backlog[Requirement ID],0))),"",INDEX(Backlog[Status],MATCH($A58,Backlog[Requirement ID],0))),"")</f>
        <v/>
      </c>
      <c r="F58" s="21" t="inlineStr">
        <is>
          <t>Sprint 6</t>
        </is>
      </c>
      <c r="G58" s="23">
        <f>IFERROR(IF(ISBLANK(INDEX(Backlog[HLE],MATCH($A58,Backlog[Requirement ID],0))),"",INDEX(Backlog[HLE],MATCH($A58,Backlog[Requirement ID],0))),"")</f>
        <v/>
      </c>
      <c r="H58" s="23">
        <f>IFERROR(VALUE(SUBSTITUTE($F58,"Sprint ","")),9999)</f>
        <v/>
      </c>
    </row>
    <row r="59" ht="15" customHeight="1">
      <c r="A59" s="21" t="inlineStr">
        <is>
          <t>NEW-0105</t>
        </is>
      </c>
      <c r="B59" s="23">
        <f>IFERROR(IF(ISBLANK(INDEX(Backlog[Requirement Name],MATCH($A59,Backlog[Requirement ID],0))),"",INDEX(Backlog[Requirement Name],MATCH($A59,Backlog[Requirement ID],0))),"")</f>
        <v/>
      </c>
      <c r="C59" s="23">
        <f>IFERROR(IF(ISBLANK(INDEX(Backlog[Stream],MATCH($A59,Backlog[Requirement ID],0))),"",INDEX(Backlog[Stream],MATCH($A59,Backlog[Requirement ID],0))),"")</f>
        <v/>
      </c>
      <c r="D59" s="23">
        <f>IFERROR(IF(ISBLANK(INDEX(Backlog[Priority],MATCH($A59,Backlog[Requirement ID],0))),"",INDEX(Backlog[Priority],MATCH($A59,Backlog[Requirement ID],0))),"")</f>
        <v/>
      </c>
      <c r="E59" s="23">
        <f>IFERROR(IF(ISBLANK(INDEX(Backlog[Status],MATCH($A59,Backlog[Requirement ID],0))),"",INDEX(Backlog[Status],MATCH($A59,Backlog[Requirement ID],0))),"")</f>
        <v/>
      </c>
      <c r="F59" s="21" t="inlineStr">
        <is>
          <t>Sprint 6</t>
        </is>
      </c>
      <c r="G59" s="23">
        <f>IFERROR(IF(ISBLANK(INDEX(Backlog[HLE],MATCH($A59,Backlog[Requirement ID],0))),"",INDEX(Backlog[HLE],MATCH($A59,Backlog[Requirement ID],0))),"")</f>
        <v/>
      </c>
      <c r="H59" s="23">
        <f>IFERROR(VALUE(SUBSTITUTE($F59,"Sprint ","")),9999)</f>
        <v/>
      </c>
    </row>
    <row r="60" ht="15" customHeight="1">
      <c r="A60" s="21" t="inlineStr">
        <is>
          <t>NEW-0108</t>
        </is>
      </c>
      <c r="B60" s="23">
        <f>IFERROR(IF(ISBLANK(INDEX(Backlog[Requirement Name],MATCH($A60,Backlog[Requirement ID],0))),"",INDEX(Backlog[Requirement Name],MATCH($A60,Backlog[Requirement ID],0))),"")</f>
        <v/>
      </c>
      <c r="C60" s="23">
        <f>IFERROR(IF(ISBLANK(INDEX(Backlog[Stream],MATCH($A60,Backlog[Requirement ID],0))),"",INDEX(Backlog[Stream],MATCH($A60,Backlog[Requirement ID],0))),"")</f>
        <v/>
      </c>
      <c r="D60" s="23">
        <f>IFERROR(IF(ISBLANK(INDEX(Backlog[Priority],MATCH($A60,Backlog[Requirement ID],0))),"",INDEX(Backlog[Priority],MATCH($A60,Backlog[Requirement ID],0))),"")</f>
        <v/>
      </c>
      <c r="E60" s="23">
        <f>IFERROR(IF(ISBLANK(INDEX(Backlog[Status],MATCH($A60,Backlog[Requirement ID],0))),"",INDEX(Backlog[Status],MATCH($A60,Backlog[Requirement ID],0))),"")</f>
        <v/>
      </c>
      <c r="F60" s="21" t="inlineStr">
        <is>
          <t>Sprint 5</t>
        </is>
      </c>
      <c r="G60" s="23">
        <f>IFERROR(IF(ISBLANK(INDEX(Backlog[HLE],MATCH($A60,Backlog[Requirement ID],0))),"",INDEX(Backlog[HLE],MATCH($A60,Backlog[Requirement ID],0))),"")</f>
        <v/>
      </c>
      <c r="H60" s="23">
        <f>IFERROR(VALUE(SUBSTITUTE($F60,"Sprint ","")),9999)</f>
        <v/>
      </c>
    </row>
    <row r="61" ht="15" customHeight="1">
      <c r="A61" s="21" t="inlineStr">
        <is>
          <t>NEW-0109</t>
        </is>
      </c>
      <c r="B61" s="23">
        <f>IFERROR(IF(ISBLANK(INDEX(Backlog[Requirement Name],MATCH($A61,Backlog[Requirement ID],0))),"",INDEX(Backlog[Requirement Name],MATCH($A61,Backlog[Requirement ID],0))),"")</f>
        <v/>
      </c>
      <c r="C61" s="23">
        <f>IFERROR(IF(ISBLANK(INDEX(Backlog[Stream],MATCH($A61,Backlog[Requirement ID],0))),"",INDEX(Backlog[Stream],MATCH($A61,Backlog[Requirement ID],0))),"")</f>
        <v/>
      </c>
      <c r="D61" s="23">
        <f>IFERROR(IF(ISBLANK(INDEX(Backlog[Priority],MATCH($A61,Backlog[Requirement ID],0))),"",INDEX(Backlog[Priority],MATCH($A61,Backlog[Requirement ID],0))),"")</f>
        <v/>
      </c>
      <c r="E61" s="23">
        <f>IFERROR(IF(ISBLANK(INDEX(Backlog[Status],MATCH($A61,Backlog[Requirement ID],0))),"",INDEX(Backlog[Status],MATCH($A61,Backlog[Requirement ID],0))),"")</f>
        <v/>
      </c>
      <c r="F61" s="21" t="inlineStr">
        <is>
          <t>Sprint 5</t>
        </is>
      </c>
      <c r="G61" s="23">
        <f>IFERROR(IF(ISBLANK(INDEX(Backlog[HLE],MATCH($A61,Backlog[Requirement ID],0))),"",INDEX(Backlog[HLE],MATCH($A61,Backlog[Requirement ID],0))),"")</f>
        <v/>
      </c>
      <c r="H61" s="23">
        <f>IFERROR(VALUE(SUBSTITUTE($F61,"Sprint ","")),9999)</f>
        <v/>
      </c>
    </row>
    <row r="62" ht="15" customHeight="1">
      <c r="A62" s="21" t="inlineStr">
        <is>
          <t>NEW-0111</t>
        </is>
      </c>
      <c r="B62" s="23">
        <f>IFERROR(IF(ISBLANK(INDEX(Backlog[Requirement Name],MATCH($A62,Backlog[Requirement ID],0))),"",INDEX(Backlog[Requirement Name],MATCH($A62,Backlog[Requirement ID],0))),"")</f>
        <v/>
      </c>
      <c r="C62" s="23">
        <f>IFERROR(IF(ISBLANK(INDEX(Backlog[Stream],MATCH($A62,Backlog[Requirement ID],0))),"",INDEX(Backlog[Stream],MATCH($A62,Backlog[Requirement ID],0))),"")</f>
        <v/>
      </c>
      <c r="D62" s="23">
        <f>IFERROR(IF(ISBLANK(INDEX(Backlog[Priority],MATCH($A62,Backlog[Requirement ID],0))),"",INDEX(Backlog[Priority],MATCH($A62,Backlog[Requirement ID],0))),"")</f>
        <v/>
      </c>
      <c r="E62" s="23">
        <f>IFERROR(IF(ISBLANK(INDEX(Backlog[Status],MATCH($A62,Backlog[Requirement ID],0))),"",INDEX(Backlog[Status],MATCH($A62,Backlog[Requirement ID],0))),"")</f>
        <v/>
      </c>
      <c r="F62" s="21" t="inlineStr">
        <is>
          <t>Sprint 6</t>
        </is>
      </c>
      <c r="G62" s="23">
        <f>IFERROR(IF(ISBLANK(INDEX(Backlog[HLE],MATCH($A62,Backlog[Requirement ID],0))),"",INDEX(Backlog[HLE],MATCH($A62,Backlog[Requirement ID],0))),"")</f>
        <v/>
      </c>
      <c r="H62" s="23">
        <f>IFERROR(VALUE(SUBSTITUTE($F62,"Sprint ","")),9999)</f>
        <v/>
      </c>
    </row>
    <row r="63" ht="15" customHeight="1">
      <c r="A63" s="21" t="inlineStr">
        <is>
          <t>NEW-0112</t>
        </is>
      </c>
      <c r="B63" s="23">
        <f>IFERROR(IF(ISBLANK(INDEX(Backlog[Requirement Name],MATCH($A63,Backlog[Requirement ID],0))),"",INDEX(Backlog[Requirement Name],MATCH($A63,Backlog[Requirement ID],0))),"")</f>
        <v/>
      </c>
      <c r="C63" s="23">
        <f>IFERROR(IF(ISBLANK(INDEX(Backlog[Stream],MATCH($A63,Backlog[Requirement ID],0))),"",INDEX(Backlog[Stream],MATCH($A63,Backlog[Requirement ID],0))),"")</f>
        <v/>
      </c>
      <c r="D63" s="23">
        <f>IFERROR(IF(ISBLANK(INDEX(Backlog[Priority],MATCH($A63,Backlog[Requirement ID],0))),"",INDEX(Backlog[Priority],MATCH($A63,Backlog[Requirement ID],0))),"")</f>
        <v/>
      </c>
      <c r="E63" s="23">
        <f>IFERROR(IF(ISBLANK(INDEX(Backlog[Status],MATCH($A63,Backlog[Requirement ID],0))),"",INDEX(Backlog[Status],MATCH($A63,Backlog[Requirement ID],0))),"")</f>
        <v/>
      </c>
      <c r="F63" s="21" t="inlineStr">
        <is>
          <t>Sprint 7</t>
        </is>
      </c>
      <c r="G63" s="23">
        <f>IFERROR(IF(ISBLANK(INDEX(Backlog[HLE],MATCH($A63,Backlog[Requirement ID],0))),"",INDEX(Backlog[HLE],MATCH($A63,Backlog[Requirement ID],0))),"")</f>
        <v/>
      </c>
      <c r="H63" s="23">
        <f>IFERROR(VALUE(SUBSTITUTE($F63,"Sprint ","")),9999)</f>
        <v/>
      </c>
    </row>
    <row r="64" ht="15" customHeight="1">
      <c r="A64" s="21" t="inlineStr">
        <is>
          <t>NEW-0113</t>
        </is>
      </c>
      <c r="B64" s="23">
        <f>IFERROR(IF(ISBLANK(INDEX(Backlog[Requirement Name],MATCH($A64,Backlog[Requirement ID],0))),"",INDEX(Backlog[Requirement Name],MATCH($A64,Backlog[Requirement ID],0))),"")</f>
        <v/>
      </c>
      <c r="C64" s="23">
        <f>IFERROR(IF(ISBLANK(INDEX(Backlog[Stream],MATCH($A64,Backlog[Requirement ID],0))),"",INDEX(Backlog[Stream],MATCH($A64,Backlog[Requirement ID],0))),"")</f>
        <v/>
      </c>
      <c r="D64" s="23">
        <f>IFERROR(IF(ISBLANK(INDEX(Backlog[Priority],MATCH($A64,Backlog[Requirement ID],0))),"",INDEX(Backlog[Priority],MATCH($A64,Backlog[Requirement ID],0))),"")</f>
        <v/>
      </c>
      <c r="E64" s="23">
        <f>IFERROR(IF(ISBLANK(INDEX(Backlog[Status],MATCH($A64,Backlog[Requirement ID],0))),"",INDEX(Backlog[Status],MATCH($A64,Backlog[Requirement ID],0))),"")</f>
        <v/>
      </c>
      <c r="F64" s="21" t="inlineStr">
        <is>
          <t>Sprint 7</t>
        </is>
      </c>
      <c r="G64" s="23">
        <f>IFERROR(IF(ISBLANK(INDEX(Backlog[HLE],MATCH($A64,Backlog[Requirement ID],0))),"",INDEX(Backlog[HLE],MATCH($A64,Backlog[Requirement ID],0))),"")</f>
        <v/>
      </c>
      <c r="H64" s="23">
        <f>IFERROR(VALUE(SUBSTITUTE($F64,"Sprint ","")),9999)</f>
        <v/>
      </c>
    </row>
    <row r="65" ht="15" customHeight="1">
      <c r="A65" s="21" t="inlineStr">
        <is>
          <t>NEW-0120</t>
        </is>
      </c>
      <c r="B65" s="23">
        <f>IFERROR(IF(ISBLANK(INDEX(Backlog[Requirement Name],MATCH($A65,Backlog[Requirement ID],0))),"",INDEX(Backlog[Requirement Name],MATCH($A65,Backlog[Requirement ID],0))),"")</f>
        <v/>
      </c>
      <c r="C65" s="23">
        <f>IFERROR(IF(ISBLANK(INDEX(Backlog[Stream],MATCH($A65,Backlog[Requirement ID],0))),"",INDEX(Backlog[Stream],MATCH($A65,Backlog[Requirement ID],0))),"")</f>
        <v/>
      </c>
      <c r="D65" s="23">
        <f>IFERROR(IF(ISBLANK(INDEX(Backlog[Priority],MATCH($A65,Backlog[Requirement ID],0))),"",INDEX(Backlog[Priority],MATCH($A65,Backlog[Requirement ID],0))),"")</f>
        <v/>
      </c>
      <c r="E65" s="23">
        <f>IFERROR(IF(ISBLANK(INDEX(Backlog[Status],MATCH($A65,Backlog[Requirement ID],0))),"",INDEX(Backlog[Status],MATCH($A65,Backlog[Requirement ID],0))),"")</f>
        <v/>
      </c>
      <c r="F65" s="21" t="inlineStr">
        <is>
          <t>Sprint 7</t>
        </is>
      </c>
      <c r="G65" s="23">
        <f>IFERROR(IF(ISBLANK(INDEX(Backlog[HLE],MATCH($A65,Backlog[Requirement ID],0))),"",INDEX(Backlog[HLE],MATCH($A65,Backlog[Requirement ID],0))),"")</f>
        <v/>
      </c>
      <c r="H65" s="23">
        <f>IFERROR(VALUE(SUBSTITUTE($F65,"Sprint ","")),9999)</f>
        <v/>
      </c>
    </row>
    <row r="66" ht="15" customHeight="1">
      <c r="A66" s="21" t="inlineStr">
        <is>
          <t>NEW-0121</t>
        </is>
      </c>
      <c r="B66" s="23">
        <f>IFERROR(IF(ISBLANK(INDEX(Backlog[Requirement Name],MATCH($A66,Backlog[Requirement ID],0))),"",INDEX(Backlog[Requirement Name],MATCH($A66,Backlog[Requirement ID],0))),"")</f>
        <v/>
      </c>
      <c r="C66" s="23">
        <f>IFERROR(IF(ISBLANK(INDEX(Backlog[Stream],MATCH($A66,Backlog[Requirement ID],0))),"",INDEX(Backlog[Stream],MATCH($A66,Backlog[Requirement ID],0))),"")</f>
        <v/>
      </c>
      <c r="D66" s="23">
        <f>IFERROR(IF(ISBLANK(INDEX(Backlog[Priority],MATCH($A66,Backlog[Requirement ID],0))),"",INDEX(Backlog[Priority],MATCH($A66,Backlog[Requirement ID],0))),"")</f>
        <v/>
      </c>
      <c r="E66" s="23">
        <f>IFERROR(IF(ISBLANK(INDEX(Backlog[Status],MATCH($A66,Backlog[Requirement ID],0))),"",INDEX(Backlog[Status],MATCH($A66,Backlog[Requirement ID],0))),"")</f>
        <v/>
      </c>
      <c r="F66" s="21" t="inlineStr">
        <is>
          <t>Sprint 7</t>
        </is>
      </c>
      <c r="G66" s="23">
        <f>IFERROR(IF(ISBLANK(INDEX(Backlog[HLE],MATCH($A66,Backlog[Requirement ID],0))),"",INDEX(Backlog[HLE],MATCH($A66,Backlog[Requirement ID],0))),"")</f>
        <v/>
      </c>
      <c r="H66" s="23">
        <f>IFERROR(VALUE(SUBSTITUTE($F66,"Sprint ","")),9999)</f>
        <v/>
      </c>
    </row>
    <row r="67" ht="15" customHeight="1">
      <c r="A67" s="21" t="inlineStr">
        <is>
          <t>NEW-0122</t>
        </is>
      </c>
      <c r="B67" s="23">
        <f>IFERROR(IF(ISBLANK(INDEX(Backlog[Requirement Name],MATCH($A67,Backlog[Requirement ID],0))),"",INDEX(Backlog[Requirement Name],MATCH($A67,Backlog[Requirement ID],0))),"")</f>
        <v/>
      </c>
      <c r="C67" s="23">
        <f>IFERROR(IF(ISBLANK(INDEX(Backlog[Stream],MATCH($A67,Backlog[Requirement ID],0))),"",INDEX(Backlog[Stream],MATCH($A67,Backlog[Requirement ID],0))),"")</f>
        <v/>
      </c>
      <c r="D67" s="23">
        <f>IFERROR(IF(ISBLANK(INDEX(Backlog[Priority],MATCH($A67,Backlog[Requirement ID],0))),"",INDEX(Backlog[Priority],MATCH($A67,Backlog[Requirement ID],0))),"")</f>
        <v/>
      </c>
      <c r="E67" s="23">
        <f>IFERROR(IF(ISBLANK(INDEX(Backlog[Status],MATCH($A67,Backlog[Requirement ID],0))),"",INDEX(Backlog[Status],MATCH($A67,Backlog[Requirement ID],0))),"")</f>
        <v/>
      </c>
      <c r="F67" s="21" t="inlineStr">
        <is>
          <t>Sprint 7</t>
        </is>
      </c>
      <c r="G67" s="23">
        <f>IFERROR(IF(ISBLANK(INDEX(Backlog[HLE],MATCH($A67,Backlog[Requirement ID],0))),"",INDEX(Backlog[HLE],MATCH($A67,Backlog[Requirement ID],0))),"")</f>
        <v/>
      </c>
      <c r="H67" s="23">
        <f>IFERROR(VALUE(SUBSTITUTE($F67,"Sprint ","")),9999)</f>
        <v/>
      </c>
    </row>
    <row r="68" ht="15" customHeight="1">
      <c r="A68" s="21" t="inlineStr">
        <is>
          <t>NEW-0123</t>
        </is>
      </c>
      <c r="B68" s="23">
        <f>IFERROR(IF(ISBLANK(INDEX(Backlog[Requirement Name],MATCH($A68,Backlog[Requirement ID],0))),"",INDEX(Backlog[Requirement Name],MATCH($A68,Backlog[Requirement ID],0))),"")</f>
        <v/>
      </c>
      <c r="C68" s="23">
        <f>IFERROR(IF(ISBLANK(INDEX(Backlog[Stream],MATCH($A68,Backlog[Requirement ID],0))),"",INDEX(Backlog[Stream],MATCH($A68,Backlog[Requirement ID],0))),"")</f>
        <v/>
      </c>
      <c r="D68" s="23">
        <f>IFERROR(IF(ISBLANK(INDEX(Backlog[Priority],MATCH($A68,Backlog[Requirement ID],0))),"",INDEX(Backlog[Priority],MATCH($A68,Backlog[Requirement ID],0))),"")</f>
        <v/>
      </c>
      <c r="E68" s="23">
        <f>IFERROR(IF(ISBLANK(INDEX(Backlog[Status],MATCH($A68,Backlog[Requirement ID],0))),"",INDEX(Backlog[Status],MATCH($A68,Backlog[Requirement ID],0))),"")</f>
        <v/>
      </c>
      <c r="F68" s="21" t="inlineStr">
        <is>
          <t>Sprint 4</t>
        </is>
      </c>
      <c r="G68" s="23">
        <f>IFERROR(IF(ISBLANK(INDEX(Backlog[HLE],MATCH($A68,Backlog[Requirement ID],0))),"",INDEX(Backlog[HLE],MATCH($A68,Backlog[Requirement ID],0))),"")</f>
        <v/>
      </c>
      <c r="H68" s="23">
        <f>IFERROR(VALUE(SUBSTITUTE($F68,"Sprint ","")),9999)</f>
        <v/>
      </c>
    </row>
    <row r="69" ht="15" customHeight="1">
      <c r="A69" s="21" t="inlineStr">
        <is>
          <t>NEW-0127</t>
        </is>
      </c>
      <c r="B69" s="23">
        <f>IFERROR(IF(ISBLANK(INDEX(Backlog[Requirement Name],MATCH($A69,Backlog[Requirement ID],0))),"",INDEX(Backlog[Requirement Name],MATCH($A69,Backlog[Requirement ID],0))),"")</f>
        <v/>
      </c>
      <c r="C69" s="23">
        <f>IFERROR(IF(ISBLANK(INDEX(Backlog[Stream],MATCH($A69,Backlog[Requirement ID],0))),"",INDEX(Backlog[Stream],MATCH($A69,Backlog[Requirement ID],0))),"")</f>
        <v/>
      </c>
      <c r="D69" s="23">
        <f>IFERROR(IF(ISBLANK(INDEX(Backlog[Priority],MATCH($A69,Backlog[Requirement ID],0))),"",INDEX(Backlog[Priority],MATCH($A69,Backlog[Requirement ID],0))),"")</f>
        <v/>
      </c>
      <c r="E69" s="23">
        <f>IFERROR(IF(ISBLANK(INDEX(Backlog[Status],MATCH($A69,Backlog[Requirement ID],0))),"",INDEX(Backlog[Status],MATCH($A69,Backlog[Requirement ID],0))),"")</f>
        <v/>
      </c>
      <c r="F69" s="21" t="inlineStr">
        <is>
          <t>Sprint 6</t>
        </is>
      </c>
      <c r="G69" s="23">
        <f>IFERROR(IF(ISBLANK(INDEX(Backlog[HLE],MATCH($A69,Backlog[Requirement ID],0))),"",INDEX(Backlog[HLE],MATCH($A69,Backlog[Requirement ID],0))),"")</f>
        <v/>
      </c>
      <c r="H69" s="23">
        <f>IFERROR(VALUE(SUBSTITUTE($F69,"Sprint ","")),9999)</f>
        <v/>
      </c>
    </row>
    <row r="70" ht="15" customHeight="1">
      <c r="A70" s="21" t="inlineStr">
        <is>
          <t>NEW-0131</t>
        </is>
      </c>
      <c r="B70" s="23">
        <f>IFERROR(IF(ISBLANK(INDEX(Backlog[Requirement Name],MATCH($A70,Backlog[Requirement ID],0))),"",INDEX(Backlog[Requirement Name],MATCH($A70,Backlog[Requirement ID],0))),"")</f>
        <v/>
      </c>
      <c r="C70" s="23">
        <f>IFERROR(IF(ISBLANK(INDEX(Backlog[Stream],MATCH($A70,Backlog[Requirement ID],0))),"",INDEX(Backlog[Stream],MATCH($A70,Backlog[Requirement ID],0))),"")</f>
        <v/>
      </c>
      <c r="D70" s="23">
        <f>IFERROR(IF(ISBLANK(INDEX(Backlog[Priority],MATCH($A70,Backlog[Requirement ID],0))),"",INDEX(Backlog[Priority],MATCH($A70,Backlog[Requirement ID],0))),"")</f>
        <v/>
      </c>
      <c r="E70" s="23">
        <f>IFERROR(IF(ISBLANK(INDEX(Backlog[Status],MATCH($A70,Backlog[Requirement ID],0))),"",INDEX(Backlog[Status],MATCH($A70,Backlog[Requirement ID],0))),"")</f>
        <v/>
      </c>
      <c r="F70" s="21" t="inlineStr">
        <is>
          <t>Sprint 6</t>
        </is>
      </c>
      <c r="G70" s="23">
        <f>IFERROR(IF(ISBLANK(INDEX(Backlog[HLE],MATCH($A70,Backlog[Requirement ID],0))),"",INDEX(Backlog[HLE],MATCH($A70,Backlog[Requirement ID],0))),"")</f>
        <v/>
      </c>
      <c r="H70" s="23">
        <f>IFERROR(VALUE(SUBSTITUTE($F70,"Sprint ","")),9999)</f>
        <v/>
      </c>
    </row>
    <row r="71" ht="15" customHeight="1">
      <c r="A71" s="21" t="inlineStr">
        <is>
          <t>NEW-0133</t>
        </is>
      </c>
      <c r="B71" s="23">
        <f>IFERROR(IF(ISBLANK(INDEX(Backlog[Requirement Name],MATCH($A71,Backlog[Requirement ID],0))),"",INDEX(Backlog[Requirement Name],MATCH($A71,Backlog[Requirement ID],0))),"")</f>
        <v/>
      </c>
      <c r="C71" s="23">
        <f>IFERROR(IF(ISBLANK(INDEX(Backlog[Stream],MATCH($A71,Backlog[Requirement ID],0))),"",INDEX(Backlog[Stream],MATCH($A71,Backlog[Requirement ID],0))),"")</f>
        <v/>
      </c>
      <c r="D71" s="23">
        <f>IFERROR(IF(ISBLANK(INDEX(Backlog[Priority],MATCH($A71,Backlog[Requirement ID],0))),"",INDEX(Backlog[Priority],MATCH($A71,Backlog[Requirement ID],0))),"")</f>
        <v/>
      </c>
      <c r="E71" s="23">
        <f>IFERROR(IF(ISBLANK(INDEX(Backlog[Status],MATCH($A71,Backlog[Requirement ID],0))),"",INDEX(Backlog[Status],MATCH($A71,Backlog[Requirement ID],0))),"")</f>
        <v/>
      </c>
      <c r="F71" s="21" t="inlineStr">
        <is>
          <t>Sprint 3</t>
        </is>
      </c>
      <c r="G71" s="23">
        <f>IFERROR(IF(ISBLANK(INDEX(Backlog[HLE],MATCH($A71,Backlog[Requirement ID],0))),"",INDEX(Backlog[HLE],MATCH($A71,Backlog[Requirement ID],0))),"")</f>
        <v/>
      </c>
      <c r="H71" s="23">
        <f>IFERROR(VALUE(SUBSTITUTE($F71,"Sprint ","")),9999)</f>
        <v/>
      </c>
    </row>
    <row r="72" ht="15" customHeight="1">
      <c r="A72" s="21" t="inlineStr">
        <is>
          <t>NEW-0135</t>
        </is>
      </c>
      <c r="B72" s="23">
        <f>IFERROR(IF(ISBLANK(INDEX(Backlog[Requirement Name],MATCH($A72,Backlog[Requirement ID],0))),"",INDEX(Backlog[Requirement Name],MATCH($A72,Backlog[Requirement ID],0))),"")</f>
        <v/>
      </c>
      <c r="C72" s="23">
        <f>IFERROR(IF(ISBLANK(INDEX(Backlog[Stream],MATCH($A72,Backlog[Requirement ID],0))),"",INDEX(Backlog[Stream],MATCH($A72,Backlog[Requirement ID],0))),"")</f>
        <v/>
      </c>
      <c r="D72" s="23">
        <f>IFERROR(IF(ISBLANK(INDEX(Backlog[Priority],MATCH($A72,Backlog[Requirement ID],0))),"",INDEX(Backlog[Priority],MATCH($A72,Backlog[Requirement ID],0))),"")</f>
        <v/>
      </c>
      <c r="E72" s="23">
        <f>IFERROR(IF(ISBLANK(INDEX(Backlog[Status],MATCH($A72,Backlog[Requirement ID],0))),"",INDEX(Backlog[Status],MATCH($A72,Backlog[Requirement ID],0))),"")</f>
        <v/>
      </c>
      <c r="F72" s="21" t="inlineStr">
        <is>
          <t>Sprint 5</t>
        </is>
      </c>
      <c r="G72" s="23">
        <f>IFERROR(IF(ISBLANK(INDEX(Backlog[HLE],MATCH($A72,Backlog[Requirement ID],0))),"",INDEX(Backlog[HLE],MATCH($A72,Backlog[Requirement ID],0))),"")</f>
        <v/>
      </c>
      <c r="H72" s="23">
        <f>IFERROR(VALUE(SUBSTITUTE($F72,"Sprint ","")),9999)</f>
        <v/>
      </c>
    </row>
    <row r="73" ht="15" customHeight="1">
      <c r="A73" s="21" t="inlineStr">
        <is>
          <t>NEW-0136</t>
        </is>
      </c>
      <c r="B73" s="23">
        <f>IFERROR(IF(ISBLANK(INDEX(Backlog[Requirement Name],MATCH($A73,Backlog[Requirement ID],0))),"",INDEX(Backlog[Requirement Name],MATCH($A73,Backlog[Requirement ID],0))),"")</f>
        <v/>
      </c>
      <c r="C73" s="23">
        <f>IFERROR(IF(ISBLANK(INDEX(Backlog[Stream],MATCH($A73,Backlog[Requirement ID],0))),"",INDEX(Backlog[Stream],MATCH($A73,Backlog[Requirement ID],0))),"")</f>
        <v/>
      </c>
      <c r="D73" s="23">
        <f>IFERROR(IF(ISBLANK(INDEX(Backlog[Priority],MATCH($A73,Backlog[Requirement ID],0))),"",INDEX(Backlog[Priority],MATCH($A73,Backlog[Requirement ID],0))),"")</f>
        <v/>
      </c>
      <c r="E73" s="23">
        <f>IFERROR(IF(ISBLANK(INDEX(Backlog[Status],MATCH($A73,Backlog[Requirement ID],0))),"",INDEX(Backlog[Status],MATCH($A73,Backlog[Requirement ID],0))),"")</f>
        <v/>
      </c>
      <c r="F73" s="21" t="inlineStr">
        <is>
          <t>Sprint 5</t>
        </is>
      </c>
      <c r="G73" s="23">
        <f>IFERROR(IF(ISBLANK(INDEX(Backlog[HLE],MATCH($A73,Backlog[Requirement ID],0))),"",INDEX(Backlog[HLE],MATCH($A73,Backlog[Requirement ID],0))),"")</f>
        <v/>
      </c>
      <c r="H73" s="23">
        <f>IFERROR(VALUE(SUBSTITUTE($F73,"Sprint ","")),9999)</f>
        <v/>
      </c>
    </row>
    <row r="74" ht="15" customHeight="1">
      <c r="A74" s="21" t="inlineStr">
        <is>
          <t>NEW-0137</t>
        </is>
      </c>
      <c r="B74" s="23">
        <f>IFERROR(IF(ISBLANK(INDEX(Backlog[Requirement Name],MATCH($A74,Backlog[Requirement ID],0))),"",INDEX(Backlog[Requirement Name],MATCH($A74,Backlog[Requirement ID],0))),"")</f>
        <v/>
      </c>
      <c r="C74" s="23">
        <f>IFERROR(IF(ISBLANK(INDEX(Backlog[Stream],MATCH($A74,Backlog[Requirement ID],0))),"",INDEX(Backlog[Stream],MATCH($A74,Backlog[Requirement ID],0))),"")</f>
        <v/>
      </c>
      <c r="D74" s="23">
        <f>IFERROR(IF(ISBLANK(INDEX(Backlog[Priority],MATCH($A74,Backlog[Requirement ID],0))),"",INDEX(Backlog[Priority],MATCH($A74,Backlog[Requirement ID],0))),"")</f>
        <v/>
      </c>
      <c r="E74" s="23">
        <f>IFERROR(IF(ISBLANK(INDEX(Backlog[Status],MATCH($A74,Backlog[Requirement ID],0))),"",INDEX(Backlog[Status],MATCH($A74,Backlog[Requirement ID],0))),"")</f>
        <v/>
      </c>
      <c r="F74" s="21" t="inlineStr">
        <is>
          <t>Sprint 5</t>
        </is>
      </c>
      <c r="G74" s="23">
        <f>IFERROR(IF(ISBLANK(INDEX(Backlog[HLE],MATCH($A74,Backlog[Requirement ID],0))),"",INDEX(Backlog[HLE],MATCH($A74,Backlog[Requirement ID],0))),"")</f>
        <v/>
      </c>
      <c r="H74" s="23">
        <f>IFERROR(VALUE(SUBSTITUTE($F74,"Sprint ","")),9999)</f>
        <v/>
      </c>
    </row>
    <row r="75" ht="15" customHeight="1">
      <c r="A75" s="21" t="inlineStr">
        <is>
          <t>NEW-0138</t>
        </is>
      </c>
      <c r="B75" s="23">
        <f>IFERROR(IF(ISBLANK(INDEX(Backlog[Requirement Name],MATCH($A75,Backlog[Requirement ID],0))),"",INDEX(Backlog[Requirement Name],MATCH($A75,Backlog[Requirement ID],0))),"")</f>
        <v/>
      </c>
      <c r="C75" s="23">
        <f>IFERROR(IF(ISBLANK(INDEX(Backlog[Stream],MATCH($A75,Backlog[Requirement ID],0))),"",INDEX(Backlog[Stream],MATCH($A75,Backlog[Requirement ID],0))),"")</f>
        <v/>
      </c>
      <c r="D75" s="23">
        <f>IFERROR(IF(ISBLANK(INDEX(Backlog[Priority],MATCH($A75,Backlog[Requirement ID],0))),"",INDEX(Backlog[Priority],MATCH($A75,Backlog[Requirement ID],0))),"")</f>
        <v/>
      </c>
      <c r="E75" s="23">
        <f>IFERROR(IF(ISBLANK(INDEX(Backlog[Status],MATCH($A75,Backlog[Requirement ID],0))),"",INDEX(Backlog[Status],MATCH($A75,Backlog[Requirement ID],0))),"")</f>
        <v/>
      </c>
      <c r="F75" s="21" t="inlineStr">
        <is>
          <t>Sprint 5</t>
        </is>
      </c>
      <c r="G75" s="23">
        <f>IFERROR(IF(ISBLANK(INDEX(Backlog[HLE],MATCH($A75,Backlog[Requirement ID],0))),"",INDEX(Backlog[HLE],MATCH($A75,Backlog[Requirement ID],0))),"")</f>
        <v/>
      </c>
      <c r="H75" s="23">
        <f>IFERROR(VALUE(SUBSTITUTE($F75,"Sprint ","")),9999)</f>
        <v/>
      </c>
    </row>
    <row r="76" ht="15" customHeight="1">
      <c r="A76" s="21" t="inlineStr">
        <is>
          <t>NEW-0139</t>
        </is>
      </c>
      <c r="B76" s="23">
        <f>IFERROR(IF(ISBLANK(INDEX(Backlog[Requirement Name],MATCH($A76,Backlog[Requirement ID],0))),"",INDEX(Backlog[Requirement Name],MATCH($A76,Backlog[Requirement ID],0))),"")</f>
        <v/>
      </c>
      <c r="C76" s="23">
        <f>IFERROR(IF(ISBLANK(INDEX(Backlog[Stream],MATCH($A76,Backlog[Requirement ID],0))),"",INDEX(Backlog[Stream],MATCH($A76,Backlog[Requirement ID],0))),"")</f>
        <v/>
      </c>
      <c r="D76" s="23">
        <f>IFERROR(IF(ISBLANK(INDEX(Backlog[Priority],MATCH($A76,Backlog[Requirement ID],0))),"",INDEX(Backlog[Priority],MATCH($A76,Backlog[Requirement ID],0))),"")</f>
        <v/>
      </c>
      <c r="E76" s="23">
        <f>IFERROR(IF(ISBLANK(INDEX(Backlog[Status],MATCH($A76,Backlog[Requirement ID],0))),"",INDEX(Backlog[Status],MATCH($A76,Backlog[Requirement ID],0))),"")</f>
        <v/>
      </c>
      <c r="F76" s="21" t="inlineStr">
        <is>
          <t>Sprint 5</t>
        </is>
      </c>
      <c r="G76" s="23">
        <f>IFERROR(IF(ISBLANK(INDEX(Backlog[HLE],MATCH($A76,Backlog[Requirement ID],0))),"",INDEX(Backlog[HLE],MATCH($A76,Backlog[Requirement ID],0))),"")</f>
        <v/>
      </c>
      <c r="H76" s="23">
        <f>IFERROR(VALUE(SUBSTITUTE($F76,"Sprint ","")),9999)</f>
        <v/>
      </c>
    </row>
    <row r="77" ht="15" customHeight="1">
      <c r="A77" s="21" t="inlineStr">
        <is>
          <t>NEW-0142</t>
        </is>
      </c>
      <c r="B77" s="23">
        <f>IFERROR(IF(ISBLANK(INDEX(Backlog[Requirement Name],MATCH($A77,Backlog[Requirement ID],0))),"",INDEX(Backlog[Requirement Name],MATCH($A77,Backlog[Requirement ID],0))),"")</f>
        <v/>
      </c>
      <c r="C77" s="23">
        <f>IFERROR(IF(ISBLANK(INDEX(Backlog[Stream],MATCH($A77,Backlog[Requirement ID],0))),"",INDEX(Backlog[Stream],MATCH($A77,Backlog[Requirement ID],0))),"")</f>
        <v/>
      </c>
      <c r="D77" s="23">
        <f>IFERROR(IF(ISBLANK(INDEX(Backlog[Priority],MATCH($A77,Backlog[Requirement ID],0))),"",INDEX(Backlog[Priority],MATCH($A77,Backlog[Requirement ID],0))),"")</f>
        <v/>
      </c>
      <c r="E77" s="23">
        <f>IFERROR(IF(ISBLANK(INDEX(Backlog[Status],MATCH($A77,Backlog[Requirement ID],0))),"",INDEX(Backlog[Status],MATCH($A77,Backlog[Requirement ID],0))),"")</f>
        <v/>
      </c>
      <c r="F77" s="21" t="inlineStr">
        <is>
          <t>Sprint 5</t>
        </is>
      </c>
      <c r="G77" s="23">
        <f>IFERROR(IF(ISBLANK(INDEX(Backlog[HLE],MATCH($A77,Backlog[Requirement ID],0))),"",INDEX(Backlog[HLE],MATCH($A77,Backlog[Requirement ID],0))),"")</f>
        <v/>
      </c>
      <c r="H77" s="23">
        <f>IFERROR(VALUE(SUBSTITUTE($F77,"Sprint ","")),9999)</f>
        <v/>
      </c>
    </row>
    <row r="78" ht="15" customHeight="1">
      <c r="A78" s="21" t="inlineStr">
        <is>
          <t>NEW-0143</t>
        </is>
      </c>
      <c r="B78" s="23">
        <f>IFERROR(IF(ISBLANK(INDEX(Backlog[Requirement Name],MATCH($A78,Backlog[Requirement ID],0))),"",INDEX(Backlog[Requirement Name],MATCH($A78,Backlog[Requirement ID],0))),"")</f>
        <v/>
      </c>
      <c r="C78" s="23">
        <f>IFERROR(IF(ISBLANK(INDEX(Backlog[Stream],MATCH($A78,Backlog[Requirement ID],0))),"",INDEX(Backlog[Stream],MATCH($A78,Backlog[Requirement ID],0))),"")</f>
        <v/>
      </c>
      <c r="D78" s="23">
        <f>IFERROR(IF(ISBLANK(INDEX(Backlog[Priority],MATCH($A78,Backlog[Requirement ID],0))),"",INDEX(Backlog[Priority],MATCH($A78,Backlog[Requirement ID],0))),"")</f>
        <v/>
      </c>
      <c r="E78" s="23">
        <f>IFERROR(IF(ISBLANK(INDEX(Backlog[Status],MATCH($A78,Backlog[Requirement ID],0))),"",INDEX(Backlog[Status],MATCH($A78,Backlog[Requirement ID],0))),"")</f>
        <v/>
      </c>
      <c r="F78" s="21" t="inlineStr">
        <is>
          <t>Sprint 6</t>
        </is>
      </c>
      <c r="G78" s="23">
        <f>IFERROR(IF(ISBLANK(INDEX(Backlog[HLE],MATCH($A78,Backlog[Requirement ID],0))),"",INDEX(Backlog[HLE],MATCH($A78,Backlog[Requirement ID],0))),"")</f>
        <v/>
      </c>
      <c r="H78" s="23">
        <f>IFERROR(VALUE(SUBSTITUTE($F78,"Sprint ","")),9999)</f>
        <v/>
      </c>
    </row>
    <row r="79" ht="15" customHeight="1">
      <c r="A79" s="21" t="inlineStr">
        <is>
          <t>NEW-0146</t>
        </is>
      </c>
      <c r="B79" s="23">
        <f>IFERROR(IF(ISBLANK(INDEX(Backlog[Requirement Name],MATCH($A79,Backlog[Requirement ID],0))),"",INDEX(Backlog[Requirement Name],MATCH($A79,Backlog[Requirement ID],0))),"")</f>
        <v/>
      </c>
      <c r="C79" s="23">
        <f>IFERROR(IF(ISBLANK(INDEX(Backlog[Stream],MATCH($A79,Backlog[Requirement ID],0))),"",INDEX(Backlog[Stream],MATCH($A79,Backlog[Requirement ID],0))),"")</f>
        <v/>
      </c>
      <c r="D79" s="23">
        <f>IFERROR(IF(ISBLANK(INDEX(Backlog[Priority],MATCH($A79,Backlog[Requirement ID],0))),"",INDEX(Backlog[Priority],MATCH($A79,Backlog[Requirement ID],0))),"")</f>
        <v/>
      </c>
      <c r="E79" s="23">
        <f>IFERROR(IF(ISBLANK(INDEX(Backlog[Status],MATCH($A79,Backlog[Requirement ID],0))),"",INDEX(Backlog[Status],MATCH($A79,Backlog[Requirement ID],0))),"")</f>
        <v/>
      </c>
      <c r="F79" s="21" t="inlineStr">
        <is>
          <t>Sprint 6</t>
        </is>
      </c>
      <c r="G79" s="23">
        <f>IFERROR(IF(ISBLANK(INDEX(Backlog[HLE],MATCH($A79,Backlog[Requirement ID],0))),"",INDEX(Backlog[HLE],MATCH($A79,Backlog[Requirement ID],0))),"")</f>
        <v/>
      </c>
      <c r="H79" s="23">
        <f>IFERROR(VALUE(SUBSTITUTE($F79,"Sprint ","")),9999)</f>
        <v/>
      </c>
    </row>
    <row r="80" ht="15" customHeight="1">
      <c r="A80" s="21" t="inlineStr">
        <is>
          <t>NEW-0148</t>
        </is>
      </c>
      <c r="B80" s="23">
        <f>IFERROR(IF(ISBLANK(INDEX(Backlog[Requirement Name],MATCH($A80,Backlog[Requirement ID],0))),"",INDEX(Backlog[Requirement Name],MATCH($A80,Backlog[Requirement ID],0))),"")</f>
        <v/>
      </c>
      <c r="C80" s="23">
        <f>IFERROR(IF(ISBLANK(INDEX(Backlog[Stream],MATCH($A80,Backlog[Requirement ID],0))),"",INDEX(Backlog[Stream],MATCH($A80,Backlog[Requirement ID],0))),"")</f>
        <v/>
      </c>
      <c r="D80" s="23">
        <f>IFERROR(IF(ISBLANK(INDEX(Backlog[Priority],MATCH($A80,Backlog[Requirement ID],0))),"",INDEX(Backlog[Priority],MATCH($A80,Backlog[Requirement ID],0))),"")</f>
        <v/>
      </c>
      <c r="E80" s="23">
        <f>IFERROR(IF(ISBLANK(INDEX(Backlog[Status],MATCH($A80,Backlog[Requirement ID],0))),"",INDEX(Backlog[Status],MATCH($A80,Backlog[Requirement ID],0))),"")</f>
        <v/>
      </c>
      <c r="F80" s="21" t="inlineStr">
        <is>
          <t>Sprint 6</t>
        </is>
      </c>
      <c r="G80" s="23">
        <f>IFERROR(IF(ISBLANK(INDEX(Backlog[HLE],MATCH($A80,Backlog[Requirement ID],0))),"",INDEX(Backlog[HLE],MATCH($A80,Backlog[Requirement ID],0))),"")</f>
        <v/>
      </c>
      <c r="H80" s="23">
        <f>IFERROR(VALUE(SUBSTITUTE($F80,"Sprint ","")),9999)</f>
        <v/>
      </c>
    </row>
    <row r="81" ht="15" customHeight="1">
      <c r="A81" s="21" t="inlineStr">
        <is>
          <t>NEW-0150</t>
        </is>
      </c>
      <c r="B81" s="23">
        <f>IFERROR(IF(ISBLANK(INDEX(Backlog[Requirement Name],MATCH($A81,Backlog[Requirement ID],0))),"",INDEX(Backlog[Requirement Name],MATCH($A81,Backlog[Requirement ID],0))),"")</f>
        <v/>
      </c>
      <c r="C81" s="23">
        <f>IFERROR(IF(ISBLANK(INDEX(Backlog[Stream],MATCH($A81,Backlog[Requirement ID],0))),"",INDEX(Backlog[Stream],MATCH($A81,Backlog[Requirement ID],0))),"")</f>
        <v/>
      </c>
      <c r="D81" s="23">
        <f>IFERROR(IF(ISBLANK(INDEX(Backlog[Priority],MATCH($A81,Backlog[Requirement ID],0))),"",INDEX(Backlog[Priority],MATCH($A81,Backlog[Requirement ID],0))),"")</f>
        <v/>
      </c>
      <c r="E81" s="23">
        <f>IFERROR(IF(ISBLANK(INDEX(Backlog[Status],MATCH($A81,Backlog[Requirement ID],0))),"",INDEX(Backlog[Status],MATCH($A81,Backlog[Requirement ID],0))),"")</f>
        <v/>
      </c>
      <c r="F81" s="21" t="inlineStr">
        <is>
          <t>Sprint 6</t>
        </is>
      </c>
      <c r="G81" s="23">
        <f>IFERROR(IF(ISBLANK(INDEX(Backlog[HLE],MATCH($A81,Backlog[Requirement ID],0))),"",INDEX(Backlog[HLE],MATCH($A81,Backlog[Requirement ID],0))),"")</f>
        <v/>
      </c>
      <c r="H81" s="23">
        <f>IFERROR(VALUE(SUBSTITUTE($F81,"Sprint ","")),9999)</f>
        <v/>
      </c>
    </row>
    <row r="82" ht="15" customHeight="1">
      <c r="A82" s="21" t="inlineStr">
        <is>
          <t>NEW-0151</t>
        </is>
      </c>
      <c r="B82" s="23">
        <f>IFERROR(IF(ISBLANK(INDEX(Backlog[Requirement Name],MATCH($A82,Backlog[Requirement ID],0))),"",INDEX(Backlog[Requirement Name],MATCH($A82,Backlog[Requirement ID],0))),"")</f>
        <v/>
      </c>
      <c r="C82" s="23">
        <f>IFERROR(IF(ISBLANK(INDEX(Backlog[Stream],MATCH($A82,Backlog[Requirement ID],0))),"",INDEX(Backlog[Stream],MATCH($A82,Backlog[Requirement ID],0))),"")</f>
        <v/>
      </c>
      <c r="D82" s="23">
        <f>IFERROR(IF(ISBLANK(INDEX(Backlog[Priority],MATCH($A82,Backlog[Requirement ID],0))),"",INDEX(Backlog[Priority],MATCH($A82,Backlog[Requirement ID],0))),"")</f>
        <v/>
      </c>
      <c r="E82" s="23">
        <f>IFERROR(IF(ISBLANK(INDEX(Backlog[Status],MATCH($A82,Backlog[Requirement ID],0))),"",INDEX(Backlog[Status],MATCH($A82,Backlog[Requirement ID],0))),"")</f>
        <v/>
      </c>
      <c r="F82" s="21" t="inlineStr">
        <is>
          <t>Sprint 7</t>
        </is>
      </c>
      <c r="G82" s="23">
        <f>IFERROR(IF(ISBLANK(INDEX(Backlog[HLE],MATCH($A82,Backlog[Requirement ID],0))),"",INDEX(Backlog[HLE],MATCH($A82,Backlog[Requirement ID],0))),"")</f>
        <v/>
      </c>
      <c r="H82" s="23">
        <f>IFERROR(VALUE(SUBSTITUTE($F82,"Sprint ","")),9999)</f>
        <v/>
      </c>
    </row>
    <row r="83" ht="15" customHeight="1">
      <c r="A83" s="21" t="inlineStr">
        <is>
          <t>NEW-0153</t>
        </is>
      </c>
      <c r="B83" s="23">
        <f>IFERROR(IF(ISBLANK(INDEX(Backlog[Requirement Name],MATCH($A83,Backlog[Requirement ID],0))),"",INDEX(Backlog[Requirement Name],MATCH($A83,Backlog[Requirement ID],0))),"")</f>
        <v/>
      </c>
      <c r="C83" s="23">
        <f>IFERROR(IF(ISBLANK(INDEX(Backlog[Stream],MATCH($A83,Backlog[Requirement ID],0))),"",INDEX(Backlog[Stream],MATCH($A83,Backlog[Requirement ID],0))),"")</f>
        <v/>
      </c>
      <c r="D83" s="23">
        <f>IFERROR(IF(ISBLANK(INDEX(Backlog[Priority],MATCH($A83,Backlog[Requirement ID],0))),"",INDEX(Backlog[Priority],MATCH($A83,Backlog[Requirement ID],0))),"")</f>
        <v/>
      </c>
      <c r="E83" s="23">
        <f>IFERROR(IF(ISBLANK(INDEX(Backlog[Status],MATCH($A83,Backlog[Requirement ID],0))),"",INDEX(Backlog[Status],MATCH($A83,Backlog[Requirement ID],0))),"")</f>
        <v/>
      </c>
      <c r="F83" s="21" t="inlineStr">
        <is>
          <t>Sprint 5</t>
        </is>
      </c>
      <c r="G83" s="23">
        <f>IFERROR(IF(ISBLANK(INDEX(Backlog[HLE],MATCH($A83,Backlog[Requirement ID],0))),"",INDEX(Backlog[HLE],MATCH($A83,Backlog[Requirement ID],0))),"")</f>
        <v/>
      </c>
      <c r="H83" s="23">
        <f>IFERROR(VALUE(SUBSTITUTE($F83,"Sprint ","")),9999)</f>
        <v/>
      </c>
    </row>
    <row r="84" ht="15" customHeight="1">
      <c r="A84" s="21" t="inlineStr">
        <is>
          <t>NEW-0187</t>
        </is>
      </c>
      <c r="B84" s="23">
        <f>IFERROR(IF(ISBLANK(INDEX(Backlog[Requirement Name],MATCH($A84,Backlog[Requirement ID],0))),"",INDEX(Backlog[Requirement Name],MATCH($A84,Backlog[Requirement ID],0))),"")</f>
        <v/>
      </c>
      <c r="C84" s="23">
        <f>IFERROR(IF(ISBLANK(INDEX(Backlog[Stream],MATCH($A84,Backlog[Requirement ID],0))),"",INDEX(Backlog[Stream],MATCH($A84,Backlog[Requirement ID],0))),"")</f>
        <v/>
      </c>
      <c r="D84" s="23">
        <f>IFERROR(IF(ISBLANK(INDEX(Backlog[Priority],MATCH($A84,Backlog[Requirement ID],0))),"",INDEX(Backlog[Priority],MATCH($A84,Backlog[Requirement ID],0))),"")</f>
        <v/>
      </c>
      <c r="E84" s="23">
        <f>IFERROR(IF(ISBLANK(INDEX(Backlog[Status],MATCH($A84,Backlog[Requirement ID],0))),"",INDEX(Backlog[Status],MATCH($A84,Backlog[Requirement ID],0))),"")</f>
        <v/>
      </c>
      <c r="F84" s="21" t="inlineStr">
        <is>
          <t>Sprint 5</t>
        </is>
      </c>
      <c r="G84" s="23">
        <f>IFERROR(IF(ISBLANK(INDEX(Backlog[HLE],MATCH($A84,Backlog[Requirement ID],0))),"",INDEX(Backlog[HLE],MATCH($A84,Backlog[Requirement ID],0))),"")</f>
        <v/>
      </c>
      <c r="H84" s="23">
        <f>IFERROR(VALUE(SUBSTITUTE($F84,"Sprint ","")),9999)</f>
        <v/>
      </c>
    </row>
    <row r="85" ht="15" customHeight="1">
      <c r="A85" s="21" t="inlineStr">
        <is>
          <t>NEW-0188</t>
        </is>
      </c>
      <c r="B85" s="23">
        <f>IFERROR(IF(ISBLANK(INDEX(Backlog[Requirement Name],MATCH($A85,Backlog[Requirement ID],0))),"",INDEX(Backlog[Requirement Name],MATCH($A85,Backlog[Requirement ID],0))),"")</f>
        <v/>
      </c>
      <c r="C85" s="23">
        <f>IFERROR(IF(ISBLANK(INDEX(Backlog[Stream],MATCH($A85,Backlog[Requirement ID],0))),"",INDEX(Backlog[Stream],MATCH($A85,Backlog[Requirement ID],0))),"")</f>
        <v/>
      </c>
      <c r="D85" s="23">
        <f>IFERROR(IF(ISBLANK(INDEX(Backlog[Priority],MATCH($A85,Backlog[Requirement ID],0))),"",INDEX(Backlog[Priority],MATCH($A85,Backlog[Requirement ID],0))),"")</f>
        <v/>
      </c>
      <c r="E85" s="23">
        <f>IFERROR(IF(ISBLANK(INDEX(Backlog[Status],MATCH($A85,Backlog[Requirement ID],0))),"",INDEX(Backlog[Status],MATCH($A85,Backlog[Requirement ID],0))),"")</f>
        <v/>
      </c>
      <c r="F85" s="21" t="inlineStr">
        <is>
          <t>Sprint 5</t>
        </is>
      </c>
      <c r="G85" s="23">
        <f>IFERROR(IF(ISBLANK(INDEX(Backlog[HLE],MATCH($A85,Backlog[Requirement ID],0))),"",INDEX(Backlog[HLE],MATCH($A85,Backlog[Requirement ID],0))),"")</f>
        <v/>
      </c>
      <c r="H85" s="23">
        <f>IFERROR(VALUE(SUBSTITUTE($F85,"Sprint ","")),9999)</f>
        <v/>
      </c>
    </row>
    <row r="86" ht="15" customHeight="1">
      <c r="A86" s="21" t="inlineStr">
        <is>
          <t>NEW-0190</t>
        </is>
      </c>
      <c r="B86" s="23">
        <f>IFERROR(IF(ISBLANK(INDEX(Backlog[Requirement Name],MATCH($A86,Backlog[Requirement ID],0))),"",INDEX(Backlog[Requirement Name],MATCH($A86,Backlog[Requirement ID],0))),"")</f>
        <v/>
      </c>
      <c r="C86" s="23">
        <f>IFERROR(IF(ISBLANK(INDEX(Backlog[Stream],MATCH($A86,Backlog[Requirement ID],0))),"",INDEX(Backlog[Stream],MATCH($A86,Backlog[Requirement ID],0))),"")</f>
        <v/>
      </c>
      <c r="D86" s="23">
        <f>IFERROR(IF(ISBLANK(INDEX(Backlog[Priority],MATCH($A86,Backlog[Requirement ID],0))),"",INDEX(Backlog[Priority],MATCH($A86,Backlog[Requirement ID],0))),"")</f>
        <v/>
      </c>
      <c r="E86" s="23">
        <f>IFERROR(IF(ISBLANK(INDEX(Backlog[Status],MATCH($A86,Backlog[Requirement ID],0))),"",INDEX(Backlog[Status],MATCH($A86,Backlog[Requirement ID],0))),"")</f>
        <v/>
      </c>
      <c r="F86" s="21" t="inlineStr">
        <is>
          <t>Sprint 5</t>
        </is>
      </c>
      <c r="G86" s="23">
        <f>IFERROR(IF(ISBLANK(INDEX(Backlog[HLE],MATCH($A86,Backlog[Requirement ID],0))),"",INDEX(Backlog[HLE],MATCH($A86,Backlog[Requirement ID],0))),"")</f>
        <v/>
      </c>
      <c r="H86" s="23">
        <f>IFERROR(VALUE(SUBSTITUTE($F86,"Sprint ","")),9999)</f>
        <v/>
      </c>
    </row>
    <row r="87" ht="15" customHeight="1">
      <c r="A87" s="21" t="inlineStr">
        <is>
          <t>NEW-0192</t>
        </is>
      </c>
      <c r="B87" s="23">
        <f>IFERROR(IF(ISBLANK(INDEX(Backlog[Requirement Name],MATCH($A87,Backlog[Requirement ID],0))),"",INDEX(Backlog[Requirement Name],MATCH($A87,Backlog[Requirement ID],0))),"")</f>
        <v/>
      </c>
      <c r="C87" s="23">
        <f>IFERROR(IF(ISBLANK(INDEX(Backlog[Stream],MATCH($A87,Backlog[Requirement ID],0))),"",INDEX(Backlog[Stream],MATCH($A87,Backlog[Requirement ID],0))),"")</f>
        <v/>
      </c>
      <c r="D87" s="23">
        <f>IFERROR(IF(ISBLANK(INDEX(Backlog[Priority],MATCH($A87,Backlog[Requirement ID],0))),"",INDEX(Backlog[Priority],MATCH($A87,Backlog[Requirement ID],0))),"")</f>
        <v/>
      </c>
      <c r="E87" s="23">
        <f>IFERROR(IF(ISBLANK(INDEX(Backlog[Status],MATCH($A87,Backlog[Requirement ID],0))),"",INDEX(Backlog[Status],MATCH($A87,Backlog[Requirement ID],0))),"")</f>
        <v/>
      </c>
      <c r="F87" s="21" t="inlineStr">
        <is>
          <t>Sprint 5</t>
        </is>
      </c>
      <c r="G87" s="23">
        <f>IFERROR(IF(ISBLANK(INDEX(Backlog[HLE],MATCH($A87,Backlog[Requirement ID],0))),"",INDEX(Backlog[HLE],MATCH($A87,Backlog[Requirement ID],0))),"")</f>
        <v/>
      </c>
      <c r="H87" s="23">
        <f>IFERROR(VALUE(SUBSTITUTE($F87,"Sprint ","")),9999)</f>
        <v/>
      </c>
    </row>
    <row r="88" ht="15" customHeight="1">
      <c r="A88" s="21" t="inlineStr">
        <is>
          <t>NEW-0219</t>
        </is>
      </c>
      <c r="B88" s="23">
        <f>IFERROR(IF(ISBLANK(INDEX(Backlog[Requirement Name],MATCH($A88,Backlog[Requirement ID],0))),"",INDEX(Backlog[Requirement Name],MATCH($A88,Backlog[Requirement ID],0))),"")</f>
        <v/>
      </c>
      <c r="C88" s="23">
        <f>IFERROR(IF(ISBLANK(INDEX(Backlog[Stream],MATCH($A88,Backlog[Requirement ID],0))),"",INDEX(Backlog[Stream],MATCH($A88,Backlog[Requirement ID],0))),"")</f>
        <v/>
      </c>
      <c r="D88" s="23">
        <f>IFERROR(IF(ISBLANK(INDEX(Backlog[Priority],MATCH($A88,Backlog[Requirement ID],0))),"",INDEX(Backlog[Priority],MATCH($A88,Backlog[Requirement ID],0))),"")</f>
        <v/>
      </c>
      <c r="E88" s="23">
        <f>IFERROR(IF(ISBLANK(INDEX(Backlog[Status],MATCH($A88,Backlog[Requirement ID],0))),"",INDEX(Backlog[Status],MATCH($A88,Backlog[Requirement ID],0))),"")</f>
        <v/>
      </c>
      <c r="F88" s="21" t="inlineStr">
        <is>
          <t>Sprint 7</t>
        </is>
      </c>
      <c r="G88" s="23">
        <f>IFERROR(IF(ISBLANK(INDEX(Backlog[HLE],MATCH($A88,Backlog[Requirement ID],0))),"",INDEX(Backlog[HLE],MATCH($A88,Backlog[Requirement ID],0))),"")</f>
        <v/>
      </c>
      <c r="H88" s="23">
        <f>IFERROR(VALUE(SUBSTITUTE($F88,"Sprint ","")),9999)</f>
        <v/>
      </c>
    </row>
    <row r="89" ht="15" customHeight="1">
      <c r="A89" s="21" t="inlineStr">
        <is>
          <t>NEW-0228</t>
        </is>
      </c>
      <c r="B89" s="23">
        <f>IFERROR(IF(ISBLANK(INDEX(Backlog[Requirement Name],MATCH($A89,Backlog[Requirement ID],0))),"",INDEX(Backlog[Requirement Name],MATCH($A89,Backlog[Requirement ID],0))),"")</f>
        <v/>
      </c>
      <c r="C89" s="23">
        <f>IFERROR(IF(ISBLANK(INDEX(Backlog[Stream],MATCH($A89,Backlog[Requirement ID],0))),"",INDEX(Backlog[Stream],MATCH($A89,Backlog[Requirement ID],0))),"")</f>
        <v/>
      </c>
      <c r="D89" s="23">
        <f>IFERROR(IF(ISBLANK(INDEX(Backlog[Priority],MATCH($A89,Backlog[Requirement ID],0))),"",INDEX(Backlog[Priority],MATCH($A89,Backlog[Requirement ID],0))),"")</f>
        <v/>
      </c>
      <c r="E89" s="23">
        <f>IFERROR(IF(ISBLANK(INDEX(Backlog[Status],MATCH($A89,Backlog[Requirement ID],0))),"",INDEX(Backlog[Status],MATCH($A89,Backlog[Requirement ID],0))),"")</f>
        <v/>
      </c>
      <c r="F89" s="21" t="inlineStr">
        <is>
          <t>Sprint 7</t>
        </is>
      </c>
      <c r="G89" s="23">
        <f>IFERROR(IF(ISBLANK(INDEX(Backlog[HLE],MATCH($A89,Backlog[Requirement ID],0))),"",INDEX(Backlog[HLE],MATCH($A89,Backlog[Requirement ID],0))),"")</f>
        <v/>
      </c>
      <c r="H89" s="23">
        <f>IFERROR(VALUE(SUBSTITUTE($F89,"Sprint ","")),9999)</f>
        <v/>
      </c>
    </row>
    <row r="90" ht="15" customHeight="1">
      <c r="A90" s="21" t="inlineStr">
        <is>
          <t>NEW-0233</t>
        </is>
      </c>
      <c r="B90" s="23">
        <f>IFERROR(IF(ISBLANK(INDEX(Backlog[Requirement Name],MATCH($A90,Backlog[Requirement ID],0))),"",INDEX(Backlog[Requirement Name],MATCH($A90,Backlog[Requirement ID],0))),"")</f>
        <v/>
      </c>
      <c r="C90" s="23">
        <f>IFERROR(IF(ISBLANK(INDEX(Backlog[Stream],MATCH($A90,Backlog[Requirement ID],0))),"",INDEX(Backlog[Stream],MATCH($A90,Backlog[Requirement ID],0))),"")</f>
        <v/>
      </c>
      <c r="D90" s="23">
        <f>IFERROR(IF(ISBLANK(INDEX(Backlog[Priority],MATCH($A90,Backlog[Requirement ID],0))),"",INDEX(Backlog[Priority],MATCH($A90,Backlog[Requirement ID],0))),"")</f>
        <v/>
      </c>
      <c r="E90" s="23">
        <f>IFERROR(IF(ISBLANK(INDEX(Backlog[Status],MATCH($A90,Backlog[Requirement ID],0))),"",INDEX(Backlog[Status],MATCH($A90,Backlog[Requirement ID],0))),"")</f>
        <v/>
      </c>
      <c r="F90" s="21" t="inlineStr">
        <is>
          <t>Sprint 7</t>
        </is>
      </c>
      <c r="G90" s="23">
        <f>IFERROR(IF(ISBLANK(INDEX(Backlog[HLE],MATCH($A90,Backlog[Requirement ID],0))),"",INDEX(Backlog[HLE],MATCH($A90,Backlog[Requirement ID],0))),"")</f>
        <v/>
      </c>
      <c r="H90" s="23">
        <f>IFERROR(VALUE(SUBSTITUTE($F90,"Sprint ","")),9999)</f>
        <v/>
      </c>
    </row>
    <row r="91" ht="15" customHeight="1">
      <c r="A91" s="21" t="inlineStr">
        <is>
          <t>NEW-0234</t>
        </is>
      </c>
      <c r="B91" s="23">
        <f>IFERROR(IF(ISBLANK(INDEX(Backlog[Requirement Name],MATCH($A91,Backlog[Requirement ID],0))),"",INDEX(Backlog[Requirement Name],MATCH($A91,Backlog[Requirement ID],0))),"")</f>
        <v/>
      </c>
      <c r="C91" s="23">
        <f>IFERROR(IF(ISBLANK(INDEX(Backlog[Stream],MATCH($A91,Backlog[Requirement ID],0))),"",INDEX(Backlog[Stream],MATCH($A91,Backlog[Requirement ID],0))),"")</f>
        <v/>
      </c>
      <c r="D91" s="23">
        <f>IFERROR(IF(ISBLANK(INDEX(Backlog[Priority],MATCH($A91,Backlog[Requirement ID],0))),"",INDEX(Backlog[Priority],MATCH($A91,Backlog[Requirement ID],0))),"")</f>
        <v/>
      </c>
      <c r="E91" s="23">
        <f>IFERROR(IF(ISBLANK(INDEX(Backlog[Status],MATCH($A91,Backlog[Requirement ID],0))),"",INDEX(Backlog[Status],MATCH($A91,Backlog[Requirement ID],0))),"")</f>
        <v/>
      </c>
      <c r="F91" s="21" t="inlineStr">
        <is>
          <t>Sprint 7</t>
        </is>
      </c>
      <c r="G91" s="23">
        <f>IFERROR(IF(ISBLANK(INDEX(Backlog[HLE],MATCH($A91,Backlog[Requirement ID],0))),"",INDEX(Backlog[HLE],MATCH($A91,Backlog[Requirement ID],0))),"")</f>
        <v/>
      </c>
      <c r="H91" s="23">
        <f>IFERROR(VALUE(SUBSTITUTE($F91,"Sprint ","")),9999)</f>
        <v/>
      </c>
    </row>
    <row r="92" ht="15" customHeight="1">
      <c r="A92" s="21" t="inlineStr">
        <is>
          <t>NEW-0235</t>
        </is>
      </c>
      <c r="B92" s="23">
        <f>IFERROR(IF(ISBLANK(INDEX(Backlog[Requirement Name],MATCH($A92,Backlog[Requirement ID],0))),"",INDEX(Backlog[Requirement Name],MATCH($A92,Backlog[Requirement ID],0))),"")</f>
        <v/>
      </c>
      <c r="C92" s="23">
        <f>IFERROR(IF(ISBLANK(INDEX(Backlog[Stream],MATCH($A92,Backlog[Requirement ID],0))),"",INDEX(Backlog[Stream],MATCH($A92,Backlog[Requirement ID],0))),"")</f>
        <v/>
      </c>
      <c r="D92" s="23">
        <f>IFERROR(IF(ISBLANK(INDEX(Backlog[Priority],MATCH($A92,Backlog[Requirement ID],0))),"",INDEX(Backlog[Priority],MATCH($A92,Backlog[Requirement ID],0))),"")</f>
        <v/>
      </c>
      <c r="E92" s="23">
        <f>IFERROR(IF(ISBLANK(INDEX(Backlog[Status],MATCH($A92,Backlog[Requirement ID],0))),"",INDEX(Backlog[Status],MATCH($A92,Backlog[Requirement ID],0))),"")</f>
        <v/>
      </c>
      <c r="F92" s="21" t="inlineStr">
        <is>
          <t>Sprint 1</t>
        </is>
      </c>
      <c r="G92" s="23">
        <f>IFERROR(IF(ISBLANK(INDEX(Backlog[HLE],MATCH($A92,Backlog[Requirement ID],0))),"",INDEX(Backlog[HLE],MATCH($A92,Backlog[Requirement ID],0))),"")</f>
        <v/>
      </c>
      <c r="H92" s="23">
        <f>IFERROR(VALUE(SUBSTITUTE($F92,"Sprint ","")),9999)</f>
        <v/>
      </c>
    </row>
    <row r="93" ht="15" customHeight="1">
      <c r="A93" s="21" t="inlineStr">
        <is>
          <t>NEW-0236</t>
        </is>
      </c>
      <c r="B93" s="23">
        <f>IFERROR(IF(ISBLANK(INDEX(Backlog[Requirement Name],MATCH($A93,Backlog[Requirement ID],0))),"",INDEX(Backlog[Requirement Name],MATCH($A93,Backlog[Requirement ID],0))),"")</f>
        <v/>
      </c>
      <c r="C93" s="23">
        <f>IFERROR(IF(ISBLANK(INDEX(Backlog[Stream],MATCH($A93,Backlog[Requirement ID],0))),"",INDEX(Backlog[Stream],MATCH($A93,Backlog[Requirement ID],0))),"")</f>
        <v/>
      </c>
      <c r="D93" s="23">
        <f>IFERROR(IF(ISBLANK(INDEX(Backlog[Priority],MATCH($A93,Backlog[Requirement ID],0))),"",INDEX(Backlog[Priority],MATCH($A93,Backlog[Requirement ID],0))),"")</f>
        <v/>
      </c>
      <c r="E93" s="23">
        <f>IFERROR(IF(ISBLANK(INDEX(Backlog[Status],MATCH($A93,Backlog[Requirement ID],0))),"",INDEX(Backlog[Status],MATCH($A93,Backlog[Requirement ID],0))),"")</f>
        <v/>
      </c>
      <c r="F93" s="21" t="inlineStr">
        <is>
          <t>Sprint 2</t>
        </is>
      </c>
      <c r="G93" s="23">
        <f>IFERROR(IF(ISBLANK(INDEX(Backlog[HLE],MATCH($A93,Backlog[Requirement ID],0))),"",INDEX(Backlog[HLE],MATCH($A93,Backlog[Requirement ID],0))),"")</f>
        <v/>
      </c>
      <c r="H93" s="23">
        <f>IFERROR(VALUE(SUBSTITUTE($F93,"Sprint ","")),9999)</f>
        <v/>
      </c>
    </row>
    <row r="94" ht="15" customHeight="1">
      <c r="A94" s="21" t="inlineStr">
        <is>
          <t>NEW-0237</t>
        </is>
      </c>
      <c r="B94" s="23">
        <f>IFERROR(IF(ISBLANK(INDEX(Backlog[Requirement Name],MATCH($A94,Backlog[Requirement ID],0))),"",INDEX(Backlog[Requirement Name],MATCH($A94,Backlog[Requirement ID],0))),"")</f>
        <v/>
      </c>
      <c r="C94" s="23">
        <f>IFERROR(IF(ISBLANK(INDEX(Backlog[Stream],MATCH($A94,Backlog[Requirement ID],0))),"",INDEX(Backlog[Stream],MATCH($A94,Backlog[Requirement ID],0))),"")</f>
        <v/>
      </c>
      <c r="D94" s="23">
        <f>IFERROR(IF(ISBLANK(INDEX(Backlog[Priority],MATCH($A94,Backlog[Requirement ID],0))),"",INDEX(Backlog[Priority],MATCH($A94,Backlog[Requirement ID],0))),"")</f>
        <v/>
      </c>
      <c r="E94" s="23">
        <f>IFERROR(IF(ISBLANK(INDEX(Backlog[Status],MATCH($A94,Backlog[Requirement ID],0))),"",INDEX(Backlog[Status],MATCH($A94,Backlog[Requirement ID],0))),"")</f>
        <v/>
      </c>
      <c r="F94" s="21" t="inlineStr">
        <is>
          <t>Sprint 1</t>
        </is>
      </c>
      <c r="G94" s="23">
        <f>IFERROR(IF(ISBLANK(INDEX(Backlog[HLE],MATCH($A94,Backlog[Requirement ID],0))),"",INDEX(Backlog[HLE],MATCH($A94,Backlog[Requirement ID],0))),"")</f>
        <v/>
      </c>
      <c r="H94" s="23">
        <f>IFERROR(VALUE(SUBSTITUTE($F94,"Sprint ","")),9999)</f>
        <v/>
      </c>
    </row>
    <row r="95" ht="15" customHeight="1">
      <c r="A95" s="21" t="inlineStr">
        <is>
          <t>NEW-0238</t>
        </is>
      </c>
      <c r="B95" s="23">
        <f>IFERROR(IF(ISBLANK(INDEX(Backlog[Requirement Name],MATCH($A95,Backlog[Requirement ID],0))),"",INDEX(Backlog[Requirement Name],MATCH($A95,Backlog[Requirement ID],0))),"")</f>
        <v/>
      </c>
      <c r="C95" s="23">
        <f>IFERROR(IF(ISBLANK(INDEX(Backlog[Stream],MATCH($A95,Backlog[Requirement ID],0))),"",INDEX(Backlog[Stream],MATCH($A95,Backlog[Requirement ID],0))),"")</f>
        <v/>
      </c>
      <c r="D95" s="23">
        <f>IFERROR(IF(ISBLANK(INDEX(Backlog[Priority],MATCH($A95,Backlog[Requirement ID],0))),"",INDEX(Backlog[Priority],MATCH($A95,Backlog[Requirement ID],0))),"")</f>
        <v/>
      </c>
      <c r="E95" s="23">
        <f>IFERROR(IF(ISBLANK(INDEX(Backlog[Status],MATCH($A95,Backlog[Requirement ID],0))),"",INDEX(Backlog[Status],MATCH($A95,Backlog[Requirement ID],0))),"")</f>
        <v/>
      </c>
      <c r="F95" s="21" t="inlineStr">
        <is>
          <t>Sprint 1</t>
        </is>
      </c>
      <c r="G95" s="23">
        <f>IFERROR(IF(ISBLANK(INDEX(Backlog[HLE],MATCH($A95,Backlog[Requirement ID],0))),"",INDEX(Backlog[HLE],MATCH($A95,Backlog[Requirement ID],0))),"")</f>
        <v/>
      </c>
      <c r="H95" s="23">
        <f>IFERROR(VALUE(SUBSTITUTE($F95,"Sprint ","")),9999)</f>
        <v/>
      </c>
    </row>
    <row r="96" ht="15" customHeight="1">
      <c r="A96" s="21" t="inlineStr">
        <is>
          <t>NEW-0239</t>
        </is>
      </c>
      <c r="B96" s="23">
        <f>IFERROR(IF(ISBLANK(INDEX(Backlog[Requirement Name],MATCH($A96,Backlog[Requirement ID],0))),"",INDEX(Backlog[Requirement Name],MATCH($A96,Backlog[Requirement ID],0))),"")</f>
        <v/>
      </c>
      <c r="C96" s="23">
        <f>IFERROR(IF(ISBLANK(INDEX(Backlog[Stream],MATCH($A96,Backlog[Requirement ID],0))),"",INDEX(Backlog[Stream],MATCH($A96,Backlog[Requirement ID],0))),"")</f>
        <v/>
      </c>
      <c r="D96" s="23">
        <f>IFERROR(IF(ISBLANK(INDEX(Backlog[Priority],MATCH($A96,Backlog[Requirement ID],0))),"",INDEX(Backlog[Priority],MATCH($A96,Backlog[Requirement ID],0))),"")</f>
        <v/>
      </c>
      <c r="E96" s="23">
        <f>IFERROR(IF(ISBLANK(INDEX(Backlog[Status],MATCH($A96,Backlog[Requirement ID],0))),"",INDEX(Backlog[Status],MATCH($A96,Backlog[Requirement ID],0))),"")</f>
        <v/>
      </c>
      <c r="F96" s="21" t="inlineStr">
        <is>
          <t>Sprint 3</t>
        </is>
      </c>
      <c r="G96" s="23">
        <f>IFERROR(IF(ISBLANK(INDEX(Backlog[HLE],MATCH($A96,Backlog[Requirement ID],0))),"",INDEX(Backlog[HLE],MATCH($A96,Backlog[Requirement ID],0))),"")</f>
        <v/>
      </c>
      <c r="H96" s="23">
        <f>IFERROR(VALUE(SUBSTITUTE($F96,"Sprint ","")),9999)</f>
        <v/>
      </c>
    </row>
    <row r="97" ht="15" customHeight="1">
      <c r="A97" s="21" t="inlineStr">
        <is>
          <t>NEW-0240</t>
        </is>
      </c>
      <c r="B97" s="23">
        <f>IFERROR(IF(ISBLANK(INDEX(Backlog[Requirement Name],MATCH($A97,Backlog[Requirement ID],0))),"",INDEX(Backlog[Requirement Name],MATCH($A97,Backlog[Requirement ID],0))),"")</f>
        <v/>
      </c>
      <c r="C97" s="23">
        <f>IFERROR(IF(ISBLANK(INDEX(Backlog[Stream],MATCH($A97,Backlog[Requirement ID],0))),"",INDEX(Backlog[Stream],MATCH($A97,Backlog[Requirement ID],0))),"")</f>
        <v/>
      </c>
      <c r="D97" s="23">
        <f>IFERROR(IF(ISBLANK(INDEX(Backlog[Priority],MATCH($A97,Backlog[Requirement ID],0))),"",INDEX(Backlog[Priority],MATCH($A97,Backlog[Requirement ID],0))),"")</f>
        <v/>
      </c>
      <c r="E97" s="23">
        <f>IFERROR(IF(ISBLANK(INDEX(Backlog[Status],MATCH($A97,Backlog[Requirement ID],0))),"",INDEX(Backlog[Status],MATCH($A97,Backlog[Requirement ID],0))),"")</f>
        <v/>
      </c>
      <c r="F97" s="21" t="inlineStr">
        <is>
          <t>Sprint 6</t>
        </is>
      </c>
      <c r="G97" s="23">
        <f>IFERROR(IF(ISBLANK(INDEX(Backlog[HLE],MATCH($A97,Backlog[Requirement ID],0))),"",INDEX(Backlog[HLE],MATCH($A97,Backlog[Requirement ID],0))),"")</f>
        <v/>
      </c>
      <c r="H97" s="23">
        <f>IFERROR(VALUE(SUBSTITUTE($F97,"Sprint ","")),9999)</f>
        <v/>
      </c>
    </row>
    <row r="98" ht="15" customHeight="1">
      <c r="A98" s="21" t="inlineStr">
        <is>
          <t>NEW-0241</t>
        </is>
      </c>
      <c r="B98" s="23">
        <f>IFERROR(IF(ISBLANK(INDEX(Backlog[Requirement Name],MATCH($A98,Backlog[Requirement ID],0))),"",INDEX(Backlog[Requirement Name],MATCH($A98,Backlog[Requirement ID],0))),"")</f>
        <v/>
      </c>
      <c r="C98" s="23">
        <f>IFERROR(IF(ISBLANK(INDEX(Backlog[Stream],MATCH($A98,Backlog[Requirement ID],0))),"",INDEX(Backlog[Stream],MATCH($A98,Backlog[Requirement ID],0))),"")</f>
        <v/>
      </c>
      <c r="D98" s="23">
        <f>IFERROR(IF(ISBLANK(INDEX(Backlog[Priority],MATCH($A98,Backlog[Requirement ID],0))),"",INDEX(Backlog[Priority],MATCH($A98,Backlog[Requirement ID],0))),"")</f>
        <v/>
      </c>
      <c r="E98" s="23">
        <f>IFERROR(IF(ISBLANK(INDEX(Backlog[Status],MATCH($A98,Backlog[Requirement ID],0))),"",INDEX(Backlog[Status],MATCH($A98,Backlog[Requirement ID],0))),"")</f>
        <v/>
      </c>
      <c r="F98" s="21" t="inlineStr">
        <is>
          <t>Sprint 2</t>
        </is>
      </c>
      <c r="G98" s="23">
        <f>IFERROR(IF(ISBLANK(INDEX(Backlog[HLE],MATCH($A98,Backlog[Requirement ID],0))),"",INDEX(Backlog[HLE],MATCH($A98,Backlog[Requirement ID],0))),"")</f>
        <v/>
      </c>
      <c r="H98" s="23">
        <f>IFERROR(VALUE(SUBSTITUTE($F98,"Sprint ","")),9999)</f>
        <v/>
      </c>
    </row>
    <row r="99" ht="15" customHeight="1">
      <c r="A99" s="21" t="inlineStr">
        <is>
          <t>NEW-0242</t>
        </is>
      </c>
      <c r="B99" s="23">
        <f>IFERROR(IF(ISBLANK(INDEX(Backlog[Requirement Name],MATCH($A99,Backlog[Requirement ID],0))),"",INDEX(Backlog[Requirement Name],MATCH($A99,Backlog[Requirement ID],0))),"")</f>
        <v/>
      </c>
      <c r="C99" s="23">
        <f>IFERROR(IF(ISBLANK(INDEX(Backlog[Stream],MATCH($A99,Backlog[Requirement ID],0))),"",INDEX(Backlog[Stream],MATCH($A99,Backlog[Requirement ID],0))),"")</f>
        <v/>
      </c>
      <c r="D99" s="23">
        <f>IFERROR(IF(ISBLANK(INDEX(Backlog[Priority],MATCH($A99,Backlog[Requirement ID],0))),"",INDEX(Backlog[Priority],MATCH($A99,Backlog[Requirement ID],0))),"")</f>
        <v/>
      </c>
      <c r="E99" s="23">
        <f>IFERROR(IF(ISBLANK(INDEX(Backlog[Status],MATCH($A99,Backlog[Requirement ID],0))),"",INDEX(Backlog[Status],MATCH($A99,Backlog[Requirement ID],0))),"")</f>
        <v/>
      </c>
      <c r="F99" s="21" t="inlineStr">
        <is>
          <t>Sprint 7</t>
        </is>
      </c>
      <c r="G99" s="23">
        <f>IFERROR(IF(ISBLANK(INDEX(Backlog[HLE],MATCH($A99,Backlog[Requirement ID],0))),"",INDEX(Backlog[HLE],MATCH($A99,Backlog[Requirement ID],0))),"")</f>
        <v/>
      </c>
      <c r="H99" s="23">
        <f>IFERROR(VALUE(SUBSTITUTE($F99,"Sprint ","")),9999)</f>
        <v/>
      </c>
    </row>
    <row r="100" ht="15" customHeight="1">
      <c r="A100" s="21" t="inlineStr">
        <is>
          <t>NEW-0243</t>
        </is>
      </c>
      <c r="B100" s="39">
        <f>IFERROR(IF(ISBLANK(INDEX(Backlog[Requirement Name],MATCH($A100,Backlog[Requirement ID],0))),"",INDEX(Backlog[Requirement Name],MATCH($A100,Backlog[Requirement ID],0))),"")</f>
        <v/>
      </c>
      <c r="C100" s="23">
        <f>IFERROR(IF(ISBLANK(INDEX(Backlog[Stream],MATCH($A100,Backlog[Requirement ID],0))),"",INDEX(Backlog[Stream],MATCH($A100,Backlog[Requirement ID],0))),"")</f>
        <v/>
      </c>
      <c r="D100" s="23">
        <f>IFERROR(IF(ISBLANK(INDEX(Backlog[Priority],MATCH($A100,Backlog[Requirement ID],0))),"",INDEX(Backlog[Priority],MATCH($A100,Backlog[Requirement ID],0))),"")</f>
        <v/>
      </c>
      <c r="E100" s="23">
        <f>IFERROR(IF(ISBLANK(INDEX(Backlog[Status],MATCH($A100,Backlog[Requirement ID],0))),"",INDEX(Backlog[Status],MATCH($A100,Backlog[Requirement ID],0))),"")</f>
        <v/>
      </c>
      <c r="F100" s="21" t="inlineStr">
        <is>
          <t>Sprint 6</t>
        </is>
      </c>
      <c r="G100" s="23">
        <f>IFERROR(IF(ISBLANK(INDEX(Backlog[HLE],MATCH($A100,Backlog[Requirement ID],0))),"",INDEX(Backlog[HLE],MATCH($A100,Backlog[Requirement ID],0))),"")</f>
        <v/>
      </c>
      <c r="H100" s="23">
        <f>IFERROR(VALUE(SUBSTITUTE($F100,"Sprint ","")),9999)</f>
        <v/>
      </c>
    </row>
    <row r="101" ht="15" customHeight="1">
      <c r="A101" s="21" t="inlineStr">
        <is>
          <t>NEW-0245</t>
        </is>
      </c>
      <c r="B101" s="39">
        <f>IFERROR(IF(ISBLANK(INDEX(Backlog[Requirement Name],MATCH($A101,Backlog[Requirement ID],0))),"",INDEX(Backlog[Requirement Name],MATCH($A101,Backlog[Requirement ID],0))),"")</f>
        <v/>
      </c>
      <c r="C101" s="23">
        <f>IFERROR(IF(ISBLANK(INDEX(Backlog[Stream],MATCH($A101,Backlog[Requirement ID],0))),"",INDEX(Backlog[Stream],MATCH($A101,Backlog[Requirement ID],0))),"")</f>
        <v/>
      </c>
      <c r="D101" s="23">
        <f>IFERROR(IF(ISBLANK(INDEX(Backlog[Priority],MATCH($A101,Backlog[Requirement ID],0))),"",INDEX(Backlog[Priority],MATCH($A101,Backlog[Requirement ID],0))),"")</f>
        <v/>
      </c>
      <c r="E101" s="23">
        <f>IFERROR(IF(ISBLANK(INDEX(Backlog[Status],MATCH($A101,Backlog[Requirement ID],0))),"",INDEX(Backlog[Status],MATCH($A101,Backlog[Requirement ID],0))),"")</f>
        <v/>
      </c>
      <c r="F101" s="21" t="inlineStr">
        <is>
          <t>Sprint 2</t>
        </is>
      </c>
      <c r="G101" s="23">
        <f>IFERROR(IF(ISBLANK(INDEX(Backlog[HLE],MATCH($A101,Backlog[Requirement ID],0))),"",INDEX(Backlog[HLE],MATCH($A101,Backlog[Requirement ID],0))),"")</f>
        <v/>
      </c>
      <c r="H101" s="23">
        <f>IFERROR(VALUE(SUBSTITUTE($F101,"Sprint ","")),9999)</f>
        <v/>
      </c>
    </row>
    <row r="102" ht="15" customHeight="1">
      <c r="A102" s="21" t="inlineStr">
        <is>
          <t>NEW-0246</t>
        </is>
      </c>
      <c r="B102" s="23">
        <f>IFERROR(IF(ISBLANK(INDEX(Backlog[Requirement Name],MATCH($A102,Backlog[Requirement ID],0))),"",INDEX(Backlog[Requirement Name],MATCH($A102,Backlog[Requirement ID],0))),"")</f>
        <v/>
      </c>
      <c r="C102" s="23">
        <f>IFERROR(IF(ISBLANK(INDEX(Backlog[Stream],MATCH($A102,Backlog[Requirement ID],0))),"",INDEX(Backlog[Stream],MATCH($A102,Backlog[Requirement ID],0))),"")</f>
        <v/>
      </c>
      <c r="D102" s="23">
        <f>IFERROR(IF(ISBLANK(INDEX(Backlog[Priority],MATCH($A102,Backlog[Requirement ID],0))),"",INDEX(Backlog[Priority],MATCH($A102,Backlog[Requirement ID],0))),"")</f>
        <v/>
      </c>
      <c r="E102" s="23">
        <f>IFERROR(IF(ISBLANK(INDEX(Backlog[Status],MATCH($A102,Backlog[Requirement ID],0))),"",INDEX(Backlog[Status],MATCH($A102,Backlog[Requirement ID],0))),"")</f>
        <v/>
      </c>
      <c r="F102" s="21" t="inlineStr">
        <is>
          <t>Sprint 6</t>
        </is>
      </c>
      <c r="G102" s="23">
        <f>IFERROR(IF(ISBLANK(INDEX(Backlog[HLE],MATCH($A102,Backlog[Requirement ID],0))),"",INDEX(Backlog[HLE],MATCH($A102,Backlog[Requirement ID],0))),"")</f>
        <v/>
      </c>
      <c r="H102" s="23">
        <f>IFERROR(VALUE(SUBSTITUTE($F102,"Sprint ","")),9999)</f>
        <v/>
      </c>
    </row>
    <row r="103" ht="15" customHeight="1">
      <c r="A103" s="21" t="inlineStr">
        <is>
          <t>NEW-0247</t>
        </is>
      </c>
      <c r="B103" s="23">
        <f>IFERROR(IF(ISBLANK(INDEX(Backlog[Requirement Name],MATCH($A103,Backlog[Requirement ID],0))),"",INDEX(Backlog[Requirement Name],MATCH($A103,Backlog[Requirement ID],0))),"")</f>
        <v/>
      </c>
      <c r="C103" s="23">
        <f>IFERROR(IF(ISBLANK(INDEX(Backlog[Stream],MATCH($A103,Backlog[Requirement ID],0))),"",INDEX(Backlog[Stream],MATCH($A103,Backlog[Requirement ID],0))),"")</f>
        <v/>
      </c>
      <c r="D103" s="23">
        <f>IFERROR(IF(ISBLANK(INDEX(Backlog[Priority],MATCH($A103,Backlog[Requirement ID],0))),"",INDEX(Backlog[Priority],MATCH($A103,Backlog[Requirement ID],0))),"")</f>
        <v/>
      </c>
      <c r="E103" s="23">
        <f>IFERROR(IF(ISBLANK(INDEX(Backlog[Status],MATCH($A103,Backlog[Requirement ID],0))),"",INDEX(Backlog[Status],MATCH($A103,Backlog[Requirement ID],0))),"")</f>
        <v/>
      </c>
      <c r="F103" s="21" t="inlineStr">
        <is>
          <t>Sprint 7</t>
        </is>
      </c>
      <c r="G103" s="23">
        <f>IFERROR(IF(ISBLANK(INDEX(Backlog[HLE],MATCH($A103,Backlog[Requirement ID],0))),"",INDEX(Backlog[HLE],MATCH($A103,Backlog[Requirement ID],0))),"")</f>
        <v/>
      </c>
      <c r="H103" s="23">
        <f>IFERROR(VALUE(SUBSTITUTE($F103,"Sprint ","")),9999)</f>
        <v/>
      </c>
    </row>
    <row r="104" ht="15" customHeight="1">
      <c r="A104" s="21" t="inlineStr">
        <is>
          <t>NEW-0248</t>
        </is>
      </c>
      <c r="B104" s="23">
        <f>IFERROR(IF(ISBLANK(INDEX(Backlog[Requirement Name],MATCH($A104,Backlog[Requirement ID],0))),"",INDEX(Backlog[Requirement Name],MATCH($A104,Backlog[Requirement ID],0))),"")</f>
        <v/>
      </c>
      <c r="C104" s="23">
        <f>IFERROR(IF(ISBLANK(INDEX(Backlog[Stream],MATCH($A104,Backlog[Requirement ID],0))),"",INDEX(Backlog[Stream],MATCH($A104,Backlog[Requirement ID],0))),"")</f>
        <v/>
      </c>
      <c r="D104" s="23">
        <f>IFERROR(IF(ISBLANK(INDEX(Backlog[Priority],MATCH($A104,Backlog[Requirement ID],0))),"",INDEX(Backlog[Priority],MATCH($A104,Backlog[Requirement ID],0))),"")</f>
        <v/>
      </c>
      <c r="E104" s="23">
        <f>IFERROR(IF(ISBLANK(INDEX(Backlog[Status],MATCH($A104,Backlog[Requirement ID],0))),"",INDEX(Backlog[Status],MATCH($A104,Backlog[Requirement ID],0))),"")</f>
        <v/>
      </c>
      <c r="F104" s="21" t="inlineStr">
        <is>
          <t>Sprint 7</t>
        </is>
      </c>
      <c r="G104" s="23">
        <f>IFERROR(IF(ISBLANK(INDEX(Backlog[HLE],MATCH($A104,Backlog[Requirement ID],0))),"",INDEX(Backlog[HLE],MATCH($A104,Backlog[Requirement ID],0))),"")</f>
        <v/>
      </c>
      <c r="H104" s="23">
        <f>IFERROR(VALUE(SUBSTITUTE($F104,"Sprint ","")),9999)</f>
        <v/>
      </c>
    </row>
    <row r="105" ht="15" customHeight="1">
      <c r="A105" s="21" t="inlineStr">
        <is>
          <t>NEW-0249</t>
        </is>
      </c>
      <c r="B105" s="23">
        <f>IFERROR(IF(ISBLANK(INDEX(Backlog[Requirement Name],MATCH($A105,Backlog[Requirement ID],0))),"",INDEX(Backlog[Requirement Name],MATCH($A105,Backlog[Requirement ID],0))),"")</f>
        <v/>
      </c>
      <c r="C105" s="23">
        <f>IFERROR(IF(ISBLANK(INDEX(Backlog[Stream],MATCH($A105,Backlog[Requirement ID],0))),"",INDEX(Backlog[Stream],MATCH($A105,Backlog[Requirement ID],0))),"")</f>
        <v/>
      </c>
      <c r="D105" s="23">
        <f>IFERROR(IF(ISBLANK(INDEX(Backlog[Priority],MATCH($A105,Backlog[Requirement ID],0))),"",INDEX(Backlog[Priority],MATCH($A105,Backlog[Requirement ID],0))),"")</f>
        <v/>
      </c>
      <c r="E105" s="23">
        <f>IFERROR(IF(ISBLANK(INDEX(Backlog[Status],MATCH($A105,Backlog[Requirement ID],0))),"",INDEX(Backlog[Status],MATCH($A105,Backlog[Requirement ID],0))),"")</f>
        <v/>
      </c>
      <c r="F105" s="21" t="inlineStr">
        <is>
          <t>Sprint 4</t>
        </is>
      </c>
      <c r="G105" s="23">
        <f>IFERROR(IF(ISBLANK(INDEX(Backlog[HLE],MATCH($A105,Backlog[Requirement ID],0))),"",INDEX(Backlog[HLE],MATCH($A105,Backlog[Requirement ID],0))),"")</f>
        <v/>
      </c>
      <c r="H105" s="23">
        <f>IFERROR(VALUE(SUBSTITUTE($F105,"Sprint ","")),9999)</f>
        <v/>
      </c>
    </row>
    <row r="106" ht="15" customHeight="1">
      <c r="A106" s="21" t="inlineStr">
        <is>
          <t>NEW-0250</t>
        </is>
      </c>
      <c r="B106" s="23">
        <f>IFERROR(IF(ISBLANK(INDEX(Backlog[Requirement Name],MATCH($A106,Backlog[Requirement ID],0))),"",INDEX(Backlog[Requirement Name],MATCH($A106,Backlog[Requirement ID],0))),"")</f>
        <v/>
      </c>
      <c r="C106" s="23">
        <f>IFERROR(IF(ISBLANK(INDEX(Backlog[Stream],MATCH($A106,Backlog[Requirement ID],0))),"",INDEX(Backlog[Stream],MATCH($A106,Backlog[Requirement ID],0))),"")</f>
        <v/>
      </c>
      <c r="D106" s="23">
        <f>IFERROR(IF(ISBLANK(INDEX(Backlog[Priority],MATCH($A106,Backlog[Requirement ID],0))),"",INDEX(Backlog[Priority],MATCH($A106,Backlog[Requirement ID],0))),"")</f>
        <v/>
      </c>
      <c r="E106" s="23">
        <f>IFERROR(IF(ISBLANK(INDEX(Backlog[Status],MATCH($A106,Backlog[Requirement ID],0))),"",INDEX(Backlog[Status],MATCH($A106,Backlog[Requirement ID],0))),"")</f>
        <v/>
      </c>
      <c r="F106" s="21" t="inlineStr">
        <is>
          <t>Sprint 4</t>
        </is>
      </c>
      <c r="G106" s="23">
        <f>IFERROR(IF(ISBLANK(INDEX(Backlog[HLE],MATCH($A106,Backlog[Requirement ID],0))),"",INDEX(Backlog[HLE],MATCH($A106,Backlog[Requirement ID],0))),"")</f>
        <v/>
      </c>
      <c r="H106" s="23">
        <f>IFERROR(VALUE(SUBSTITUTE($F106,"Sprint ","")),9999)</f>
        <v/>
      </c>
    </row>
    <row r="107" ht="15" customHeight="1">
      <c r="A107" s="21" t="inlineStr">
        <is>
          <t>NEW-0251</t>
        </is>
      </c>
      <c r="B107" s="23">
        <f>IFERROR(IF(ISBLANK(INDEX(Backlog[Requirement Name],MATCH($A107,Backlog[Requirement ID],0))),"",INDEX(Backlog[Requirement Name],MATCH($A107,Backlog[Requirement ID],0))),"")</f>
        <v/>
      </c>
      <c r="C107" s="23">
        <f>IFERROR(IF(ISBLANK(INDEX(Backlog[Stream],MATCH($A107,Backlog[Requirement ID],0))),"",INDEX(Backlog[Stream],MATCH($A107,Backlog[Requirement ID],0))),"")</f>
        <v/>
      </c>
      <c r="D107" s="23">
        <f>IFERROR(IF(ISBLANK(INDEX(Backlog[Priority],MATCH($A107,Backlog[Requirement ID],0))),"",INDEX(Backlog[Priority],MATCH($A107,Backlog[Requirement ID],0))),"")</f>
        <v/>
      </c>
      <c r="E107" s="23">
        <f>IFERROR(IF(ISBLANK(INDEX(Backlog[Status],MATCH($A107,Backlog[Requirement ID],0))),"",INDEX(Backlog[Status],MATCH($A107,Backlog[Requirement ID],0))),"")</f>
        <v/>
      </c>
      <c r="F107" s="21" t="inlineStr">
        <is>
          <t>Sprint 4</t>
        </is>
      </c>
      <c r="G107" s="23">
        <f>IFERROR(IF(ISBLANK(INDEX(Backlog[HLE],MATCH($A107,Backlog[Requirement ID],0))),"",INDEX(Backlog[HLE],MATCH($A107,Backlog[Requirement ID],0))),"")</f>
        <v/>
      </c>
      <c r="H107" s="23">
        <f>IFERROR(VALUE(SUBSTITUTE($F107,"Sprint ","")),9999)</f>
        <v/>
      </c>
    </row>
    <row r="108" ht="15" customHeight="1">
      <c r="A108" s="21" t="inlineStr">
        <is>
          <t>NEW-0252</t>
        </is>
      </c>
      <c r="B108" s="23">
        <f>IFERROR(IF(ISBLANK(INDEX(Backlog[Requirement Name],MATCH($A108,Backlog[Requirement ID],0))),"",INDEX(Backlog[Requirement Name],MATCH($A108,Backlog[Requirement ID],0))),"")</f>
        <v/>
      </c>
      <c r="C108" s="23">
        <f>IFERROR(IF(ISBLANK(INDEX(Backlog[Stream],MATCH($A108,Backlog[Requirement ID],0))),"",INDEX(Backlog[Stream],MATCH($A108,Backlog[Requirement ID],0))),"")</f>
        <v/>
      </c>
      <c r="D108" s="23">
        <f>IFERROR(IF(ISBLANK(INDEX(Backlog[Priority],MATCH($A108,Backlog[Requirement ID],0))),"",INDEX(Backlog[Priority],MATCH($A108,Backlog[Requirement ID],0))),"")</f>
        <v/>
      </c>
      <c r="E108" s="23">
        <f>IFERROR(IF(ISBLANK(INDEX(Backlog[Status],MATCH($A108,Backlog[Requirement ID],0))),"",INDEX(Backlog[Status],MATCH($A108,Backlog[Requirement ID],0))),"")</f>
        <v/>
      </c>
      <c r="F108" s="21" t="inlineStr">
        <is>
          <t>Sprint 4</t>
        </is>
      </c>
      <c r="G108" s="23">
        <f>IFERROR(IF(ISBLANK(INDEX(Backlog[HLE],MATCH($A108,Backlog[Requirement ID],0))),"",INDEX(Backlog[HLE],MATCH($A108,Backlog[Requirement ID],0))),"")</f>
        <v/>
      </c>
      <c r="H108" s="23">
        <f>IFERROR(VALUE(SUBSTITUTE($F108,"Sprint ","")),9999)</f>
        <v/>
      </c>
    </row>
    <row r="109" ht="15" customHeight="1">
      <c r="A109" s="21" t="inlineStr">
        <is>
          <t>NEW-0253</t>
        </is>
      </c>
      <c r="B109" s="23">
        <f>IFERROR(IF(ISBLANK(INDEX(Backlog[Requirement Name],MATCH($A109,Backlog[Requirement ID],0))),"",INDEX(Backlog[Requirement Name],MATCH($A109,Backlog[Requirement ID],0))),"")</f>
        <v/>
      </c>
      <c r="C109" s="23">
        <f>IFERROR(IF(ISBLANK(INDEX(Backlog[Stream],MATCH($A109,Backlog[Requirement ID],0))),"",INDEX(Backlog[Stream],MATCH($A109,Backlog[Requirement ID],0))),"")</f>
        <v/>
      </c>
      <c r="D109" s="23">
        <f>IFERROR(IF(ISBLANK(INDEX(Backlog[Priority],MATCH($A109,Backlog[Requirement ID],0))),"",INDEX(Backlog[Priority],MATCH($A109,Backlog[Requirement ID],0))),"")</f>
        <v/>
      </c>
      <c r="E109" s="23">
        <f>IFERROR(IF(ISBLANK(INDEX(Backlog[Status],MATCH($A109,Backlog[Requirement ID],0))),"",INDEX(Backlog[Status],MATCH($A109,Backlog[Requirement ID],0))),"")</f>
        <v/>
      </c>
      <c r="F109" s="21" t="inlineStr">
        <is>
          <t>Sprint 6</t>
        </is>
      </c>
      <c r="G109" s="23">
        <f>IFERROR(IF(ISBLANK(INDEX(Backlog[HLE],MATCH($A109,Backlog[Requirement ID],0))),"",INDEX(Backlog[HLE],MATCH($A109,Backlog[Requirement ID],0))),"")</f>
        <v/>
      </c>
      <c r="H109" s="23">
        <f>IFERROR(VALUE(SUBSTITUTE($F109,"Sprint ","")),9999)</f>
        <v/>
      </c>
    </row>
    <row r="110" ht="15" customHeight="1">
      <c r="A110" s="21" t="inlineStr">
        <is>
          <t>NEW-0256</t>
        </is>
      </c>
      <c r="B110" s="23">
        <f>IFERROR(IF(ISBLANK(INDEX(Backlog[Requirement Name],MATCH($A110,Backlog[Requirement ID],0))),"",INDEX(Backlog[Requirement Name],MATCH($A110,Backlog[Requirement ID],0))),"")</f>
        <v/>
      </c>
      <c r="C110" s="23">
        <f>IFERROR(IF(ISBLANK(INDEX(Backlog[Stream],MATCH($A110,Backlog[Requirement ID],0))),"",INDEX(Backlog[Stream],MATCH($A110,Backlog[Requirement ID],0))),"")</f>
        <v/>
      </c>
      <c r="D110" s="23">
        <f>IFERROR(IF(ISBLANK(INDEX(Backlog[Priority],MATCH($A110,Backlog[Requirement ID],0))),"",INDEX(Backlog[Priority],MATCH($A110,Backlog[Requirement ID],0))),"")</f>
        <v/>
      </c>
      <c r="E110" s="23">
        <f>IFERROR(IF(ISBLANK(INDEX(Backlog[Status],MATCH($A110,Backlog[Requirement ID],0))),"",INDEX(Backlog[Status],MATCH($A110,Backlog[Requirement ID],0))),"")</f>
        <v/>
      </c>
      <c r="F110" s="21" t="inlineStr">
        <is>
          <t>Sprint 5</t>
        </is>
      </c>
      <c r="G110" s="23">
        <f>IFERROR(IF(ISBLANK(INDEX(Backlog[HLE],MATCH($A110,Backlog[Requirement ID],0))),"",INDEX(Backlog[HLE],MATCH($A110,Backlog[Requirement ID],0))),"")</f>
        <v/>
      </c>
      <c r="H110" s="23">
        <f>IFERROR(VALUE(SUBSTITUTE($F110,"Sprint ","")),9999)</f>
        <v/>
      </c>
    </row>
    <row r="111" ht="15" customHeight="1">
      <c r="A111" s="21" t="inlineStr">
        <is>
          <t>NEW-0257</t>
        </is>
      </c>
      <c r="B111" s="23">
        <f>IFERROR(IF(ISBLANK(INDEX(Backlog[Requirement Name],MATCH($A111,Backlog[Requirement ID],0))),"",INDEX(Backlog[Requirement Name],MATCH($A111,Backlog[Requirement ID],0))),"")</f>
        <v/>
      </c>
      <c r="C111" s="23">
        <f>IFERROR(IF(ISBLANK(INDEX(Backlog[Stream],MATCH($A111,Backlog[Requirement ID],0))),"",INDEX(Backlog[Stream],MATCH($A111,Backlog[Requirement ID],0))),"")</f>
        <v/>
      </c>
      <c r="D111" s="23">
        <f>IFERROR(IF(ISBLANK(INDEX(Backlog[Priority],MATCH($A111,Backlog[Requirement ID],0))),"",INDEX(Backlog[Priority],MATCH($A111,Backlog[Requirement ID],0))),"")</f>
        <v/>
      </c>
      <c r="E111" s="23">
        <f>IFERROR(IF(ISBLANK(INDEX(Backlog[Status],MATCH($A111,Backlog[Requirement ID],0))),"",INDEX(Backlog[Status],MATCH($A111,Backlog[Requirement ID],0))),"")</f>
        <v/>
      </c>
      <c r="F111" s="21" t="inlineStr">
        <is>
          <t>Sprint 6</t>
        </is>
      </c>
      <c r="G111" s="23">
        <f>IFERROR(IF(ISBLANK(INDEX(Backlog[HLE],MATCH($A111,Backlog[Requirement ID],0))),"",INDEX(Backlog[HLE],MATCH($A111,Backlog[Requirement ID],0))),"")</f>
        <v/>
      </c>
      <c r="H111" s="23">
        <f>IFERROR(VALUE(SUBSTITUTE($F111,"Sprint ","")),9999)</f>
        <v/>
      </c>
    </row>
    <row r="112" ht="15" customHeight="1">
      <c r="A112" s="21" t="inlineStr">
        <is>
          <t>NEW-0260</t>
        </is>
      </c>
      <c r="B112" s="23">
        <f>IFERROR(IF(ISBLANK(INDEX(Backlog[Requirement Name],MATCH($A112,Backlog[Requirement ID],0))),"",INDEX(Backlog[Requirement Name],MATCH($A112,Backlog[Requirement ID],0))),"")</f>
        <v/>
      </c>
      <c r="C112" s="23">
        <f>IFERROR(IF(ISBLANK(INDEX(Backlog[Stream],MATCH($A112,Backlog[Requirement ID],0))),"",INDEX(Backlog[Stream],MATCH($A112,Backlog[Requirement ID],0))),"")</f>
        <v/>
      </c>
      <c r="D112" s="23">
        <f>IFERROR(IF(ISBLANK(INDEX(Backlog[Priority],MATCH($A112,Backlog[Requirement ID],0))),"",INDEX(Backlog[Priority],MATCH($A112,Backlog[Requirement ID],0))),"")</f>
        <v/>
      </c>
      <c r="E112" s="23">
        <f>IFERROR(IF(ISBLANK(INDEX(Backlog[Status],MATCH($A112,Backlog[Requirement ID],0))),"",INDEX(Backlog[Status],MATCH($A112,Backlog[Requirement ID],0))),"")</f>
        <v/>
      </c>
      <c r="F112" s="21" t="inlineStr">
        <is>
          <t>Sprint 4</t>
        </is>
      </c>
      <c r="G112" s="23">
        <f>IFERROR(IF(ISBLANK(INDEX(Backlog[HLE],MATCH($A112,Backlog[Requirement ID],0))),"",INDEX(Backlog[HLE],MATCH($A112,Backlog[Requirement ID],0))),"")</f>
        <v/>
      </c>
      <c r="H112" s="23">
        <f>IFERROR(VALUE(SUBSTITUTE($F112,"Sprint ","")),9999)</f>
        <v/>
      </c>
    </row>
    <row r="113" ht="15" customHeight="1">
      <c r="A113" s="21" t="inlineStr">
        <is>
          <t>NEW-0261</t>
        </is>
      </c>
      <c r="B113" s="23">
        <f>IFERROR(IF(ISBLANK(INDEX(Backlog[Requirement Name],MATCH($A113,Backlog[Requirement ID],0))),"",INDEX(Backlog[Requirement Name],MATCH($A113,Backlog[Requirement ID],0))),"")</f>
        <v/>
      </c>
      <c r="C113" s="23">
        <f>IFERROR(IF(ISBLANK(INDEX(Backlog[Stream],MATCH($A113,Backlog[Requirement ID],0))),"",INDEX(Backlog[Stream],MATCH($A113,Backlog[Requirement ID],0))),"")</f>
        <v/>
      </c>
      <c r="D113" s="23">
        <f>IFERROR(IF(ISBLANK(INDEX(Backlog[Priority],MATCH($A113,Backlog[Requirement ID],0))),"",INDEX(Backlog[Priority],MATCH($A113,Backlog[Requirement ID],0))),"")</f>
        <v/>
      </c>
      <c r="E113" s="23">
        <f>IFERROR(IF(ISBLANK(INDEX(Backlog[Status],MATCH($A113,Backlog[Requirement ID],0))),"",INDEX(Backlog[Status],MATCH($A113,Backlog[Requirement ID],0))),"")</f>
        <v/>
      </c>
      <c r="F113" s="21" t="inlineStr">
        <is>
          <t>Sprint 4</t>
        </is>
      </c>
      <c r="G113" s="23">
        <f>IFERROR(IF(ISBLANK(INDEX(Backlog[HLE],MATCH($A113,Backlog[Requirement ID],0))),"",INDEX(Backlog[HLE],MATCH($A113,Backlog[Requirement ID],0))),"")</f>
        <v/>
      </c>
      <c r="H113" s="23">
        <f>IFERROR(VALUE(SUBSTITUTE($F113,"Sprint ","")),9999)</f>
        <v/>
      </c>
    </row>
    <row r="114" ht="15" customHeight="1">
      <c r="A114" s="21" t="inlineStr">
        <is>
          <t>NEW-0262</t>
        </is>
      </c>
      <c r="B114" s="23">
        <f>IFERROR(IF(ISBLANK(INDEX(Backlog[Requirement Name],MATCH($A114,Backlog[Requirement ID],0))),"",INDEX(Backlog[Requirement Name],MATCH($A114,Backlog[Requirement ID],0))),"")</f>
        <v/>
      </c>
      <c r="C114" s="23">
        <f>IFERROR(IF(ISBLANK(INDEX(Backlog[Stream],MATCH($A114,Backlog[Requirement ID],0))),"",INDEX(Backlog[Stream],MATCH($A114,Backlog[Requirement ID],0))),"")</f>
        <v/>
      </c>
      <c r="D114" s="23">
        <f>IFERROR(IF(ISBLANK(INDEX(Backlog[Priority],MATCH($A114,Backlog[Requirement ID],0))),"",INDEX(Backlog[Priority],MATCH($A114,Backlog[Requirement ID],0))),"")</f>
        <v/>
      </c>
      <c r="E114" s="23">
        <f>IFERROR(IF(ISBLANK(INDEX(Backlog[Status],MATCH($A114,Backlog[Requirement ID],0))),"",INDEX(Backlog[Status],MATCH($A114,Backlog[Requirement ID],0))),"")</f>
        <v/>
      </c>
      <c r="F114" s="21" t="inlineStr">
        <is>
          <t>Sprint 4</t>
        </is>
      </c>
      <c r="G114" s="23">
        <f>IFERROR(IF(ISBLANK(INDEX(Backlog[HLE],MATCH($A114,Backlog[Requirement ID],0))),"",INDEX(Backlog[HLE],MATCH($A114,Backlog[Requirement ID],0))),"")</f>
        <v/>
      </c>
      <c r="H114" s="23">
        <f>IFERROR(VALUE(SUBSTITUTE($F114,"Sprint ","")),9999)</f>
        <v/>
      </c>
    </row>
    <row r="115" ht="15" customHeight="1">
      <c r="A115" s="21" t="inlineStr">
        <is>
          <t>NEW-0263</t>
        </is>
      </c>
      <c r="B115" s="23">
        <f>IFERROR(IF(ISBLANK(INDEX(Backlog[Requirement Name],MATCH($A115,Backlog[Requirement ID],0))),"",INDEX(Backlog[Requirement Name],MATCH($A115,Backlog[Requirement ID],0))),"")</f>
        <v/>
      </c>
      <c r="C115" s="23">
        <f>IFERROR(IF(ISBLANK(INDEX(Backlog[Stream],MATCH($A115,Backlog[Requirement ID],0))),"",INDEX(Backlog[Stream],MATCH($A115,Backlog[Requirement ID],0))),"")</f>
        <v/>
      </c>
      <c r="D115" s="23">
        <f>IFERROR(IF(ISBLANK(INDEX(Backlog[Priority],MATCH($A115,Backlog[Requirement ID],0))),"",INDEX(Backlog[Priority],MATCH($A115,Backlog[Requirement ID],0))),"")</f>
        <v/>
      </c>
      <c r="E115" s="23">
        <f>IFERROR(IF(ISBLANK(INDEX(Backlog[Status],MATCH($A115,Backlog[Requirement ID],0))),"",INDEX(Backlog[Status],MATCH($A115,Backlog[Requirement ID],0))),"")</f>
        <v/>
      </c>
      <c r="F115" s="21" t="inlineStr">
        <is>
          <t>Sprint 8</t>
        </is>
      </c>
      <c r="G115" s="23">
        <f>IFERROR(IF(ISBLANK(INDEX(Backlog[HLE],MATCH($A115,Backlog[Requirement ID],0))),"",INDEX(Backlog[HLE],MATCH($A115,Backlog[Requirement ID],0))),"")</f>
        <v/>
      </c>
      <c r="H115" s="23">
        <f>IFERROR(VALUE(SUBSTITUTE($F115,"Sprint ","")),9999)</f>
        <v/>
      </c>
    </row>
    <row r="116" ht="15" customHeight="1">
      <c r="A116" s="21" t="inlineStr">
        <is>
          <t>NEW-0264</t>
        </is>
      </c>
      <c r="B116" s="23">
        <f>IFERROR(IF(ISBLANK(INDEX(Backlog[Requirement Name],MATCH($A116,Backlog[Requirement ID],0))),"",INDEX(Backlog[Requirement Name],MATCH($A116,Backlog[Requirement ID],0))),"")</f>
        <v/>
      </c>
      <c r="C116" s="23">
        <f>IFERROR(IF(ISBLANK(INDEX(Backlog[Stream],MATCH($A116,Backlog[Requirement ID],0))),"",INDEX(Backlog[Stream],MATCH($A116,Backlog[Requirement ID],0))),"")</f>
        <v/>
      </c>
      <c r="D116" s="23">
        <f>IFERROR(IF(ISBLANK(INDEX(Backlog[Priority],MATCH($A116,Backlog[Requirement ID],0))),"",INDEX(Backlog[Priority],MATCH($A116,Backlog[Requirement ID],0))),"")</f>
        <v/>
      </c>
      <c r="E116" s="23">
        <f>IFERROR(IF(ISBLANK(INDEX(Backlog[Status],MATCH($A116,Backlog[Requirement ID],0))),"",INDEX(Backlog[Status],MATCH($A116,Backlog[Requirement ID],0))),"")</f>
        <v/>
      </c>
      <c r="F116" s="21" t="inlineStr">
        <is>
          <t>Sprint 8</t>
        </is>
      </c>
      <c r="G116" s="23">
        <f>IFERROR(IF(ISBLANK(INDEX(Backlog[HLE],MATCH($A116,Backlog[Requirement ID],0))),"",INDEX(Backlog[HLE],MATCH($A116,Backlog[Requirement ID],0))),"")</f>
        <v/>
      </c>
      <c r="H116" s="23">
        <f>IFERROR(VALUE(SUBSTITUTE($F116,"Sprint ","")),9999)</f>
        <v/>
      </c>
    </row>
    <row r="117" ht="15" customHeight="1">
      <c r="A117" s="21" t="inlineStr">
        <is>
          <t>NEW-0265</t>
        </is>
      </c>
      <c r="B117" s="23">
        <f>IFERROR(IF(ISBLANK(INDEX(Backlog[Requirement Name],MATCH($A117,Backlog[Requirement ID],0))),"",INDEX(Backlog[Requirement Name],MATCH($A117,Backlog[Requirement ID],0))),"")</f>
        <v/>
      </c>
      <c r="C117" s="23">
        <f>IFERROR(IF(ISBLANK(INDEX(Backlog[Stream],MATCH($A117,Backlog[Requirement ID],0))),"",INDEX(Backlog[Stream],MATCH($A117,Backlog[Requirement ID],0))),"")</f>
        <v/>
      </c>
      <c r="D117" s="23">
        <f>IFERROR(IF(ISBLANK(INDEX(Backlog[Priority],MATCH($A117,Backlog[Requirement ID],0))),"",INDEX(Backlog[Priority],MATCH($A117,Backlog[Requirement ID],0))),"")</f>
        <v/>
      </c>
      <c r="E117" s="23">
        <f>IFERROR(IF(ISBLANK(INDEX(Backlog[Status],MATCH($A117,Backlog[Requirement ID],0))),"",INDEX(Backlog[Status],MATCH($A117,Backlog[Requirement ID],0))),"")</f>
        <v/>
      </c>
      <c r="F117" s="21" t="n"/>
      <c r="G117" s="23">
        <f>IFERROR(IF(ISBLANK(INDEX(Backlog[HLE],MATCH($A117,Backlog[Requirement ID],0))),"",INDEX(Backlog[HLE],MATCH($A117,Backlog[Requirement ID],0))),"")</f>
        <v/>
      </c>
      <c r="H117" s="23">
        <f>IFERROR(VALUE(SUBSTITUTE($F117,"Sprint ","")),9999)</f>
        <v/>
      </c>
    </row>
    <row r="118" ht="15" customHeight="1">
      <c r="A118" s="21" t="inlineStr">
        <is>
          <t>NEW-0266</t>
        </is>
      </c>
      <c r="B118" s="23">
        <f>IFERROR(IF(ISBLANK(INDEX(Backlog[Requirement Name],MATCH($A118,Backlog[Requirement ID],0))),"",INDEX(Backlog[Requirement Name],MATCH($A118,Backlog[Requirement ID],0))),"")</f>
        <v/>
      </c>
      <c r="C118" s="23">
        <f>IFERROR(IF(ISBLANK(INDEX(Backlog[Stream],MATCH($A118,Backlog[Requirement ID],0))),"",INDEX(Backlog[Stream],MATCH($A118,Backlog[Requirement ID],0))),"")</f>
        <v/>
      </c>
      <c r="D118" s="23">
        <f>IFERROR(IF(ISBLANK(INDEX(Backlog[Priority],MATCH($A118,Backlog[Requirement ID],0))),"",INDEX(Backlog[Priority],MATCH($A118,Backlog[Requirement ID],0))),"")</f>
        <v/>
      </c>
      <c r="E118" s="23">
        <f>IFERROR(IF(ISBLANK(INDEX(Backlog[Status],MATCH($A118,Backlog[Requirement ID],0))),"",INDEX(Backlog[Status],MATCH($A118,Backlog[Requirement ID],0))),"")</f>
        <v/>
      </c>
      <c r="F118" s="21" t="n"/>
      <c r="G118" s="23">
        <f>IFERROR(IF(ISBLANK(INDEX(Backlog[HLE],MATCH($A118,Backlog[Requirement ID],0))),"",INDEX(Backlog[HLE],MATCH($A118,Backlog[Requirement ID],0))),"")</f>
        <v/>
      </c>
      <c r="H118" s="23">
        <f>IFERROR(VALUE(SUBSTITUTE($F118,"Sprint ","")),9999)</f>
        <v/>
      </c>
    </row>
    <row r="119" ht="15" customHeight="1">
      <c r="A119" s="21" t="inlineStr">
        <is>
          <t>NEW-0267</t>
        </is>
      </c>
      <c r="B119" s="23">
        <f>IFERROR(IF(ISBLANK(INDEX(Backlog[Requirement Name],MATCH($A119,Backlog[Requirement ID],0))),"",INDEX(Backlog[Requirement Name],MATCH($A119,Backlog[Requirement ID],0))),"")</f>
        <v/>
      </c>
      <c r="C119" s="23">
        <f>IFERROR(IF(ISBLANK(INDEX(Backlog[Stream],MATCH($A119,Backlog[Requirement ID],0))),"",INDEX(Backlog[Stream],MATCH($A119,Backlog[Requirement ID],0))),"")</f>
        <v/>
      </c>
      <c r="D119" s="23">
        <f>IFERROR(IF(ISBLANK(INDEX(Backlog[Priority],MATCH($A119,Backlog[Requirement ID],0))),"",INDEX(Backlog[Priority],MATCH($A119,Backlog[Requirement ID],0))),"")</f>
        <v/>
      </c>
      <c r="E119" s="23">
        <f>IFERROR(IF(ISBLANK(INDEX(Backlog[Status],MATCH($A119,Backlog[Requirement ID],0))),"",INDEX(Backlog[Status],MATCH($A119,Backlog[Requirement ID],0))),"")</f>
        <v/>
      </c>
      <c r="F119" s="21" t="inlineStr">
        <is>
          <t>Sprint 7</t>
        </is>
      </c>
      <c r="G119" s="23">
        <f>IFERROR(IF(ISBLANK(INDEX(Backlog[HLE],MATCH($A119,Backlog[Requirement ID],0))),"",INDEX(Backlog[HLE],MATCH($A119,Backlog[Requirement ID],0))),"")</f>
        <v/>
      </c>
      <c r="H119" s="23">
        <f>IFERROR(VALUE(SUBSTITUTE($F119,"Sprint ","")),9999)</f>
        <v/>
      </c>
    </row>
    <row r="120" ht="15" customHeight="1">
      <c r="A120" s="21" t="inlineStr">
        <is>
          <t>NEW-0268</t>
        </is>
      </c>
      <c r="B120" s="23">
        <f>IFERROR(IF(ISBLANK(INDEX(Backlog[Requirement Name],MATCH($A120,Backlog[Requirement ID],0))),"",INDEX(Backlog[Requirement Name],MATCH($A120,Backlog[Requirement ID],0))),"")</f>
        <v/>
      </c>
      <c r="C120" s="23">
        <f>IFERROR(IF(ISBLANK(INDEX(Backlog[Stream],MATCH($A120,Backlog[Requirement ID],0))),"",INDEX(Backlog[Stream],MATCH($A120,Backlog[Requirement ID],0))),"")</f>
        <v/>
      </c>
      <c r="D120" s="23">
        <f>IFERROR(IF(ISBLANK(INDEX(Backlog[Priority],MATCH($A120,Backlog[Requirement ID],0))),"",INDEX(Backlog[Priority],MATCH($A120,Backlog[Requirement ID],0))),"")</f>
        <v/>
      </c>
      <c r="E120" s="23">
        <f>IFERROR(IF(ISBLANK(INDEX(Backlog[Status],MATCH($A120,Backlog[Requirement ID],0))),"",INDEX(Backlog[Status],MATCH($A120,Backlog[Requirement ID],0))),"")</f>
        <v/>
      </c>
      <c r="F120" s="21" t="inlineStr">
        <is>
          <t>Sprint 6</t>
        </is>
      </c>
      <c r="G120" s="23">
        <f>IFERROR(IF(ISBLANK(INDEX(Backlog[HLE],MATCH($A120,Backlog[Requirement ID],0))),"",INDEX(Backlog[HLE],MATCH($A120,Backlog[Requirement ID],0))),"")</f>
        <v/>
      </c>
      <c r="H120" s="23">
        <f>IFERROR(VALUE(SUBSTITUTE($F120,"Sprint ","")),9999)</f>
        <v/>
      </c>
    </row>
    <row r="121" ht="15" customHeight="1">
      <c r="A121" s="21" t="inlineStr">
        <is>
          <t>NEW-0269</t>
        </is>
      </c>
      <c r="B121" s="23">
        <f>IFERROR(IF(ISBLANK(INDEX(Backlog[Requirement Name],MATCH($A121,Backlog[Requirement ID],0))),"",INDEX(Backlog[Requirement Name],MATCH($A121,Backlog[Requirement ID],0))),"")</f>
        <v/>
      </c>
      <c r="C121" s="23">
        <f>IFERROR(IF(ISBLANK(INDEX(Backlog[Stream],MATCH($A121,Backlog[Requirement ID],0))),"",INDEX(Backlog[Stream],MATCH($A121,Backlog[Requirement ID],0))),"")</f>
        <v/>
      </c>
      <c r="D121" s="23">
        <f>IFERROR(IF(ISBLANK(INDEX(Backlog[Priority],MATCH($A121,Backlog[Requirement ID],0))),"",INDEX(Backlog[Priority],MATCH($A121,Backlog[Requirement ID],0))),"")</f>
        <v/>
      </c>
      <c r="E121" s="23">
        <f>IFERROR(IF(ISBLANK(INDEX(Backlog[Status],MATCH($A121,Backlog[Requirement ID],0))),"",INDEX(Backlog[Status],MATCH($A121,Backlog[Requirement ID],0))),"")</f>
        <v/>
      </c>
      <c r="F121" s="21" t="inlineStr">
        <is>
          <t>Sprint 7</t>
        </is>
      </c>
      <c r="G121" s="23">
        <f>IFERROR(IF(ISBLANK(INDEX(Backlog[HLE],MATCH($A121,Backlog[Requirement ID],0))),"",INDEX(Backlog[HLE],MATCH($A121,Backlog[Requirement ID],0))),"")</f>
        <v/>
      </c>
      <c r="H121" s="23">
        <f>IFERROR(VALUE(SUBSTITUTE($F121,"Sprint ","")),9999)</f>
        <v/>
      </c>
    </row>
    <row r="122" ht="15" customHeight="1">
      <c r="A122" s="21" t="inlineStr">
        <is>
          <t>NEW-0270</t>
        </is>
      </c>
      <c r="B122" s="23">
        <f>IFERROR(IF(ISBLANK(INDEX(Backlog[Requirement Name],MATCH($A122,Backlog[Requirement ID],0))),"",INDEX(Backlog[Requirement Name],MATCH($A122,Backlog[Requirement ID],0))),"")</f>
        <v/>
      </c>
      <c r="C122" s="23">
        <f>IFERROR(IF(ISBLANK(INDEX(Backlog[Stream],MATCH($A122,Backlog[Requirement ID],0))),"",INDEX(Backlog[Stream],MATCH($A122,Backlog[Requirement ID],0))),"")</f>
        <v/>
      </c>
      <c r="D122" s="23">
        <f>IFERROR(IF(ISBLANK(INDEX(Backlog[Priority],MATCH($A122,Backlog[Requirement ID],0))),"",INDEX(Backlog[Priority],MATCH($A122,Backlog[Requirement ID],0))),"")</f>
        <v/>
      </c>
      <c r="E122" s="23">
        <f>IFERROR(IF(ISBLANK(INDEX(Backlog[Status],MATCH($A122,Backlog[Requirement ID],0))),"",INDEX(Backlog[Status],MATCH($A122,Backlog[Requirement ID],0))),"")</f>
        <v/>
      </c>
      <c r="F122" s="21" t="inlineStr">
        <is>
          <t>To Plan</t>
        </is>
      </c>
      <c r="G122" s="23">
        <f>IFERROR(IF(ISBLANK(INDEX(Backlog[HLE],MATCH($A122,Backlog[Requirement ID],0))),"",INDEX(Backlog[HLE],MATCH($A122,Backlog[Requirement ID],0))),"")</f>
        <v/>
      </c>
      <c r="H122" s="23">
        <f>IFERROR(VALUE(SUBSTITUTE($F122,"Sprint ","")),9999)</f>
        <v/>
      </c>
    </row>
    <row r="123" ht="15" customHeight="1">
      <c r="A123" s="21" t="inlineStr">
        <is>
          <t>NEW-0271</t>
        </is>
      </c>
      <c r="B123" s="23">
        <f>IFERROR(IF(ISBLANK(INDEX(Backlog[Requirement Name],MATCH($A123,Backlog[Requirement ID],0))),"",INDEX(Backlog[Requirement Name],MATCH($A123,Backlog[Requirement ID],0))),"")</f>
        <v/>
      </c>
      <c r="C123" s="23">
        <f>IFERROR(IF(ISBLANK(INDEX(Backlog[Stream],MATCH($A123,Backlog[Requirement ID],0))),"",INDEX(Backlog[Stream],MATCH($A123,Backlog[Requirement ID],0))),"")</f>
        <v/>
      </c>
      <c r="D123" s="23">
        <f>IFERROR(IF(ISBLANK(INDEX(Backlog[Priority],MATCH($A123,Backlog[Requirement ID],0))),"",INDEX(Backlog[Priority],MATCH($A123,Backlog[Requirement ID],0))),"")</f>
        <v/>
      </c>
      <c r="E123" s="23">
        <f>IFERROR(IF(ISBLANK(INDEX(Backlog[Status],MATCH($A123,Backlog[Requirement ID],0))),"",INDEX(Backlog[Status],MATCH($A123,Backlog[Requirement ID],0))),"")</f>
        <v/>
      </c>
      <c r="F123" s="21" t="inlineStr">
        <is>
          <t>Sprint 7</t>
        </is>
      </c>
      <c r="G123" s="23">
        <f>IFERROR(IF(ISBLANK(INDEX(Backlog[HLE],MATCH($A123,Backlog[Requirement ID],0))),"",INDEX(Backlog[HLE],MATCH($A123,Backlog[Requirement ID],0))),"")</f>
        <v/>
      </c>
      <c r="H123" s="23">
        <f>IFERROR(VALUE(SUBSTITUTE($F123,"Sprint ","")),9999)</f>
        <v/>
      </c>
    </row>
    <row r="124" ht="15" customHeight="1">
      <c r="A124" s="21" t="inlineStr">
        <is>
          <t>NEW-0272</t>
        </is>
      </c>
      <c r="B124" s="23">
        <f>IFERROR(IF(ISBLANK(INDEX(Backlog[Requirement Name],MATCH($A124,Backlog[Requirement ID],0))),"",INDEX(Backlog[Requirement Name],MATCH($A124,Backlog[Requirement ID],0))),"")</f>
        <v/>
      </c>
      <c r="C124" s="23">
        <f>IFERROR(IF(ISBLANK(INDEX(Backlog[Stream],MATCH($A124,Backlog[Requirement ID],0))),"",INDEX(Backlog[Stream],MATCH($A124,Backlog[Requirement ID],0))),"")</f>
        <v/>
      </c>
      <c r="D124" s="23">
        <f>IFERROR(IF(ISBLANK(INDEX(Backlog[Priority],MATCH($A124,Backlog[Requirement ID],0))),"",INDEX(Backlog[Priority],MATCH($A124,Backlog[Requirement ID],0))),"")</f>
        <v/>
      </c>
      <c r="E124" s="23">
        <f>IFERROR(IF(ISBLANK(INDEX(Backlog[Status],MATCH($A124,Backlog[Requirement ID],0))),"",INDEX(Backlog[Status],MATCH($A124,Backlog[Requirement ID],0))),"")</f>
        <v/>
      </c>
      <c r="F124" s="21" t="inlineStr">
        <is>
          <t>Sprint 8</t>
        </is>
      </c>
      <c r="G124" s="23">
        <f>IFERROR(IF(ISBLANK(INDEX(Backlog[HLE],MATCH($A124,Backlog[Requirement ID],0))),"",INDEX(Backlog[HLE],MATCH($A124,Backlog[Requirement ID],0))),"")</f>
        <v/>
      </c>
      <c r="H124" s="23">
        <f>IFERROR(VALUE(SUBSTITUTE($F124,"Sprint ","")),9999)</f>
        <v/>
      </c>
    </row>
    <row r="125" ht="15" customHeight="1">
      <c r="A125" s="21" t="inlineStr">
        <is>
          <t>NEW-0274</t>
        </is>
      </c>
      <c r="B125" s="23">
        <f>IFERROR(IF(ISBLANK(INDEX(Backlog[Requirement Name],MATCH($A125,Backlog[Requirement ID],0))),"",INDEX(Backlog[Requirement Name],MATCH($A125,Backlog[Requirement ID],0))),"")</f>
        <v/>
      </c>
      <c r="C125" s="23">
        <f>IFERROR(IF(ISBLANK(INDEX(Backlog[Stream],MATCH($A125,Backlog[Requirement ID],0))),"",INDEX(Backlog[Stream],MATCH($A125,Backlog[Requirement ID],0))),"")</f>
        <v/>
      </c>
      <c r="D125" s="23">
        <f>IFERROR(IF(ISBLANK(INDEX(Backlog[Priority],MATCH($A125,Backlog[Requirement ID],0))),"",INDEX(Backlog[Priority],MATCH($A125,Backlog[Requirement ID],0))),"")</f>
        <v/>
      </c>
      <c r="E125" s="23">
        <f>IFERROR(IF(ISBLANK(INDEX(Backlog[Status],MATCH($A125,Backlog[Requirement ID],0))),"",INDEX(Backlog[Status],MATCH($A125,Backlog[Requirement ID],0))),"")</f>
        <v/>
      </c>
      <c r="F125" s="21" t="inlineStr">
        <is>
          <t>To Plan</t>
        </is>
      </c>
      <c r="G125" s="23">
        <f>IFERROR(IF(ISBLANK(INDEX(Backlog[HLE],MATCH($A125,Backlog[Requirement ID],0))),"",INDEX(Backlog[HLE],MATCH($A125,Backlog[Requirement ID],0))),"")</f>
        <v/>
      </c>
      <c r="H125" s="23">
        <f>IFERROR(VALUE(SUBSTITUTE($F125,"Sprint ","")),9999)</f>
        <v/>
      </c>
    </row>
    <row r="126" ht="15" customHeight="1">
      <c r="A126" s="21" t="inlineStr">
        <is>
          <t>NEW-0275</t>
        </is>
      </c>
      <c r="B126" s="23">
        <f>IFERROR(IF(ISBLANK(INDEX(Backlog[Requirement Name],MATCH($A126,Backlog[Requirement ID],0))),"",INDEX(Backlog[Requirement Name],MATCH($A126,Backlog[Requirement ID],0))),"")</f>
        <v/>
      </c>
      <c r="C126" s="23">
        <f>IFERROR(IF(ISBLANK(INDEX(Backlog[Stream],MATCH($A126,Backlog[Requirement ID],0))),"",INDEX(Backlog[Stream],MATCH($A126,Backlog[Requirement ID],0))),"")</f>
        <v/>
      </c>
      <c r="D126" s="23">
        <f>IFERROR(IF(ISBLANK(INDEX(Backlog[Priority],MATCH($A126,Backlog[Requirement ID],0))),"",INDEX(Backlog[Priority],MATCH($A126,Backlog[Requirement ID],0))),"")</f>
        <v/>
      </c>
      <c r="E126" s="23">
        <f>IFERROR(IF(ISBLANK(INDEX(Backlog[Status],MATCH($A126,Backlog[Requirement ID],0))),"",INDEX(Backlog[Status],MATCH($A126,Backlog[Requirement ID],0))),"")</f>
        <v/>
      </c>
      <c r="F126" s="21" t="inlineStr">
        <is>
          <t>Sprint 10</t>
        </is>
      </c>
      <c r="G126" s="23">
        <f>IFERROR(IF(ISBLANK(INDEX(Backlog[HLE],MATCH($A126,Backlog[Requirement ID],0))),"",INDEX(Backlog[HLE],MATCH($A126,Backlog[Requirement ID],0))),"")</f>
        <v/>
      </c>
      <c r="H126" s="23">
        <f>IFERROR(VALUE(SUBSTITUTE($F126,"Sprint ","")),9999)</f>
        <v/>
      </c>
    </row>
    <row r="127" ht="15" customHeight="1">
      <c r="A127" s="21" t="inlineStr">
        <is>
          <t>NEW-0282</t>
        </is>
      </c>
      <c r="B127" s="23">
        <f>IFERROR(IF(ISBLANK(INDEX(Backlog[Requirement Name],MATCH($A127,Backlog[Requirement ID],0))),"",INDEX(Backlog[Requirement Name],MATCH($A127,Backlog[Requirement ID],0))),"")</f>
        <v/>
      </c>
      <c r="C127" s="23">
        <f>IFERROR(IF(ISBLANK(INDEX(Backlog[Stream],MATCH($A127,Backlog[Requirement ID],0))),"",INDEX(Backlog[Stream],MATCH($A127,Backlog[Requirement ID],0))),"")</f>
        <v/>
      </c>
      <c r="D127" s="23">
        <f>IFERROR(IF(ISBLANK(INDEX(Backlog[Priority],MATCH($A127,Backlog[Requirement ID],0))),"",INDEX(Backlog[Priority],MATCH($A127,Backlog[Requirement ID],0))),"")</f>
        <v/>
      </c>
      <c r="E127" s="23">
        <f>IFERROR(IF(ISBLANK(INDEX(Backlog[Status],MATCH($A127,Backlog[Requirement ID],0))),"",INDEX(Backlog[Status],MATCH($A127,Backlog[Requirement ID],0))),"")</f>
        <v/>
      </c>
      <c r="F127" s="21" t="inlineStr">
        <is>
          <t>Sprint 3</t>
        </is>
      </c>
      <c r="G127" s="23">
        <f>IFERROR(IF(ISBLANK(INDEX(Backlog[HLE],MATCH($A127,Backlog[Requirement ID],0))),"",INDEX(Backlog[HLE],MATCH($A127,Backlog[Requirement ID],0))),"")</f>
        <v/>
      </c>
      <c r="H127" s="23">
        <f>IFERROR(VALUE(SUBSTITUTE($F127,"Sprint ","")),9999)</f>
        <v/>
      </c>
    </row>
    <row r="128" ht="15" customHeight="1">
      <c r="A128" s="21" t="inlineStr">
        <is>
          <t>NEW-0283</t>
        </is>
      </c>
      <c r="B128" s="23">
        <f>IFERROR(IF(ISBLANK(INDEX(Backlog[Requirement Name],MATCH($A128,Backlog[Requirement ID],0))),"",INDEX(Backlog[Requirement Name],MATCH($A128,Backlog[Requirement ID],0))),"")</f>
        <v/>
      </c>
      <c r="C128" s="23">
        <f>IFERROR(IF(ISBLANK(INDEX(Backlog[Stream],MATCH($A128,Backlog[Requirement ID],0))),"",INDEX(Backlog[Stream],MATCH($A128,Backlog[Requirement ID],0))),"")</f>
        <v/>
      </c>
      <c r="D128" s="23">
        <f>IFERROR(IF(ISBLANK(INDEX(Backlog[Priority],MATCH($A128,Backlog[Requirement ID],0))),"",INDEX(Backlog[Priority],MATCH($A128,Backlog[Requirement ID],0))),"")</f>
        <v/>
      </c>
      <c r="E128" s="23">
        <f>IFERROR(IF(ISBLANK(INDEX(Backlog[Status],MATCH($A128,Backlog[Requirement ID],0))),"",INDEX(Backlog[Status],MATCH($A128,Backlog[Requirement ID],0))),"")</f>
        <v/>
      </c>
      <c r="F128" s="21" t="inlineStr">
        <is>
          <t>Sprint 5</t>
        </is>
      </c>
      <c r="G128" s="23">
        <f>IFERROR(IF(ISBLANK(INDEX(Backlog[HLE],MATCH($A128,Backlog[Requirement ID],0))),"",INDEX(Backlog[HLE],MATCH($A128,Backlog[Requirement ID],0))),"")</f>
        <v/>
      </c>
      <c r="H128" s="23">
        <f>IFERROR(VALUE(SUBSTITUTE($F128,"Sprint ","")),9999)</f>
        <v/>
      </c>
    </row>
    <row r="129" ht="15" customHeight="1">
      <c r="A129" s="21" t="inlineStr">
        <is>
          <t>NEW-0284</t>
        </is>
      </c>
      <c r="B129" s="23">
        <f>IFERROR(IF(ISBLANK(INDEX(Backlog[Requirement Name],MATCH($A129,Backlog[Requirement ID],0))),"",INDEX(Backlog[Requirement Name],MATCH($A129,Backlog[Requirement ID],0))),"")</f>
        <v/>
      </c>
      <c r="C129" s="23">
        <f>IFERROR(IF(ISBLANK(INDEX(Backlog[Stream],MATCH($A129,Backlog[Requirement ID],0))),"",INDEX(Backlog[Stream],MATCH($A129,Backlog[Requirement ID],0))),"")</f>
        <v/>
      </c>
      <c r="D129" s="23">
        <f>IFERROR(IF(ISBLANK(INDEX(Backlog[Priority],MATCH($A129,Backlog[Requirement ID],0))),"",INDEX(Backlog[Priority],MATCH($A129,Backlog[Requirement ID],0))),"")</f>
        <v/>
      </c>
      <c r="E129" s="23">
        <f>IFERROR(IF(ISBLANK(INDEX(Backlog[Status],MATCH($A129,Backlog[Requirement ID],0))),"",INDEX(Backlog[Status],MATCH($A129,Backlog[Requirement ID],0))),"")</f>
        <v/>
      </c>
      <c r="F129" s="21" t="inlineStr">
        <is>
          <t>To Plan</t>
        </is>
      </c>
      <c r="G129" s="23">
        <f>IFERROR(IF(ISBLANK(INDEX(Backlog[HLE],MATCH($A129,Backlog[Requirement ID],0))),"",INDEX(Backlog[HLE],MATCH($A129,Backlog[Requirement ID],0))),"")</f>
        <v/>
      </c>
      <c r="H129" s="23">
        <f>IFERROR(VALUE(SUBSTITUTE($F129,"Sprint ","")),9999)</f>
        <v/>
      </c>
    </row>
    <row r="130" ht="15" customHeight="1">
      <c r="A130" s="21" t="inlineStr">
        <is>
          <t>NEW-0285</t>
        </is>
      </c>
      <c r="B130" s="23">
        <f>IFERROR(IF(ISBLANK(INDEX(Backlog[Requirement Name],MATCH($A130,Backlog[Requirement ID],0))),"",INDEX(Backlog[Requirement Name],MATCH($A130,Backlog[Requirement ID],0))),"")</f>
        <v/>
      </c>
      <c r="C130" s="23">
        <f>IFERROR(IF(ISBLANK(INDEX(Backlog[Stream],MATCH($A130,Backlog[Requirement ID],0))),"",INDEX(Backlog[Stream],MATCH($A130,Backlog[Requirement ID],0))),"")</f>
        <v/>
      </c>
      <c r="D130" s="23">
        <f>IFERROR(IF(ISBLANK(INDEX(Backlog[Priority],MATCH($A130,Backlog[Requirement ID],0))),"",INDEX(Backlog[Priority],MATCH($A130,Backlog[Requirement ID],0))),"")</f>
        <v/>
      </c>
      <c r="E130" s="23">
        <f>IFERROR(IF(ISBLANK(INDEX(Backlog[Status],MATCH($A130,Backlog[Requirement ID],0))),"",INDEX(Backlog[Status],MATCH($A130,Backlog[Requirement ID],0))),"")</f>
        <v/>
      </c>
      <c r="F130" s="21" t="inlineStr">
        <is>
          <t>Sprint 2</t>
        </is>
      </c>
      <c r="G130" s="23">
        <f>IFERROR(IF(ISBLANK(INDEX(Backlog[HLE],MATCH($A130,Backlog[Requirement ID],0))),"",INDEX(Backlog[HLE],MATCH($A130,Backlog[Requirement ID],0))),"")</f>
        <v/>
      </c>
      <c r="H130" s="23">
        <f>IFERROR(VALUE(SUBSTITUTE($F130,"Sprint ","")),9999)</f>
        <v/>
      </c>
    </row>
    <row r="131" ht="15" customHeight="1">
      <c r="A131" s="21" t="inlineStr">
        <is>
          <t>NEW-0286</t>
        </is>
      </c>
      <c r="B131" s="23">
        <f>IFERROR(IF(ISBLANK(INDEX(Backlog[Requirement Name],MATCH($A131,Backlog[Requirement ID],0))),"",INDEX(Backlog[Requirement Name],MATCH($A131,Backlog[Requirement ID],0))),"")</f>
        <v/>
      </c>
      <c r="C131" s="23">
        <f>IFERROR(IF(ISBLANK(INDEX(Backlog[Stream],MATCH($A131,Backlog[Requirement ID],0))),"",INDEX(Backlog[Stream],MATCH($A131,Backlog[Requirement ID],0))),"")</f>
        <v/>
      </c>
      <c r="D131" s="23">
        <f>IFERROR(IF(ISBLANK(INDEX(Backlog[Priority],MATCH($A131,Backlog[Requirement ID],0))),"",INDEX(Backlog[Priority],MATCH($A131,Backlog[Requirement ID],0))),"")</f>
        <v/>
      </c>
      <c r="E131" s="23">
        <f>IFERROR(IF(ISBLANK(INDEX(Backlog[Status],MATCH($A131,Backlog[Requirement ID],0))),"",INDEX(Backlog[Status],MATCH($A131,Backlog[Requirement ID],0))),"")</f>
        <v/>
      </c>
      <c r="F131" s="21" t="inlineStr">
        <is>
          <t>Sprint 3</t>
        </is>
      </c>
      <c r="G131" s="23">
        <f>IFERROR(IF(ISBLANK(INDEX(Backlog[HLE],MATCH($A131,Backlog[Requirement ID],0))),"",INDEX(Backlog[HLE],MATCH($A131,Backlog[Requirement ID],0))),"")</f>
        <v/>
      </c>
      <c r="H131" s="23">
        <f>IFERROR(VALUE(SUBSTITUTE($F131,"Sprint ","")),9999)</f>
        <v/>
      </c>
    </row>
    <row r="132" ht="15" customHeight="1">
      <c r="A132" s="21" t="inlineStr">
        <is>
          <t>NEW-0287</t>
        </is>
      </c>
      <c r="B132" s="23">
        <f>IFERROR(IF(ISBLANK(INDEX(Backlog[Requirement Name],MATCH($A132,Backlog[Requirement ID],0))),"",INDEX(Backlog[Requirement Name],MATCH($A132,Backlog[Requirement ID],0))),"")</f>
        <v/>
      </c>
      <c r="C132" s="23">
        <f>IFERROR(IF(ISBLANK(INDEX(Backlog[Stream],MATCH($A132,Backlog[Requirement ID],0))),"",INDEX(Backlog[Stream],MATCH($A132,Backlog[Requirement ID],0))),"")</f>
        <v/>
      </c>
      <c r="D132" s="23">
        <f>IFERROR(IF(ISBLANK(INDEX(Backlog[Priority],MATCH($A132,Backlog[Requirement ID],0))),"",INDEX(Backlog[Priority],MATCH($A132,Backlog[Requirement ID],0))),"")</f>
        <v/>
      </c>
      <c r="E132" s="23">
        <f>IFERROR(IF(ISBLANK(INDEX(Backlog[Status],MATCH($A132,Backlog[Requirement ID],0))),"",INDEX(Backlog[Status],MATCH($A132,Backlog[Requirement ID],0))),"")</f>
        <v/>
      </c>
      <c r="F132" s="21" t="inlineStr">
        <is>
          <t>Sprint 5</t>
        </is>
      </c>
      <c r="G132" s="23">
        <f>IFERROR(IF(ISBLANK(INDEX(Backlog[HLE],MATCH($A132,Backlog[Requirement ID],0))),"",INDEX(Backlog[HLE],MATCH($A132,Backlog[Requirement ID],0))),"")</f>
        <v/>
      </c>
      <c r="H132" s="23">
        <f>IFERROR(VALUE(SUBSTITUTE($F132,"Sprint ","")),9999)</f>
        <v/>
      </c>
    </row>
    <row r="133" ht="15" customHeight="1">
      <c r="A133" s="21" t="inlineStr">
        <is>
          <t>NEW-0288</t>
        </is>
      </c>
      <c r="B133" s="23">
        <f>IFERROR(IF(ISBLANK(INDEX(Backlog[Requirement Name],MATCH($A133,Backlog[Requirement ID],0))),"",INDEX(Backlog[Requirement Name],MATCH($A133,Backlog[Requirement ID],0))),"")</f>
        <v/>
      </c>
      <c r="C133" s="23">
        <f>IFERROR(IF(ISBLANK(INDEX(Backlog[Stream],MATCH($A133,Backlog[Requirement ID],0))),"",INDEX(Backlog[Stream],MATCH($A133,Backlog[Requirement ID],0))),"")</f>
        <v/>
      </c>
      <c r="D133" s="23">
        <f>IFERROR(IF(ISBLANK(INDEX(Backlog[Priority],MATCH($A133,Backlog[Requirement ID],0))),"",INDEX(Backlog[Priority],MATCH($A133,Backlog[Requirement ID],0))),"")</f>
        <v/>
      </c>
      <c r="E133" s="23">
        <f>IFERROR(IF(ISBLANK(INDEX(Backlog[Status],MATCH($A133,Backlog[Requirement ID],0))),"",INDEX(Backlog[Status],MATCH($A133,Backlog[Requirement ID],0))),"")</f>
        <v/>
      </c>
      <c r="F133" s="21" t="inlineStr">
        <is>
          <t>To Plan</t>
        </is>
      </c>
      <c r="G133" s="23">
        <f>IFERROR(IF(ISBLANK(INDEX(Backlog[HLE],MATCH($A133,Backlog[Requirement ID],0))),"",INDEX(Backlog[HLE],MATCH($A133,Backlog[Requirement ID],0))),"")</f>
        <v/>
      </c>
      <c r="H133" s="23">
        <f>IFERROR(VALUE(SUBSTITUTE($F133,"Sprint ","")),9999)</f>
        <v/>
      </c>
    </row>
    <row r="134" ht="15" customHeight="1">
      <c r="A134" s="21" t="inlineStr">
        <is>
          <t>NEW-0289</t>
        </is>
      </c>
      <c r="B134" s="23">
        <f>IFERROR(IF(ISBLANK(INDEX(Backlog[Requirement Name],MATCH($A134,Backlog[Requirement ID],0))),"",INDEX(Backlog[Requirement Name],MATCH($A134,Backlog[Requirement ID],0))),"")</f>
        <v/>
      </c>
      <c r="C134" s="23">
        <f>IFERROR(IF(ISBLANK(INDEX(Backlog[Stream],MATCH($A134,Backlog[Requirement ID],0))),"",INDEX(Backlog[Stream],MATCH($A134,Backlog[Requirement ID],0))),"")</f>
        <v/>
      </c>
      <c r="D134" s="23">
        <f>IFERROR(IF(ISBLANK(INDEX(Backlog[Priority],MATCH($A134,Backlog[Requirement ID],0))),"",INDEX(Backlog[Priority],MATCH($A134,Backlog[Requirement ID],0))),"")</f>
        <v/>
      </c>
      <c r="E134" s="23">
        <f>IFERROR(IF(ISBLANK(INDEX(Backlog[Status],MATCH($A134,Backlog[Requirement ID],0))),"",INDEX(Backlog[Status],MATCH($A134,Backlog[Requirement ID],0))),"")</f>
        <v/>
      </c>
      <c r="F134" s="21" t="inlineStr">
        <is>
          <t>Sprint 5</t>
        </is>
      </c>
      <c r="G134" s="23">
        <f>IFERROR(IF(ISBLANK(INDEX(Backlog[HLE],MATCH($A134,Backlog[Requirement ID],0))),"",INDEX(Backlog[HLE],MATCH($A134,Backlog[Requirement ID],0))),"")</f>
        <v/>
      </c>
      <c r="H134" s="23">
        <f>IFERROR(VALUE(SUBSTITUTE($F134,"Sprint ","")),9999)</f>
        <v/>
      </c>
    </row>
    <row r="135" ht="23.25" customHeight="1">
      <c r="A135" s="21" t="inlineStr">
        <is>
          <t>NEW-0290</t>
        </is>
      </c>
      <c r="B135" s="23">
        <f>IFERROR(IF(ISBLANK(INDEX(Backlog[Requirement Name],MATCH($A135,Backlog[Requirement ID],0))),"",INDEX(Backlog[Requirement Name],MATCH($A135,Backlog[Requirement ID],0))),"")</f>
        <v/>
      </c>
      <c r="C135" s="23">
        <f>IFERROR(IF(ISBLANK(INDEX(Backlog[Stream],MATCH($A135,Backlog[Requirement ID],0))),"",INDEX(Backlog[Stream],MATCH($A135,Backlog[Requirement ID],0))),"")</f>
        <v/>
      </c>
      <c r="D135" s="23">
        <f>IFERROR(IF(ISBLANK(INDEX(Backlog[Priority],MATCH($A135,Backlog[Requirement ID],0))),"",INDEX(Backlog[Priority],MATCH($A135,Backlog[Requirement ID],0))),"")</f>
        <v/>
      </c>
      <c r="E135" s="23">
        <f>IFERROR(IF(ISBLANK(INDEX(Backlog[Status],MATCH($A135,Backlog[Requirement ID],0))),"",INDEX(Backlog[Status],MATCH($A135,Backlog[Requirement ID],0))),"")</f>
        <v/>
      </c>
      <c r="F135" s="21" t="inlineStr">
        <is>
          <t>To Plan</t>
        </is>
      </c>
      <c r="G135" s="23">
        <f>IFERROR(IF(ISBLANK(INDEX(Backlog[HLE],MATCH($A135,Backlog[Requirement ID],0))),"",INDEX(Backlog[HLE],MATCH($A135,Backlog[Requirement ID],0))),"")</f>
        <v/>
      </c>
      <c r="H135" s="23">
        <f>IFERROR(VALUE(SUBSTITUTE($F135,"Sprint ","")),9999)</f>
        <v/>
      </c>
    </row>
    <row r="136" ht="15" customHeight="1">
      <c r="A136" s="21" t="inlineStr">
        <is>
          <t>NEW-0291</t>
        </is>
      </c>
      <c r="B136" s="23">
        <f>IFERROR(IF(ISBLANK(INDEX(Backlog[Requirement Name],MATCH($A136,Backlog[Requirement ID],0))),"",INDEX(Backlog[Requirement Name],MATCH($A136,Backlog[Requirement ID],0))),"")</f>
        <v/>
      </c>
      <c r="C136" s="23">
        <f>IFERROR(IF(ISBLANK(INDEX(Backlog[Stream],MATCH($A136,Backlog[Requirement ID],0))),"",INDEX(Backlog[Stream],MATCH($A136,Backlog[Requirement ID],0))),"")</f>
        <v/>
      </c>
      <c r="D136" s="23">
        <f>IFERROR(IF(ISBLANK(INDEX(Backlog[Priority],MATCH($A136,Backlog[Requirement ID],0))),"",INDEX(Backlog[Priority],MATCH($A136,Backlog[Requirement ID],0))),"")</f>
        <v/>
      </c>
      <c r="E136" s="23">
        <f>IFERROR(IF(ISBLANK(INDEX(Backlog[Status],MATCH($A136,Backlog[Requirement ID],0))),"",INDEX(Backlog[Status],MATCH($A136,Backlog[Requirement ID],0))),"")</f>
        <v/>
      </c>
      <c r="F136" s="21" t="inlineStr">
        <is>
          <t>Sprint 6</t>
        </is>
      </c>
      <c r="G136" s="23">
        <f>IFERROR(IF(ISBLANK(INDEX(Backlog[HLE],MATCH($A136,Backlog[Requirement ID],0))),"",INDEX(Backlog[HLE],MATCH($A136,Backlog[Requirement ID],0))),"")</f>
        <v/>
      </c>
      <c r="H136" s="23">
        <f>IFERROR(VALUE(SUBSTITUTE($F136,"Sprint ","")),9999)</f>
        <v/>
      </c>
    </row>
    <row r="137" ht="15" customHeight="1">
      <c r="A137" s="21" t="inlineStr">
        <is>
          <t>NEW-0292</t>
        </is>
      </c>
      <c r="B137" s="23">
        <f>IFERROR(IF(ISBLANK(INDEX(Backlog[Requirement Name],MATCH($A137,Backlog[Requirement ID],0))),"",INDEX(Backlog[Requirement Name],MATCH($A137,Backlog[Requirement ID],0))),"")</f>
        <v/>
      </c>
      <c r="C137" s="23">
        <f>IFERROR(IF(ISBLANK(INDEX(Backlog[Stream],MATCH($A137,Backlog[Requirement ID],0))),"",INDEX(Backlog[Stream],MATCH($A137,Backlog[Requirement ID],0))),"")</f>
        <v/>
      </c>
      <c r="D137" s="23">
        <f>IFERROR(IF(ISBLANK(INDEX(Backlog[Priority],MATCH($A137,Backlog[Requirement ID],0))),"",INDEX(Backlog[Priority],MATCH($A137,Backlog[Requirement ID],0))),"")</f>
        <v/>
      </c>
      <c r="E137" s="23">
        <f>IFERROR(IF(ISBLANK(INDEX(Backlog[Status],MATCH($A137,Backlog[Requirement ID],0))),"",INDEX(Backlog[Status],MATCH($A137,Backlog[Requirement ID],0))),"")</f>
        <v/>
      </c>
      <c r="F137" s="21" t="inlineStr">
        <is>
          <t>Sprint 8</t>
        </is>
      </c>
      <c r="G137" s="23">
        <f>IFERROR(IF(ISBLANK(INDEX(Backlog[HLE],MATCH($A137,Backlog[Requirement ID],0))),"",INDEX(Backlog[HLE],MATCH($A137,Backlog[Requirement ID],0))),"")</f>
        <v/>
      </c>
      <c r="H137" s="23">
        <f>IFERROR(VALUE(SUBSTITUTE($F137,"Sprint ","")),9999)</f>
        <v/>
      </c>
    </row>
    <row r="138" ht="15" customHeight="1">
      <c r="A138" s="21" t="inlineStr">
        <is>
          <t>NEW-0293</t>
        </is>
      </c>
      <c r="B138" s="23">
        <f>IFERROR(IF(ISBLANK(INDEX(Backlog[Requirement Name],MATCH($A138,Backlog[Requirement ID],0))),"",INDEX(Backlog[Requirement Name],MATCH($A138,Backlog[Requirement ID],0))),"")</f>
        <v/>
      </c>
      <c r="C138" s="23">
        <f>IFERROR(IF(ISBLANK(INDEX(Backlog[Stream],MATCH($A138,Backlog[Requirement ID],0))),"",INDEX(Backlog[Stream],MATCH($A138,Backlog[Requirement ID],0))),"")</f>
        <v/>
      </c>
      <c r="D138" s="23">
        <f>IFERROR(IF(ISBLANK(INDEX(Backlog[Priority],MATCH($A138,Backlog[Requirement ID],0))),"",INDEX(Backlog[Priority],MATCH($A138,Backlog[Requirement ID],0))),"")</f>
        <v/>
      </c>
      <c r="E138" s="23">
        <f>IFERROR(IF(ISBLANK(INDEX(Backlog[Status],MATCH($A138,Backlog[Requirement ID],0))),"",INDEX(Backlog[Status],MATCH($A138,Backlog[Requirement ID],0))),"")</f>
        <v/>
      </c>
      <c r="F138" s="21" t="inlineStr">
        <is>
          <t>Sprint 8</t>
        </is>
      </c>
      <c r="G138" s="23">
        <f>IFERROR(IF(ISBLANK(INDEX(Backlog[HLE],MATCH($A138,Backlog[Requirement ID],0))),"",INDEX(Backlog[HLE],MATCH($A138,Backlog[Requirement ID],0))),"")</f>
        <v/>
      </c>
      <c r="H138" s="23">
        <f>IFERROR(VALUE(SUBSTITUTE($F138,"Sprint ","")),9999)</f>
        <v/>
      </c>
    </row>
    <row r="139" ht="15" customHeight="1">
      <c r="A139" s="21" t="inlineStr">
        <is>
          <t>NEW-0294</t>
        </is>
      </c>
      <c r="B139" s="23">
        <f>IFERROR(IF(ISBLANK(INDEX(Backlog[Requirement Name],MATCH($A139,Backlog[Requirement ID],0))),"",INDEX(Backlog[Requirement Name],MATCH($A139,Backlog[Requirement ID],0))),"")</f>
        <v/>
      </c>
      <c r="C139" s="23">
        <f>IFERROR(IF(ISBLANK(INDEX(Backlog[Stream],MATCH($A139,Backlog[Requirement ID],0))),"",INDEX(Backlog[Stream],MATCH($A139,Backlog[Requirement ID],0))),"")</f>
        <v/>
      </c>
      <c r="D139" s="23">
        <f>IFERROR(IF(ISBLANK(INDEX(Backlog[Priority],MATCH($A139,Backlog[Requirement ID],0))),"",INDEX(Backlog[Priority],MATCH($A139,Backlog[Requirement ID],0))),"")</f>
        <v/>
      </c>
      <c r="E139" s="23">
        <f>IFERROR(IF(ISBLANK(INDEX(Backlog[Status],MATCH($A139,Backlog[Requirement ID],0))),"",INDEX(Backlog[Status],MATCH($A139,Backlog[Requirement ID],0))),"")</f>
        <v/>
      </c>
      <c r="F139" s="21" t="inlineStr">
        <is>
          <t>Sprint 6</t>
        </is>
      </c>
      <c r="G139" s="23">
        <f>IFERROR(IF(ISBLANK(INDEX(Backlog[HLE],MATCH($A139,Backlog[Requirement ID],0))),"",INDEX(Backlog[HLE],MATCH($A139,Backlog[Requirement ID],0))),"")</f>
        <v/>
      </c>
      <c r="H139" s="23">
        <f>IFERROR(VALUE(SUBSTITUTE($F139,"Sprint ","")),9999)</f>
        <v/>
      </c>
    </row>
    <row r="140" ht="15" customHeight="1">
      <c r="A140" s="21" t="inlineStr">
        <is>
          <t>NEW-0295</t>
        </is>
      </c>
      <c r="B140" s="23">
        <f>IFERROR(IF(ISBLANK(INDEX(Backlog[Requirement Name],MATCH($A140,Backlog[Requirement ID],0))),"",INDEX(Backlog[Requirement Name],MATCH($A140,Backlog[Requirement ID],0))),"")</f>
        <v/>
      </c>
      <c r="C140" s="23">
        <f>IFERROR(IF(ISBLANK(INDEX(Backlog[Stream],MATCH($A140,Backlog[Requirement ID],0))),"",INDEX(Backlog[Stream],MATCH($A140,Backlog[Requirement ID],0))),"")</f>
        <v/>
      </c>
      <c r="D140" s="23">
        <f>IFERROR(IF(ISBLANK(INDEX(Backlog[Priority],MATCH($A140,Backlog[Requirement ID],0))),"",INDEX(Backlog[Priority],MATCH($A140,Backlog[Requirement ID],0))),"")</f>
        <v/>
      </c>
      <c r="E140" s="23">
        <f>IFERROR(IF(ISBLANK(INDEX(Backlog[Status],MATCH($A140,Backlog[Requirement ID],0))),"",INDEX(Backlog[Status],MATCH($A140,Backlog[Requirement ID],0))),"")</f>
        <v/>
      </c>
      <c r="F140" s="21" t="inlineStr">
        <is>
          <t>Sprint 5</t>
        </is>
      </c>
      <c r="G140" s="23">
        <f>IFERROR(IF(ISBLANK(INDEX(Backlog[HLE],MATCH($A140,Backlog[Requirement ID],0))),"",INDEX(Backlog[HLE],MATCH($A140,Backlog[Requirement ID],0))),"")</f>
        <v/>
      </c>
      <c r="H140" s="23">
        <f>IFERROR(VALUE(SUBSTITUTE($F140,"Sprint ","")),9999)</f>
        <v/>
      </c>
    </row>
    <row r="141" ht="15" customHeight="1">
      <c r="A141" s="21" t="inlineStr">
        <is>
          <t>NEW-0296</t>
        </is>
      </c>
      <c r="B141" s="23">
        <f>IFERROR(IF(ISBLANK(INDEX(Backlog[Requirement Name],MATCH($A141,Backlog[Requirement ID],0))),"",INDEX(Backlog[Requirement Name],MATCH($A141,Backlog[Requirement ID],0))),"")</f>
        <v/>
      </c>
      <c r="C141" s="23">
        <f>IFERROR(IF(ISBLANK(INDEX(Backlog[Stream],MATCH($A141,Backlog[Requirement ID],0))),"",INDEX(Backlog[Stream],MATCH($A141,Backlog[Requirement ID],0))),"")</f>
        <v/>
      </c>
      <c r="D141" s="23">
        <f>IFERROR(IF(ISBLANK(INDEX(Backlog[Priority],MATCH($A141,Backlog[Requirement ID],0))),"",INDEX(Backlog[Priority],MATCH($A141,Backlog[Requirement ID],0))),"")</f>
        <v/>
      </c>
      <c r="E141" s="23">
        <f>IFERROR(IF(ISBLANK(INDEX(Backlog[Status],MATCH($A141,Backlog[Requirement ID],0))),"",INDEX(Backlog[Status],MATCH($A141,Backlog[Requirement ID],0))),"")</f>
        <v/>
      </c>
      <c r="F141" s="21" t="inlineStr">
        <is>
          <t>Sprint 5</t>
        </is>
      </c>
      <c r="G141" s="23">
        <f>IFERROR(IF(ISBLANK(INDEX(Backlog[HLE],MATCH($A141,Backlog[Requirement ID],0))),"",INDEX(Backlog[HLE],MATCH($A141,Backlog[Requirement ID],0))),"")</f>
        <v/>
      </c>
      <c r="H141" s="23">
        <f>IFERROR(VALUE(SUBSTITUTE($F141,"Sprint ","")),9999)</f>
        <v/>
      </c>
    </row>
    <row r="142" ht="15" customHeight="1">
      <c r="A142" s="21" t="inlineStr">
        <is>
          <t>NEW-0298</t>
        </is>
      </c>
      <c r="B142" s="23">
        <f>IFERROR(IF(ISBLANK(INDEX(Backlog[Requirement Name],MATCH($A142,Backlog[Requirement ID],0))),"",INDEX(Backlog[Requirement Name],MATCH($A142,Backlog[Requirement ID],0))),"")</f>
        <v/>
      </c>
      <c r="C142" s="23">
        <f>IFERROR(IF(ISBLANK(INDEX(Backlog[Stream],MATCH($A142,Backlog[Requirement ID],0))),"",INDEX(Backlog[Stream],MATCH($A142,Backlog[Requirement ID],0))),"")</f>
        <v/>
      </c>
      <c r="D142" s="23">
        <f>IFERROR(IF(ISBLANK(INDEX(Backlog[Priority],MATCH($A142,Backlog[Requirement ID],0))),"",INDEX(Backlog[Priority],MATCH($A142,Backlog[Requirement ID],0))),"")</f>
        <v/>
      </c>
      <c r="E142" s="23">
        <f>IFERROR(IF(ISBLANK(INDEX(Backlog[Status],MATCH($A142,Backlog[Requirement ID],0))),"",INDEX(Backlog[Status],MATCH($A142,Backlog[Requirement ID],0))),"")</f>
        <v/>
      </c>
      <c r="F142" s="21" t="inlineStr">
        <is>
          <t>Sprint 5</t>
        </is>
      </c>
      <c r="G142" s="23">
        <f>IFERROR(IF(ISBLANK(INDEX(Backlog[HLE],MATCH($A142,Backlog[Requirement ID],0))),"",INDEX(Backlog[HLE],MATCH($A142,Backlog[Requirement ID],0))),"")</f>
        <v/>
      </c>
      <c r="H142" s="23">
        <f>IFERROR(VALUE(SUBSTITUTE($F142,"Sprint ","")),9999)</f>
        <v/>
      </c>
    </row>
    <row r="143" ht="15" customHeight="1">
      <c r="A143" s="21" t="inlineStr">
        <is>
          <t>NEW-0299</t>
        </is>
      </c>
      <c r="B143" s="23">
        <f>IFERROR(IF(ISBLANK(INDEX(Backlog[Requirement Name],MATCH($A143,Backlog[Requirement ID],0))),"",INDEX(Backlog[Requirement Name],MATCH($A143,Backlog[Requirement ID],0))),"")</f>
        <v/>
      </c>
      <c r="C143" s="23">
        <f>IFERROR(IF(ISBLANK(INDEX(Backlog[Stream],MATCH($A143,Backlog[Requirement ID],0))),"",INDEX(Backlog[Stream],MATCH($A143,Backlog[Requirement ID],0))),"")</f>
        <v/>
      </c>
      <c r="D143" s="23">
        <f>IFERROR(IF(ISBLANK(INDEX(Backlog[Priority],MATCH($A143,Backlog[Requirement ID],0))),"",INDEX(Backlog[Priority],MATCH($A143,Backlog[Requirement ID],0))),"")</f>
        <v/>
      </c>
      <c r="E143" s="23">
        <f>IFERROR(IF(ISBLANK(INDEX(Backlog[Status],MATCH($A143,Backlog[Requirement ID],0))),"",INDEX(Backlog[Status],MATCH($A143,Backlog[Requirement ID],0))),"")</f>
        <v/>
      </c>
      <c r="F143" s="21" t="inlineStr">
        <is>
          <t>To Plan</t>
        </is>
      </c>
      <c r="G143" s="23">
        <f>IFERROR(IF(ISBLANK(INDEX(Backlog[HLE],MATCH($A143,Backlog[Requirement ID],0))),"",INDEX(Backlog[HLE],MATCH($A143,Backlog[Requirement ID],0))),"")</f>
        <v/>
      </c>
      <c r="H143" s="23">
        <f>IFERROR(VALUE(SUBSTITUTE($F143,"Sprint ","")),9999)</f>
        <v/>
      </c>
    </row>
    <row r="144" ht="15" customHeight="1">
      <c r="A144" s="21" t="inlineStr">
        <is>
          <t>NEW-0300</t>
        </is>
      </c>
      <c r="B144" s="23">
        <f>IFERROR(IF(ISBLANK(INDEX(Backlog[Requirement Name],MATCH($A144,Backlog[Requirement ID],0))),"",INDEX(Backlog[Requirement Name],MATCH($A144,Backlog[Requirement ID],0))),"")</f>
        <v/>
      </c>
      <c r="C144" s="23">
        <f>IFERROR(IF(ISBLANK(INDEX(Backlog[Stream],MATCH($A144,Backlog[Requirement ID],0))),"",INDEX(Backlog[Stream],MATCH($A144,Backlog[Requirement ID],0))),"")</f>
        <v/>
      </c>
      <c r="D144" s="23">
        <f>IFERROR(IF(ISBLANK(INDEX(Backlog[Priority],MATCH($A144,Backlog[Requirement ID],0))),"",INDEX(Backlog[Priority],MATCH($A144,Backlog[Requirement ID],0))),"")</f>
        <v/>
      </c>
      <c r="E144" s="23">
        <f>IFERROR(IF(ISBLANK(INDEX(Backlog[Status],MATCH($A144,Backlog[Requirement ID],0))),"",INDEX(Backlog[Status],MATCH($A144,Backlog[Requirement ID],0))),"")</f>
        <v/>
      </c>
      <c r="F144" s="21" t="inlineStr">
        <is>
          <t>Sprint 5</t>
        </is>
      </c>
      <c r="G144" s="23">
        <f>IFERROR(IF(ISBLANK(INDEX(Backlog[HLE],MATCH($A144,Backlog[Requirement ID],0))),"",INDEX(Backlog[HLE],MATCH($A144,Backlog[Requirement ID],0))),"")</f>
        <v/>
      </c>
      <c r="H144" s="23">
        <f>IFERROR(VALUE(SUBSTITUTE($F144,"Sprint ","")),9999)</f>
        <v/>
      </c>
    </row>
    <row r="145" ht="15" customHeight="1">
      <c r="A145" s="21" t="inlineStr">
        <is>
          <t>NEW-0303</t>
        </is>
      </c>
      <c r="B145" s="23">
        <f>IFERROR(IF(ISBLANK(INDEX(Backlog[Requirement Name],MATCH($A145,Backlog[Requirement ID],0))),"",INDEX(Backlog[Requirement Name],MATCH($A145,Backlog[Requirement ID],0))),"")</f>
        <v/>
      </c>
      <c r="C145" s="23">
        <f>IFERROR(IF(ISBLANK(INDEX(Backlog[Stream],MATCH($A145,Backlog[Requirement ID],0))),"",INDEX(Backlog[Stream],MATCH($A145,Backlog[Requirement ID],0))),"")</f>
        <v/>
      </c>
      <c r="D145" s="23">
        <f>IFERROR(IF(ISBLANK(INDEX(Backlog[Priority],MATCH($A145,Backlog[Requirement ID],0))),"",INDEX(Backlog[Priority],MATCH($A145,Backlog[Requirement ID],0))),"")</f>
        <v/>
      </c>
      <c r="E145" s="23">
        <f>IFERROR(IF(ISBLANK(INDEX(Backlog[Status],MATCH($A145,Backlog[Requirement ID],0))),"",INDEX(Backlog[Status],MATCH($A145,Backlog[Requirement ID],0))),"")</f>
        <v/>
      </c>
      <c r="F145" s="21" t="inlineStr">
        <is>
          <t>Sprint 6</t>
        </is>
      </c>
      <c r="G145" s="23">
        <f>IFERROR(IF(ISBLANK(INDEX(Backlog[HLE],MATCH($A145,Backlog[Requirement ID],0))),"",INDEX(Backlog[HLE],MATCH($A145,Backlog[Requirement ID],0))),"")</f>
        <v/>
      </c>
      <c r="H145" s="23">
        <f>IFERROR(VALUE(SUBSTITUTE($F145,"Sprint ","")),9999)</f>
        <v/>
      </c>
    </row>
    <row r="146" ht="15" customHeight="1">
      <c r="A146" s="21" t="inlineStr">
        <is>
          <t>NEW-0304</t>
        </is>
      </c>
      <c r="B146" s="23">
        <f>IFERROR(IF(ISBLANK(INDEX(Backlog[Requirement Name],MATCH($A146,Backlog[Requirement ID],0))),"",INDEX(Backlog[Requirement Name],MATCH($A146,Backlog[Requirement ID],0))),"")</f>
        <v/>
      </c>
      <c r="C146" s="23">
        <f>IFERROR(IF(ISBLANK(INDEX(Backlog[Stream],MATCH($A146,Backlog[Requirement ID],0))),"",INDEX(Backlog[Stream],MATCH($A146,Backlog[Requirement ID],0))),"")</f>
        <v/>
      </c>
      <c r="D146" s="23">
        <f>IFERROR(IF(ISBLANK(INDEX(Backlog[Priority],MATCH($A146,Backlog[Requirement ID],0))),"",INDEX(Backlog[Priority],MATCH($A146,Backlog[Requirement ID],0))),"")</f>
        <v/>
      </c>
      <c r="E146" s="23">
        <f>IFERROR(IF(ISBLANK(INDEX(Backlog[Status],MATCH($A146,Backlog[Requirement ID],0))),"",INDEX(Backlog[Status],MATCH($A146,Backlog[Requirement ID],0))),"")</f>
        <v/>
      </c>
      <c r="F146" s="21" t="inlineStr">
        <is>
          <t>Sprint 7</t>
        </is>
      </c>
      <c r="G146" s="23">
        <f>IFERROR(IF(ISBLANK(INDEX(Backlog[HLE],MATCH($A146,Backlog[Requirement ID],0))),"",INDEX(Backlog[HLE],MATCH($A146,Backlog[Requirement ID],0))),"")</f>
        <v/>
      </c>
      <c r="H146" s="23">
        <f>IFERROR(VALUE(SUBSTITUTE($F146,"Sprint ","")),9999)</f>
        <v/>
      </c>
    </row>
    <row r="147" ht="15" customHeight="1">
      <c r="A147" s="21" t="inlineStr">
        <is>
          <t>NEW-0305</t>
        </is>
      </c>
      <c r="B147" s="23">
        <f>IFERROR(IF(ISBLANK(INDEX(Backlog[Requirement Name],MATCH($A147,Backlog[Requirement ID],0))),"",INDEX(Backlog[Requirement Name],MATCH($A147,Backlog[Requirement ID],0))),"")</f>
        <v/>
      </c>
      <c r="C147" s="23">
        <f>IFERROR(IF(ISBLANK(INDEX(Backlog[Stream],MATCH($A147,Backlog[Requirement ID],0))),"",INDEX(Backlog[Stream],MATCH($A147,Backlog[Requirement ID],0))),"")</f>
        <v/>
      </c>
      <c r="D147" s="23">
        <f>IFERROR(IF(ISBLANK(INDEX(Backlog[Priority],MATCH($A147,Backlog[Requirement ID],0))),"",INDEX(Backlog[Priority],MATCH($A147,Backlog[Requirement ID],0))),"")</f>
        <v/>
      </c>
      <c r="E147" s="23">
        <f>IFERROR(IF(ISBLANK(INDEX(Backlog[Status],MATCH($A147,Backlog[Requirement ID],0))),"",INDEX(Backlog[Status],MATCH($A147,Backlog[Requirement ID],0))),"")</f>
        <v/>
      </c>
      <c r="F147" s="21" t="inlineStr">
        <is>
          <t>Sprint 6</t>
        </is>
      </c>
      <c r="G147" s="23">
        <f>IFERROR(IF(ISBLANK(INDEX(Backlog[HLE],MATCH($A147,Backlog[Requirement ID],0))),"",INDEX(Backlog[HLE],MATCH($A147,Backlog[Requirement ID],0))),"")</f>
        <v/>
      </c>
      <c r="H147" s="23">
        <f>IFERROR(VALUE(SUBSTITUTE($F147,"Sprint ","")),9999)</f>
        <v/>
      </c>
    </row>
    <row r="148" ht="15" customHeight="1">
      <c r="A148" s="21" t="inlineStr">
        <is>
          <t>NEW-0306</t>
        </is>
      </c>
      <c r="B148" s="23">
        <f>IFERROR(IF(ISBLANK(INDEX(Backlog[Requirement Name],MATCH($A148,Backlog[Requirement ID],0))),"",INDEX(Backlog[Requirement Name],MATCH($A148,Backlog[Requirement ID],0))),"")</f>
        <v/>
      </c>
      <c r="C148" s="23">
        <f>IFERROR(IF(ISBLANK(INDEX(Backlog[Stream],MATCH($A148,Backlog[Requirement ID],0))),"",INDEX(Backlog[Stream],MATCH($A148,Backlog[Requirement ID],0))),"")</f>
        <v/>
      </c>
      <c r="D148" s="23">
        <f>IFERROR(IF(ISBLANK(INDEX(Backlog[Priority],MATCH($A148,Backlog[Requirement ID],0))),"",INDEX(Backlog[Priority],MATCH($A148,Backlog[Requirement ID],0))),"")</f>
        <v/>
      </c>
      <c r="E148" s="23">
        <f>IFERROR(IF(ISBLANK(INDEX(Backlog[Status],MATCH($A148,Backlog[Requirement ID],0))),"",INDEX(Backlog[Status],MATCH($A148,Backlog[Requirement ID],0))),"")</f>
        <v/>
      </c>
      <c r="F148" s="21" t="inlineStr">
        <is>
          <t>Sprint 4</t>
        </is>
      </c>
      <c r="G148" s="23">
        <f>IFERROR(IF(ISBLANK(INDEX(Backlog[HLE],MATCH($A148,Backlog[Requirement ID],0))),"",INDEX(Backlog[HLE],MATCH($A148,Backlog[Requirement ID],0))),"")</f>
        <v/>
      </c>
      <c r="H148" s="23">
        <f>IFERROR(VALUE(SUBSTITUTE($F148,"Sprint ","")),9999)</f>
        <v/>
      </c>
    </row>
    <row r="149" ht="15" customHeight="1">
      <c r="A149" s="21" t="inlineStr">
        <is>
          <t>NEW-0307</t>
        </is>
      </c>
      <c r="B149" s="23">
        <f>IFERROR(IF(ISBLANK(INDEX(Backlog[Requirement Name],MATCH($A149,Backlog[Requirement ID],0))),"",INDEX(Backlog[Requirement Name],MATCH($A149,Backlog[Requirement ID],0))),"")</f>
        <v/>
      </c>
      <c r="C149" s="23">
        <f>IFERROR(IF(ISBLANK(INDEX(Backlog[Stream],MATCH($A149,Backlog[Requirement ID],0))),"",INDEX(Backlog[Stream],MATCH($A149,Backlog[Requirement ID],0))),"")</f>
        <v/>
      </c>
      <c r="D149" s="23">
        <f>IFERROR(IF(ISBLANK(INDEX(Backlog[Priority],MATCH($A149,Backlog[Requirement ID],0))),"",INDEX(Backlog[Priority],MATCH($A149,Backlog[Requirement ID],0))),"")</f>
        <v/>
      </c>
      <c r="E149" s="23">
        <f>IFERROR(IF(ISBLANK(INDEX(Backlog[Status],MATCH($A149,Backlog[Requirement ID],0))),"",INDEX(Backlog[Status],MATCH($A149,Backlog[Requirement ID],0))),"")</f>
        <v/>
      </c>
      <c r="F149" s="21" t="inlineStr">
        <is>
          <t>Sprint 6</t>
        </is>
      </c>
      <c r="G149" s="23">
        <f>IFERROR(IF(ISBLANK(INDEX(Backlog[HLE],MATCH($A149,Backlog[Requirement ID],0))),"",INDEX(Backlog[HLE],MATCH($A149,Backlog[Requirement ID],0))),"")</f>
        <v/>
      </c>
      <c r="H149" s="23">
        <f>IFERROR(VALUE(SUBSTITUTE($F149,"Sprint ","")),9999)</f>
        <v/>
      </c>
    </row>
    <row r="150" ht="15" customHeight="1">
      <c r="A150" s="21" t="inlineStr">
        <is>
          <t>NEW-0308</t>
        </is>
      </c>
      <c r="B150" s="23">
        <f>IFERROR(IF(ISBLANK(INDEX(Backlog[Requirement Name],MATCH($A150,Backlog[Requirement ID],0))),"",INDEX(Backlog[Requirement Name],MATCH($A150,Backlog[Requirement ID],0))),"")</f>
        <v/>
      </c>
      <c r="C150" s="23">
        <f>IFERROR(IF(ISBLANK(INDEX(Backlog[Stream],MATCH($A150,Backlog[Requirement ID],0))),"",INDEX(Backlog[Stream],MATCH($A150,Backlog[Requirement ID],0))),"")</f>
        <v/>
      </c>
      <c r="D150" s="23">
        <f>IFERROR(IF(ISBLANK(INDEX(Backlog[Priority],MATCH($A150,Backlog[Requirement ID],0))),"",INDEX(Backlog[Priority],MATCH($A150,Backlog[Requirement ID],0))),"")</f>
        <v/>
      </c>
      <c r="E150" s="23">
        <f>IFERROR(IF(ISBLANK(INDEX(Backlog[Status],MATCH($A150,Backlog[Requirement ID],0))),"",INDEX(Backlog[Status],MATCH($A150,Backlog[Requirement ID],0))),"")</f>
        <v/>
      </c>
      <c r="F150" s="21" t="inlineStr">
        <is>
          <t>Sprint 4</t>
        </is>
      </c>
      <c r="G150" s="23">
        <f>IFERROR(IF(ISBLANK(INDEX(Backlog[HLE],MATCH($A150,Backlog[Requirement ID],0))),"",INDEX(Backlog[HLE],MATCH($A150,Backlog[Requirement ID],0))),"")</f>
        <v/>
      </c>
      <c r="H150" s="23">
        <f>IFERROR(VALUE(SUBSTITUTE($F150,"Sprint ","")),9999)</f>
        <v/>
      </c>
    </row>
    <row r="151" ht="15" customHeight="1">
      <c r="A151" s="21" t="inlineStr">
        <is>
          <t>NEW-0309</t>
        </is>
      </c>
      <c r="B151" s="39">
        <f>IFERROR(IF(ISBLANK(INDEX(Backlog[Requirement Name],MATCH($A151,Backlog[Requirement ID],0))),"",INDEX(Backlog[Requirement Name],MATCH($A151,Backlog[Requirement ID],0))),"")</f>
        <v/>
      </c>
      <c r="C151" s="23">
        <f>IFERROR(IF(ISBLANK(INDEX(Backlog[Stream],MATCH($A151,Backlog[Requirement ID],0))),"",INDEX(Backlog[Stream],MATCH($A151,Backlog[Requirement ID],0))),"")</f>
        <v/>
      </c>
      <c r="D151" s="23">
        <f>IFERROR(IF(ISBLANK(INDEX(Backlog[Priority],MATCH($A151,Backlog[Requirement ID],0))),"",INDEX(Backlog[Priority],MATCH($A151,Backlog[Requirement ID],0))),"")</f>
        <v/>
      </c>
      <c r="E151" s="23">
        <f>IFERROR(IF(ISBLANK(INDEX(Backlog[Status],MATCH($A151,Backlog[Requirement ID],0))),"",INDEX(Backlog[Status],MATCH($A151,Backlog[Requirement ID],0))),"")</f>
        <v/>
      </c>
      <c r="F151" s="21" t="inlineStr">
        <is>
          <t>Sprint 4</t>
        </is>
      </c>
      <c r="G151" s="23">
        <f>IFERROR(IF(ISBLANK(INDEX(Backlog[HLE],MATCH($A151,Backlog[Requirement ID],0))),"",INDEX(Backlog[HLE],MATCH($A151,Backlog[Requirement ID],0))),"")</f>
        <v/>
      </c>
      <c r="H151" s="23">
        <f>IFERROR(VALUE(SUBSTITUTE($F151,"Sprint ","")),9999)</f>
        <v/>
      </c>
    </row>
    <row r="152" ht="15" customHeight="1">
      <c r="A152" s="21" t="inlineStr">
        <is>
          <t>NEW-0310</t>
        </is>
      </c>
      <c r="B152" s="39">
        <f>IFERROR(IF(ISBLANK(INDEX(Backlog[Requirement Name],MATCH($A152,Backlog[Requirement ID],0))),"",INDEX(Backlog[Requirement Name],MATCH($A152,Backlog[Requirement ID],0))),"")</f>
        <v/>
      </c>
      <c r="C152" s="23">
        <f>IFERROR(IF(ISBLANK(INDEX(Backlog[Stream],MATCH($A152,Backlog[Requirement ID],0))),"",INDEX(Backlog[Stream],MATCH($A152,Backlog[Requirement ID],0))),"")</f>
        <v/>
      </c>
      <c r="D152" s="23">
        <f>IFERROR(IF(ISBLANK(INDEX(Backlog[Priority],MATCH($A152,Backlog[Requirement ID],0))),"",INDEX(Backlog[Priority],MATCH($A152,Backlog[Requirement ID],0))),"")</f>
        <v/>
      </c>
      <c r="E152" s="23">
        <f>IFERROR(IF(ISBLANK(INDEX(Backlog[Status],MATCH($A152,Backlog[Requirement ID],0))),"",INDEX(Backlog[Status],MATCH($A152,Backlog[Requirement ID],0))),"")</f>
        <v/>
      </c>
      <c r="F152" s="21" t="inlineStr">
        <is>
          <t>Sprint 7</t>
        </is>
      </c>
      <c r="G152" s="23">
        <f>IFERROR(IF(ISBLANK(INDEX(Backlog[HLE],MATCH($A152,Backlog[Requirement ID],0))),"",INDEX(Backlog[HLE],MATCH($A152,Backlog[Requirement ID],0))),"")</f>
        <v/>
      </c>
      <c r="H152" s="23">
        <f>IFERROR(VALUE(SUBSTITUTE($F152,"Sprint ","")),9999)</f>
        <v/>
      </c>
    </row>
    <row r="153" ht="15" customHeight="1">
      <c r="A153" s="21" t="inlineStr">
        <is>
          <t>NEW-0312</t>
        </is>
      </c>
      <c r="B153" s="23">
        <f>IFERROR(IF(ISBLANK(INDEX(Backlog[Requirement Name],MATCH($A153,Backlog[Requirement ID],0))),"",INDEX(Backlog[Requirement Name],MATCH($A153,Backlog[Requirement ID],0))),"")</f>
        <v/>
      </c>
      <c r="C153" s="23">
        <f>IFERROR(IF(ISBLANK(INDEX(Backlog[Stream],MATCH($A153,Backlog[Requirement ID],0))),"",INDEX(Backlog[Stream],MATCH($A153,Backlog[Requirement ID],0))),"")</f>
        <v/>
      </c>
      <c r="D153" s="23">
        <f>IFERROR(IF(ISBLANK(INDEX(Backlog[Priority],MATCH($A153,Backlog[Requirement ID],0))),"",INDEX(Backlog[Priority],MATCH($A153,Backlog[Requirement ID],0))),"")</f>
        <v/>
      </c>
      <c r="E153" s="23">
        <f>IFERROR(IF(ISBLANK(INDEX(Backlog[Status],MATCH($A153,Backlog[Requirement ID],0))),"",INDEX(Backlog[Status],MATCH($A153,Backlog[Requirement ID],0))),"")</f>
        <v/>
      </c>
      <c r="F153" s="21" t="inlineStr">
        <is>
          <t>Sprint 7</t>
        </is>
      </c>
      <c r="G153" s="23">
        <f>IFERROR(IF(ISBLANK(INDEX(Backlog[HLE],MATCH($A153,Backlog[Requirement ID],0))),"",INDEX(Backlog[HLE],MATCH($A153,Backlog[Requirement ID],0))),"")</f>
        <v/>
      </c>
      <c r="H153" s="23">
        <f>IFERROR(VALUE(SUBSTITUTE($F153,"Sprint ","")),9999)</f>
        <v/>
      </c>
    </row>
    <row r="154" ht="15" customHeight="1">
      <c r="A154" s="21" t="inlineStr">
        <is>
          <t>NEW-0313</t>
        </is>
      </c>
      <c r="B154" s="23">
        <f>IFERROR(IF(ISBLANK(INDEX(Backlog[Requirement Name],MATCH($A154,Backlog[Requirement ID],0))),"",INDEX(Backlog[Requirement Name],MATCH($A154,Backlog[Requirement ID],0))),"")</f>
        <v/>
      </c>
      <c r="C154" s="23">
        <f>IFERROR(IF(ISBLANK(INDEX(Backlog[Stream],MATCH($A154,Backlog[Requirement ID],0))),"",INDEX(Backlog[Stream],MATCH($A154,Backlog[Requirement ID],0))),"")</f>
        <v/>
      </c>
      <c r="D154" s="23">
        <f>IFERROR(IF(ISBLANK(INDEX(Backlog[Priority],MATCH($A154,Backlog[Requirement ID],0))),"",INDEX(Backlog[Priority],MATCH($A154,Backlog[Requirement ID],0))),"")</f>
        <v/>
      </c>
      <c r="E154" s="23">
        <f>IFERROR(IF(ISBLANK(INDEX(Backlog[Status],MATCH($A154,Backlog[Requirement ID],0))),"",INDEX(Backlog[Status],MATCH($A154,Backlog[Requirement ID],0))),"")</f>
        <v/>
      </c>
      <c r="F154" s="21" t="inlineStr">
        <is>
          <t>Sprint 8</t>
        </is>
      </c>
      <c r="G154" s="23">
        <f>IFERROR(IF(ISBLANK(INDEX(Backlog[HLE],MATCH($A154,Backlog[Requirement ID],0))),"",INDEX(Backlog[HLE],MATCH($A154,Backlog[Requirement ID],0))),"")</f>
        <v/>
      </c>
      <c r="H154" s="23">
        <f>IFERROR(VALUE(SUBSTITUTE($F154,"Sprint ","")),9999)</f>
        <v/>
      </c>
    </row>
    <row r="155" ht="15" customHeight="1">
      <c r="A155" s="21" t="inlineStr">
        <is>
          <t>NEW-0315</t>
        </is>
      </c>
      <c r="B155" s="23">
        <f>IFERROR(IF(ISBLANK(INDEX(Backlog[Requirement Name],MATCH($A155,Backlog[Requirement ID],0))),"",INDEX(Backlog[Requirement Name],MATCH($A155,Backlog[Requirement ID],0))),"")</f>
        <v/>
      </c>
      <c r="C155" s="23">
        <f>IFERROR(IF(ISBLANK(INDEX(Backlog[Stream],MATCH($A155,Backlog[Requirement ID],0))),"",INDEX(Backlog[Stream],MATCH($A155,Backlog[Requirement ID],0))),"")</f>
        <v/>
      </c>
      <c r="D155" s="23">
        <f>IFERROR(IF(ISBLANK(INDEX(Backlog[Priority],MATCH($A155,Backlog[Requirement ID],0))),"",INDEX(Backlog[Priority],MATCH($A155,Backlog[Requirement ID],0))),"")</f>
        <v/>
      </c>
      <c r="E155" s="23">
        <f>IFERROR(IF(ISBLANK(INDEX(Backlog[Status],MATCH($A155,Backlog[Requirement ID],0))),"",INDEX(Backlog[Status],MATCH($A155,Backlog[Requirement ID],0))),"")</f>
        <v/>
      </c>
      <c r="F155" s="21" t="inlineStr">
        <is>
          <t>To Plan</t>
        </is>
      </c>
      <c r="G155" s="23">
        <f>IFERROR(IF(ISBLANK(INDEX(Backlog[HLE],MATCH($A155,Backlog[Requirement ID],0))),"",INDEX(Backlog[HLE],MATCH($A155,Backlog[Requirement ID],0))),"")</f>
        <v/>
      </c>
      <c r="H155" s="23">
        <f>IFERROR(VALUE(SUBSTITUTE($F155,"Sprint ","")),9999)</f>
        <v/>
      </c>
    </row>
    <row r="156" ht="15" customHeight="1">
      <c r="A156" s="21" t="inlineStr">
        <is>
          <t>NEW-0316</t>
        </is>
      </c>
      <c r="B156" s="23">
        <f>IFERROR(IF(ISBLANK(INDEX(Backlog[Requirement Name],MATCH($A156,Backlog[Requirement ID],0))),"",INDEX(Backlog[Requirement Name],MATCH($A156,Backlog[Requirement ID],0))),"")</f>
        <v/>
      </c>
      <c r="C156" s="23">
        <f>IFERROR(IF(ISBLANK(INDEX(Backlog[Stream],MATCH($A156,Backlog[Requirement ID],0))),"",INDEX(Backlog[Stream],MATCH($A156,Backlog[Requirement ID],0))),"")</f>
        <v/>
      </c>
      <c r="D156" s="23">
        <f>IFERROR(IF(ISBLANK(INDEX(Backlog[Priority],MATCH($A156,Backlog[Requirement ID],0))),"",INDEX(Backlog[Priority],MATCH($A156,Backlog[Requirement ID],0))),"")</f>
        <v/>
      </c>
      <c r="E156" s="23">
        <f>IFERROR(IF(ISBLANK(INDEX(Backlog[Status],MATCH($A156,Backlog[Requirement ID],0))),"",INDEX(Backlog[Status],MATCH($A156,Backlog[Requirement ID],0))),"")</f>
        <v/>
      </c>
      <c r="F156" s="21" t="inlineStr">
        <is>
          <t>Sprint 12</t>
        </is>
      </c>
      <c r="G156" s="23">
        <f>IFERROR(IF(ISBLANK(INDEX(Backlog[HLE],MATCH($A156,Backlog[Requirement ID],0))),"",INDEX(Backlog[HLE],MATCH($A156,Backlog[Requirement ID],0))),"")</f>
        <v/>
      </c>
      <c r="H156" s="23">
        <f>IFERROR(VALUE(SUBSTITUTE($F156,"Sprint ","")),9999)</f>
        <v/>
      </c>
    </row>
    <row r="157" ht="15" customHeight="1">
      <c r="A157" s="21" t="inlineStr">
        <is>
          <t>NEW-0319</t>
        </is>
      </c>
      <c r="B157" s="23">
        <f>IFERROR(IF(ISBLANK(INDEX(Backlog[Requirement Name],MATCH($A157,Backlog[Requirement ID],0))),"",INDEX(Backlog[Requirement Name],MATCH($A157,Backlog[Requirement ID],0))),"")</f>
        <v/>
      </c>
      <c r="C157" s="23">
        <f>IFERROR(IF(ISBLANK(INDEX(Backlog[Stream],MATCH($A157,Backlog[Requirement ID],0))),"",INDEX(Backlog[Stream],MATCH($A157,Backlog[Requirement ID],0))),"")</f>
        <v/>
      </c>
      <c r="D157" s="23">
        <f>IFERROR(IF(ISBLANK(INDEX(Backlog[Priority],MATCH($A157,Backlog[Requirement ID],0))),"",INDEX(Backlog[Priority],MATCH($A157,Backlog[Requirement ID],0))),"")</f>
        <v/>
      </c>
      <c r="E157" s="23">
        <f>IFERROR(IF(ISBLANK(INDEX(Backlog[Status],MATCH($A157,Backlog[Requirement ID],0))),"",INDEX(Backlog[Status],MATCH($A157,Backlog[Requirement ID],0))),"")</f>
        <v/>
      </c>
      <c r="F157" s="21" t="inlineStr">
        <is>
          <t>Sprint 6</t>
        </is>
      </c>
      <c r="G157" s="23">
        <f>IFERROR(IF(ISBLANK(INDEX(Backlog[HLE],MATCH($A157,Backlog[Requirement ID],0))),"",INDEX(Backlog[HLE],MATCH($A157,Backlog[Requirement ID],0))),"")</f>
        <v/>
      </c>
      <c r="H157" s="23">
        <f>IFERROR(VALUE(SUBSTITUTE($F157,"Sprint ","")),9999)</f>
        <v/>
      </c>
    </row>
    <row r="158" ht="15" customHeight="1">
      <c r="A158" s="21" t="inlineStr">
        <is>
          <t>NEW-0322</t>
        </is>
      </c>
      <c r="B158" s="23">
        <f>IFERROR(IF(ISBLANK(INDEX(Backlog[Requirement Name],MATCH($A158,Backlog[Requirement ID],0))),"",INDEX(Backlog[Requirement Name],MATCH($A158,Backlog[Requirement ID],0))),"")</f>
        <v/>
      </c>
      <c r="C158" s="23">
        <f>IFERROR(IF(ISBLANK(INDEX(Backlog[Stream],MATCH($A158,Backlog[Requirement ID],0))),"",INDEX(Backlog[Stream],MATCH($A158,Backlog[Requirement ID],0))),"")</f>
        <v/>
      </c>
      <c r="D158" s="23">
        <f>IFERROR(IF(ISBLANK(INDEX(Backlog[Priority],MATCH($A158,Backlog[Requirement ID],0))),"",INDEX(Backlog[Priority],MATCH($A158,Backlog[Requirement ID],0))),"")</f>
        <v/>
      </c>
      <c r="E158" s="23">
        <f>IFERROR(IF(ISBLANK(INDEX(Backlog[Status],MATCH($A158,Backlog[Requirement ID],0))),"",INDEX(Backlog[Status],MATCH($A158,Backlog[Requirement ID],0))),"")</f>
        <v/>
      </c>
      <c r="F158" s="21" t="inlineStr">
        <is>
          <t>To Plan</t>
        </is>
      </c>
      <c r="G158" s="23">
        <f>IFERROR(IF(ISBLANK(INDEX(Backlog[HLE],MATCH($A158,Backlog[Requirement ID],0))),"",INDEX(Backlog[HLE],MATCH($A158,Backlog[Requirement ID],0))),"")</f>
        <v/>
      </c>
      <c r="H158" s="23">
        <f>IFERROR(VALUE(SUBSTITUTE($F158,"Sprint ","")),9999)</f>
        <v/>
      </c>
    </row>
    <row r="159" ht="15" customHeight="1">
      <c r="A159" s="21" t="inlineStr">
        <is>
          <t>NEW-0324</t>
        </is>
      </c>
      <c r="B159" s="23">
        <f>IFERROR(IF(ISBLANK(INDEX(Backlog[Requirement Name],MATCH($A159,Backlog[Requirement ID],0))),"",INDEX(Backlog[Requirement Name],MATCH($A159,Backlog[Requirement ID],0))),"")</f>
        <v/>
      </c>
      <c r="C159" s="23">
        <f>IFERROR(IF(ISBLANK(INDEX(Backlog[Stream],MATCH($A159,Backlog[Requirement ID],0))),"",INDEX(Backlog[Stream],MATCH($A159,Backlog[Requirement ID],0))),"")</f>
        <v/>
      </c>
      <c r="D159" s="23">
        <f>IFERROR(IF(ISBLANK(INDEX(Backlog[Priority],MATCH($A159,Backlog[Requirement ID],0))),"",INDEX(Backlog[Priority],MATCH($A159,Backlog[Requirement ID],0))),"")</f>
        <v/>
      </c>
      <c r="E159" s="23">
        <f>IFERROR(IF(ISBLANK(INDEX(Backlog[Status],MATCH($A159,Backlog[Requirement ID],0))),"",INDEX(Backlog[Status],MATCH($A159,Backlog[Requirement ID],0))),"")</f>
        <v/>
      </c>
      <c r="F159" s="21" t="inlineStr">
        <is>
          <t>To Plan</t>
        </is>
      </c>
      <c r="G159" s="23">
        <f>IFERROR(IF(ISBLANK(INDEX(Backlog[HLE],MATCH($A159,Backlog[Requirement ID],0))),"",INDEX(Backlog[HLE],MATCH($A159,Backlog[Requirement ID],0))),"")</f>
        <v/>
      </c>
      <c r="H159" s="23">
        <f>IFERROR(VALUE(SUBSTITUTE($F159,"Sprint ","")),9999)</f>
        <v/>
      </c>
    </row>
    <row r="160" ht="15" customHeight="1">
      <c r="A160" s="21" t="inlineStr">
        <is>
          <t>NEW-0329</t>
        </is>
      </c>
      <c r="B160" s="23">
        <f>IFERROR(IF(ISBLANK(INDEX(Backlog[Requirement Name],MATCH($A160,Backlog[Requirement ID],0))),"",INDEX(Backlog[Requirement Name],MATCH($A160,Backlog[Requirement ID],0))),"")</f>
        <v/>
      </c>
      <c r="C160" s="23">
        <f>IFERROR(IF(ISBLANK(INDEX(Backlog[Stream],MATCH($A160,Backlog[Requirement ID],0))),"",INDEX(Backlog[Stream],MATCH($A160,Backlog[Requirement ID],0))),"")</f>
        <v/>
      </c>
      <c r="D160" s="23">
        <f>IFERROR(IF(ISBLANK(INDEX(Backlog[Priority],MATCH($A160,Backlog[Requirement ID],0))),"",INDEX(Backlog[Priority],MATCH($A160,Backlog[Requirement ID],0))),"")</f>
        <v/>
      </c>
      <c r="E160" s="23">
        <f>IFERROR(IF(ISBLANK(INDEX(Backlog[Status],MATCH($A160,Backlog[Requirement ID],0))),"",INDEX(Backlog[Status],MATCH($A160,Backlog[Requirement ID],0))),"")</f>
        <v/>
      </c>
      <c r="F160" s="21" t="inlineStr">
        <is>
          <t>Sprint 1</t>
        </is>
      </c>
      <c r="G160" s="23">
        <f>IFERROR(IF(ISBLANK(INDEX(Backlog[HLE],MATCH($A160,Backlog[Requirement ID],0))),"",INDEX(Backlog[HLE],MATCH($A160,Backlog[Requirement ID],0))),"")</f>
        <v/>
      </c>
      <c r="H160" s="23">
        <f>IFERROR(VALUE(SUBSTITUTE($F160,"Sprint ","")),9999)</f>
        <v/>
      </c>
    </row>
    <row r="161" ht="15" customHeight="1">
      <c r="A161" s="21" t="inlineStr">
        <is>
          <t>NEW-0330</t>
        </is>
      </c>
      <c r="B161" s="39">
        <f>IFERROR(IF(ISBLANK(INDEX(Backlog[Requirement Name],MATCH($A161,Backlog[Requirement ID],0))),"",INDEX(Backlog[Requirement Name],MATCH($A161,Backlog[Requirement ID],0))),"")</f>
        <v/>
      </c>
      <c r="C161" s="23">
        <f>IFERROR(IF(ISBLANK(INDEX(Backlog[Stream],MATCH($A161,Backlog[Requirement ID],0))),"",INDEX(Backlog[Stream],MATCH($A161,Backlog[Requirement ID],0))),"")</f>
        <v/>
      </c>
      <c r="D161" s="23">
        <f>IFERROR(IF(ISBLANK(INDEX(Backlog[Priority],MATCH($A161,Backlog[Requirement ID],0))),"",INDEX(Backlog[Priority],MATCH($A161,Backlog[Requirement ID],0))),"")</f>
        <v/>
      </c>
      <c r="E161" s="23">
        <f>IFERROR(IF(ISBLANK(INDEX(Backlog[Status],MATCH($A161,Backlog[Requirement ID],0))),"",INDEX(Backlog[Status],MATCH($A161,Backlog[Requirement ID],0))),"")</f>
        <v/>
      </c>
      <c r="F161" s="21" t="inlineStr">
        <is>
          <t>Sprint 2</t>
        </is>
      </c>
      <c r="G161" s="23">
        <f>IFERROR(IF(ISBLANK(INDEX(Backlog[HLE],MATCH($A161,Backlog[Requirement ID],0))),"",INDEX(Backlog[HLE],MATCH($A161,Backlog[Requirement ID],0))),"")</f>
        <v/>
      </c>
      <c r="H161" s="23">
        <f>IFERROR(VALUE(SUBSTITUTE($F161,"Sprint ","")),9999)</f>
        <v/>
      </c>
    </row>
    <row r="162" ht="15" customHeight="1">
      <c r="A162" s="21" t="inlineStr">
        <is>
          <t>NEW-0331</t>
        </is>
      </c>
      <c r="B162" s="23">
        <f>IFERROR(IF(ISBLANK(INDEX(Backlog[Requirement Name],MATCH($A162,Backlog[Requirement ID],0))),"",INDEX(Backlog[Requirement Name],MATCH($A162,Backlog[Requirement ID],0))),"")</f>
        <v/>
      </c>
      <c r="C162" s="23">
        <f>IFERROR(IF(ISBLANK(INDEX(Backlog[Stream],MATCH($A162,Backlog[Requirement ID],0))),"",INDEX(Backlog[Stream],MATCH($A162,Backlog[Requirement ID],0))),"")</f>
        <v/>
      </c>
      <c r="D162" s="23">
        <f>IFERROR(IF(ISBLANK(INDEX(Backlog[Priority],MATCH($A162,Backlog[Requirement ID],0))),"",INDEX(Backlog[Priority],MATCH($A162,Backlog[Requirement ID],0))),"")</f>
        <v/>
      </c>
      <c r="E162" s="23">
        <f>IFERROR(IF(ISBLANK(INDEX(Backlog[Status],MATCH($A162,Backlog[Requirement ID],0))),"",INDEX(Backlog[Status],MATCH($A162,Backlog[Requirement ID],0))),"")</f>
        <v/>
      </c>
      <c r="F162" s="21" t="inlineStr">
        <is>
          <t>Sprint 2</t>
        </is>
      </c>
      <c r="G162" s="23">
        <f>IFERROR(IF(ISBLANK(INDEX(Backlog[HLE],MATCH($A162,Backlog[Requirement ID],0))),"",INDEX(Backlog[HLE],MATCH($A162,Backlog[Requirement ID],0))),"")</f>
        <v/>
      </c>
      <c r="H162" s="23">
        <f>IFERROR(VALUE(SUBSTITUTE($F162,"Sprint ","")),9999)</f>
        <v/>
      </c>
    </row>
    <row r="163" ht="15" customHeight="1">
      <c r="A163" s="21" t="inlineStr">
        <is>
          <t>NEW-0336</t>
        </is>
      </c>
      <c r="B163" s="39">
        <f>IFERROR(IF(ISBLANK(INDEX(Backlog[Requirement Name],MATCH($A163,Backlog[Requirement ID],0))),"",INDEX(Backlog[Requirement Name],MATCH($A163,Backlog[Requirement ID],0))),"")</f>
        <v/>
      </c>
      <c r="C163" s="23">
        <f>IFERROR(IF(ISBLANK(INDEX(Backlog[Stream],MATCH($A163,Backlog[Requirement ID],0))),"",INDEX(Backlog[Stream],MATCH($A163,Backlog[Requirement ID],0))),"")</f>
        <v/>
      </c>
      <c r="D163" s="23">
        <f>IFERROR(IF(ISBLANK(INDEX(Backlog[Priority],MATCH($A163,Backlog[Requirement ID],0))),"",INDEX(Backlog[Priority],MATCH($A163,Backlog[Requirement ID],0))),"")</f>
        <v/>
      </c>
      <c r="E163" s="23">
        <f>IFERROR(IF(ISBLANK(INDEX(Backlog[Status],MATCH($A163,Backlog[Requirement ID],0))),"",INDEX(Backlog[Status],MATCH($A163,Backlog[Requirement ID],0))),"")</f>
        <v/>
      </c>
      <c r="F163" s="21" t="inlineStr">
        <is>
          <t>Sprint 1</t>
        </is>
      </c>
      <c r="G163" s="23">
        <f>IFERROR(IF(ISBLANK(INDEX(Backlog[HLE],MATCH($A163,Backlog[Requirement ID],0))),"",INDEX(Backlog[HLE],MATCH($A163,Backlog[Requirement ID],0))),"")</f>
        <v/>
      </c>
      <c r="H163" s="23">
        <f>IFERROR(VALUE(SUBSTITUTE($F163,"Sprint ","")),9999)</f>
        <v/>
      </c>
    </row>
    <row r="164" ht="15" customHeight="1">
      <c r="A164" s="21" t="inlineStr">
        <is>
          <t>NEW-0337</t>
        </is>
      </c>
      <c r="B164" s="23">
        <f>IFERROR(IF(ISBLANK(INDEX(Backlog[Requirement Name],MATCH($A164,Backlog[Requirement ID],0))),"",INDEX(Backlog[Requirement Name],MATCH($A164,Backlog[Requirement ID],0))),"")</f>
        <v/>
      </c>
      <c r="C164" s="23">
        <f>IFERROR(IF(ISBLANK(INDEX(Backlog[Stream],MATCH($A164,Backlog[Requirement ID],0))),"",INDEX(Backlog[Stream],MATCH($A164,Backlog[Requirement ID],0))),"")</f>
        <v/>
      </c>
      <c r="D164" s="23">
        <f>IFERROR(IF(ISBLANK(INDEX(Backlog[Priority],MATCH($A164,Backlog[Requirement ID],0))),"",INDEX(Backlog[Priority],MATCH($A164,Backlog[Requirement ID],0))),"")</f>
        <v/>
      </c>
      <c r="E164" s="23">
        <f>IFERROR(IF(ISBLANK(INDEX(Backlog[Status],MATCH($A164,Backlog[Requirement ID],0))),"",INDEX(Backlog[Status],MATCH($A164,Backlog[Requirement ID],0))),"")</f>
        <v/>
      </c>
      <c r="F164" s="21" t="inlineStr">
        <is>
          <t>Sprint 3</t>
        </is>
      </c>
      <c r="G164" s="23">
        <f>IFERROR(IF(ISBLANK(INDEX(Backlog[HLE],MATCH($A164,Backlog[Requirement ID],0))),"",INDEX(Backlog[HLE],MATCH($A164,Backlog[Requirement ID],0))),"")</f>
        <v/>
      </c>
      <c r="H164" s="23">
        <f>IFERROR(VALUE(SUBSTITUTE($F164,"Sprint ","")),9999)</f>
        <v/>
      </c>
    </row>
    <row r="165" ht="15" customHeight="1">
      <c r="A165" s="21" t="inlineStr">
        <is>
          <t>NEW-0338</t>
        </is>
      </c>
      <c r="B165" s="39">
        <f>IFERROR(IF(ISBLANK(INDEX(Backlog[Requirement Name],MATCH($A165,Backlog[Requirement ID],0))),"",INDEX(Backlog[Requirement Name],MATCH($A165,Backlog[Requirement ID],0))),"")</f>
        <v/>
      </c>
      <c r="C165" s="23">
        <f>IFERROR(IF(ISBLANK(INDEX(Backlog[Stream],MATCH($A165,Backlog[Requirement ID],0))),"",INDEX(Backlog[Stream],MATCH($A165,Backlog[Requirement ID],0))),"")</f>
        <v/>
      </c>
      <c r="D165" s="23">
        <f>IFERROR(IF(ISBLANK(INDEX(Backlog[Priority],MATCH($A165,Backlog[Requirement ID],0))),"",INDEX(Backlog[Priority],MATCH($A165,Backlog[Requirement ID],0))),"")</f>
        <v/>
      </c>
      <c r="E165" s="23">
        <f>IFERROR(IF(ISBLANK(INDEX(Backlog[Status],MATCH($A165,Backlog[Requirement ID],0))),"",INDEX(Backlog[Status],MATCH($A165,Backlog[Requirement ID],0))),"")</f>
        <v/>
      </c>
      <c r="F165" s="21" t="inlineStr">
        <is>
          <t>Sprint 3</t>
        </is>
      </c>
      <c r="G165" s="23">
        <f>IFERROR(IF(ISBLANK(INDEX(Backlog[HLE],MATCH($A165,Backlog[Requirement ID],0))),"",INDEX(Backlog[HLE],MATCH($A165,Backlog[Requirement ID],0))),"")</f>
        <v/>
      </c>
      <c r="H165" s="23">
        <f>IFERROR(VALUE(SUBSTITUTE($F165,"Sprint ","")),9999)</f>
        <v/>
      </c>
    </row>
    <row r="166" ht="15" customHeight="1">
      <c r="A166" s="21" t="inlineStr">
        <is>
          <t>NEW-0339</t>
        </is>
      </c>
      <c r="B166" s="23">
        <f>IFERROR(IF(ISBLANK(INDEX(Backlog[Requirement Name],MATCH($A166,Backlog[Requirement ID],0))),"",INDEX(Backlog[Requirement Name],MATCH($A166,Backlog[Requirement ID],0))),"")</f>
        <v/>
      </c>
      <c r="C166" s="23">
        <f>IFERROR(IF(ISBLANK(INDEX(Backlog[Stream],MATCH($A166,Backlog[Requirement ID],0))),"",INDEX(Backlog[Stream],MATCH($A166,Backlog[Requirement ID],0))),"")</f>
        <v/>
      </c>
      <c r="D166" s="23">
        <f>IFERROR(IF(ISBLANK(INDEX(Backlog[Priority],MATCH($A166,Backlog[Requirement ID],0))),"",INDEX(Backlog[Priority],MATCH($A166,Backlog[Requirement ID],0))),"")</f>
        <v/>
      </c>
      <c r="E166" s="23">
        <f>IFERROR(IF(ISBLANK(INDEX(Backlog[Status],MATCH($A166,Backlog[Requirement ID],0))),"",INDEX(Backlog[Status],MATCH($A166,Backlog[Requirement ID],0))),"")</f>
        <v/>
      </c>
      <c r="F166" s="21" t="inlineStr">
        <is>
          <t>Sprint 4</t>
        </is>
      </c>
      <c r="G166" s="23">
        <f>IFERROR(IF(ISBLANK(INDEX(Backlog[HLE],MATCH($A166,Backlog[Requirement ID],0))),"",INDEX(Backlog[HLE],MATCH($A166,Backlog[Requirement ID],0))),"")</f>
        <v/>
      </c>
      <c r="H166" s="23">
        <f>IFERROR(VALUE(SUBSTITUTE($F166,"Sprint ","")),9999)</f>
        <v/>
      </c>
    </row>
    <row r="167" ht="15" customHeight="1">
      <c r="A167" s="21" t="inlineStr">
        <is>
          <t>NEW-0341</t>
        </is>
      </c>
      <c r="B167" s="23">
        <f>IFERROR(IF(ISBLANK(INDEX(Backlog[Requirement Name],MATCH($A167,Backlog[Requirement ID],0))),"",INDEX(Backlog[Requirement Name],MATCH($A167,Backlog[Requirement ID],0))),"")</f>
        <v/>
      </c>
      <c r="C167" s="23">
        <f>IFERROR(IF(ISBLANK(INDEX(Backlog[Stream],MATCH($A167,Backlog[Requirement ID],0))),"",INDEX(Backlog[Stream],MATCH($A167,Backlog[Requirement ID],0))),"")</f>
        <v/>
      </c>
      <c r="D167" s="23">
        <f>IFERROR(IF(ISBLANK(INDEX(Backlog[Priority],MATCH($A167,Backlog[Requirement ID],0))),"",INDEX(Backlog[Priority],MATCH($A167,Backlog[Requirement ID],0))),"")</f>
        <v/>
      </c>
      <c r="E167" s="23">
        <f>IFERROR(IF(ISBLANK(INDEX(Backlog[Status],MATCH($A167,Backlog[Requirement ID],0))),"",INDEX(Backlog[Status],MATCH($A167,Backlog[Requirement ID],0))),"")</f>
        <v/>
      </c>
      <c r="F167" s="21" t="inlineStr">
        <is>
          <t>Sprint 8</t>
        </is>
      </c>
      <c r="G167" s="23">
        <f>IFERROR(IF(ISBLANK(INDEX(Backlog[HLE],MATCH($A167,Backlog[Requirement ID],0))),"",INDEX(Backlog[HLE],MATCH($A167,Backlog[Requirement ID],0))),"")</f>
        <v/>
      </c>
      <c r="H167" s="23">
        <f>IFERROR(VALUE(SUBSTITUTE($F167,"Sprint ","")),9999)</f>
        <v/>
      </c>
    </row>
    <row r="168" ht="15" customHeight="1">
      <c r="A168" s="21" t="inlineStr">
        <is>
          <t>NEW-0342</t>
        </is>
      </c>
      <c r="B168" s="23">
        <f>IFERROR(IF(ISBLANK(INDEX(Backlog[Requirement Name],MATCH($A168,Backlog[Requirement ID],0))),"",INDEX(Backlog[Requirement Name],MATCH($A168,Backlog[Requirement ID],0))),"")</f>
        <v/>
      </c>
      <c r="C168" s="23">
        <f>IFERROR(IF(ISBLANK(INDEX(Backlog[Stream],MATCH($A168,Backlog[Requirement ID],0))),"",INDEX(Backlog[Stream],MATCH($A168,Backlog[Requirement ID],0))),"")</f>
        <v/>
      </c>
      <c r="D168" s="23">
        <f>IFERROR(IF(ISBLANK(INDEX(Backlog[Priority],MATCH($A168,Backlog[Requirement ID],0))),"",INDEX(Backlog[Priority],MATCH($A168,Backlog[Requirement ID],0))),"")</f>
        <v/>
      </c>
      <c r="E168" s="23">
        <f>IFERROR(IF(ISBLANK(INDEX(Backlog[Status],MATCH($A168,Backlog[Requirement ID],0))),"",INDEX(Backlog[Status],MATCH($A168,Backlog[Requirement ID],0))),"")</f>
        <v/>
      </c>
      <c r="F168" s="21" t="inlineStr">
        <is>
          <t>Sprint 8</t>
        </is>
      </c>
      <c r="G168" s="23">
        <f>IFERROR(IF(ISBLANK(INDEX(Backlog[HLE],MATCH($A168,Backlog[Requirement ID],0))),"",INDEX(Backlog[HLE],MATCH($A168,Backlog[Requirement ID],0))),"")</f>
        <v/>
      </c>
      <c r="H168" s="23">
        <f>IFERROR(VALUE(SUBSTITUTE($F168,"Sprint ","")),9999)</f>
        <v/>
      </c>
    </row>
    <row r="169" ht="15" customHeight="1">
      <c r="A169" s="21" t="inlineStr">
        <is>
          <t>NEW-0343</t>
        </is>
      </c>
      <c r="B169" s="23">
        <f>IFERROR(IF(ISBLANK(INDEX(Backlog[Requirement Name],MATCH($A169,Backlog[Requirement ID],0))),"",INDEX(Backlog[Requirement Name],MATCH($A169,Backlog[Requirement ID],0))),"")</f>
        <v/>
      </c>
      <c r="C169" s="23">
        <f>IFERROR(IF(ISBLANK(INDEX(Backlog[Stream],MATCH($A169,Backlog[Requirement ID],0))),"",INDEX(Backlog[Stream],MATCH($A169,Backlog[Requirement ID],0))),"")</f>
        <v/>
      </c>
      <c r="D169" s="23">
        <f>IFERROR(IF(ISBLANK(INDEX(Backlog[Priority],MATCH($A169,Backlog[Requirement ID],0))),"",INDEX(Backlog[Priority],MATCH($A169,Backlog[Requirement ID],0))),"")</f>
        <v/>
      </c>
      <c r="E169" s="23">
        <f>IFERROR(IF(ISBLANK(INDEX(Backlog[Status],MATCH($A169,Backlog[Requirement ID],0))),"",INDEX(Backlog[Status],MATCH($A169,Backlog[Requirement ID],0))),"")</f>
        <v/>
      </c>
      <c r="F169" s="21" t="inlineStr">
        <is>
          <t>To Plan</t>
        </is>
      </c>
      <c r="G169" s="23">
        <f>IFERROR(IF(ISBLANK(INDEX(Backlog[HLE],MATCH($A169,Backlog[Requirement ID],0))),"",INDEX(Backlog[HLE],MATCH($A169,Backlog[Requirement ID],0))),"")</f>
        <v/>
      </c>
      <c r="H169" s="23">
        <f>IFERROR(VALUE(SUBSTITUTE($F169,"Sprint ","")),9999)</f>
        <v/>
      </c>
    </row>
    <row r="170" ht="15" customHeight="1">
      <c r="A170" s="21" t="inlineStr">
        <is>
          <t>NEW-0344</t>
        </is>
      </c>
      <c r="B170" s="23">
        <f>IFERROR(IF(ISBLANK(INDEX(Backlog[Requirement Name],MATCH($A170,Backlog[Requirement ID],0))),"",INDEX(Backlog[Requirement Name],MATCH($A170,Backlog[Requirement ID],0))),"")</f>
        <v/>
      </c>
      <c r="C170" s="23">
        <f>IFERROR(IF(ISBLANK(INDEX(Backlog[Stream],MATCH($A170,Backlog[Requirement ID],0))),"",INDEX(Backlog[Stream],MATCH($A170,Backlog[Requirement ID],0))),"")</f>
        <v/>
      </c>
      <c r="D170" s="23">
        <f>IFERROR(IF(ISBLANK(INDEX(Backlog[Priority],MATCH($A170,Backlog[Requirement ID],0))),"",INDEX(Backlog[Priority],MATCH($A170,Backlog[Requirement ID],0))),"")</f>
        <v/>
      </c>
      <c r="E170" s="23">
        <f>IFERROR(IF(ISBLANK(INDEX(Backlog[Status],MATCH($A170,Backlog[Requirement ID],0))),"",INDEX(Backlog[Status],MATCH($A170,Backlog[Requirement ID],0))),"")</f>
        <v/>
      </c>
      <c r="F170" s="21" t="inlineStr">
        <is>
          <t>To Plan</t>
        </is>
      </c>
      <c r="G170" s="23">
        <f>IFERROR(IF(ISBLANK(INDEX(Backlog[HLE],MATCH($A170,Backlog[Requirement ID],0))),"",INDEX(Backlog[HLE],MATCH($A170,Backlog[Requirement ID],0))),"")</f>
        <v/>
      </c>
      <c r="H170" s="23">
        <f>IFERROR(VALUE(SUBSTITUTE($F170,"Sprint ","")),9999)</f>
        <v/>
      </c>
    </row>
    <row r="171" ht="15" customHeight="1">
      <c r="A171" s="21" t="inlineStr">
        <is>
          <t>NEW-0345</t>
        </is>
      </c>
      <c r="B171" s="23">
        <f>IFERROR(IF(ISBLANK(INDEX(Backlog[Requirement Name],MATCH($A171,Backlog[Requirement ID],0))),"",INDEX(Backlog[Requirement Name],MATCH($A171,Backlog[Requirement ID],0))),"")</f>
        <v/>
      </c>
      <c r="C171" s="23">
        <f>IFERROR(IF(ISBLANK(INDEX(Backlog[Stream],MATCH($A171,Backlog[Requirement ID],0))),"",INDEX(Backlog[Stream],MATCH($A171,Backlog[Requirement ID],0))),"")</f>
        <v/>
      </c>
      <c r="D171" s="23">
        <f>IFERROR(IF(ISBLANK(INDEX(Backlog[Priority],MATCH($A171,Backlog[Requirement ID],0))),"",INDEX(Backlog[Priority],MATCH($A171,Backlog[Requirement ID],0))),"")</f>
        <v/>
      </c>
      <c r="E171" s="23">
        <f>IFERROR(IF(ISBLANK(INDEX(Backlog[Status],MATCH($A171,Backlog[Requirement ID],0))),"",INDEX(Backlog[Status],MATCH($A171,Backlog[Requirement ID],0))),"")</f>
        <v/>
      </c>
      <c r="F171" s="21" t="inlineStr">
        <is>
          <t>To Plan</t>
        </is>
      </c>
      <c r="G171" s="23">
        <f>IFERROR(IF(ISBLANK(INDEX(Backlog[HLE],MATCH($A171,Backlog[Requirement ID],0))),"",INDEX(Backlog[HLE],MATCH($A171,Backlog[Requirement ID],0))),"")</f>
        <v/>
      </c>
      <c r="H171" s="23">
        <f>IFERROR(VALUE(SUBSTITUTE($F171,"Sprint ","")),9999)</f>
        <v/>
      </c>
    </row>
    <row r="172" ht="15" customHeight="1">
      <c r="A172" s="21" t="inlineStr">
        <is>
          <t>NEW-0346</t>
        </is>
      </c>
      <c r="B172" s="23">
        <f>IFERROR(IF(ISBLANK(INDEX(Backlog[Requirement Name],MATCH($A172,Backlog[Requirement ID],0))),"",INDEX(Backlog[Requirement Name],MATCH($A172,Backlog[Requirement ID],0))),"")</f>
        <v/>
      </c>
      <c r="C172" s="23">
        <f>IFERROR(IF(ISBLANK(INDEX(Backlog[Stream],MATCH($A172,Backlog[Requirement ID],0))),"",INDEX(Backlog[Stream],MATCH($A172,Backlog[Requirement ID],0))),"")</f>
        <v/>
      </c>
      <c r="D172" s="23">
        <f>IFERROR(IF(ISBLANK(INDEX(Backlog[Priority],MATCH($A172,Backlog[Requirement ID],0))),"",INDEX(Backlog[Priority],MATCH($A172,Backlog[Requirement ID],0))),"")</f>
        <v/>
      </c>
      <c r="E172" s="23">
        <f>IFERROR(IF(ISBLANK(INDEX(Backlog[Status],MATCH($A172,Backlog[Requirement ID],0))),"",INDEX(Backlog[Status],MATCH($A172,Backlog[Requirement ID],0))),"")</f>
        <v/>
      </c>
      <c r="F172" s="21" t="inlineStr">
        <is>
          <t>To Plan</t>
        </is>
      </c>
      <c r="G172" s="23">
        <f>IFERROR(IF(ISBLANK(INDEX(Backlog[HLE],MATCH($A172,Backlog[Requirement ID],0))),"",INDEX(Backlog[HLE],MATCH($A172,Backlog[Requirement ID],0))),"")</f>
        <v/>
      </c>
      <c r="H172" s="23">
        <f>IFERROR(VALUE(SUBSTITUTE($F172,"Sprint ","")),9999)</f>
        <v/>
      </c>
    </row>
    <row r="173" ht="15" customHeight="1">
      <c r="A173" s="21" t="inlineStr">
        <is>
          <t>NEW-0350</t>
        </is>
      </c>
      <c r="B173" s="23">
        <f>IFERROR(IF(ISBLANK(INDEX(Backlog[Requirement Name],MATCH($A173,Backlog[Requirement ID],0))),"",INDEX(Backlog[Requirement Name],MATCH($A173,Backlog[Requirement ID],0))),"")</f>
        <v/>
      </c>
      <c r="C173" s="23">
        <f>IFERROR(IF(ISBLANK(INDEX(Backlog[Stream],MATCH($A173,Backlog[Requirement ID],0))),"",INDEX(Backlog[Stream],MATCH($A173,Backlog[Requirement ID],0))),"")</f>
        <v/>
      </c>
      <c r="D173" s="23">
        <f>IFERROR(IF(ISBLANK(INDEX(Backlog[Priority],MATCH($A173,Backlog[Requirement ID],0))),"",INDEX(Backlog[Priority],MATCH($A173,Backlog[Requirement ID],0))),"")</f>
        <v/>
      </c>
      <c r="E173" s="23">
        <f>IFERROR(IF(ISBLANK(INDEX(Backlog[Status],MATCH($A173,Backlog[Requirement ID],0))),"",INDEX(Backlog[Status],MATCH($A173,Backlog[Requirement ID],0))),"")</f>
        <v/>
      </c>
      <c r="F173" s="21" t="inlineStr">
        <is>
          <t>Sprint 3</t>
        </is>
      </c>
      <c r="G173" s="23">
        <f>IFERROR(IF(ISBLANK(INDEX(Backlog[HLE],MATCH($A173,Backlog[Requirement ID],0))),"",INDEX(Backlog[HLE],MATCH($A173,Backlog[Requirement ID],0))),"")</f>
        <v/>
      </c>
      <c r="H173" s="23">
        <f>IFERROR(VALUE(SUBSTITUTE($F173,"Sprint ","")),9999)</f>
        <v/>
      </c>
    </row>
    <row r="174" ht="15" customHeight="1">
      <c r="A174" s="21" t="inlineStr">
        <is>
          <t>NEW-0351</t>
        </is>
      </c>
      <c r="B174" s="23">
        <f>IFERROR(IF(ISBLANK(INDEX(Backlog[Requirement Name],MATCH($A174,Backlog[Requirement ID],0))),"",INDEX(Backlog[Requirement Name],MATCH($A174,Backlog[Requirement ID],0))),"")</f>
        <v/>
      </c>
      <c r="C174" s="23">
        <f>IFERROR(IF(ISBLANK(INDEX(Backlog[Stream],MATCH($A174,Backlog[Requirement ID],0))),"",INDEX(Backlog[Stream],MATCH($A174,Backlog[Requirement ID],0))),"")</f>
        <v/>
      </c>
      <c r="D174" s="23">
        <f>IFERROR(IF(ISBLANK(INDEX(Backlog[Priority],MATCH($A174,Backlog[Requirement ID],0))),"",INDEX(Backlog[Priority],MATCH($A174,Backlog[Requirement ID],0))),"")</f>
        <v/>
      </c>
      <c r="E174" s="23">
        <f>IFERROR(IF(ISBLANK(INDEX(Backlog[Status],MATCH($A174,Backlog[Requirement ID],0))),"",INDEX(Backlog[Status],MATCH($A174,Backlog[Requirement ID],0))),"")</f>
        <v/>
      </c>
      <c r="F174" s="21" t="inlineStr">
        <is>
          <t>Sprint 3</t>
        </is>
      </c>
      <c r="G174" s="23">
        <f>IFERROR(IF(ISBLANK(INDEX(Backlog[HLE],MATCH($A174,Backlog[Requirement ID],0))),"",INDEX(Backlog[HLE],MATCH($A174,Backlog[Requirement ID],0))),"")</f>
        <v/>
      </c>
      <c r="H174" s="23">
        <f>IFERROR(VALUE(SUBSTITUTE($F174,"Sprint ","")),9999)</f>
        <v/>
      </c>
    </row>
    <row r="175" ht="15" customHeight="1">
      <c r="A175" s="21" t="inlineStr">
        <is>
          <t>NEW-0352</t>
        </is>
      </c>
      <c r="B175" s="23">
        <f>IFERROR(IF(ISBLANK(INDEX(Backlog[Requirement Name],MATCH($A175,Backlog[Requirement ID],0))),"",INDEX(Backlog[Requirement Name],MATCH($A175,Backlog[Requirement ID],0))),"")</f>
        <v/>
      </c>
      <c r="C175" s="23">
        <f>IFERROR(IF(ISBLANK(INDEX(Backlog[Stream],MATCH($A175,Backlog[Requirement ID],0))),"",INDEX(Backlog[Stream],MATCH($A175,Backlog[Requirement ID],0))),"")</f>
        <v/>
      </c>
      <c r="D175" s="23">
        <f>IFERROR(IF(ISBLANK(INDEX(Backlog[Priority],MATCH($A175,Backlog[Requirement ID],0))),"",INDEX(Backlog[Priority],MATCH($A175,Backlog[Requirement ID],0))),"")</f>
        <v/>
      </c>
      <c r="E175" s="23">
        <f>IFERROR(IF(ISBLANK(INDEX(Backlog[Status],MATCH($A175,Backlog[Requirement ID],0))),"",INDEX(Backlog[Status],MATCH($A175,Backlog[Requirement ID],0))),"")</f>
        <v/>
      </c>
      <c r="F175" s="21" t="inlineStr">
        <is>
          <t>Sprint 6</t>
        </is>
      </c>
      <c r="G175" s="23">
        <f>IFERROR(IF(ISBLANK(INDEX(Backlog[HLE],MATCH($A175,Backlog[Requirement ID],0))),"",INDEX(Backlog[HLE],MATCH($A175,Backlog[Requirement ID],0))),"")</f>
        <v/>
      </c>
      <c r="H175" s="23">
        <f>IFERROR(VALUE(SUBSTITUTE($F175,"Sprint ","")),9999)</f>
        <v/>
      </c>
    </row>
    <row r="176" ht="15" customHeight="1">
      <c r="A176" s="21" t="inlineStr">
        <is>
          <t>NEW-0356</t>
        </is>
      </c>
      <c r="B176" s="23">
        <f>IFERROR(IF(ISBLANK(INDEX(Backlog[Requirement Name],MATCH($A176,Backlog[Requirement ID],0))),"",INDEX(Backlog[Requirement Name],MATCH($A176,Backlog[Requirement ID],0))),"")</f>
        <v/>
      </c>
      <c r="C176" s="23">
        <f>IFERROR(IF(ISBLANK(INDEX(Backlog[Stream],MATCH($A176,Backlog[Requirement ID],0))),"",INDEX(Backlog[Stream],MATCH($A176,Backlog[Requirement ID],0))),"")</f>
        <v/>
      </c>
      <c r="D176" s="23">
        <f>IFERROR(IF(ISBLANK(INDEX(Backlog[Priority],MATCH($A176,Backlog[Requirement ID],0))),"",INDEX(Backlog[Priority],MATCH($A176,Backlog[Requirement ID],0))),"")</f>
        <v/>
      </c>
      <c r="E176" s="23">
        <f>IFERROR(IF(ISBLANK(INDEX(Backlog[Status],MATCH($A176,Backlog[Requirement ID],0))),"",INDEX(Backlog[Status],MATCH($A176,Backlog[Requirement ID],0))),"")</f>
        <v/>
      </c>
      <c r="F176" s="21" t="inlineStr">
        <is>
          <t>To Plan</t>
        </is>
      </c>
      <c r="G176" s="23">
        <f>IFERROR(IF(ISBLANK(INDEX(Backlog[HLE],MATCH($A176,Backlog[Requirement ID],0))),"",INDEX(Backlog[HLE],MATCH($A176,Backlog[Requirement ID],0))),"")</f>
        <v/>
      </c>
      <c r="H176" s="23">
        <f>IFERROR(VALUE(SUBSTITUTE($F176,"Sprint ","")),9999)</f>
        <v/>
      </c>
    </row>
    <row r="177" ht="15" customHeight="1">
      <c r="A177" s="21" t="inlineStr">
        <is>
          <t>NEW-0357</t>
        </is>
      </c>
      <c r="B177" s="23">
        <f>IFERROR(IF(ISBLANK(INDEX(Backlog[Requirement Name],MATCH($A177,Backlog[Requirement ID],0))),"",INDEX(Backlog[Requirement Name],MATCH($A177,Backlog[Requirement ID],0))),"")</f>
        <v/>
      </c>
      <c r="C177" s="23">
        <f>IFERROR(IF(ISBLANK(INDEX(Backlog[Stream],MATCH($A177,Backlog[Requirement ID],0))),"",INDEX(Backlog[Stream],MATCH($A177,Backlog[Requirement ID],0))),"")</f>
        <v/>
      </c>
      <c r="D177" s="23">
        <f>IFERROR(IF(ISBLANK(INDEX(Backlog[Priority],MATCH($A177,Backlog[Requirement ID],0))),"",INDEX(Backlog[Priority],MATCH($A177,Backlog[Requirement ID],0))),"")</f>
        <v/>
      </c>
      <c r="E177" s="23">
        <f>IFERROR(IF(ISBLANK(INDEX(Backlog[Status],MATCH($A177,Backlog[Requirement ID],0))),"",INDEX(Backlog[Status],MATCH($A177,Backlog[Requirement ID],0))),"")</f>
        <v/>
      </c>
      <c r="F177" s="21" t="inlineStr">
        <is>
          <t>Sprint 6</t>
        </is>
      </c>
      <c r="G177" s="23">
        <f>IFERROR(IF(ISBLANK(INDEX(Backlog[HLE],MATCH($A177,Backlog[Requirement ID],0))),"",INDEX(Backlog[HLE],MATCH($A177,Backlog[Requirement ID],0))),"")</f>
        <v/>
      </c>
      <c r="H177" s="23">
        <f>IFERROR(VALUE(SUBSTITUTE($F177,"Sprint ","")),9999)</f>
        <v/>
      </c>
    </row>
    <row r="178" ht="15" customHeight="1">
      <c r="A178" s="21" t="inlineStr">
        <is>
          <t>NEW-0358</t>
        </is>
      </c>
      <c r="B178" s="23">
        <f>IFERROR(IF(ISBLANK(INDEX(Backlog[Requirement Name],MATCH($A178,Backlog[Requirement ID],0))),"",INDEX(Backlog[Requirement Name],MATCH($A178,Backlog[Requirement ID],0))),"")</f>
        <v/>
      </c>
      <c r="C178" s="23">
        <f>IFERROR(IF(ISBLANK(INDEX(Backlog[Stream],MATCH($A178,Backlog[Requirement ID],0))),"",INDEX(Backlog[Stream],MATCH($A178,Backlog[Requirement ID],0))),"")</f>
        <v/>
      </c>
      <c r="D178" s="23">
        <f>IFERROR(IF(ISBLANK(INDEX(Backlog[Priority],MATCH($A178,Backlog[Requirement ID],0))),"",INDEX(Backlog[Priority],MATCH($A178,Backlog[Requirement ID],0))),"")</f>
        <v/>
      </c>
      <c r="E178" s="23">
        <f>IFERROR(IF(ISBLANK(INDEX(Backlog[Status],MATCH($A178,Backlog[Requirement ID],0))),"",INDEX(Backlog[Status],MATCH($A178,Backlog[Requirement ID],0))),"")</f>
        <v/>
      </c>
      <c r="F178" s="21" t="inlineStr">
        <is>
          <t>To Plan</t>
        </is>
      </c>
      <c r="G178" s="23">
        <f>IFERROR(IF(ISBLANK(INDEX(Backlog[HLE],MATCH($A178,Backlog[Requirement ID],0))),"",INDEX(Backlog[HLE],MATCH($A178,Backlog[Requirement ID],0))),"")</f>
        <v/>
      </c>
      <c r="H178" s="23">
        <f>IFERROR(VALUE(SUBSTITUTE($F178,"Sprint ","")),9999)</f>
        <v/>
      </c>
    </row>
    <row r="179" ht="15" customHeight="1">
      <c r="A179" s="21" t="inlineStr">
        <is>
          <t>NEW-0359</t>
        </is>
      </c>
      <c r="B179" s="39">
        <f>IFERROR(IF(ISBLANK(INDEX(Backlog[Requirement Name],MATCH($A179,Backlog[Requirement ID],0))),"",INDEX(Backlog[Requirement Name],MATCH($A179,Backlog[Requirement ID],0))),"")</f>
        <v/>
      </c>
      <c r="C179" s="23">
        <f>IFERROR(IF(ISBLANK(INDEX(Backlog[Stream],MATCH($A179,Backlog[Requirement ID],0))),"",INDEX(Backlog[Stream],MATCH($A179,Backlog[Requirement ID],0))),"")</f>
        <v/>
      </c>
      <c r="D179" s="23">
        <f>IFERROR(IF(ISBLANK(INDEX(Backlog[Priority],MATCH($A179,Backlog[Requirement ID],0))),"",INDEX(Backlog[Priority],MATCH($A179,Backlog[Requirement ID],0))),"")</f>
        <v/>
      </c>
      <c r="E179" s="23" t="inlineStr">
        <is>
          <t>DONE</t>
        </is>
      </c>
      <c r="F179" s="21" t="inlineStr">
        <is>
          <t>Sprint 9</t>
        </is>
      </c>
      <c r="G179" s="23">
        <f>IFERROR(IF(ISBLANK(INDEX(Backlog[HLE],MATCH($A179,Backlog[Requirement ID],0))),"",INDEX(Backlog[HLE],MATCH($A179,Backlog[Requirement ID],0))),"")</f>
        <v/>
      </c>
      <c r="H179" s="23">
        <f>IFERROR(VALUE(SUBSTITUTE($F179,"Sprint ","")),9999)</f>
        <v/>
      </c>
    </row>
    <row r="180" ht="15" customHeight="1">
      <c r="A180" s="21" t="inlineStr">
        <is>
          <t>NEW-0360</t>
        </is>
      </c>
      <c r="B180" s="23">
        <f>IFERROR(IF(ISBLANK(INDEX(Backlog[Requirement Name],MATCH($A180,Backlog[Requirement ID],0))),"",INDEX(Backlog[Requirement Name],MATCH($A180,Backlog[Requirement ID],0))),"")</f>
        <v/>
      </c>
      <c r="C180" s="23">
        <f>IFERROR(IF(ISBLANK(INDEX(Backlog[Stream],MATCH($A180,Backlog[Requirement ID],0))),"",INDEX(Backlog[Stream],MATCH($A180,Backlog[Requirement ID],0))),"")</f>
        <v/>
      </c>
      <c r="D180" s="23">
        <f>IFERROR(IF(ISBLANK(INDEX(Backlog[Priority],MATCH($A180,Backlog[Requirement ID],0))),"",INDEX(Backlog[Priority],MATCH($A180,Backlog[Requirement ID],0))),"")</f>
        <v/>
      </c>
      <c r="E180" s="23">
        <f>IFERROR(IF(ISBLANK(INDEX(Backlog[Status],MATCH($A180,Backlog[Requirement ID],0))),"",INDEX(Backlog[Status],MATCH($A180,Backlog[Requirement ID],0))),"")</f>
        <v/>
      </c>
      <c r="F180" s="21" t="inlineStr">
        <is>
          <t>To Plan</t>
        </is>
      </c>
      <c r="G180" s="23">
        <f>IFERROR(IF(ISBLANK(INDEX(Backlog[HLE],MATCH($A180,Backlog[Requirement ID],0))),"",INDEX(Backlog[HLE],MATCH($A180,Backlog[Requirement ID],0))),"")</f>
        <v/>
      </c>
      <c r="H180" s="23">
        <f>IFERROR(VALUE(SUBSTITUTE($F180,"Sprint ","")),9999)</f>
        <v/>
      </c>
    </row>
    <row r="181" ht="15" customHeight="1">
      <c r="A181" s="21" t="inlineStr">
        <is>
          <t>NEW-0361</t>
        </is>
      </c>
      <c r="B181" s="39">
        <f>IFERROR(IF(ISBLANK(INDEX(Backlog[Requirement Name],MATCH($A181,Backlog[Requirement ID],0))),"",INDEX(Backlog[Requirement Name],MATCH($A181,Backlog[Requirement ID],0))),"")</f>
        <v/>
      </c>
      <c r="C181" s="23">
        <f>IFERROR(IF(ISBLANK(INDEX(Backlog[Stream],MATCH($A181,Backlog[Requirement ID],0))),"",INDEX(Backlog[Stream],MATCH($A181,Backlog[Requirement ID],0))),"")</f>
        <v/>
      </c>
      <c r="D181" s="23">
        <f>IFERROR(IF(ISBLANK(INDEX(Backlog[Priority],MATCH($A181,Backlog[Requirement ID],0))),"",INDEX(Backlog[Priority],MATCH($A181,Backlog[Requirement ID],0))),"")</f>
        <v/>
      </c>
      <c r="E181" s="23">
        <f>IFERROR(IF(ISBLANK(INDEX(Backlog[Status],MATCH($A181,Backlog[Requirement ID],0))),"",INDEX(Backlog[Status],MATCH($A181,Backlog[Requirement ID],0))),"")</f>
        <v/>
      </c>
      <c r="F181" s="21" t="inlineStr">
        <is>
          <t>To Plan</t>
        </is>
      </c>
      <c r="G181" s="23">
        <f>IFERROR(IF(ISBLANK(INDEX(Backlog[HLE],MATCH($A181,Backlog[Requirement ID],0))),"",INDEX(Backlog[HLE],MATCH($A181,Backlog[Requirement ID],0))),"")</f>
        <v/>
      </c>
      <c r="H181" s="23">
        <f>IFERROR(VALUE(SUBSTITUTE($F181,"Sprint ","")),9999)</f>
        <v/>
      </c>
    </row>
    <row r="182" ht="15" customHeight="1">
      <c r="A182" s="21" t="inlineStr">
        <is>
          <t>NEW-0362</t>
        </is>
      </c>
      <c r="B182" s="23">
        <f>IFERROR(IF(ISBLANK(INDEX(Backlog[Requirement Name],MATCH($A182,Backlog[Requirement ID],0))),"",INDEX(Backlog[Requirement Name],MATCH($A182,Backlog[Requirement ID],0))),"")</f>
        <v/>
      </c>
      <c r="C182" s="23">
        <f>IFERROR(IF(ISBLANK(INDEX(Backlog[Stream],MATCH($A182,Backlog[Requirement ID],0))),"",INDEX(Backlog[Stream],MATCH($A182,Backlog[Requirement ID],0))),"")</f>
        <v/>
      </c>
      <c r="D182" s="23">
        <f>IFERROR(IF(ISBLANK(INDEX(Backlog[Priority],MATCH($A182,Backlog[Requirement ID],0))),"",INDEX(Backlog[Priority],MATCH($A182,Backlog[Requirement ID],0))),"")</f>
        <v/>
      </c>
      <c r="E182" s="23">
        <f>IFERROR(IF(ISBLANK(INDEX(Backlog[Status],MATCH($A182,Backlog[Requirement ID],0))),"",INDEX(Backlog[Status],MATCH($A182,Backlog[Requirement ID],0))),"")</f>
        <v/>
      </c>
      <c r="F182" s="21" t="inlineStr">
        <is>
          <t>To Plan</t>
        </is>
      </c>
      <c r="G182" s="23">
        <f>IFERROR(IF(ISBLANK(INDEX(Backlog[HLE],MATCH($A182,Backlog[Requirement ID],0))),"",INDEX(Backlog[HLE],MATCH($A182,Backlog[Requirement ID],0))),"")</f>
        <v/>
      </c>
      <c r="H182" s="23">
        <f>IFERROR(VALUE(SUBSTITUTE($F182,"Sprint ","")),9999)</f>
        <v/>
      </c>
    </row>
    <row r="183" ht="15" customHeight="1">
      <c r="A183" s="21" t="inlineStr">
        <is>
          <t>NEW-0363</t>
        </is>
      </c>
      <c r="B183" s="23">
        <f>IFERROR(IF(ISBLANK(INDEX(Backlog[Requirement Name],MATCH($A183,Backlog[Requirement ID],0))),"",INDEX(Backlog[Requirement Name],MATCH($A183,Backlog[Requirement ID],0))),"")</f>
        <v/>
      </c>
      <c r="C183" s="23">
        <f>IFERROR(IF(ISBLANK(INDEX(Backlog[Stream],MATCH($A183,Backlog[Requirement ID],0))),"",INDEX(Backlog[Stream],MATCH($A183,Backlog[Requirement ID],0))),"")</f>
        <v/>
      </c>
      <c r="D183" s="23">
        <f>IFERROR(IF(ISBLANK(INDEX(Backlog[Priority],MATCH($A183,Backlog[Requirement ID],0))),"",INDEX(Backlog[Priority],MATCH($A183,Backlog[Requirement ID],0))),"")</f>
        <v/>
      </c>
      <c r="E183" s="23">
        <f>IFERROR(IF(ISBLANK(INDEX(Backlog[Status],MATCH($A183,Backlog[Requirement ID],0))),"",INDEX(Backlog[Status],MATCH($A183,Backlog[Requirement ID],0))),"")</f>
        <v/>
      </c>
      <c r="F183" s="21" t="inlineStr">
        <is>
          <t>To Plan</t>
        </is>
      </c>
      <c r="G183" s="23">
        <f>IFERROR(IF(ISBLANK(INDEX(Backlog[HLE],MATCH($A183,Backlog[Requirement ID],0))),"",INDEX(Backlog[HLE],MATCH($A183,Backlog[Requirement ID],0))),"")</f>
        <v/>
      </c>
      <c r="H183" s="23">
        <f>IFERROR(VALUE(SUBSTITUTE($F183,"Sprint ","")),9999)</f>
        <v/>
      </c>
    </row>
    <row r="184" ht="15" customHeight="1">
      <c r="A184" s="21" t="inlineStr">
        <is>
          <t>NEW-0364</t>
        </is>
      </c>
      <c r="B184" s="23">
        <f>IFERROR(IF(ISBLANK(INDEX(Backlog[Requirement Name],MATCH($A184,Backlog[Requirement ID],0))),"",INDEX(Backlog[Requirement Name],MATCH($A184,Backlog[Requirement ID],0))),"")</f>
        <v/>
      </c>
      <c r="C184" s="23">
        <f>IFERROR(IF(ISBLANK(INDEX(Backlog[Stream],MATCH($A184,Backlog[Requirement ID],0))),"",INDEX(Backlog[Stream],MATCH($A184,Backlog[Requirement ID],0))),"")</f>
        <v/>
      </c>
      <c r="D184" s="23">
        <f>IFERROR(IF(ISBLANK(INDEX(Backlog[Priority],MATCH($A184,Backlog[Requirement ID],0))),"",INDEX(Backlog[Priority],MATCH($A184,Backlog[Requirement ID],0))),"")</f>
        <v/>
      </c>
      <c r="E184" s="23">
        <f>IFERROR(IF(ISBLANK(INDEX(Backlog[Status],MATCH($A184,Backlog[Requirement ID],0))),"",INDEX(Backlog[Status],MATCH($A184,Backlog[Requirement ID],0))),"")</f>
        <v/>
      </c>
      <c r="F184" s="21" t="inlineStr">
        <is>
          <t>To Plan</t>
        </is>
      </c>
      <c r="G184" s="23">
        <f>IFERROR(IF(ISBLANK(INDEX(Backlog[HLE],MATCH($A184,Backlog[Requirement ID],0))),"",INDEX(Backlog[HLE],MATCH($A184,Backlog[Requirement ID],0))),"")</f>
        <v/>
      </c>
      <c r="H184" s="23">
        <f>IFERROR(VALUE(SUBSTITUTE($F184,"Sprint ","")),9999)</f>
        <v/>
      </c>
    </row>
    <row r="185" ht="15" customHeight="1">
      <c r="A185" s="21" t="inlineStr">
        <is>
          <t>NEW-0366</t>
        </is>
      </c>
      <c r="B185" s="23">
        <f>IFERROR(IF(ISBLANK(INDEX(Backlog[Requirement Name],MATCH($A185,Backlog[Requirement ID],0))),"",INDEX(Backlog[Requirement Name],MATCH($A185,Backlog[Requirement ID],0))),"")</f>
        <v/>
      </c>
      <c r="C185" s="23">
        <f>IFERROR(IF(ISBLANK(INDEX(Backlog[Stream],MATCH($A185,Backlog[Requirement ID],0))),"",INDEX(Backlog[Stream],MATCH($A185,Backlog[Requirement ID],0))),"")</f>
        <v/>
      </c>
      <c r="D185" s="23">
        <f>IFERROR(IF(ISBLANK(INDEX(Backlog[Priority],MATCH($A185,Backlog[Requirement ID],0))),"",INDEX(Backlog[Priority],MATCH($A185,Backlog[Requirement ID],0))),"")</f>
        <v/>
      </c>
      <c r="E185" s="23">
        <f>IFERROR(IF(ISBLANK(INDEX(Backlog[Status],MATCH($A185,Backlog[Requirement ID],0))),"",INDEX(Backlog[Status],MATCH($A185,Backlog[Requirement ID],0))),"")</f>
        <v/>
      </c>
      <c r="F185" s="21" t="inlineStr">
        <is>
          <t>To Plan</t>
        </is>
      </c>
      <c r="G185" s="23">
        <f>IFERROR(IF(ISBLANK(INDEX(Backlog[HLE],MATCH($A185,Backlog[Requirement ID],0))),"",INDEX(Backlog[HLE],MATCH($A185,Backlog[Requirement ID],0))),"")</f>
        <v/>
      </c>
      <c r="H185" s="23">
        <f>IFERROR(VALUE(SUBSTITUTE($F185,"Sprint ","")),9999)</f>
        <v/>
      </c>
    </row>
    <row r="186" ht="15" customHeight="1">
      <c r="A186" s="21" t="inlineStr">
        <is>
          <t>NEW-0367</t>
        </is>
      </c>
      <c r="B186" s="23">
        <f>IFERROR(IF(ISBLANK(INDEX(Backlog[Requirement Name],MATCH($A186,Backlog[Requirement ID],0))),"",INDEX(Backlog[Requirement Name],MATCH($A186,Backlog[Requirement ID],0))),"")</f>
        <v/>
      </c>
      <c r="C186" s="23">
        <f>IFERROR(IF(ISBLANK(INDEX(Backlog[Stream],MATCH($A186,Backlog[Requirement ID],0))),"",INDEX(Backlog[Stream],MATCH($A186,Backlog[Requirement ID],0))),"")</f>
        <v/>
      </c>
      <c r="D186" s="23">
        <f>IFERROR(IF(ISBLANK(INDEX(Backlog[Priority],MATCH($A186,Backlog[Requirement ID],0))),"",INDEX(Backlog[Priority],MATCH($A186,Backlog[Requirement ID],0))),"")</f>
        <v/>
      </c>
      <c r="E186" s="23">
        <f>IFERROR(IF(ISBLANK(INDEX(Backlog[Status],MATCH($A186,Backlog[Requirement ID],0))),"",INDEX(Backlog[Status],MATCH($A186,Backlog[Requirement ID],0))),"")</f>
        <v/>
      </c>
      <c r="F186" s="21" t="inlineStr">
        <is>
          <t>To Plan</t>
        </is>
      </c>
      <c r="G186" s="23">
        <f>IFERROR(IF(ISBLANK(INDEX(Backlog[HLE],MATCH($A186,Backlog[Requirement ID],0))),"",INDEX(Backlog[HLE],MATCH($A186,Backlog[Requirement ID],0))),"")</f>
        <v/>
      </c>
      <c r="H186" s="23">
        <f>IFERROR(VALUE(SUBSTITUTE($F186,"Sprint ","")),9999)</f>
        <v/>
      </c>
    </row>
    <row r="187" ht="15" customHeight="1">
      <c r="A187" s="21" t="inlineStr">
        <is>
          <t>NEW-0368</t>
        </is>
      </c>
      <c r="B187" s="23">
        <f>IFERROR(IF(ISBLANK(INDEX(Backlog[Requirement Name],MATCH($A187,Backlog[Requirement ID],0))),"",INDEX(Backlog[Requirement Name],MATCH($A187,Backlog[Requirement ID],0))),"")</f>
        <v/>
      </c>
      <c r="C187" s="23">
        <f>IFERROR(IF(ISBLANK(INDEX(Backlog[Stream],MATCH($A187,Backlog[Requirement ID],0))),"",INDEX(Backlog[Stream],MATCH($A187,Backlog[Requirement ID],0))),"")</f>
        <v/>
      </c>
      <c r="D187" s="23">
        <f>IFERROR(IF(ISBLANK(INDEX(Backlog[Priority],MATCH($A187,Backlog[Requirement ID],0))),"",INDEX(Backlog[Priority],MATCH($A187,Backlog[Requirement ID],0))),"")</f>
        <v/>
      </c>
      <c r="E187" s="23">
        <f>IFERROR(IF(ISBLANK(INDEX(Backlog[Status],MATCH($A187,Backlog[Requirement ID],0))),"",INDEX(Backlog[Status],MATCH($A187,Backlog[Requirement ID],0))),"")</f>
        <v/>
      </c>
      <c r="F187" s="21" t="inlineStr">
        <is>
          <t>Sprint 10</t>
        </is>
      </c>
      <c r="G187" s="23">
        <f>IFERROR(IF(ISBLANK(INDEX(Backlog[HLE],MATCH($A187,Backlog[Requirement ID],0))),"",INDEX(Backlog[HLE],MATCH($A187,Backlog[Requirement ID],0))),"")</f>
        <v/>
      </c>
      <c r="H187" s="23">
        <f>IFERROR(VALUE(SUBSTITUTE($F187,"Sprint ","")),9999)</f>
        <v/>
      </c>
    </row>
    <row r="188" ht="15" customHeight="1">
      <c r="A188" s="21" t="inlineStr">
        <is>
          <t>NEW-0370</t>
        </is>
      </c>
      <c r="B188" s="23">
        <f>IFERROR(IF(ISBLANK(INDEX(Backlog[Requirement Name],MATCH($A188,Backlog[Requirement ID],0))),"",INDEX(Backlog[Requirement Name],MATCH($A188,Backlog[Requirement ID],0))),"")</f>
        <v/>
      </c>
      <c r="C188" s="23">
        <f>IFERROR(IF(ISBLANK(INDEX(Backlog[Stream],MATCH($A188,Backlog[Requirement ID],0))),"",INDEX(Backlog[Stream],MATCH($A188,Backlog[Requirement ID],0))),"")</f>
        <v/>
      </c>
      <c r="D188" s="23">
        <f>IFERROR(IF(ISBLANK(INDEX(Backlog[Priority],MATCH($A188,Backlog[Requirement ID],0))),"",INDEX(Backlog[Priority],MATCH($A188,Backlog[Requirement ID],0))),"")</f>
        <v/>
      </c>
      <c r="E188" s="23" t="inlineStr">
        <is>
          <t>NEW</t>
        </is>
      </c>
      <c r="F188" s="21" t="inlineStr">
        <is>
          <t>To Plan</t>
        </is>
      </c>
      <c r="G188" s="23">
        <f>IFERROR(IF(ISBLANK(INDEX(Backlog[HLE],MATCH($A188,Backlog[Requirement ID],0))),"",INDEX(Backlog[HLE],MATCH($A188,Backlog[Requirement ID],0))),"")</f>
        <v/>
      </c>
      <c r="H188" s="23">
        <f>IFERROR(VALUE(SUBSTITUTE($F188,"Sprint ","")),9999)</f>
        <v/>
      </c>
    </row>
    <row r="189" ht="15" customHeight="1">
      <c r="A189" s="21" t="inlineStr">
        <is>
          <t>NEW-0371</t>
        </is>
      </c>
      <c r="B189" s="23">
        <f>IFERROR(IF(ISBLANK(INDEX(Backlog[Requirement Name],MATCH($A189,Backlog[Requirement ID],0))),"",INDEX(Backlog[Requirement Name],MATCH($A189,Backlog[Requirement ID],0))),"")</f>
        <v/>
      </c>
      <c r="C189" s="23">
        <f>IFERROR(IF(ISBLANK(INDEX(Backlog[Stream],MATCH($A189,Backlog[Requirement ID],0))),"",INDEX(Backlog[Stream],MATCH($A189,Backlog[Requirement ID],0))),"")</f>
        <v/>
      </c>
      <c r="D189" s="23">
        <f>IFERROR(IF(ISBLANK(INDEX(Backlog[Priority],MATCH($A189,Backlog[Requirement ID],0))),"",INDEX(Backlog[Priority],MATCH($A189,Backlog[Requirement ID],0))),"")</f>
        <v/>
      </c>
      <c r="E189" s="23">
        <f>IFERROR(IF(ISBLANK(INDEX(Backlog[Status],MATCH($A189,Backlog[Requirement ID],0))),"",INDEX(Backlog[Status],MATCH($A189,Backlog[Requirement ID],0))),"")</f>
        <v/>
      </c>
      <c r="F189" s="21" t="inlineStr">
        <is>
          <t>To Plan</t>
        </is>
      </c>
      <c r="G189" s="23">
        <f>IFERROR(IF(ISBLANK(INDEX(Backlog[HLE],MATCH($A189,Backlog[Requirement ID],0))),"",INDEX(Backlog[HLE],MATCH($A189,Backlog[Requirement ID],0))),"")</f>
        <v/>
      </c>
      <c r="H189" s="23">
        <f>IFERROR(VALUE(SUBSTITUTE($F189,"Sprint ","")),9999)</f>
        <v/>
      </c>
    </row>
    <row r="190" ht="15" customHeight="1">
      <c r="A190" s="21" t="inlineStr">
        <is>
          <t>NEW-0372</t>
        </is>
      </c>
      <c r="B190" s="23">
        <f>IFERROR(IF(ISBLANK(INDEX(Backlog[Requirement Name],MATCH($A190,Backlog[Requirement ID],0))),"",INDEX(Backlog[Requirement Name],MATCH($A190,Backlog[Requirement ID],0))),"")</f>
        <v/>
      </c>
      <c r="C190" s="23">
        <f>IFERROR(IF(ISBLANK(INDEX(Backlog[Stream],MATCH($A190,Backlog[Requirement ID],0))),"",INDEX(Backlog[Stream],MATCH($A190,Backlog[Requirement ID],0))),"")</f>
        <v/>
      </c>
      <c r="D190" s="23">
        <f>IFERROR(IF(ISBLANK(INDEX(Backlog[Priority],MATCH($A190,Backlog[Requirement ID],0))),"",INDEX(Backlog[Priority],MATCH($A190,Backlog[Requirement ID],0))),"")</f>
        <v/>
      </c>
      <c r="E190" s="23">
        <f>IFERROR(IF(ISBLANK(INDEX(Backlog[Status],MATCH($A190,Backlog[Requirement ID],0))),"",INDEX(Backlog[Status],MATCH($A190,Backlog[Requirement ID],0))),"")</f>
        <v/>
      </c>
      <c r="F190" s="21" t="inlineStr">
        <is>
          <t>Sprint 1</t>
        </is>
      </c>
      <c r="G190" s="23">
        <f>IFERROR(IF(ISBLANK(INDEX(Backlog[HLE],MATCH($A190,Backlog[Requirement ID],0))),"",INDEX(Backlog[HLE],MATCH($A190,Backlog[Requirement ID],0))),"")</f>
        <v/>
      </c>
      <c r="H190" s="23">
        <f>IFERROR(VALUE(SUBSTITUTE($F190,"Sprint ","")),9999)</f>
        <v/>
      </c>
    </row>
    <row r="191" ht="15" customHeight="1">
      <c r="A191" s="21" t="inlineStr">
        <is>
          <t>NEW-0373</t>
        </is>
      </c>
      <c r="B191" s="23">
        <f>IFERROR(IF(ISBLANK(INDEX(Backlog[Requirement Name],MATCH($A191,Backlog[Requirement ID],0))),"",INDEX(Backlog[Requirement Name],MATCH($A191,Backlog[Requirement ID],0))),"")</f>
        <v/>
      </c>
      <c r="C191" s="23">
        <f>IFERROR(IF(ISBLANK(INDEX(Backlog[Stream],MATCH($A191,Backlog[Requirement ID],0))),"",INDEX(Backlog[Stream],MATCH($A191,Backlog[Requirement ID],0))),"")</f>
        <v/>
      </c>
      <c r="D191" s="23">
        <f>IFERROR(IF(ISBLANK(INDEX(Backlog[Priority],MATCH($A191,Backlog[Requirement ID],0))),"",INDEX(Backlog[Priority],MATCH($A191,Backlog[Requirement ID],0))),"")</f>
        <v/>
      </c>
      <c r="E191" s="23">
        <f>IFERROR(IF(ISBLANK(INDEX(Backlog[Status],MATCH($A191,Backlog[Requirement ID],0))),"",INDEX(Backlog[Status],MATCH($A191,Backlog[Requirement ID],0))),"")</f>
        <v/>
      </c>
      <c r="F191" s="21" t="inlineStr">
        <is>
          <t>To Plan</t>
        </is>
      </c>
      <c r="G191" s="23">
        <f>IFERROR(IF(ISBLANK(INDEX(Backlog[HLE],MATCH($A191,Backlog[Requirement ID],0))),"",INDEX(Backlog[HLE],MATCH($A191,Backlog[Requirement ID],0))),"")</f>
        <v/>
      </c>
      <c r="H191" s="23">
        <f>IFERROR(VALUE(SUBSTITUTE($F191,"Sprint ","")),9999)</f>
        <v/>
      </c>
    </row>
    <row r="192" ht="15" customHeight="1">
      <c r="A192" s="21" t="inlineStr">
        <is>
          <t>NEW-0374</t>
        </is>
      </c>
      <c r="B192" s="23">
        <f>IFERROR(IF(ISBLANK(INDEX(Backlog[Requirement Name],MATCH($A192,Backlog[Requirement ID],0))),"",INDEX(Backlog[Requirement Name],MATCH($A192,Backlog[Requirement ID],0))),"")</f>
        <v/>
      </c>
      <c r="C192" s="23">
        <f>IFERROR(IF(ISBLANK(INDEX(Backlog[Stream],MATCH($A192,Backlog[Requirement ID],0))),"",INDEX(Backlog[Stream],MATCH($A192,Backlog[Requirement ID],0))),"")</f>
        <v/>
      </c>
      <c r="D192" s="23">
        <f>IFERROR(IF(ISBLANK(INDEX(Backlog[Priority],MATCH($A192,Backlog[Requirement ID],0))),"",INDEX(Backlog[Priority],MATCH($A192,Backlog[Requirement ID],0))),"")</f>
        <v/>
      </c>
      <c r="E192" s="23">
        <f>IFERROR(IF(ISBLANK(INDEX(Backlog[Status],MATCH($A192,Backlog[Requirement ID],0))),"",INDEX(Backlog[Status],MATCH($A192,Backlog[Requirement ID],0))),"")</f>
        <v/>
      </c>
      <c r="F192" s="21" t="inlineStr">
        <is>
          <t>Sprint 2</t>
        </is>
      </c>
      <c r="G192" s="23">
        <f>IFERROR(IF(ISBLANK(INDEX(Backlog[HLE],MATCH($A192,Backlog[Requirement ID],0))),"",INDEX(Backlog[HLE],MATCH($A192,Backlog[Requirement ID],0))),"")</f>
        <v/>
      </c>
      <c r="H192" s="23">
        <f>IFERROR(VALUE(SUBSTITUTE($F192,"Sprint ","")),9999)</f>
        <v/>
      </c>
    </row>
    <row r="193" ht="15" customHeight="1">
      <c r="A193" s="21" t="inlineStr">
        <is>
          <t>NEW-0375</t>
        </is>
      </c>
      <c r="B193" s="23">
        <f>IFERROR(IF(ISBLANK(INDEX(Backlog[Requirement Name],MATCH($A193,Backlog[Requirement ID],0))),"",INDEX(Backlog[Requirement Name],MATCH($A193,Backlog[Requirement ID],0))),"")</f>
        <v/>
      </c>
      <c r="C193" s="23">
        <f>IFERROR(IF(ISBLANK(INDEX(Backlog[Stream],MATCH($A193,Backlog[Requirement ID],0))),"",INDEX(Backlog[Stream],MATCH($A193,Backlog[Requirement ID],0))),"")</f>
        <v/>
      </c>
      <c r="D193" s="23">
        <f>IFERROR(IF(ISBLANK(INDEX(Backlog[Priority],MATCH($A193,Backlog[Requirement ID],0))),"",INDEX(Backlog[Priority],MATCH($A193,Backlog[Requirement ID],0))),"")</f>
        <v/>
      </c>
      <c r="E193" s="23">
        <f>IFERROR(IF(ISBLANK(INDEX(Backlog[Status],MATCH($A193,Backlog[Requirement ID],0))),"",INDEX(Backlog[Status],MATCH($A193,Backlog[Requirement ID],0))),"")</f>
        <v/>
      </c>
      <c r="F193" s="21" t="inlineStr">
        <is>
          <t>To Plan</t>
        </is>
      </c>
      <c r="G193" s="23">
        <f>IFERROR(IF(ISBLANK(INDEX(Backlog[HLE],MATCH($A193,Backlog[Requirement ID],0))),"",INDEX(Backlog[HLE],MATCH($A193,Backlog[Requirement ID],0))),"")</f>
        <v/>
      </c>
      <c r="H193" s="23">
        <f>IFERROR(VALUE(SUBSTITUTE($F193,"Sprint ","")),9999)</f>
        <v/>
      </c>
    </row>
    <row r="194" ht="15" customHeight="1">
      <c r="A194" s="21" t="inlineStr">
        <is>
          <t>NEW-0376</t>
        </is>
      </c>
      <c r="B194" s="23">
        <f>IFERROR(IF(ISBLANK(INDEX(Backlog[Requirement Name],MATCH($A194,Backlog[Requirement ID],0))),"",INDEX(Backlog[Requirement Name],MATCH($A194,Backlog[Requirement ID],0))),"")</f>
        <v/>
      </c>
      <c r="C194" s="23">
        <f>IFERROR(IF(ISBLANK(INDEX(Backlog[Stream],MATCH($A194,Backlog[Requirement ID],0))),"",INDEX(Backlog[Stream],MATCH($A194,Backlog[Requirement ID],0))),"")</f>
        <v/>
      </c>
      <c r="D194" s="23">
        <f>IFERROR(IF(ISBLANK(INDEX(Backlog[Priority],MATCH($A194,Backlog[Requirement ID],0))),"",INDEX(Backlog[Priority],MATCH($A194,Backlog[Requirement ID],0))),"")</f>
        <v/>
      </c>
      <c r="E194" s="23">
        <f>IFERROR(IF(ISBLANK(INDEX(Backlog[Status],MATCH($A194,Backlog[Requirement ID],0))),"",INDEX(Backlog[Status],MATCH($A194,Backlog[Requirement ID],0))),"")</f>
        <v/>
      </c>
      <c r="F194" s="21" t="inlineStr">
        <is>
          <t>To Plan</t>
        </is>
      </c>
      <c r="G194" s="23">
        <f>IFERROR(IF(ISBLANK(INDEX(Backlog[HLE],MATCH($A194,Backlog[Requirement ID],0))),"",INDEX(Backlog[HLE],MATCH($A194,Backlog[Requirement ID],0))),"")</f>
        <v/>
      </c>
      <c r="H194" s="23">
        <f>IFERROR(VALUE(SUBSTITUTE($F194,"Sprint ","")),9999)</f>
        <v/>
      </c>
    </row>
    <row r="195" ht="15" customHeight="1">
      <c r="A195" s="21" t="inlineStr">
        <is>
          <t>NEW-0377</t>
        </is>
      </c>
      <c r="B195" s="23">
        <f>IFERROR(IF(ISBLANK(INDEX(Backlog[Requirement Name],MATCH($A195,Backlog[Requirement ID],0))),"",INDEX(Backlog[Requirement Name],MATCH($A195,Backlog[Requirement ID],0))),"")</f>
        <v/>
      </c>
      <c r="C195" s="23">
        <f>IFERROR(IF(ISBLANK(INDEX(Backlog[Stream],MATCH($A195,Backlog[Requirement ID],0))),"",INDEX(Backlog[Stream],MATCH($A195,Backlog[Requirement ID],0))),"")</f>
        <v/>
      </c>
      <c r="D195" s="23">
        <f>IFERROR(IF(ISBLANK(INDEX(Backlog[Priority],MATCH($A195,Backlog[Requirement ID],0))),"",INDEX(Backlog[Priority],MATCH($A195,Backlog[Requirement ID],0))),"")</f>
        <v/>
      </c>
      <c r="E195" s="23">
        <f>IFERROR(IF(ISBLANK(INDEX(Backlog[Status],MATCH($A195,Backlog[Requirement ID],0))),"",INDEX(Backlog[Status],MATCH($A195,Backlog[Requirement ID],0))),"")</f>
        <v/>
      </c>
      <c r="F195" s="21" t="inlineStr">
        <is>
          <t>To Plan</t>
        </is>
      </c>
      <c r="G195" s="23">
        <f>IFERROR(IF(ISBLANK(INDEX(Backlog[HLE],MATCH($A195,Backlog[Requirement ID],0))),"",INDEX(Backlog[HLE],MATCH($A195,Backlog[Requirement ID],0))),"")</f>
        <v/>
      </c>
      <c r="H195" s="23">
        <f>IFERROR(VALUE(SUBSTITUTE($F195,"Sprint ","")),9999)</f>
        <v/>
      </c>
    </row>
    <row r="196" ht="15" customHeight="1">
      <c r="A196" s="21" t="inlineStr">
        <is>
          <t>NEW-0379</t>
        </is>
      </c>
      <c r="B196" s="23">
        <f>IFERROR(IF(ISBLANK(INDEX(Backlog[Requirement Name],MATCH($A196,Backlog[Requirement ID],0))),"",INDEX(Backlog[Requirement Name],MATCH($A196,Backlog[Requirement ID],0))),"")</f>
        <v/>
      </c>
      <c r="C196" s="23">
        <f>IFERROR(IF(ISBLANK(INDEX(Backlog[Stream],MATCH($A196,Backlog[Requirement ID],0))),"",INDEX(Backlog[Stream],MATCH($A196,Backlog[Requirement ID],0))),"")</f>
        <v/>
      </c>
      <c r="D196" s="23">
        <f>IFERROR(IF(ISBLANK(INDEX(Backlog[Priority],MATCH($A196,Backlog[Requirement ID],0))),"",INDEX(Backlog[Priority],MATCH($A196,Backlog[Requirement ID],0))),"")</f>
        <v/>
      </c>
      <c r="E196" s="23">
        <f>IFERROR(IF(ISBLANK(INDEX(Backlog[Status],MATCH($A196,Backlog[Requirement ID],0))),"",INDEX(Backlog[Status],MATCH($A196,Backlog[Requirement ID],0))),"")</f>
        <v/>
      </c>
      <c r="F196" s="21" t="inlineStr">
        <is>
          <t>Sprint 1</t>
        </is>
      </c>
      <c r="G196" s="23">
        <f>IFERROR(IF(ISBLANK(INDEX(Backlog[HLE],MATCH($A196,Backlog[Requirement ID],0))),"",INDEX(Backlog[HLE],MATCH($A196,Backlog[Requirement ID],0))),"")</f>
        <v/>
      </c>
      <c r="H196" s="23">
        <f>IFERROR(VALUE(SUBSTITUTE($F196,"Sprint ","")),9999)</f>
        <v/>
      </c>
    </row>
    <row r="197" ht="15" customHeight="1">
      <c r="A197" s="21" t="inlineStr">
        <is>
          <t>NEW-0380</t>
        </is>
      </c>
      <c r="B197" s="23">
        <f>IFERROR(IF(ISBLANK(INDEX(Backlog[Requirement Name],MATCH($A197,Backlog[Requirement ID],0))),"",INDEX(Backlog[Requirement Name],MATCH($A197,Backlog[Requirement ID],0))),"")</f>
        <v/>
      </c>
      <c r="C197" s="23">
        <f>IFERROR(IF(ISBLANK(INDEX(Backlog[Stream],MATCH($A197,Backlog[Requirement ID],0))),"",INDEX(Backlog[Stream],MATCH($A197,Backlog[Requirement ID],0))),"")</f>
        <v/>
      </c>
      <c r="D197" s="23">
        <f>IFERROR(IF(ISBLANK(INDEX(Backlog[Priority],MATCH($A197,Backlog[Requirement ID],0))),"",INDEX(Backlog[Priority],MATCH($A197,Backlog[Requirement ID],0))),"")</f>
        <v/>
      </c>
      <c r="E197" s="23">
        <f>IFERROR(IF(ISBLANK(INDEX(Backlog[Status],MATCH($A197,Backlog[Requirement ID],0))),"",INDEX(Backlog[Status],MATCH($A197,Backlog[Requirement ID],0))),"")</f>
        <v/>
      </c>
      <c r="F197" s="21" t="inlineStr">
        <is>
          <t>Sprint 8</t>
        </is>
      </c>
      <c r="G197" s="23">
        <f>IFERROR(IF(ISBLANK(INDEX(Backlog[HLE],MATCH($A197,Backlog[Requirement ID],0))),"",INDEX(Backlog[HLE],MATCH($A197,Backlog[Requirement ID],0))),"")</f>
        <v/>
      </c>
      <c r="H197" s="23">
        <f>IFERROR(VALUE(SUBSTITUTE($F197,"Sprint ","")),9999)</f>
        <v/>
      </c>
    </row>
    <row r="198" ht="15" customHeight="1">
      <c r="A198" s="21" t="inlineStr">
        <is>
          <t>NEW-0381</t>
        </is>
      </c>
      <c r="B198" s="23">
        <f>IFERROR(IF(ISBLANK(INDEX(Backlog[Requirement Name],MATCH($A198,Backlog[Requirement ID],0))),"",INDEX(Backlog[Requirement Name],MATCH($A198,Backlog[Requirement ID],0))),"")</f>
        <v/>
      </c>
      <c r="C198" s="23">
        <f>IFERROR(IF(ISBLANK(INDEX(Backlog[Stream],MATCH($A198,Backlog[Requirement ID],0))),"",INDEX(Backlog[Stream],MATCH($A198,Backlog[Requirement ID],0))),"")</f>
        <v/>
      </c>
      <c r="D198" s="23">
        <f>IFERROR(IF(ISBLANK(INDEX(Backlog[Priority],MATCH($A198,Backlog[Requirement ID],0))),"",INDEX(Backlog[Priority],MATCH($A198,Backlog[Requirement ID],0))),"")</f>
        <v/>
      </c>
      <c r="E198" s="23">
        <f>IFERROR(IF(ISBLANK(INDEX(Backlog[Status],MATCH($A198,Backlog[Requirement ID],0))),"",INDEX(Backlog[Status],MATCH($A198,Backlog[Requirement ID],0))),"")</f>
        <v/>
      </c>
      <c r="F198" s="21" t="inlineStr">
        <is>
          <t>Sprint 1</t>
        </is>
      </c>
      <c r="G198" s="23">
        <f>IFERROR(IF(ISBLANK(INDEX(Backlog[HLE],MATCH($A198,Backlog[Requirement ID],0))),"",INDEX(Backlog[HLE],MATCH($A198,Backlog[Requirement ID],0))),"")</f>
        <v/>
      </c>
      <c r="H198" s="23">
        <f>IFERROR(VALUE(SUBSTITUTE($F198,"Sprint ","")),9999)</f>
        <v/>
      </c>
    </row>
    <row r="199" ht="15" customHeight="1">
      <c r="A199" s="21" t="inlineStr">
        <is>
          <t>NEW-0382</t>
        </is>
      </c>
      <c r="B199" s="23">
        <f>IFERROR(IF(ISBLANK(INDEX(Backlog[Requirement Name],MATCH($A199,Backlog[Requirement ID],0))),"",INDEX(Backlog[Requirement Name],MATCH($A199,Backlog[Requirement ID],0))),"")</f>
        <v/>
      </c>
      <c r="C199" s="23">
        <f>IFERROR(IF(ISBLANK(INDEX(Backlog[Stream],MATCH($A199,Backlog[Requirement ID],0))),"",INDEX(Backlog[Stream],MATCH($A199,Backlog[Requirement ID],0))),"")</f>
        <v/>
      </c>
      <c r="D199" s="23">
        <f>IFERROR(IF(ISBLANK(INDEX(Backlog[Priority],MATCH($A199,Backlog[Requirement ID],0))),"",INDEX(Backlog[Priority],MATCH($A199,Backlog[Requirement ID],0))),"")</f>
        <v/>
      </c>
      <c r="E199" s="23">
        <f>IFERROR(IF(ISBLANK(INDEX(Backlog[Status],MATCH($A199,Backlog[Requirement ID],0))),"",INDEX(Backlog[Status],MATCH($A199,Backlog[Requirement ID],0))),"")</f>
        <v/>
      </c>
      <c r="F199" s="21" t="inlineStr">
        <is>
          <t>Sprint 4</t>
        </is>
      </c>
      <c r="G199" s="23">
        <f>IFERROR(IF(ISBLANK(INDEX(Backlog[HLE],MATCH($A199,Backlog[Requirement ID],0))),"",INDEX(Backlog[HLE],MATCH($A199,Backlog[Requirement ID],0))),"")</f>
        <v/>
      </c>
      <c r="H199" s="23">
        <f>IFERROR(VALUE(SUBSTITUTE($F199,"Sprint ","")),9999)</f>
        <v/>
      </c>
    </row>
    <row r="200" ht="15" customHeight="1">
      <c r="A200" s="21" t="inlineStr">
        <is>
          <t>NEW-0383</t>
        </is>
      </c>
      <c r="B200" s="23">
        <f>IFERROR(IF(ISBLANK(INDEX(Backlog[Requirement Name],MATCH($A200,Backlog[Requirement ID],0))),"",INDEX(Backlog[Requirement Name],MATCH($A200,Backlog[Requirement ID],0))),"")</f>
        <v/>
      </c>
      <c r="C200" s="23">
        <f>IFERROR(IF(ISBLANK(INDEX(Backlog[Stream],MATCH($A200,Backlog[Requirement ID],0))),"",INDEX(Backlog[Stream],MATCH($A200,Backlog[Requirement ID],0))),"")</f>
        <v/>
      </c>
      <c r="D200" s="23">
        <f>IFERROR(IF(ISBLANK(INDEX(Backlog[Priority],MATCH($A200,Backlog[Requirement ID],0))),"",INDEX(Backlog[Priority],MATCH($A200,Backlog[Requirement ID],0))),"")</f>
        <v/>
      </c>
      <c r="E200" s="23">
        <f>IFERROR(IF(ISBLANK(INDEX(Backlog[Status],MATCH($A200,Backlog[Requirement ID],0))),"",INDEX(Backlog[Status],MATCH($A200,Backlog[Requirement ID],0))),"")</f>
        <v/>
      </c>
      <c r="F200" s="21" t="inlineStr">
        <is>
          <t>Sprint 2</t>
        </is>
      </c>
      <c r="G200" s="23">
        <f>IFERROR(IF(ISBLANK(INDEX(Backlog[HLE],MATCH($A200,Backlog[Requirement ID],0))),"",INDEX(Backlog[HLE],MATCH($A200,Backlog[Requirement ID],0))),"")</f>
        <v/>
      </c>
      <c r="H200" s="23">
        <f>IFERROR(VALUE(SUBSTITUTE($F200,"Sprint ","")),9999)</f>
        <v/>
      </c>
    </row>
    <row r="201" ht="15" customHeight="1">
      <c r="A201" s="21" t="inlineStr">
        <is>
          <t>NEW-0384</t>
        </is>
      </c>
      <c r="B201" s="23">
        <f>IFERROR(IF(ISBLANK(INDEX(Backlog[Requirement Name],MATCH($A201,Backlog[Requirement ID],0))),"",INDEX(Backlog[Requirement Name],MATCH($A201,Backlog[Requirement ID],0))),"")</f>
        <v/>
      </c>
      <c r="C201" s="23">
        <f>IFERROR(IF(ISBLANK(INDEX(Backlog[Stream],MATCH($A201,Backlog[Requirement ID],0))),"",INDEX(Backlog[Stream],MATCH($A201,Backlog[Requirement ID],0))),"")</f>
        <v/>
      </c>
      <c r="D201" s="23">
        <f>IFERROR(IF(ISBLANK(INDEX(Backlog[Priority],MATCH($A201,Backlog[Requirement ID],0))),"",INDEX(Backlog[Priority],MATCH($A201,Backlog[Requirement ID],0))),"")</f>
        <v/>
      </c>
      <c r="E201" s="23">
        <f>IFERROR(IF(ISBLANK(INDEX(Backlog[Status],MATCH($A201,Backlog[Requirement ID],0))),"",INDEX(Backlog[Status],MATCH($A201,Backlog[Requirement ID],0))),"")</f>
        <v/>
      </c>
      <c r="F201" s="21" t="n"/>
      <c r="G201" s="23">
        <f>IFERROR(IF(ISBLANK(INDEX(Backlog[HLE],MATCH($A201,Backlog[Requirement ID],0))),"",INDEX(Backlog[HLE],MATCH($A201,Backlog[Requirement ID],0))),"")</f>
        <v/>
      </c>
      <c r="H201" s="23">
        <f>IFERROR(VALUE(SUBSTITUTE($F201,"Sprint ","")),9999)</f>
        <v/>
      </c>
    </row>
    <row r="202" ht="15" customHeight="1">
      <c r="A202" s="21" t="inlineStr">
        <is>
          <t>NEW-0386</t>
        </is>
      </c>
      <c r="B202" s="23">
        <f>IFERROR(IF(ISBLANK(INDEX(Backlog[Requirement Name],MATCH($A202,Backlog[Requirement ID],0))),"",INDEX(Backlog[Requirement Name],MATCH($A202,Backlog[Requirement ID],0))),"")</f>
        <v/>
      </c>
      <c r="C202" s="23">
        <f>IFERROR(IF(ISBLANK(INDEX(Backlog[Stream],MATCH($A202,Backlog[Requirement ID],0))),"",INDEX(Backlog[Stream],MATCH($A202,Backlog[Requirement ID],0))),"")</f>
        <v/>
      </c>
      <c r="D202" s="23">
        <f>IFERROR(IF(ISBLANK(INDEX(Backlog[Priority],MATCH($A202,Backlog[Requirement ID],0))),"",INDEX(Backlog[Priority],MATCH($A202,Backlog[Requirement ID],0))),"")</f>
        <v/>
      </c>
      <c r="E202" s="23">
        <f>IFERROR(IF(ISBLANK(INDEX(Backlog[Status],MATCH($A202,Backlog[Requirement ID],0))),"",INDEX(Backlog[Status],MATCH($A202,Backlog[Requirement ID],0))),"")</f>
        <v/>
      </c>
      <c r="F202" s="21" t="inlineStr">
        <is>
          <t>Sprint 5</t>
        </is>
      </c>
      <c r="G202" s="23">
        <f>IFERROR(IF(ISBLANK(INDEX(Backlog[HLE],MATCH($A202,Backlog[Requirement ID],0))),"",INDEX(Backlog[HLE],MATCH($A202,Backlog[Requirement ID],0))),"")</f>
        <v/>
      </c>
      <c r="H202" s="23">
        <f>IFERROR(VALUE(SUBSTITUTE($F202,"Sprint ","")),9999)</f>
        <v/>
      </c>
    </row>
    <row r="203" ht="15" customHeight="1">
      <c r="A203" s="21" t="inlineStr">
        <is>
          <t>NEW-0387</t>
        </is>
      </c>
      <c r="B203" s="23">
        <f>IFERROR(IF(ISBLANK(INDEX(Backlog[Requirement Name],MATCH($A203,Backlog[Requirement ID],0))),"",INDEX(Backlog[Requirement Name],MATCH($A203,Backlog[Requirement ID],0))),"")</f>
        <v/>
      </c>
      <c r="C203" s="23">
        <f>IFERROR(IF(ISBLANK(INDEX(Backlog[Stream],MATCH($A203,Backlog[Requirement ID],0))),"",INDEX(Backlog[Stream],MATCH($A203,Backlog[Requirement ID],0))),"")</f>
        <v/>
      </c>
      <c r="D203" s="23">
        <f>IFERROR(IF(ISBLANK(INDEX(Backlog[Priority],MATCH($A203,Backlog[Requirement ID],0))),"",INDEX(Backlog[Priority],MATCH($A203,Backlog[Requirement ID],0))),"")</f>
        <v/>
      </c>
      <c r="E203" s="23">
        <f>IFERROR(IF(ISBLANK(INDEX(Backlog[Status],MATCH($A203,Backlog[Requirement ID],0))),"",INDEX(Backlog[Status],MATCH($A203,Backlog[Requirement ID],0))),"")</f>
        <v/>
      </c>
      <c r="F203" s="21" t="inlineStr">
        <is>
          <t>Sprint 6</t>
        </is>
      </c>
      <c r="G203" s="23">
        <f>IFERROR(IF(ISBLANK(INDEX(Backlog[HLE],MATCH($A203,Backlog[Requirement ID],0))),"",INDEX(Backlog[HLE],MATCH($A203,Backlog[Requirement ID],0))),"")</f>
        <v/>
      </c>
      <c r="H203" s="23">
        <f>IFERROR(VALUE(SUBSTITUTE($F203,"Sprint ","")),9999)</f>
        <v/>
      </c>
    </row>
    <row r="204" ht="15" customHeight="1">
      <c r="A204" s="21" t="inlineStr">
        <is>
          <t>NEW-0388</t>
        </is>
      </c>
      <c r="B204" s="23">
        <f>IFERROR(IF(ISBLANK(INDEX(Backlog[Requirement Name],MATCH($A204,Backlog[Requirement ID],0))),"",INDEX(Backlog[Requirement Name],MATCH($A204,Backlog[Requirement ID],0))),"")</f>
        <v/>
      </c>
      <c r="C204" s="23">
        <f>IFERROR(IF(ISBLANK(INDEX(Backlog[Stream],MATCH($A204,Backlog[Requirement ID],0))),"",INDEX(Backlog[Stream],MATCH($A204,Backlog[Requirement ID],0))),"")</f>
        <v/>
      </c>
      <c r="D204" s="23">
        <f>IFERROR(IF(ISBLANK(INDEX(Backlog[Priority],MATCH($A204,Backlog[Requirement ID],0))),"",INDEX(Backlog[Priority],MATCH($A204,Backlog[Requirement ID],0))),"")</f>
        <v/>
      </c>
      <c r="E204" s="23">
        <f>IFERROR(IF(ISBLANK(INDEX(Backlog[Status],MATCH($A204,Backlog[Requirement ID],0))),"",INDEX(Backlog[Status],MATCH($A204,Backlog[Requirement ID],0))),"")</f>
        <v/>
      </c>
      <c r="F204" s="21" t="inlineStr">
        <is>
          <t>Sprint 7</t>
        </is>
      </c>
      <c r="G204" s="23">
        <f>IFERROR(IF(ISBLANK(INDEX(Backlog[HLE],MATCH($A204,Backlog[Requirement ID],0))),"",INDEX(Backlog[HLE],MATCH($A204,Backlog[Requirement ID],0))),"")</f>
        <v/>
      </c>
      <c r="H204" s="23">
        <f>IFERROR(VALUE(SUBSTITUTE($F204,"Sprint ","")),9999)</f>
        <v/>
      </c>
    </row>
    <row r="205" ht="15" customHeight="1">
      <c r="A205" s="21" t="inlineStr">
        <is>
          <t>NEW-0389</t>
        </is>
      </c>
      <c r="B205" s="23">
        <f>IFERROR(IF(ISBLANK(INDEX(Backlog[Requirement Name],MATCH($A205,Backlog[Requirement ID],0))),"",INDEX(Backlog[Requirement Name],MATCH($A205,Backlog[Requirement ID],0))),"")</f>
        <v/>
      </c>
      <c r="C205" s="23">
        <f>IFERROR(IF(ISBLANK(INDEX(Backlog[Stream],MATCH($A205,Backlog[Requirement ID],0))),"",INDEX(Backlog[Stream],MATCH($A205,Backlog[Requirement ID],0))),"")</f>
        <v/>
      </c>
      <c r="D205" s="23">
        <f>IFERROR(IF(ISBLANK(INDEX(Backlog[Priority],MATCH($A205,Backlog[Requirement ID],0))),"",INDEX(Backlog[Priority],MATCH($A205,Backlog[Requirement ID],0))),"")</f>
        <v/>
      </c>
      <c r="E205" s="23">
        <f>IFERROR(IF(ISBLANK(INDEX(Backlog[Status],MATCH($A205,Backlog[Requirement ID],0))),"",INDEX(Backlog[Status],MATCH($A205,Backlog[Requirement ID],0))),"")</f>
        <v/>
      </c>
      <c r="F205" s="21" t="inlineStr">
        <is>
          <t>Sprint 10</t>
        </is>
      </c>
      <c r="G205" s="23">
        <f>IFERROR(IF(ISBLANK(INDEX(Backlog[HLE],MATCH($A205,Backlog[Requirement ID],0))),"",INDEX(Backlog[HLE],MATCH($A205,Backlog[Requirement ID],0))),"")</f>
        <v/>
      </c>
      <c r="H205" s="23">
        <f>IFERROR(VALUE(SUBSTITUTE($F205,"Sprint ","")),9999)</f>
        <v/>
      </c>
    </row>
    <row r="206" ht="23.25" customHeight="1">
      <c r="A206" s="21" t="inlineStr">
        <is>
          <t>NEW-0390</t>
        </is>
      </c>
      <c r="B206" s="23">
        <f>IFERROR(IF(ISBLANK(INDEX(Backlog[Requirement Name],MATCH($A206,Backlog[Requirement ID],0))),"",INDEX(Backlog[Requirement Name],MATCH($A206,Backlog[Requirement ID],0))),"")</f>
        <v/>
      </c>
      <c r="C206" s="23">
        <f>IFERROR(IF(ISBLANK(INDEX(Backlog[Stream],MATCH($A206,Backlog[Requirement ID],0))),"",INDEX(Backlog[Stream],MATCH($A206,Backlog[Requirement ID],0))),"")</f>
        <v/>
      </c>
      <c r="D206" s="23">
        <f>IFERROR(IF(ISBLANK(INDEX(Backlog[Priority],MATCH($A206,Backlog[Requirement ID],0))),"",INDEX(Backlog[Priority],MATCH($A206,Backlog[Requirement ID],0))),"")</f>
        <v/>
      </c>
      <c r="E206" s="23">
        <f>IFERROR(IF(ISBLANK(INDEX(Backlog[Status],MATCH($A206,Backlog[Requirement ID],0))),"",INDEX(Backlog[Status],MATCH($A206,Backlog[Requirement ID],0))),"")</f>
        <v/>
      </c>
      <c r="F206" s="21" t="inlineStr">
        <is>
          <t>Sprint 7</t>
        </is>
      </c>
      <c r="G206" s="23">
        <f>IFERROR(IF(ISBLANK(INDEX(Backlog[HLE],MATCH($A206,Backlog[Requirement ID],0))),"",INDEX(Backlog[HLE],MATCH($A206,Backlog[Requirement ID],0))),"")</f>
        <v/>
      </c>
      <c r="H206" s="23">
        <f>IFERROR(VALUE(SUBSTITUTE($F206,"Sprint ","")),9999)</f>
        <v/>
      </c>
    </row>
    <row r="207" ht="15" customHeight="1">
      <c r="A207" s="21" t="inlineStr">
        <is>
          <t>NEW-0391</t>
        </is>
      </c>
      <c r="B207" s="23">
        <f>IFERROR(IF(ISBLANK(INDEX(Backlog[Requirement Name],MATCH($A207,Backlog[Requirement ID],0))),"",INDEX(Backlog[Requirement Name],MATCH($A207,Backlog[Requirement ID],0))),"")</f>
        <v/>
      </c>
      <c r="C207" s="23">
        <f>IFERROR(IF(ISBLANK(INDEX(Backlog[Stream],MATCH($A207,Backlog[Requirement ID],0))),"",INDEX(Backlog[Stream],MATCH($A207,Backlog[Requirement ID],0))),"")</f>
        <v/>
      </c>
      <c r="D207" s="23">
        <f>IFERROR(IF(ISBLANK(INDEX(Backlog[Priority],MATCH($A207,Backlog[Requirement ID],0))),"",INDEX(Backlog[Priority],MATCH($A207,Backlog[Requirement ID],0))),"")</f>
        <v/>
      </c>
      <c r="E207" s="23">
        <f>IFERROR(IF(ISBLANK(INDEX(Backlog[Status],MATCH($A207,Backlog[Requirement ID],0))),"",INDEX(Backlog[Status],MATCH($A207,Backlog[Requirement ID],0))),"")</f>
        <v/>
      </c>
      <c r="F207" s="21" t="inlineStr">
        <is>
          <t>Sprint 1</t>
        </is>
      </c>
      <c r="G207" s="23">
        <f>IFERROR(IF(ISBLANK(INDEX(Backlog[HLE],MATCH($A207,Backlog[Requirement ID],0))),"",INDEX(Backlog[HLE],MATCH($A207,Backlog[Requirement ID],0))),"")</f>
        <v/>
      </c>
      <c r="H207" s="23">
        <f>IFERROR(VALUE(SUBSTITUTE($F207,"Sprint ","")),9999)</f>
        <v/>
      </c>
    </row>
    <row r="208" ht="15" customHeight="1">
      <c r="A208" s="21" t="inlineStr">
        <is>
          <t>NEW-0392</t>
        </is>
      </c>
      <c r="B208" s="23">
        <f>IFERROR(IF(ISBLANK(INDEX(Backlog[Requirement Name],MATCH($A208,Backlog[Requirement ID],0))),"",INDEX(Backlog[Requirement Name],MATCH($A208,Backlog[Requirement ID],0))),"")</f>
        <v/>
      </c>
      <c r="C208" s="23">
        <f>IFERROR(IF(ISBLANK(INDEX(Backlog[Stream],MATCH($A208,Backlog[Requirement ID],0))),"",INDEX(Backlog[Stream],MATCH($A208,Backlog[Requirement ID],0))),"")</f>
        <v/>
      </c>
      <c r="D208" s="23">
        <f>IFERROR(IF(ISBLANK(INDEX(Backlog[Priority],MATCH($A208,Backlog[Requirement ID],0))),"",INDEX(Backlog[Priority],MATCH($A208,Backlog[Requirement ID],0))),"")</f>
        <v/>
      </c>
      <c r="E208" s="23">
        <f>IFERROR(IF(ISBLANK(INDEX(Backlog[Status],MATCH($A208,Backlog[Requirement ID],0))),"",INDEX(Backlog[Status],MATCH($A208,Backlog[Requirement ID],0))),"")</f>
        <v/>
      </c>
      <c r="F208" s="21" t="inlineStr">
        <is>
          <t>Sprint 9</t>
        </is>
      </c>
      <c r="G208" s="23">
        <f>IFERROR(IF(ISBLANK(INDEX(Backlog[HLE],MATCH($A208,Backlog[Requirement ID],0))),"",INDEX(Backlog[HLE],MATCH($A208,Backlog[Requirement ID],0))),"")</f>
        <v/>
      </c>
      <c r="H208" s="23">
        <f>IFERROR(VALUE(SUBSTITUTE($F208,"Sprint ","")),9999)</f>
        <v/>
      </c>
    </row>
    <row r="209" ht="15" customHeight="1">
      <c r="A209" s="21" t="inlineStr">
        <is>
          <t>NEW-0395</t>
        </is>
      </c>
      <c r="B209" s="23">
        <f>IFERROR(IF(ISBLANK(INDEX(Backlog[Requirement Name],MATCH($A209,Backlog[Requirement ID],0))),"",INDEX(Backlog[Requirement Name],MATCH($A209,Backlog[Requirement ID],0))),"")</f>
        <v/>
      </c>
      <c r="C209" s="23">
        <f>IFERROR(IF(ISBLANK(INDEX(Backlog[Stream],MATCH($A209,Backlog[Requirement ID],0))),"",INDEX(Backlog[Stream],MATCH($A209,Backlog[Requirement ID],0))),"")</f>
        <v/>
      </c>
      <c r="D209" s="23">
        <f>IFERROR(IF(ISBLANK(INDEX(Backlog[Priority],MATCH($A209,Backlog[Requirement ID],0))),"",INDEX(Backlog[Priority],MATCH($A209,Backlog[Requirement ID],0))),"")</f>
        <v/>
      </c>
      <c r="E209" s="23">
        <f>IFERROR(IF(ISBLANK(INDEX(Backlog[Status],MATCH($A209,Backlog[Requirement ID],0))),"",INDEX(Backlog[Status],MATCH($A209,Backlog[Requirement ID],0))),"")</f>
        <v/>
      </c>
      <c r="F209" s="21" t="inlineStr">
        <is>
          <t>To Plan</t>
        </is>
      </c>
      <c r="G209" s="23">
        <f>IFERROR(IF(ISBLANK(INDEX(Backlog[HLE],MATCH($A209,Backlog[Requirement ID],0))),"",INDEX(Backlog[HLE],MATCH($A209,Backlog[Requirement ID],0))),"")</f>
        <v/>
      </c>
      <c r="H209" s="23">
        <f>IFERROR(VALUE(SUBSTITUTE($F209,"Sprint ","")),9999)</f>
        <v/>
      </c>
    </row>
    <row r="210" ht="15" customHeight="1">
      <c r="A210" s="21" t="inlineStr">
        <is>
          <t>NEW-0397</t>
        </is>
      </c>
      <c r="B210" s="23">
        <f>IFERROR(IF(ISBLANK(INDEX(Backlog[Requirement Name],MATCH($A210,Backlog[Requirement ID],0))),"",INDEX(Backlog[Requirement Name],MATCH($A210,Backlog[Requirement ID],0))),"")</f>
        <v/>
      </c>
      <c r="C210" s="23">
        <f>IFERROR(IF(ISBLANK(INDEX(Backlog[Stream],MATCH($A210,Backlog[Requirement ID],0))),"",INDEX(Backlog[Stream],MATCH($A210,Backlog[Requirement ID],0))),"")</f>
        <v/>
      </c>
      <c r="D210" s="23">
        <f>IFERROR(IF(ISBLANK(INDEX(Backlog[Priority],MATCH($A210,Backlog[Requirement ID],0))),"",INDEX(Backlog[Priority],MATCH($A210,Backlog[Requirement ID],0))),"")</f>
        <v/>
      </c>
      <c r="E210" s="23">
        <f>IFERROR(IF(ISBLANK(INDEX(Backlog[Status],MATCH($A210,Backlog[Requirement ID],0))),"",INDEX(Backlog[Status],MATCH($A210,Backlog[Requirement ID],0))),"")</f>
        <v/>
      </c>
      <c r="F210" s="21" t="inlineStr">
        <is>
          <t>To Plan</t>
        </is>
      </c>
      <c r="G210" s="23">
        <f>IFERROR(IF(ISBLANK(INDEX(Backlog[HLE],MATCH($A210,Backlog[Requirement ID],0))),"",INDEX(Backlog[HLE],MATCH($A210,Backlog[Requirement ID],0))),"")</f>
        <v/>
      </c>
      <c r="H210" s="23">
        <f>IFERROR(VALUE(SUBSTITUTE($F210,"Sprint ","")),9999)</f>
        <v/>
      </c>
    </row>
    <row r="211" ht="15" customHeight="1">
      <c r="A211" s="21" t="inlineStr">
        <is>
          <t>NEW-0398</t>
        </is>
      </c>
      <c r="B211" s="23">
        <f>IFERROR(IF(ISBLANK(INDEX(Backlog[Requirement Name],MATCH($A211,Backlog[Requirement ID],0))),"",INDEX(Backlog[Requirement Name],MATCH($A211,Backlog[Requirement ID],0))),"")</f>
        <v/>
      </c>
      <c r="C211" s="23">
        <f>IFERROR(IF(ISBLANK(INDEX(Backlog[Stream],MATCH($A211,Backlog[Requirement ID],0))),"",INDEX(Backlog[Stream],MATCH($A211,Backlog[Requirement ID],0))),"")</f>
        <v/>
      </c>
      <c r="D211" s="23">
        <f>IFERROR(IF(ISBLANK(INDEX(Backlog[Priority],MATCH($A211,Backlog[Requirement ID],0))),"",INDEX(Backlog[Priority],MATCH($A211,Backlog[Requirement ID],0))),"")</f>
        <v/>
      </c>
      <c r="E211" s="23">
        <f>IFERROR(IF(ISBLANK(INDEX(Backlog[Status],MATCH($A211,Backlog[Requirement ID],0))),"",INDEX(Backlog[Status],MATCH($A211,Backlog[Requirement ID],0))),"")</f>
        <v/>
      </c>
      <c r="F211" s="21" t="inlineStr">
        <is>
          <t>To Plan</t>
        </is>
      </c>
      <c r="G211" s="23">
        <f>IFERROR(IF(ISBLANK(INDEX(Backlog[HLE],MATCH($A211,Backlog[Requirement ID],0))),"",INDEX(Backlog[HLE],MATCH($A211,Backlog[Requirement ID],0))),"")</f>
        <v/>
      </c>
      <c r="H211" s="23">
        <f>IFERROR(VALUE(SUBSTITUTE($F211,"Sprint ","")),9999)</f>
        <v/>
      </c>
    </row>
    <row r="212" ht="15" customHeight="1">
      <c r="A212" s="21" t="inlineStr">
        <is>
          <t>NEW-0399</t>
        </is>
      </c>
      <c r="B212" s="23">
        <f>IFERROR(IF(ISBLANK(INDEX(Backlog[Requirement Name],MATCH($A212,Backlog[Requirement ID],0))),"",INDEX(Backlog[Requirement Name],MATCH($A212,Backlog[Requirement ID],0))),"")</f>
        <v/>
      </c>
      <c r="C212" s="23">
        <f>IFERROR(IF(ISBLANK(INDEX(Backlog[Stream],MATCH($A212,Backlog[Requirement ID],0))),"",INDEX(Backlog[Stream],MATCH($A212,Backlog[Requirement ID],0))),"")</f>
        <v/>
      </c>
      <c r="D212" s="23">
        <f>IFERROR(IF(ISBLANK(INDEX(Backlog[Priority],MATCH($A212,Backlog[Requirement ID],0))),"",INDEX(Backlog[Priority],MATCH($A212,Backlog[Requirement ID],0))),"")</f>
        <v/>
      </c>
      <c r="E212" s="23">
        <f>IFERROR(IF(ISBLANK(INDEX(Backlog[Status],MATCH($A212,Backlog[Requirement ID],0))),"",INDEX(Backlog[Status],MATCH($A212,Backlog[Requirement ID],0))),"")</f>
        <v/>
      </c>
      <c r="F212" s="21" t="inlineStr">
        <is>
          <t>To Plan</t>
        </is>
      </c>
      <c r="G212" s="23">
        <f>IFERROR(IF(ISBLANK(INDEX(Backlog[HLE],MATCH($A212,Backlog[Requirement ID],0))),"",INDEX(Backlog[HLE],MATCH($A212,Backlog[Requirement ID],0))),"")</f>
        <v/>
      </c>
      <c r="H212" s="23">
        <f>IFERROR(VALUE(SUBSTITUTE($F212,"Sprint ","")),9999)</f>
        <v/>
      </c>
    </row>
    <row r="213" ht="15" customHeight="1">
      <c r="A213" s="21" t="inlineStr">
        <is>
          <t>NEW-0400</t>
        </is>
      </c>
      <c r="B213" s="23">
        <f>IFERROR(IF(ISBLANK(INDEX(Backlog[Requirement Name],MATCH($A213,Backlog[Requirement ID],0))),"",INDEX(Backlog[Requirement Name],MATCH($A213,Backlog[Requirement ID],0))),"")</f>
        <v/>
      </c>
      <c r="C213" s="23">
        <f>IFERROR(IF(ISBLANK(INDEX(Backlog[Stream],MATCH($A213,Backlog[Requirement ID],0))),"",INDEX(Backlog[Stream],MATCH($A213,Backlog[Requirement ID],0))),"")</f>
        <v/>
      </c>
      <c r="D213" s="23">
        <f>IFERROR(IF(ISBLANK(INDEX(Backlog[Priority],MATCH($A213,Backlog[Requirement ID],0))),"",INDEX(Backlog[Priority],MATCH($A213,Backlog[Requirement ID],0))),"")</f>
        <v/>
      </c>
      <c r="E213" s="23">
        <f>IFERROR(IF(ISBLANK(INDEX(Backlog[Status],MATCH($A213,Backlog[Requirement ID],0))),"",INDEX(Backlog[Status],MATCH($A213,Backlog[Requirement ID],0))),"")</f>
        <v/>
      </c>
      <c r="F213" s="21" t="inlineStr">
        <is>
          <t>To Plan</t>
        </is>
      </c>
      <c r="G213" s="23">
        <f>IFERROR(IF(ISBLANK(INDEX(Backlog[HLE],MATCH($A213,Backlog[Requirement ID],0))),"",INDEX(Backlog[HLE],MATCH($A213,Backlog[Requirement ID],0))),"")</f>
        <v/>
      </c>
      <c r="H213" s="23">
        <f>IFERROR(VALUE(SUBSTITUTE($F213,"Sprint ","")),9999)</f>
        <v/>
      </c>
    </row>
    <row r="214" ht="15" customHeight="1">
      <c r="A214" s="21" t="inlineStr">
        <is>
          <t>NEW-0401</t>
        </is>
      </c>
      <c r="B214" s="23">
        <f>IFERROR(IF(ISBLANK(INDEX(Backlog[Requirement Name],MATCH($A214,Backlog[Requirement ID],0))),"",INDEX(Backlog[Requirement Name],MATCH($A214,Backlog[Requirement ID],0))),"")</f>
        <v/>
      </c>
      <c r="C214" s="23">
        <f>IFERROR(IF(ISBLANK(INDEX(Backlog[Stream],MATCH($A214,Backlog[Requirement ID],0))),"",INDEX(Backlog[Stream],MATCH($A214,Backlog[Requirement ID],0))),"")</f>
        <v/>
      </c>
      <c r="D214" s="23">
        <f>IFERROR(IF(ISBLANK(INDEX(Backlog[Priority],MATCH($A214,Backlog[Requirement ID],0))),"",INDEX(Backlog[Priority],MATCH($A214,Backlog[Requirement ID],0))),"")</f>
        <v/>
      </c>
      <c r="E214" s="23">
        <f>IFERROR(IF(ISBLANK(INDEX(Backlog[Status],MATCH($A214,Backlog[Requirement ID],0))),"",INDEX(Backlog[Status],MATCH($A214,Backlog[Requirement ID],0))),"")</f>
        <v/>
      </c>
      <c r="F214" s="21" t="inlineStr">
        <is>
          <t>To Plan</t>
        </is>
      </c>
      <c r="G214" s="23">
        <f>IFERROR(IF(ISBLANK(INDEX(Backlog[HLE],MATCH($A214,Backlog[Requirement ID],0))),"",INDEX(Backlog[HLE],MATCH($A214,Backlog[Requirement ID],0))),"")</f>
        <v/>
      </c>
      <c r="H214" s="23">
        <f>IFERROR(VALUE(SUBSTITUTE($F214,"Sprint ","")),9999)</f>
        <v/>
      </c>
    </row>
    <row r="215" ht="15" customHeight="1">
      <c r="A215" s="21" t="inlineStr">
        <is>
          <t>NEW-0402</t>
        </is>
      </c>
      <c r="B215" s="23">
        <f>IFERROR(IF(ISBLANK(INDEX(Backlog[Requirement Name],MATCH($A215,Backlog[Requirement ID],0))),"",INDEX(Backlog[Requirement Name],MATCH($A215,Backlog[Requirement ID],0))),"")</f>
        <v/>
      </c>
      <c r="C215" s="23">
        <f>IFERROR(IF(ISBLANK(INDEX(Backlog[Stream],MATCH($A215,Backlog[Requirement ID],0))),"",INDEX(Backlog[Stream],MATCH($A215,Backlog[Requirement ID],0))),"")</f>
        <v/>
      </c>
      <c r="D215" s="23">
        <f>IFERROR(IF(ISBLANK(INDEX(Backlog[Priority],MATCH($A215,Backlog[Requirement ID],0))),"",INDEX(Backlog[Priority],MATCH($A215,Backlog[Requirement ID],0))),"")</f>
        <v/>
      </c>
      <c r="E215" s="23">
        <f>IFERROR(IF(ISBLANK(INDEX(Backlog[Status],MATCH($A215,Backlog[Requirement ID],0))),"",INDEX(Backlog[Status],MATCH($A215,Backlog[Requirement ID],0))),"")</f>
        <v/>
      </c>
      <c r="F215" s="21" t="inlineStr">
        <is>
          <t>To Plan</t>
        </is>
      </c>
      <c r="G215" s="23">
        <f>IFERROR(IF(ISBLANK(INDEX(Backlog[HLE],MATCH($A215,Backlog[Requirement ID],0))),"",INDEX(Backlog[HLE],MATCH($A215,Backlog[Requirement ID],0))),"")</f>
        <v/>
      </c>
      <c r="H215" s="23">
        <f>IFERROR(VALUE(SUBSTITUTE($F215,"Sprint ","")),9999)</f>
        <v/>
      </c>
    </row>
    <row r="216" ht="15" customHeight="1">
      <c r="A216" s="21" t="inlineStr">
        <is>
          <t>NEW-0403</t>
        </is>
      </c>
      <c r="B216" s="23">
        <f>IFERROR(IF(ISBLANK(INDEX(Backlog[Requirement Name],MATCH($A216,Backlog[Requirement ID],0))),"",INDEX(Backlog[Requirement Name],MATCH($A216,Backlog[Requirement ID],0))),"")</f>
        <v/>
      </c>
      <c r="C216" s="23">
        <f>IFERROR(IF(ISBLANK(INDEX(Backlog[Stream],MATCH($A216,Backlog[Requirement ID],0))),"",INDEX(Backlog[Stream],MATCH($A216,Backlog[Requirement ID],0))),"")</f>
        <v/>
      </c>
      <c r="D216" s="23">
        <f>IFERROR(IF(ISBLANK(INDEX(Backlog[Priority],MATCH($A216,Backlog[Requirement ID],0))),"",INDEX(Backlog[Priority],MATCH($A216,Backlog[Requirement ID],0))),"")</f>
        <v/>
      </c>
      <c r="E216" s="23">
        <f>IFERROR(IF(ISBLANK(INDEX(Backlog[Status],MATCH($A216,Backlog[Requirement ID],0))),"",INDEX(Backlog[Status],MATCH($A216,Backlog[Requirement ID],0))),"")</f>
        <v/>
      </c>
      <c r="F216" s="21" t="inlineStr">
        <is>
          <t>To Plan</t>
        </is>
      </c>
      <c r="G216" s="23">
        <f>IFERROR(IF(ISBLANK(INDEX(Backlog[HLE],MATCH($A216,Backlog[Requirement ID],0))),"",INDEX(Backlog[HLE],MATCH($A216,Backlog[Requirement ID],0))),"")</f>
        <v/>
      </c>
      <c r="H216" s="23">
        <f>IFERROR(VALUE(SUBSTITUTE($F216,"Sprint ","")),9999)</f>
        <v/>
      </c>
    </row>
    <row r="217" ht="15" customHeight="1">
      <c r="A217" s="21" t="inlineStr">
        <is>
          <t>NEW-0404</t>
        </is>
      </c>
      <c r="B217" s="23">
        <f>IFERROR(IF(ISBLANK(INDEX(Backlog[Requirement Name],MATCH($A217,Backlog[Requirement ID],0))),"",INDEX(Backlog[Requirement Name],MATCH($A217,Backlog[Requirement ID],0))),"")</f>
        <v/>
      </c>
      <c r="C217" s="23">
        <f>IFERROR(IF(ISBLANK(INDEX(Backlog[Stream],MATCH($A217,Backlog[Requirement ID],0))),"",INDEX(Backlog[Stream],MATCH($A217,Backlog[Requirement ID],0))),"")</f>
        <v/>
      </c>
      <c r="D217" s="23">
        <f>IFERROR(IF(ISBLANK(INDEX(Backlog[Priority],MATCH($A217,Backlog[Requirement ID],0))),"",INDEX(Backlog[Priority],MATCH($A217,Backlog[Requirement ID],0))),"")</f>
        <v/>
      </c>
      <c r="E217" s="23">
        <f>IFERROR(IF(ISBLANK(INDEX(Backlog[Status],MATCH($A217,Backlog[Requirement ID],0))),"",INDEX(Backlog[Status],MATCH($A217,Backlog[Requirement ID],0))),"")</f>
        <v/>
      </c>
      <c r="F217" s="21" t="inlineStr">
        <is>
          <t>To Plan</t>
        </is>
      </c>
      <c r="G217" s="23">
        <f>IFERROR(IF(ISBLANK(INDEX(Backlog[HLE],MATCH($A217,Backlog[Requirement ID],0))),"",INDEX(Backlog[HLE],MATCH($A217,Backlog[Requirement ID],0))),"")</f>
        <v/>
      </c>
      <c r="H217" s="23">
        <f>IFERROR(VALUE(SUBSTITUTE($F217,"Sprint ","")),9999)</f>
        <v/>
      </c>
    </row>
    <row r="218" ht="15" customHeight="1">
      <c r="A218" s="21" t="inlineStr">
        <is>
          <t>NEW-0042</t>
        </is>
      </c>
      <c r="B218" s="23">
        <f>IFERROR(IF(ISBLANK(INDEX(Backlog[Requirement Name],MATCH($A218,Backlog[Requirement ID],0))),"",INDEX(Backlog[Requirement Name],MATCH($A218,Backlog[Requirement ID],0))),"")</f>
        <v/>
      </c>
      <c r="C218" s="23">
        <f>IFERROR(IF(ISBLANK(INDEX(Backlog[Stream],MATCH($A218,Backlog[Requirement ID],0))),"",INDEX(Backlog[Stream],MATCH($A218,Backlog[Requirement ID],0))),"")</f>
        <v/>
      </c>
      <c r="D218" s="23">
        <f>IFERROR(IF(ISBLANK(INDEX(Backlog[Priority],MATCH($A218,Backlog[Requirement ID],0))),"",INDEX(Backlog[Priority],MATCH($A218,Backlog[Requirement ID],0))),"")</f>
        <v/>
      </c>
      <c r="E218" s="23">
        <f>IFERROR(IF(ISBLANK(INDEX(Backlog[Status],MATCH($A218,Backlog[Requirement ID],0))),"",INDEX(Backlog[Status],MATCH($A218,Backlog[Requirement ID],0))),"")</f>
        <v/>
      </c>
      <c r="F218" s="21" t="inlineStr">
        <is>
          <t>Sprint 8</t>
        </is>
      </c>
      <c r="G218" s="23">
        <f>IFERROR(IF(ISBLANK(INDEX(Backlog[HLE],MATCH($A218,Backlog[Requirement ID],0))),"",INDEX(Backlog[HLE],MATCH($A218,Backlog[Requirement ID],0))),"")</f>
        <v/>
      </c>
      <c r="H218" s="23">
        <f>IFERROR(VALUE(SUBSTITUTE($F218,"Sprint ","")),9999)</f>
        <v/>
      </c>
    </row>
    <row r="219" ht="15" customHeight="1">
      <c r="A219" s="21" t="inlineStr">
        <is>
          <t>NEW-0405</t>
        </is>
      </c>
      <c r="B219" s="23">
        <f>IFERROR(IF(ISBLANK(INDEX(Backlog[Requirement Name],MATCH($A219,Backlog[Requirement ID],0))),"",INDEX(Backlog[Requirement Name],MATCH($A219,Backlog[Requirement ID],0))),"")</f>
        <v/>
      </c>
      <c r="C219" s="23">
        <f>IFERROR(IF(ISBLANK(INDEX(Backlog[Stream],MATCH($A219,Backlog[Requirement ID],0))),"",INDEX(Backlog[Stream],MATCH($A219,Backlog[Requirement ID],0))),"")</f>
        <v/>
      </c>
      <c r="D219" s="23">
        <f>IFERROR(IF(ISBLANK(INDEX(Backlog[Priority],MATCH($A219,Backlog[Requirement ID],0))),"",INDEX(Backlog[Priority],MATCH($A219,Backlog[Requirement ID],0))),"")</f>
        <v/>
      </c>
      <c r="E219" s="23">
        <f>IFERROR(IF(ISBLANK(INDEX(Backlog[Status],MATCH($A219,Backlog[Requirement ID],0))),"",INDEX(Backlog[Status],MATCH($A219,Backlog[Requirement ID],0))),"")</f>
        <v/>
      </c>
      <c r="F219" s="21" t="inlineStr">
        <is>
          <t>To Plan</t>
        </is>
      </c>
      <c r="G219" s="23">
        <f>IFERROR(IF(ISBLANK(INDEX(Backlog[HLE],MATCH($A219,Backlog[Requirement ID],0))),"",INDEX(Backlog[HLE],MATCH($A219,Backlog[Requirement ID],0))),"")</f>
        <v/>
      </c>
      <c r="H219" s="23">
        <f>IFERROR(VALUE(SUBSTITUTE($F219,"Sprint ","")),9999)</f>
        <v/>
      </c>
    </row>
    <row r="220" ht="15" customHeight="1">
      <c r="A220" t="inlineStr">
        <is>
          <t>NEW-0408</t>
        </is>
      </c>
      <c r="B220">
        <f>IFERROR(IF(ISBLANK(INDEX(Backlog[Requirement Name],MATCH($A220,Backlog[Requirement ID],0))),"",INDEX(Backlog[Requirement Name],MATCH($A220,Backlog[Requirement ID],0))),"")</f>
        <v/>
      </c>
      <c r="C220">
        <f>IFERROR(IF(ISBLANK(INDEX(Backlog[Stream],MATCH($A220,Backlog[Requirement ID],0))),"",INDEX(Backlog[Stream],MATCH($A220,Backlog[Requirement ID],0))),"")</f>
        <v/>
      </c>
      <c r="D220">
        <f>IFERROR(IF(ISBLANK(INDEX(Backlog[Priority],MATCH($A220,Backlog[Requirement ID],0))),"",INDEX(Backlog[Priority],MATCH($A220,Backlog[Requirement ID],0))),"")</f>
        <v/>
      </c>
      <c r="E220">
        <f>IFERROR(IF(ISBLANK(INDEX(Backlog[Status],MATCH($A220,Backlog[Requirement ID],0))),"",INDEX(Backlog[Status],MATCH($A220,Backlog[Requirement ID],0))),"")</f>
        <v/>
      </c>
      <c r="F220" t="inlineStr">
        <is>
          <t>Sprint 10</t>
        </is>
      </c>
      <c r="G220">
        <f>IFERROR(IF(ISBLANK(INDEX(Backlog[HLE],MATCH($A220,Backlog[Requirement ID],0))),"",INDEX(Backlog[HLE],MATCH($A220,Backlog[Requirement ID],0))),"")</f>
        <v/>
      </c>
      <c r="H220">
        <f>IFERROR(VALUE(SUBSTITUTE($F220,"Sprint ","")),9999)</f>
        <v/>
      </c>
    </row>
    <row r="221" ht="15" customHeight="1">
      <c r="A221" t="inlineStr">
        <is>
          <t>NEW-0409</t>
        </is>
      </c>
      <c r="B221">
        <f>IFERROR(IF(ISBLANK(INDEX(Backlog[Requirement Name],MATCH($A221,Backlog[Requirement ID],0))),"",INDEX(Backlog[Requirement Name],MATCH($A221,Backlog[Requirement ID],0))),"")</f>
        <v/>
      </c>
      <c r="C221">
        <f>IFERROR(IF(ISBLANK(INDEX(Backlog[Stream],MATCH($A221,Backlog[Requirement ID],0))),"",INDEX(Backlog[Stream],MATCH($A221,Backlog[Requirement ID],0))),"")</f>
        <v/>
      </c>
      <c r="D221">
        <f>IFERROR(IF(ISBLANK(INDEX(Backlog[Priority],MATCH($A221,Backlog[Requirement ID],0))),"",INDEX(Backlog[Priority],MATCH($A221,Backlog[Requirement ID],0))),"")</f>
        <v/>
      </c>
      <c r="E221">
        <f>IFERROR(IF(ISBLANK(INDEX(Backlog[Status],MATCH($A221,Backlog[Requirement ID],0))),"",INDEX(Backlog[Status],MATCH($A221,Backlog[Requirement ID],0))),"")</f>
        <v/>
      </c>
      <c r="F221" t="inlineStr">
        <is>
          <t>Sprint 11</t>
        </is>
      </c>
      <c r="G221">
        <f>IFERROR(IF(ISBLANK(INDEX(Backlog[HLE],MATCH($A221,Backlog[Requirement ID],0))),"",INDEX(Backlog[HLE],MATCH($A221,Backlog[Requirement ID],0))),"")</f>
        <v/>
      </c>
      <c r="H221">
        <f>IFERROR(VALUE(SUBSTITUTE($F221,"Sprint ","")),9999)</f>
        <v/>
      </c>
    </row>
    <row r="222" ht="15" customHeight="1">
      <c r="A222" t="inlineStr">
        <is>
          <t>NEW-0410</t>
        </is>
      </c>
      <c r="B222">
        <f>IFERROR(IF(ISBLANK(INDEX(Backlog[Requirement Name],MATCH($A222,Backlog[Requirement ID],0))),"",INDEX(Backlog[Requirement Name],MATCH($A222,Backlog[Requirement ID],0))),"")</f>
        <v/>
      </c>
      <c r="C222">
        <f>IFERROR(IF(ISBLANK(INDEX(Backlog[Stream],MATCH($A222,Backlog[Requirement ID],0))),"",INDEX(Backlog[Stream],MATCH($A222,Backlog[Requirement ID],0))),"")</f>
        <v/>
      </c>
      <c r="D222">
        <f>IFERROR(IF(ISBLANK(INDEX(Backlog[Priority],MATCH($A222,Backlog[Requirement ID],0))),"",INDEX(Backlog[Priority],MATCH($A222,Backlog[Requirement ID],0))),"")</f>
        <v/>
      </c>
      <c r="E222">
        <f>IFERROR(IF(ISBLANK(INDEX(Backlog[Status],MATCH($A222,Backlog[Requirement ID],0))),"",INDEX(Backlog[Status],MATCH($A222,Backlog[Requirement ID],0))),"")</f>
        <v/>
      </c>
      <c r="F222" t="inlineStr">
        <is>
          <t>Sprint 11</t>
        </is>
      </c>
      <c r="G222">
        <f>IFERROR(IF(ISBLANK(INDEX(Backlog[HLE],MATCH($A222,Backlog[Requirement ID],0))),"",INDEX(Backlog[HLE],MATCH($A222,Backlog[Requirement ID],0))),"")</f>
        <v/>
      </c>
      <c r="H222">
        <f>IFERROR(VALUE(SUBSTITUTE($F222,"Sprint ","")),9999)</f>
        <v/>
      </c>
    </row>
    <row r="223" ht="15" customHeight="1">
      <c r="A223" t="inlineStr">
        <is>
          <t>NEW-0411</t>
        </is>
      </c>
      <c r="B223">
        <f>IFERROR(IF(ISBLANK(INDEX(Backlog[Requirement Name],MATCH($A223,Backlog[Requirement ID],0))),"",INDEX(Backlog[Requirement Name],MATCH($A223,Backlog[Requirement ID],0))),"")</f>
        <v/>
      </c>
      <c r="C223">
        <f>IFERROR(IF(ISBLANK(INDEX(Backlog[Stream],MATCH($A223,Backlog[Requirement ID],0))),"",INDEX(Backlog[Stream],MATCH($A223,Backlog[Requirement ID],0))),"")</f>
        <v/>
      </c>
      <c r="D223">
        <f>IFERROR(IF(ISBLANK(INDEX(Backlog[Priority],MATCH($A223,Backlog[Requirement ID],0))),"",INDEX(Backlog[Priority],MATCH($A223,Backlog[Requirement ID],0))),"")</f>
        <v/>
      </c>
      <c r="E223">
        <f>IFERROR(IF(ISBLANK(INDEX(Backlog[Status],MATCH($A223,Backlog[Requirement ID],0))),"",INDEX(Backlog[Status],MATCH($A223,Backlog[Requirement ID],0))),"")</f>
        <v/>
      </c>
      <c r="F223" t="inlineStr">
        <is>
          <t>Sprint 10</t>
        </is>
      </c>
      <c r="G223">
        <f>IFERROR(IF(ISBLANK(INDEX(Backlog[HLE],MATCH($A223,Backlog[Requirement ID],0))),"",INDEX(Backlog[HLE],MATCH($A223,Backlog[Requirement ID],0))),"")</f>
        <v/>
      </c>
      <c r="H223">
        <f>IFERROR(VALUE(SUBSTITUTE($F223,"Sprint ","")),9999)</f>
        <v/>
      </c>
    </row>
    <row r="224" ht="15" customHeight="1">
      <c r="A224" t="inlineStr">
        <is>
          <t>NEW-0412</t>
        </is>
      </c>
      <c r="B224">
        <f>IFERROR(IF(ISBLANK(INDEX(Backlog[Requirement Name],MATCH($A224,Backlog[Requirement ID],0))),"",INDEX(Backlog[Requirement Name],MATCH($A224,Backlog[Requirement ID],0))),"")</f>
        <v/>
      </c>
      <c r="C224">
        <f>IFERROR(IF(ISBLANK(INDEX(Backlog[Stream],MATCH($A224,Backlog[Requirement ID],0))),"",INDEX(Backlog[Stream],MATCH($A224,Backlog[Requirement ID],0))),"")</f>
        <v/>
      </c>
      <c r="D224">
        <f>IFERROR(IF(ISBLANK(INDEX(Backlog[Priority],MATCH($A224,Backlog[Requirement ID],0))),"",INDEX(Backlog[Priority],MATCH($A224,Backlog[Requirement ID],0))),"")</f>
        <v/>
      </c>
      <c r="E224">
        <f>IFERROR(IF(ISBLANK(INDEX(Backlog[Status],MATCH($A224,Backlog[Requirement ID],0))),"",INDEX(Backlog[Status],MATCH($A224,Backlog[Requirement ID],0))),"")</f>
        <v/>
      </c>
      <c r="F224" t="inlineStr">
        <is>
          <t>Sprint 10</t>
        </is>
      </c>
      <c r="G224">
        <f>IFERROR(IF(ISBLANK(INDEX(Backlog[HLE],MATCH($A224,Backlog[Requirement ID],0))),"",INDEX(Backlog[HLE],MATCH($A224,Backlog[Requirement ID],0))),"")</f>
        <v/>
      </c>
      <c r="H224">
        <f>IFERROR(VALUE(SUBSTITUTE($F224,"Sprint ","")),9999)</f>
        <v/>
      </c>
    </row>
    <row r="225" ht="15" customHeight="1">
      <c r="A225" t="inlineStr">
        <is>
          <t>NEW-0416</t>
        </is>
      </c>
      <c r="B225">
        <f>IFERROR(IF(ISBLANK(INDEX(Backlog[Requirement Name],MATCH($A225,Backlog[Requirement ID],0))),"",INDEX(Backlog[Requirement Name],MATCH($A225,Backlog[Requirement ID],0))),"")</f>
        <v/>
      </c>
      <c r="C225">
        <f>IFERROR(IF(ISBLANK(INDEX(Backlog[Stream],MATCH($A225,Backlog[Requirement ID],0))),"",INDEX(Backlog[Stream],MATCH($A225,Backlog[Requirement ID],0))),"")</f>
        <v/>
      </c>
      <c r="D225">
        <f>IFERROR(IF(ISBLANK(INDEX(Backlog[Priority],MATCH($A225,Backlog[Requirement ID],0))),"",INDEX(Backlog[Priority],MATCH($A225,Backlog[Requirement ID],0))),"")</f>
        <v/>
      </c>
      <c r="E225">
        <f>IFERROR(IF(ISBLANK(INDEX(Backlog[Status],MATCH($A225,Backlog[Requirement ID],0))),"",INDEX(Backlog[Status],MATCH($A225,Backlog[Requirement ID],0))),"")</f>
        <v/>
      </c>
      <c r="F225" t="inlineStr">
        <is>
          <t>Sprint 9</t>
        </is>
      </c>
      <c r="H225">
        <f>IFERROR(VALUE(SUBSTITUTE($F225,"Sprint ","")),9999)</f>
        <v/>
      </c>
    </row>
    <row r="226" ht="23.25" customHeight="1">
      <c r="A226" t="inlineStr">
        <is>
          <t>NEW-0417</t>
        </is>
      </c>
      <c r="B226">
        <f>IFERROR(IF(ISBLANK(INDEX(Backlog[Requirement Name],MATCH($A226,Backlog[Requirement ID],0))),"",INDEX(Backlog[Requirement Name],MATCH($A226,Backlog[Requirement ID],0))),"")</f>
        <v/>
      </c>
      <c r="C226">
        <f>IFERROR(IF(ISBLANK(INDEX(Backlog[Stream],MATCH($A226,Backlog[Requirement ID],0))),"",INDEX(Backlog[Stream],MATCH($A226,Backlog[Requirement ID],0))),"")</f>
        <v/>
      </c>
      <c r="D226">
        <f>IFERROR(IF(ISBLANK(INDEX(Backlog[Priority],MATCH($A226,Backlog[Requirement ID],0))),"",INDEX(Backlog[Priority],MATCH($A226,Backlog[Requirement ID],0))),"")</f>
        <v/>
      </c>
      <c r="E226">
        <f>IFERROR(IF(ISBLANK(INDEX(Backlog[Status],MATCH($A226,Backlog[Requirement ID],0))),"",INDEX(Backlog[Status],MATCH($A226,Backlog[Requirement ID],0))),"")</f>
        <v/>
      </c>
      <c r="F226" t="inlineStr">
        <is>
          <t>Sprint 8</t>
        </is>
      </c>
      <c r="G226">
        <f>IFERROR(IF(ISBLANK(INDEX(Backlog[HLE],MATCH($A226,Backlog[Requirement ID],0))),"",INDEX(Backlog[HLE],MATCH($A226,Backlog[Requirement ID],0))),"")</f>
        <v/>
      </c>
      <c r="H226">
        <f>IFERROR(VALUE(SUBSTITUTE($F226,"Sprint ","")),9999)</f>
        <v/>
      </c>
    </row>
    <row r="227" ht="15" customHeight="1">
      <c r="A227" t="inlineStr">
        <is>
          <t>NEW-0418</t>
        </is>
      </c>
      <c r="B227">
        <f>IFERROR(IF(ISBLANK(INDEX(Backlog[Requirement Name],MATCH($A227,Backlog[Requirement ID],0))),"",INDEX(Backlog[Requirement Name],MATCH($A227,Backlog[Requirement ID],0))),"")</f>
        <v/>
      </c>
      <c r="C227">
        <f>IFERROR(IF(ISBLANK(INDEX(Backlog[Stream],MATCH($A227,Backlog[Requirement ID],0))),"",INDEX(Backlog[Stream],MATCH($A227,Backlog[Requirement ID],0))),"")</f>
        <v/>
      </c>
      <c r="D227">
        <f>IFERROR(IF(ISBLANK(INDEX(Backlog[Priority],MATCH($A227,Backlog[Requirement ID],0))),"",INDEX(Backlog[Priority],MATCH($A227,Backlog[Requirement ID],0))),"")</f>
        <v/>
      </c>
      <c r="E227">
        <f>IFERROR(IF(ISBLANK(INDEX(Backlog[Status],MATCH($A227,Backlog[Requirement ID],0))),"",INDEX(Backlog[Status],MATCH($A227,Backlog[Requirement ID],0))),"")</f>
        <v/>
      </c>
      <c r="F227" t="inlineStr">
        <is>
          <t>Sprint 8</t>
        </is>
      </c>
      <c r="G227">
        <f>IFERROR(IF(ISBLANK(INDEX(Backlog[HLE],MATCH($A227,Backlog[Requirement ID],0))),"",INDEX(Backlog[HLE],MATCH($A227,Backlog[Requirement ID],0))),"")</f>
        <v/>
      </c>
      <c r="H227">
        <f>IFERROR(VALUE(SUBSTITUTE($F227,"Sprint ","")),9999)</f>
        <v/>
      </c>
    </row>
    <row r="228" ht="15" customHeight="1">
      <c r="A228" t="inlineStr">
        <is>
          <t>NEW-0419</t>
        </is>
      </c>
      <c r="B228">
        <f>IFERROR(IF(ISBLANK(INDEX(Backlog[Requirement Name],MATCH($A228,Backlog[Requirement ID],0))),"",INDEX(Backlog[Requirement Name],MATCH($A228,Backlog[Requirement ID],0))),"")</f>
        <v/>
      </c>
      <c r="C228">
        <f>IFERROR(IF(ISBLANK(INDEX(Backlog[Stream],MATCH($A228,Backlog[Requirement ID],0))),"",INDEX(Backlog[Stream],MATCH($A228,Backlog[Requirement ID],0))),"")</f>
        <v/>
      </c>
      <c r="D228">
        <f>IFERROR(IF(ISBLANK(INDEX(Backlog[Priority],MATCH($A228,Backlog[Requirement ID],0))),"",INDEX(Backlog[Priority],MATCH($A228,Backlog[Requirement ID],0))),"")</f>
        <v/>
      </c>
      <c r="E228">
        <f>IFERROR(IF(ISBLANK(INDEX(Backlog[Status],MATCH($A228,Backlog[Requirement ID],0))),"",INDEX(Backlog[Status],MATCH($A228,Backlog[Requirement ID],0))),"")</f>
        <v/>
      </c>
      <c r="F228" t="inlineStr">
        <is>
          <t>Sprint 3</t>
        </is>
      </c>
      <c r="G228">
        <f>IFERROR(IF(ISBLANK(INDEX(Backlog[HLE],MATCH($A228,Backlog[Requirement ID],0))),"",INDEX(Backlog[HLE],MATCH($A228,Backlog[Requirement ID],0))),"")</f>
        <v/>
      </c>
      <c r="H228">
        <f>IFERROR(VALUE(SUBSTITUTE($F228,"Sprint ","")),9999)</f>
        <v/>
      </c>
    </row>
    <row r="229" ht="15" customHeight="1">
      <c r="A229" t="inlineStr">
        <is>
          <t>NEW-0420</t>
        </is>
      </c>
      <c r="B229">
        <f>IFERROR(IF(ISBLANK(INDEX(Backlog[Requirement Name],MATCH($A229,Backlog[Requirement ID],0))),"",INDEX(Backlog[Requirement Name],MATCH($A229,Backlog[Requirement ID],0))),"")</f>
        <v/>
      </c>
      <c r="C229">
        <f>IFERROR(IF(ISBLANK(INDEX(Backlog[Stream],MATCH($A229,Backlog[Requirement ID],0))),"",INDEX(Backlog[Stream],MATCH($A229,Backlog[Requirement ID],0))),"")</f>
        <v/>
      </c>
      <c r="D229">
        <f>IFERROR(IF(ISBLANK(INDEX(Backlog[Priority],MATCH($A229,Backlog[Requirement ID],0))),"",INDEX(Backlog[Priority],MATCH($A229,Backlog[Requirement ID],0))),"")</f>
        <v/>
      </c>
      <c r="E229">
        <f>IFERROR(IF(ISBLANK(INDEX(Backlog[Status],MATCH($A229,Backlog[Requirement ID],0))),"",INDEX(Backlog[Status],MATCH($A229,Backlog[Requirement ID],0))),"")</f>
        <v/>
      </c>
      <c r="F229" t="inlineStr">
        <is>
          <t>Sprint 7</t>
        </is>
      </c>
      <c r="G229">
        <f>IFERROR(IF(ISBLANK(INDEX(Backlog[HLE],MATCH($A229,Backlog[Requirement ID],0))),"",INDEX(Backlog[HLE],MATCH($A229,Backlog[Requirement ID],0))),"")</f>
        <v/>
      </c>
      <c r="H229">
        <f>IFERROR(VALUE(SUBSTITUTE($F229,"Sprint ","")),9999)</f>
        <v/>
      </c>
    </row>
    <row r="230" ht="15" customHeight="1">
      <c r="A230" t="inlineStr">
        <is>
          <t>NEW-0421</t>
        </is>
      </c>
      <c r="B230">
        <f>IFERROR(IF(ISBLANK(INDEX(Backlog[Requirement Name],MATCH($A230,Backlog[Requirement ID],0))),"",INDEX(Backlog[Requirement Name],MATCH($A230,Backlog[Requirement ID],0))),"")</f>
        <v/>
      </c>
      <c r="C230">
        <f>IFERROR(IF(ISBLANK(INDEX(Backlog[Stream],MATCH($A230,Backlog[Requirement ID],0))),"",INDEX(Backlog[Stream],MATCH($A230,Backlog[Requirement ID],0))),"")</f>
        <v/>
      </c>
      <c r="D230">
        <f>IFERROR(IF(ISBLANK(INDEX(Backlog[Priority],MATCH($A230,Backlog[Requirement ID],0))),"",INDEX(Backlog[Priority],MATCH($A230,Backlog[Requirement ID],0))),"")</f>
        <v/>
      </c>
      <c r="E230">
        <f>IFERROR(IF(ISBLANK(INDEX(Backlog[Status],MATCH($A230,Backlog[Requirement ID],0))),"",INDEX(Backlog[Status],MATCH($A230,Backlog[Requirement ID],0))),"")</f>
        <v/>
      </c>
      <c r="F230" t="inlineStr">
        <is>
          <t>Sprint 7</t>
        </is>
      </c>
      <c r="G230">
        <f>IFERROR(IF(ISBLANK(INDEX(Backlog[HLE],MATCH($A230,Backlog[Requirement ID],0))),"",INDEX(Backlog[HLE],MATCH($A230,Backlog[Requirement ID],0))),"")</f>
        <v/>
      </c>
      <c r="H230">
        <f>IFERROR(VALUE(SUBSTITUTE($F230,"Sprint ","")),9999)</f>
        <v/>
      </c>
    </row>
    <row r="231" ht="15" customHeight="1">
      <c r="A231" t="inlineStr">
        <is>
          <t>NEW-0422</t>
        </is>
      </c>
      <c r="B231">
        <f>IFERROR(IF(ISBLANK(INDEX(Backlog[Requirement Name],MATCH($A231,Backlog[Requirement ID],0))),"",INDEX(Backlog[Requirement Name],MATCH($A231,Backlog[Requirement ID],0))),"")</f>
        <v/>
      </c>
      <c r="C231">
        <f>IFERROR(IF(ISBLANK(INDEX(Backlog[Stream],MATCH($A231,Backlog[Requirement ID],0))),"",INDEX(Backlog[Stream],MATCH($A231,Backlog[Requirement ID],0))),"")</f>
        <v/>
      </c>
      <c r="D231">
        <f>IFERROR(IF(ISBLANK(INDEX(Backlog[Priority],MATCH($A231,Backlog[Requirement ID],0))),"",INDEX(Backlog[Priority],MATCH($A231,Backlog[Requirement ID],0))),"")</f>
        <v/>
      </c>
      <c r="E231">
        <f>IFERROR(IF(ISBLANK(INDEX(Backlog[Status],MATCH($A231,Backlog[Requirement ID],0))),"",INDEX(Backlog[Status],MATCH($A231,Backlog[Requirement ID],0))),"")</f>
        <v/>
      </c>
      <c r="F231" t="inlineStr">
        <is>
          <t>Sprint 7</t>
        </is>
      </c>
      <c r="H231">
        <f>IFERROR(VALUE(SUBSTITUTE($F231,"Sprint ","")),9999)</f>
        <v/>
      </c>
    </row>
    <row r="232" ht="15" customHeight="1">
      <c r="A232" t="inlineStr">
        <is>
          <t>NEW-0423</t>
        </is>
      </c>
      <c r="B232">
        <f>IFERROR(IF(ISBLANK(INDEX(Backlog[Requirement Name],MATCH($A232,Backlog[Requirement ID],0))),"",INDEX(Backlog[Requirement Name],MATCH($A232,Backlog[Requirement ID],0))),"")</f>
        <v/>
      </c>
      <c r="C232">
        <f>IFERROR(IF(ISBLANK(INDEX(Backlog[Stream],MATCH($A232,Backlog[Requirement ID],0))),"",INDEX(Backlog[Stream],MATCH($A232,Backlog[Requirement ID],0))),"")</f>
        <v/>
      </c>
      <c r="D232">
        <f>IFERROR(IF(ISBLANK(INDEX(Backlog[Priority],MATCH($A232,Backlog[Requirement ID],0))),"",INDEX(Backlog[Priority],MATCH($A232,Backlog[Requirement ID],0))),"")</f>
        <v/>
      </c>
      <c r="E232">
        <f>IFERROR(IF(ISBLANK(INDEX(Backlog[Status],MATCH($A232,Backlog[Requirement ID],0))),"",INDEX(Backlog[Status],MATCH($A232,Backlog[Requirement ID],0))),"")</f>
        <v/>
      </c>
      <c r="F232" t="inlineStr">
        <is>
          <t>Sprint 3</t>
        </is>
      </c>
      <c r="G232">
        <f>IFERROR(IF(ISBLANK(INDEX(Backlog[HLE],MATCH($A232,Backlog[Requirement ID],0))),"",INDEX(Backlog[HLE],MATCH($A232,Backlog[Requirement ID],0))),"")</f>
        <v/>
      </c>
      <c r="H232">
        <f>IFERROR(VALUE(SUBSTITUTE($F232,"Sprint ","")),9999)</f>
        <v/>
      </c>
    </row>
    <row r="233" ht="15" customHeight="1">
      <c r="A233" t="inlineStr">
        <is>
          <t>NEW-0406</t>
        </is>
      </c>
      <c r="B233">
        <f>IFERROR(IF(ISBLANK(INDEX(Backlog[Requirement Name],MATCH($A233,Backlog[Requirement ID],0))),"",INDEX(Backlog[Requirement Name],MATCH($A233,Backlog[Requirement ID],0))),"")</f>
        <v/>
      </c>
      <c r="C233">
        <f>IFERROR(IF(ISBLANK(INDEX(Backlog[Stream],MATCH($A233,Backlog[Requirement ID],0))),"",INDEX(Backlog[Stream],MATCH($A233,Backlog[Requirement ID],0))),"")</f>
        <v/>
      </c>
      <c r="D233">
        <f>IFERROR(IF(ISBLANK(INDEX(Backlog[Priority],MATCH($A233,Backlog[Requirement ID],0))),"",INDEX(Backlog[Priority],MATCH($A233,Backlog[Requirement ID],0))),"")</f>
        <v/>
      </c>
      <c r="E233">
        <f>IFERROR(IF(ISBLANK(INDEX(Backlog[Status],MATCH($A233,Backlog[Requirement ID],0))),"",INDEX(Backlog[Status],MATCH($A233,Backlog[Requirement ID],0))),"")</f>
        <v/>
      </c>
      <c r="F233" t="inlineStr">
        <is>
          <t>Sprint 9</t>
        </is>
      </c>
      <c r="G233">
        <f>IFERROR(IF(ISBLANK(INDEX(Backlog[HLE],MATCH($A233,Backlog[Requirement ID],0))),"",INDEX(Backlog[HLE],MATCH($A233,Backlog[Requirement ID],0))),"")</f>
        <v/>
      </c>
      <c r="H233">
        <f>IFERROR(VALUE(SUBSTITUTE($F233,"Sprint ","")),9999)</f>
        <v/>
      </c>
    </row>
    <row r="234" ht="15" customHeight="1">
      <c r="A234" t="inlineStr">
        <is>
          <t>NEW-0407</t>
        </is>
      </c>
      <c r="B234">
        <f>IFERROR(IF(ISBLANK(INDEX(Backlog[Requirement Name],MATCH($A234,Backlog[Requirement ID],0))),"",INDEX(Backlog[Requirement Name],MATCH($A234,Backlog[Requirement ID],0))),"")</f>
        <v/>
      </c>
      <c r="C234">
        <f>IFERROR(IF(ISBLANK(INDEX(Backlog[Stream],MATCH($A234,Backlog[Requirement ID],0))),"",INDEX(Backlog[Stream],MATCH($A234,Backlog[Requirement ID],0))),"")</f>
        <v/>
      </c>
      <c r="D234">
        <f>IFERROR(IF(ISBLANK(INDEX(Backlog[Priority],MATCH($A234,Backlog[Requirement ID],0))),"",INDEX(Backlog[Priority],MATCH($A234,Backlog[Requirement ID],0))),"")</f>
        <v/>
      </c>
      <c r="E234">
        <f>IFERROR(IF(ISBLANK(INDEX(Backlog[Status],MATCH($A234,Backlog[Requirement ID],0))),"",INDEX(Backlog[Status],MATCH($A234,Backlog[Requirement ID],0))),"")</f>
        <v/>
      </c>
      <c r="F234" t="inlineStr">
        <is>
          <t>To Plan</t>
        </is>
      </c>
      <c r="G234">
        <f>IFERROR(IF(ISBLANK(INDEX(Backlog[HLE],MATCH($A234,Backlog[Requirement ID],0))),"",INDEX(Backlog[HLE],MATCH($A234,Backlog[Requirement ID],0))),"")</f>
        <v/>
      </c>
      <c r="H234">
        <f>IFERROR(VALUE(SUBSTITUTE($F234,"Sprint ","")),9999)</f>
        <v/>
      </c>
    </row>
    <row r="235" ht="15" customHeight="1">
      <c r="A235" t="inlineStr">
        <is>
          <t>NEW-0413</t>
        </is>
      </c>
      <c r="B235">
        <f>IFERROR(IF(ISBLANK(INDEX(Backlog[Requirement Name],MATCH($A235,Backlog[Requirement ID],0))),"",INDEX(Backlog[Requirement Name],MATCH($A235,Backlog[Requirement ID],0))),"")</f>
        <v/>
      </c>
      <c r="C235">
        <f>IFERROR(IF(ISBLANK(INDEX(Backlog[Stream],MATCH($A235,Backlog[Requirement ID],0))),"",INDEX(Backlog[Stream],MATCH($A235,Backlog[Requirement ID],0))),"")</f>
        <v/>
      </c>
      <c r="D235">
        <f>IFERROR(IF(ISBLANK(INDEX(Backlog[Priority],MATCH($A235,Backlog[Requirement ID],0))),"",INDEX(Backlog[Priority],MATCH($A235,Backlog[Requirement ID],0))),"")</f>
        <v/>
      </c>
      <c r="E235">
        <f>IFERROR(IF(ISBLANK(INDEX(Backlog[Status],MATCH($A235,Backlog[Requirement ID],0))),"",INDEX(Backlog[Status],MATCH($A235,Backlog[Requirement ID],0))),"")</f>
        <v/>
      </c>
      <c r="F235" t="inlineStr">
        <is>
          <t>To Plan</t>
        </is>
      </c>
      <c r="G235">
        <f>IFERROR(IF(ISBLANK(INDEX(Backlog[HLE],MATCH($A235,Backlog[Requirement ID],0))),"",INDEX(Backlog[HLE],MATCH($A235,Backlog[Requirement ID],0))),"")</f>
        <v/>
      </c>
      <c r="H235">
        <f>IFERROR(VALUE(SUBSTITUTE($F235,"Sprint ","")),9999)</f>
        <v/>
      </c>
    </row>
    <row r="236" ht="15" customHeight="1">
      <c r="A236" t="inlineStr">
        <is>
          <t>NEW-0414</t>
        </is>
      </c>
      <c r="B236">
        <f>IFERROR(IF(ISBLANK(INDEX(Backlog[Requirement Name],MATCH($A236,Backlog[Requirement ID],0))),"",INDEX(Backlog[Requirement Name],MATCH($A236,Backlog[Requirement ID],0))),"")</f>
        <v/>
      </c>
      <c r="C236">
        <f>IFERROR(IF(ISBLANK(INDEX(Backlog[Stream],MATCH($A236,Backlog[Requirement ID],0))),"",INDEX(Backlog[Stream],MATCH($A236,Backlog[Requirement ID],0))),"")</f>
        <v/>
      </c>
      <c r="D236">
        <f>IFERROR(IF(ISBLANK(INDEX(Backlog[Priority],MATCH($A236,Backlog[Requirement ID],0))),"",INDEX(Backlog[Priority],MATCH($A236,Backlog[Requirement ID],0))),"")</f>
        <v/>
      </c>
      <c r="E236">
        <f>IFERROR(IF(ISBLANK(INDEX(Backlog[Status],MATCH($A236,Backlog[Requirement ID],0))),"",INDEX(Backlog[Status],MATCH($A236,Backlog[Requirement ID],0))),"")</f>
        <v/>
      </c>
      <c r="F236" t="inlineStr">
        <is>
          <t>To Plan</t>
        </is>
      </c>
      <c r="G236">
        <f>IFERROR(IF(ISBLANK(INDEX(Backlog[HLE],MATCH($A236,Backlog[Requirement ID],0))),"",INDEX(Backlog[HLE],MATCH($A236,Backlog[Requirement ID],0))),"")</f>
        <v/>
      </c>
      <c r="H236">
        <f>IFERROR(VALUE(SUBSTITUTE($F236,"Sprint ","")),9999)</f>
        <v/>
      </c>
    </row>
    <row r="237" ht="15" customHeight="1">
      <c r="A237" t="inlineStr">
        <is>
          <t>NEW-0415</t>
        </is>
      </c>
      <c r="B237">
        <f>IFERROR(IF(ISBLANK(INDEX(Backlog[Requirement Name],MATCH($A237,Backlog[Requirement ID],0))),"",INDEX(Backlog[Requirement Name],MATCH($A237,Backlog[Requirement ID],0))),"")</f>
        <v/>
      </c>
      <c r="C237">
        <f>IFERROR(IF(ISBLANK(INDEX(Backlog[Stream],MATCH($A237,Backlog[Requirement ID],0))),"",INDEX(Backlog[Stream],MATCH($A237,Backlog[Requirement ID],0))),"")</f>
        <v/>
      </c>
      <c r="D237">
        <f>IFERROR(IF(ISBLANK(INDEX(Backlog[Priority],MATCH($A237,Backlog[Requirement ID],0))),"",INDEX(Backlog[Priority],MATCH($A237,Backlog[Requirement ID],0))),"")</f>
        <v/>
      </c>
      <c r="E237">
        <f>IFERROR(IF(ISBLANK(INDEX(Backlog[Status],MATCH($A237,Backlog[Requirement ID],0))),"",INDEX(Backlog[Status],MATCH($A237,Backlog[Requirement ID],0))),"")</f>
        <v/>
      </c>
      <c r="F237" t="inlineStr">
        <is>
          <t>To Plan</t>
        </is>
      </c>
      <c r="G237">
        <f>IFERROR(IF(ISBLANK(INDEX(Backlog[HLE],MATCH($A237,Backlog[Requirement ID],0))),"",INDEX(Backlog[HLE],MATCH($A237,Backlog[Requirement ID],0))),"")</f>
        <v/>
      </c>
      <c r="H237">
        <f>IFERROR(VALUE(SUBSTITUTE($F237,"Sprint ","")),9999)</f>
        <v/>
      </c>
    </row>
    <row r="238" ht="15" customHeight="1">
      <c r="A238" t="inlineStr">
        <is>
          <t>NEW-0424</t>
        </is>
      </c>
      <c r="B238">
        <f>IFERROR(IF(ISBLANK(INDEX(Backlog[Requirement Name],MATCH($A238,Backlog[Requirement ID],0))),"",INDEX(Backlog[Requirement Name],MATCH($A238,Backlog[Requirement ID],0))),"")</f>
        <v/>
      </c>
      <c r="C238">
        <f>IFERROR(IF(ISBLANK(INDEX(Backlog[Stream],MATCH($A238,Backlog[Requirement ID],0))),"",INDEX(Backlog[Stream],MATCH($A238,Backlog[Requirement ID],0))),"")</f>
        <v/>
      </c>
      <c r="D238">
        <f>IFERROR(IF(ISBLANK(INDEX(Backlog[Priority],MATCH($A238,Backlog[Requirement ID],0))),"",INDEX(Backlog[Priority],MATCH($A238,Backlog[Requirement ID],0))),"")</f>
        <v/>
      </c>
      <c r="E238">
        <f>IFERROR(IF(ISBLANK(INDEX(Backlog[Status],MATCH($A238,Backlog[Requirement ID],0))),"",INDEX(Backlog[Status],MATCH($A238,Backlog[Requirement ID],0))),"")</f>
        <v/>
      </c>
      <c r="F238" t="inlineStr">
        <is>
          <t>Sprint 3</t>
        </is>
      </c>
      <c r="G238">
        <f>IFERROR(IF(ISBLANK(INDEX(Backlog[HLE],MATCH($A238,Backlog[Requirement ID],0))),"",INDEX(Backlog[HLE],MATCH($A238,Backlog[Requirement ID],0))),"")</f>
        <v/>
      </c>
      <c r="H238">
        <f>IFERROR(VALUE(SUBSTITUTE($F238,"Sprint ","")),9999)</f>
        <v/>
      </c>
    </row>
    <row r="239" ht="15" customHeight="1">
      <c r="A239" t="inlineStr">
        <is>
          <t>NEW-0425</t>
        </is>
      </c>
      <c r="B239">
        <f>IFERROR(IF(ISBLANK(INDEX(Backlog[Requirement Name],MATCH($A239,Backlog[Requirement ID],0))),"",INDEX(Backlog[Requirement Name],MATCH($A239,Backlog[Requirement ID],0))),"")</f>
        <v/>
      </c>
      <c r="C239">
        <f>IFERROR(IF(ISBLANK(INDEX(Backlog[Stream],MATCH($A239,Backlog[Requirement ID],0))),"",INDEX(Backlog[Stream],MATCH($A239,Backlog[Requirement ID],0))),"")</f>
        <v/>
      </c>
      <c r="D239">
        <f>IFERROR(IF(ISBLANK(INDEX(Backlog[Priority],MATCH($A239,Backlog[Requirement ID],0))),"",INDEX(Backlog[Priority],MATCH($A239,Backlog[Requirement ID],0))),"")</f>
        <v/>
      </c>
      <c r="E239">
        <f>IFERROR(IF(ISBLANK(INDEX(Backlog[Status],MATCH($A239,Backlog[Requirement ID],0))),"",INDEX(Backlog[Status],MATCH($A239,Backlog[Requirement ID],0))),"")</f>
        <v/>
      </c>
      <c r="F239" t="inlineStr">
        <is>
          <t>Sprint 3</t>
        </is>
      </c>
      <c r="G239">
        <f>IFERROR(IF(ISBLANK(INDEX(Backlog[HLE],MATCH($A239,Backlog[Requirement ID],0))),"",INDEX(Backlog[HLE],MATCH($A239,Backlog[Requirement ID],0))),"")</f>
        <v/>
      </c>
      <c r="H239">
        <f>IFERROR(VALUE(SUBSTITUTE($F239,"Sprint ","")),9999)</f>
        <v/>
      </c>
    </row>
    <row r="240" ht="15" customHeight="1">
      <c r="A240" t="inlineStr">
        <is>
          <t>NEW-0426</t>
        </is>
      </c>
      <c r="B240">
        <f>IFERROR(IF(ISBLANK(INDEX(Backlog[Requirement Name],MATCH($A240,Backlog[Requirement ID],0))),"",INDEX(Backlog[Requirement Name],MATCH($A240,Backlog[Requirement ID],0))),"")</f>
        <v/>
      </c>
      <c r="C240">
        <f>IFERROR(IF(ISBLANK(INDEX(Backlog[Stream],MATCH($A240,Backlog[Requirement ID],0))),"",INDEX(Backlog[Stream],MATCH($A240,Backlog[Requirement ID],0))),"")</f>
        <v/>
      </c>
      <c r="D240">
        <f>IFERROR(IF(ISBLANK(INDEX(Backlog[Priority],MATCH($A240,Backlog[Requirement ID],0))),"",INDEX(Backlog[Priority],MATCH($A240,Backlog[Requirement ID],0))),"")</f>
        <v/>
      </c>
      <c r="E240">
        <f>IFERROR(IF(ISBLANK(INDEX(Backlog[Status],MATCH($A240,Backlog[Requirement ID],0))),"",INDEX(Backlog[Status],MATCH($A240,Backlog[Requirement ID],0))),"")</f>
        <v/>
      </c>
      <c r="F240" t="inlineStr">
        <is>
          <t>Sprint 9</t>
        </is>
      </c>
      <c r="G240">
        <f>IFERROR(IF(ISBLANK(INDEX(Backlog[HLE],MATCH($A240,Backlog[Requirement ID],0))),"",INDEX(Backlog[HLE],MATCH($A240,Backlog[Requirement ID],0))),"")</f>
        <v/>
      </c>
      <c r="H240">
        <f>IFERROR(VALUE(SUBSTITUTE($F240,"Sprint ","")),9999)</f>
        <v/>
      </c>
    </row>
    <row r="241" ht="15" customHeight="1">
      <c r="A241" t="inlineStr">
        <is>
          <t>NEW-0427</t>
        </is>
      </c>
      <c r="B241">
        <f>IFERROR(IF(ISBLANK(INDEX(Backlog[Requirement Name],MATCH($A241,Backlog[Requirement ID],0))),"",INDEX(Backlog[Requirement Name],MATCH($A241,Backlog[Requirement ID],0))),"")</f>
        <v/>
      </c>
      <c r="C241">
        <f>IFERROR(IF(ISBLANK(INDEX(Backlog[Stream],MATCH($A241,Backlog[Requirement ID],0))),"",INDEX(Backlog[Stream],MATCH($A241,Backlog[Requirement ID],0))),"")</f>
        <v/>
      </c>
      <c r="D241">
        <f>IFERROR(IF(ISBLANK(INDEX(Backlog[Priority],MATCH($A241,Backlog[Requirement ID],0))),"",INDEX(Backlog[Priority],MATCH($A241,Backlog[Requirement ID],0))),"")</f>
        <v/>
      </c>
      <c r="E241">
        <f>IFERROR(IF(ISBLANK(INDEX(Backlog[Status],MATCH($A241,Backlog[Requirement ID],0))),"",INDEX(Backlog[Status],MATCH($A241,Backlog[Requirement ID],0))),"")</f>
        <v/>
      </c>
      <c r="F241" t="inlineStr">
        <is>
          <t>Sprint 9</t>
        </is>
      </c>
      <c r="G241">
        <f>IFERROR(IF(ISBLANK(INDEX(Backlog[HLE],MATCH($A241,Backlog[Requirement ID],0))),"",INDEX(Backlog[HLE],MATCH($A241,Backlog[Requirement ID],0))),"")</f>
        <v/>
      </c>
      <c r="H241">
        <f>IFERROR(VALUE(SUBSTITUTE($F241,"Sprint ","")),9999)</f>
        <v/>
      </c>
    </row>
    <row r="242" ht="15" customHeight="1">
      <c r="A242" t="inlineStr">
        <is>
          <t>NEW-0428</t>
        </is>
      </c>
      <c r="B242">
        <f>IFERROR(IF(ISBLANK(INDEX(Backlog[Requirement Name],MATCH($A242,Backlog[Requirement ID],0))),"",INDEX(Backlog[Requirement Name],MATCH($A242,Backlog[Requirement ID],0))),"")</f>
        <v/>
      </c>
      <c r="C242">
        <f>IFERROR(IF(ISBLANK(INDEX(Backlog[Stream],MATCH($A242,Backlog[Requirement ID],0))),"",INDEX(Backlog[Stream],MATCH($A242,Backlog[Requirement ID],0))),"")</f>
        <v/>
      </c>
      <c r="D242">
        <f>IFERROR(IF(ISBLANK(INDEX(Backlog[Priority],MATCH($A242,Backlog[Requirement ID],0))),"",INDEX(Backlog[Priority],MATCH($A242,Backlog[Requirement ID],0))),"")</f>
        <v/>
      </c>
      <c r="E242">
        <f>IFERROR(IF(ISBLANK(INDEX(Backlog[Status],MATCH($A242,Backlog[Requirement ID],0))),"",INDEX(Backlog[Status],MATCH($A242,Backlog[Requirement ID],0))),"")</f>
        <v/>
      </c>
      <c r="F242" t="inlineStr">
        <is>
          <t>Sprint 9</t>
        </is>
      </c>
      <c r="G242">
        <f>IFERROR(IF(ISBLANK(INDEX(Backlog[HLE],MATCH($A242,Backlog[Requirement ID],0))),"",INDEX(Backlog[HLE],MATCH($A242,Backlog[Requirement ID],0))),"")</f>
        <v/>
      </c>
      <c r="H242">
        <f>IFERROR(VALUE(SUBSTITUTE($F242,"Sprint ","")),9999)</f>
        <v/>
      </c>
    </row>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sheetData>
  <mergeCells count="1">
    <mergeCell ref="I1:J1"/>
  </mergeCells>
  <conditionalFormatting sqref="A2:H1000">
    <cfRule type="expression" priority="2" dxfId="7">
      <formula>$C2="US"</formula>
    </cfRule>
    <cfRule type="expression" priority="3" dxfId="6">
      <formula>$C2="MyMSC"</formula>
    </cfRule>
    <cfRule type="expression" priority="4" dxfId="4">
      <formula>$C2="Rollout"</formula>
    </cfRule>
    <cfRule type="expression" priority="5" dxfId="4">
      <formula>$C2="MVP Rollout"</formula>
    </cfRule>
    <cfRule type="expression" priority="6" dxfId="2">
      <formula>$C2="Backlog"</formula>
    </cfRule>
    <cfRule type="expression" priority="7" dxfId="2">
      <formula>$C2="Growth"</formula>
    </cfRule>
    <cfRule type="expression" priority="8" dxfId="1">
      <formula>$C2="Tech Enhancements"</formula>
    </cfRule>
    <cfRule type="expression" priority="9" dxfId="0">
      <formula>LEFT($C2,2)="PI"</formula>
    </cfRule>
  </conditionalFormatting>
  <dataValidations count="1">
    <dataValidation sqref="F2:F500" showDropDown="0" showInputMessage="0" showErrorMessage="0" allowBlank="1" type="list">
      <formula1>"To Plan,Sprint 1,Sprint 2,Sprint 3,Sprint 4,Sprint 5,Sprint 6,Sprint 7,Sprint 8,Sprint 9,Sprint 10,Sprint 11,Sprint 12,Sprint 13,Sprint 14,Sprint 15,Sprint 16"</formula1>
      <formula2>0</formula2>
    </dataValidation>
  </dataValidations>
  <pageMargins left="0.75" right="0.75" top="1" bottom="1" header="0.511811023622047" footer="0.511811023622047"/>
  <pageSetup orientation="portrait" paperSize="9" horizontalDpi="300" verticalDpi="300"/>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T500"/>
  <sheetViews>
    <sheetView zoomScaleNormal="100" workbookViewId="0">
      <pane xSplit="1" ySplit="3" topLeftCell="B22" activePane="bottomRight" state="frozen"/>
      <selection pane="topRight" activeCell="B1" sqref="B1"/>
      <selection pane="bottomLeft" activeCell="A22" sqref="A22"/>
      <selection pane="bottomRight" activeCell="J20" sqref="J20"/>
    </sheetView>
  </sheetViews>
  <sheetFormatPr baseColWidth="10" defaultColWidth="8.6640625" defaultRowHeight="15"/>
  <cols>
    <col width="16" customWidth="1" min="1" max="1"/>
    <col width="34.83203125" customWidth="1" min="2" max="2"/>
    <col width="11" customWidth="1" min="3" max="18"/>
    <col hidden="1" width="13" customWidth="1" min="20" max="20"/>
  </cols>
  <sheetData>
    <row r="1" ht="15" customHeight="1">
      <c r="A1" s="48" t="inlineStr">
        <is>
          <t>Roadmap — Total HLE by Stream and Sprint (all team, view only)</t>
        </is>
      </c>
      <c r="T1" t="inlineStr">
        <is>
          <t>Gantt Order (helper)</t>
        </is>
      </c>
    </row>
    <row r="2" ht="15" customHeight="1">
      <c r="T2">
        <f>IF(AND('Sprint Planning'!$H2&gt;=10,'Sprint Planning'!$H2&lt;=16),IFERROR(MATCH('Sprint Planning'!$C2,Roadmap!$A$4:$A$15,0),99)*100+'Sprint Planning'!$H2+2/100000,"")</f>
        <v/>
      </c>
    </row>
    <row r="3" ht="15" customHeight="1">
      <c r="A3" s="17" t="inlineStr">
        <is>
          <t>Stream</t>
        </is>
      </c>
      <c r="B3" s="17" t="inlineStr">
        <is>
          <t>Sprint 1</t>
        </is>
      </c>
      <c r="C3" s="17" t="inlineStr">
        <is>
          <t>Sprint 2</t>
        </is>
      </c>
      <c r="D3" s="17" t="inlineStr">
        <is>
          <t>Sprint 3</t>
        </is>
      </c>
      <c r="E3" s="17" t="inlineStr">
        <is>
          <t>Sprint 4</t>
        </is>
      </c>
      <c r="F3" s="17" t="inlineStr">
        <is>
          <t>Sprint 5</t>
        </is>
      </c>
      <c r="G3" s="17" t="inlineStr">
        <is>
          <t>Sprint 6</t>
        </is>
      </c>
      <c r="H3" s="17" t="inlineStr">
        <is>
          <t>Sprint 7</t>
        </is>
      </c>
      <c r="I3" s="17" t="inlineStr">
        <is>
          <t>Sprint 8</t>
        </is>
      </c>
      <c r="J3" s="17" t="inlineStr">
        <is>
          <t>Sprint 9</t>
        </is>
      </c>
      <c r="K3" s="17" t="inlineStr">
        <is>
          <t>Sprint 10</t>
        </is>
      </c>
      <c r="L3" s="17" t="inlineStr">
        <is>
          <t>Sprint 11</t>
        </is>
      </c>
      <c r="M3" s="17" t="inlineStr">
        <is>
          <t>Sprint 12</t>
        </is>
      </c>
      <c r="N3" s="17" t="inlineStr">
        <is>
          <t>Sprint 13</t>
        </is>
      </c>
      <c r="O3" s="17" t="inlineStr">
        <is>
          <t>Sprint 14</t>
        </is>
      </c>
      <c r="P3" s="17" t="inlineStr">
        <is>
          <t>Sprint 15</t>
        </is>
      </c>
      <c r="Q3" s="17" t="inlineStr">
        <is>
          <t>Sprint 16</t>
        </is>
      </c>
      <c r="R3" s="17" t="inlineStr">
        <is>
          <t>Total</t>
        </is>
      </c>
      <c r="T3">
        <f>IF(AND('Sprint Planning'!$H3&gt;=10,'Sprint Planning'!$H3&lt;=16),IFERROR(MATCH('Sprint Planning'!$C3,Roadmap!$A$4:$A$15,0),99)*100+'Sprint Planning'!$H3+3/100000,"")</f>
        <v/>
      </c>
    </row>
    <row r="4" ht="15" customHeight="1">
      <c r="A4" s="32" t="inlineStr">
        <is>
          <t>US</t>
        </is>
      </c>
      <c r="B4" s="32">
        <f>SUMIFS(SprintPlanning[HLE],SprintPlanning[Stream],$A4,SprintPlanning[Sprint],B$3)</f>
        <v/>
      </c>
      <c r="C4" s="32">
        <f>SUMIFS(SprintPlanning[HLE],SprintPlanning[Stream],$A4,SprintPlanning[Sprint],C$3)</f>
        <v/>
      </c>
      <c r="D4" s="32">
        <f>SUMIFS(SprintPlanning[HLE],SprintPlanning[Stream],$A4,SprintPlanning[Sprint],D$3)</f>
        <v/>
      </c>
      <c r="E4" s="32">
        <f>SUMIFS(SprintPlanning[HLE],SprintPlanning[Stream],$A4,SprintPlanning[Sprint],E$3)</f>
        <v/>
      </c>
      <c r="F4" s="32">
        <f>SUMIFS(SprintPlanning[HLE],SprintPlanning[Stream],$A4,SprintPlanning[Sprint],F$3)</f>
        <v/>
      </c>
      <c r="G4" s="32">
        <f>SUMIFS(SprintPlanning[HLE],SprintPlanning[Stream],$A4,SprintPlanning[Sprint],G$3)</f>
        <v/>
      </c>
      <c r="H4" s="32">
        <f>SUMIFS(SprintPlanning[HLE],SprintPlanning[Stream],$A4,SprintPlanning[Sprint],H$3)</f>
        <v/>
      </c>
      <c r="I4" s="32">
        <f>SUMIFS(SprintPlanning[HLE],SprintPlanning[Stream],$A4,SprintPlanning[Sprint],I$3)</f>
        <v/>
      </c>
      <c r="J4" s="32">
        <f>SUMIFS(SprintPlanning[HLE],SprintPlanning[Stream],$A4,SprintPlanning[Sprint],J$3)</f>
        <v/>
      </c>
      <c r="K4" s="32">
        <f>SUMIFS(SprintPlanning[HLE],SprintPlanning[Stream],$A4,SprintPlanning[Sprint],K$3)</f>
        <v/>
      </c>
      <c r="L4" s="32">
        <f>SUMIFS(SprintPlanning[HLE],SprintPlanning[Stream],$A4,SprintPlanning[Sprint],L$3)</f>
        <v/>
      </c>
      <c r="M4" s="32">
        <f>SUMIFS(SprintPlanning[HLE],SprintPlanning[Stream],$A4,SprintPlanning[Sprint],M$3)</f>
        <v/>
      </c>
      <c r="N4" s="32">
        <f>SUMIFS(SprintPlanning[HLE],SprintPlanning[Stream],$A4,SprintPlanning[Sprint],N$3)</f>
        <v/>
      </c>
      <c r="O4" s="32">
        <f>SUMIFS(SprintPlanning[HLE],SprintPlanning[Stream],$A4,SprintPlanning[Sprint],O$3)</f>
        <v/>
      </c>
      <c r="P4" s="32">
        <f>SUMIFS(SprintPlanning[HLE],SprintPlanning[Stream],$A4,SprintPlanning[Sprint],P$3)</f>
        <v/>
      </c>
      <c r="Q4" s="32">
        <f>SUMIFS(SprintPlanning[HLE],SprintPlanning[Stream],$A4,SprintPlanning[Sprint],Q$3)</f>
        <v/>
      </c>
      <c r="R4" s="49">
        <f>SUM(B4:Q4)</f>
        <v/>
      </c>
      <c r="T4">
        <f>IF(AND('Sprint Planning'!$H4&gt;=10,'Sprint Planning'!$H4&lt;=16),IFERROR(MATCH('Sprint Planning'!$C4,Roadmap!$A$4:$A$15,0),99)*100+'Sprint Planning'!$H4+4/100000,"")</f>
        <v/>
      </c>
    </row>
    <row r="5" ht="15" customHeight="1">
      <c r="A5" s="32" t="inlineStr">
        <is>
          <t>MyMSC</t>
        </is>
      </c>
      <c r="B5" s="32">
        <f>SUMIFS(SprintPlanning[HLE],SprintPlanning[Stream],$A5,SprintPlanning[Sprint],B$3)</f>
        <v/>
      </c>
      <c r="C5" s="32">
        <f>SUMIFS(SprintPlanning[HLE],SprintPlanning[Stream],$A5,SprintPlanning[Sprint],C$3)</f>
        <v/>
      </c>
      <c r="D5" s="32">
        <f>SUMIFS(SprintPlanning[HLE],SprintPlanning[Stream],$A5,SprintPlanning[Sprint],D$3)</f>
        <v/>
      </c>
      <c r="E5" s="32">
        <f>SUMIFS(SprintPlanning[HLE],SprintPlanning[Stream],$A5,SprintPlanning[Sprint],E$3)</f>
        <v/>
      </c>
      <c r="F5" s="32">
        <f>SUMIFS(SprintPlanning[HLE],SprintPlanning[Stream],$A5,SprintPlanning[Sprint],F$3)</f>
        <v/>
      </c>
      <c r="G5" s="32">
        <f>SUMIFS(SprintPlanning[HLE],SprintPlanning[Stream],$A5,SprintPlanning[Sprint],G$3)</f>
        <v/>
      </c>
      <c r="H5" s="32">
        <f>SUMIFS(SprintPlanning[HLE],SprintPlanning[Stream],$A5,SprintPlanning[Sprint],H$3)</f>
        <v/>
      </c>
      <c r="I5" s="32">
        <f>SUMIFS(SprintPlanning[HLE],SprintPlanning[Stream],$A5,SprintPlanning[Sprint],I$3)</f>
        <v/>
      </c>
      <c r="J5" s="32">
        <f>SUMIFS(SprintPlanning[HLE],SprintPlanning[Stream],$A5,SprintPlanning[Sprint],J$3)</f>
        <v/>
      </c>
      <c r="K5" s="32">
        <f>SUMIFS(SprintPlanning[HLE],SprintPlanning[Stream],$A5,SprintPlanning[Sprint],K$3)</f>
        <v/>
      </c>
      <c r="L5" s="32">
        <f>SUMIFS(SprintPlanning[HLE],SprintPlanning[Stream],$A5,SprintPlanning[Sprint],L$3)</f>
        <v/>
      </c>
      <c r="M5" s="32">
        <f>SUMIFS(SprintPlanning[HLE],SprintPlanning[Stream],$A5,SprintPlanning[Sprint],M$3)</f>
        <v/>
      </c>
      <c r="N5" s="32">
        <f>SUMIFS(SprintPlanning[HLE],SprintPlanning[Stream],$A5,SprintPlanning[Sprint],N$3)</f>
        <v/>
      </c>
      <c r="O5" s="32">
        <f>SUMIFS(SprintPlanning[HLE],SprintPlanning[Stream],$A5,SprintPlanning[Sprint],O$3)</f>
        <v/>
      </c>
      <c r="P5" s="32">
        <f>SUMIFS(SprintPlanning[HLE],SprintPlanning[Stream],$A5,SprintPlanning[Sprint],P$3)</f>
        <v/>
      </c>
      <c r="Q5" s="32">
        <f>SUMIFS(SprintPlanning[HLE],SprintPlanning[Stream],$A5,SprintPlanning[Sprint],Q$3)</f>
        <v/>
      </c>
      <c r="R5" s="49">
        <f>SUM(B5:Q5)</f>
        <v/>
      </c>
      <c r="T5">
        <f>IF(AND('Sprint Planning'!$H5&gt;=10,'Sprint Planning'!$H5&lt;=16),IFERROR(MATCH('Sprint Planning'!$C5,Roadmap!$A$4:$A$15,0),99)*100+'Sprint Planning'!$H5+5/100000,"")</f>
        <v/>
      </c>
    </row>
    <row r="6" ht="15" customHeight="1">
      <c r="A6" s="32" t="inlineStr">
        <is>
          <t>Growth</t>
        </is>
      </c>
      <c r="B6" s="32">
        <f>SUMIFS(SprintPlanning[HLE],SprintPlanning[Stream],$A6,SprintPlanning[Sprint],B$3)</f>
        <v/>
      </c>
      <c r="C6" s="32">
        <f>SUMIFS(SprintPlanning[HLE],SprintPlanning[Stream],$A6,SprintPlanning[Sprint],C$3)</f>
        <v/>
      </c>
      <c r="D6" s="32">
        <f>SUMIFS(SprintPlanning[HLE],SprintPlanning[Stream],$A6,SprintPlanning[Sprint],D$3)</f>
        <v/>
      </c>
      <c r="E6" s="32">
        <f>SUMIFS(SprintPlanning[HLE],SprintPlanning[Stream],$A6,SprintPlanning[Sprint],E$3)</f>
        <v/>
      </c>
      <c r="F6" s="32">
        <f>SUMIFS(SprintPlanning[HLE],SprintPlanning[Stream],$A6,SprintPlanning[Sprint],F$3)</f>
        <v/>
      </c>
      <c r="G6" s="32">
        <f>SUMIFS(SprintPlanning[HLE],SprintPlanning[Stream],$A6,SprintPlanning[Sprint],G$3)</f>
        <v/>
      </c>
      <c r="H6" s="32">
        <f>SUMIFS(SprintPlanning[HLE],SprintPlanning[Stream],$A6,SprintPlanning[Sprint],H$3)</f>
        <v/>
      </c>
      <c r="I6" s="32">
        <f>SUMIFS(SprintPlanning[HLE],SprintPlanning[Stream],$A6,SprintPlanning[Sprint],I$3)</f>
        <v/>
      </c>
      <c r="J6" s="32">
        <f>SUMIFS(SprintPlanning[HLE],SprintPlanning[Stream],$A6,SprintPlanning[Sprint],J$3)</f>
        <v/>
      </c>
      <c r="K6" s="32">
        <f>SUMIFS(SprintPlanning[HLE],SprintPlanning[Stream],$A6,SprintPlanning[Sprint],K$3)</f>
        <v/>
      </c>
      <c r="L6" s="32">
        <f>SUMIFS(SprintPlanning[HLE],SprintPlanning[Stream],$A6,SprintPlanning[Sprint],L$3)</f>
        <v/>
      </c>
      <c r="M6" s="32">
        <f>SUMIFS(SprintPlanning[HLE],SprintPlanning[Stream],$A6,SprintPlanning[Sprint],M$3)</f>
        <v/>
      </c>
      <c r="N6" s="32">
        <f>SUMIFS(SprintPlanning[HLE],SprintPlanning[Stream],$A6,SprintPlanning[Sprint],N$3)</f>
        <v/>
      </c>
      <c r="O6" s="32">
        <f>SUMIFS(SprintPlanning[HLE],SprintPlanning[Stream],$A6,SprintPlanning[Sprint],O$3)</f>
        <v/>
      </c>
      <c r="P6" s="32">
        <f>SUMIFS(SprintPlanning[HLE],SprintPlanning[Stream],$A6,SprintPlanning[Sprint],P$3)</f>
        <v/>
      </c>
      <c r="Q6" s="32">
        <f>SUMIFS(SprintPlanning[HLE],SprintPlanning[Stream],$A6,SprintPlanning[Sprint],Q$3)</f>
        <v/>
      </c>
      <c r="R6" s="49">
        <f>SUM(B6:Q6)</f>
        <v/>
      </c>
      <c r="T6">
        <f>IF(AND('Sprint Planning'!$H6&gt;=10,'Sprint Planning'!$H6&lt;=16),IFERROR(MATCH('Sprint Planning'!$C6,Roadmap!$A$4:$A$15,0),99)*100+'Sprint Planning'!$H6+6/100000,"")</f>
        <v/>
      </c>
    </row>
    <row r="7" ht="15" customHeight="1">
      <c r="A7" s="32" t="inlineStr">
        <is>
          <t>MVP Rollout</t>
        </is>
      </c>
      <c r="B7" s="32">
        <f>SUMIFS(SprintPlanning[HLE],SprintPlanning[Stream],$A7,SprintPlanning[Sprint],B$3)</f>
        <v/>
      </c>
      <c r="C7" s="32">
        <f>SUMIFS(SprintPlanning[HLE],SprintPlanning[Stream],$A7,SprintPlanning[Sprint],C$3)</f>
        <v/>
      </c>
      <c r="D7" s="32">
        <f>SUMIFS(SprintPlanning[HLE],SprintPlanning[Stream],$A7,SprintPlanning[Sprint],D$3)</f>
        <v/>
      </c>
      <c r="E7" s="32">
        <f>SUMIFS(SprintPlanning[HLE],SprintPlanning[Stream],$A7,SprintPlanning[Sprint],E$3)</f>
        <v/>
      </c>
      <c r="F7" s="32">
        <f>SUMIFS(SprintPlanning[HLE],SprintPlanning[Stream],$A7,SprintPlanning[Sprint],F$3)</f>
        <v/>
      </c>
      <c r="G7" s="32">
        <f>SUMIFS(SprintPlanning[HLE],SprintPlanning[Stream],$A7,SprintPlanning[Sprint],G$3)</f>
        <v/>
      </c>
      <c r="H7" s="32">
        <f>SUMIFS(SprintPlanning[HLE],SprintPlanning[Stream],$A7,SprintPlanning[Sprint],H$3)</f>
        <v/>
      </c>
      <c r="I7" s="32">
        <f>SUMIFS(SprintPlanning[HLE],SprintPlanning[Stream],$A7,SprintPlanning[Sprint],I$3)</f>
        <v/>
      </c>
      <c r="J7" s="32">
        <f>SUMIFS(SprintPlanning[HLE],SprintPlanning[Stream],$A7,SprintPlanning[Sprint],J$3)</f>
        <v/>
      </c>
      <c r="K7" s="32">
        <f>SUMIFS(SprintPlanning[HLE],SprintPlanning[Stream],$A7,SprintPlanning[Sprint],K$3)</f>
        <v/>
      </c>
      <c r="L7" s="32">
        <f>SUMIFS(SprintPlanning[HLE],SprintPlanning[Stream],$A7,SprintPlanning[Sprint],L$3)</f>
        <v/>
      </c>
      <c r="M7" s="32">
        <f>SUMIFS(SprintPlanning[HLE],SprintPlanning[Stream],$A7,SprintPlanning[Sprint],M$3)</f>
        <v/>
      </c>
      <c r="N7" s="32">
        <f>SUMIFS(SprintPlanning[HLE],SprintPlanning[Stream],$A7,SprintPlanning[Sprint],N$3)</f>
        <v/>
      </c>
      <c r="O7" s="32">
        <f>SUMIFS(SprintPlanning[HLE],SprintPlanning[Stream],$A7,SprintPlanning[Sprint],O$3)</f>
        <v/>
      </c>
      <c r="P7" s="32">
        <f>SUMIFS(SprintPlanning[HLE],SprintPlanning[Stream],$A7,SprintPlanning[Sprint],P$3)</f>
        <v/>
      </c>
      <c r="Q7" s="32">
        <f>SUMIFS(SprintPlanning[HLE],SprintPlanning[Stream],$A7,SprintPlanning[Sprint],Q$3)</f>
        <v/>
      </c>
      <c r="R7" s="49">
        <f>SUM(B7:Q7)</f>
        <v/>
      </c>
      <c r="T7">
        <f>IF(AND('Sprint Planning'!$H7&gt;=10,'Sprint Planning'!$H7&lt;=16),IFERROR(MATCH('Sprint Planning'!$C7,Roadmap!$A$4:$A$15,0),99)*100+'Sprint Planning'!$H7+7/100000,"")</f>
        <v/>
      </c>
    </row>
    <row r="8" ht="15" customHeight="1">
      <c r="A8" s="32" t="inlineStr">
        <is>
          <t>Cross</t>
        </is>
      </c>
      <c r="B8" s="32">
        <f>SUMIFS(SprintPlanning[HLE],SprintPlanning[Stream],$A8,SprintPlanning[Sprint],B$3)</f>
        <v/>
      </c>
      <c r="C8" s="32">
        <f>SUMIFS(SprintPlanning[HLE],SprintPlanning[Stream],$A8,SprintPlanning[Sprint],C$3)</f>
        <v/>
      </c>
      <c r="D8" s="32">
        <f>SUMIFS(SprintPlanning[HLE],SprintPlanning[Stream],$A8,SprintPlanning[Sprint],D$3)</f>
        <v/>
      </c>
      <c r="E8" s="32">
        <f>SUMIFS(SprintPlanning[HLE],SprintPlanning[Stream],$A8,SprintPlanning[Sprint],E$3)</f>
        <v/>
      </c>
      <c r="F8" s="32">
        <f>SUMIFS(SprintPlanning[HLE],SprintPlanning[Stream],$A8,SprintPlanning[Sprint],F$3)</f>
        <v/>
      </c>
      <c r="G8" s="32">
        <f>SUMIFS(SprintPlanning[HLE],SprintPlanning[Stream],$A8,SprintPlanning[Sprint],G$3)</f>
        <v/>
      </c>
      <c r="H8" s="32">
        <f>SUMIFS(SprintPlanning[HLE],SprintPlanning[Stream],$A8,SprintPlanning[Sprint],H$3)</f>
        <v/>
      </c>
      <c r="I8" s="32">
        <f>SUMIFS(SprintPlanning[HLE],SprintPlanning[Stream],$A8,SprintPlanning[Sprint],I$3)</f>
        <v/>
      </c>
      <c r="J8" s="32">
        <f>SUMIFS(SprintPlanning[HLE],SprintPlanning[Stream],$A8,SprintPlanning[Sprint],J$3)</f>
        <v/>
      </c>
      <c r="K8" s="32">
        <f>SUMIFS(SprintPlanning[HLE],SprintPlanning[Stream],$A8,SprintPlanning[Sprint],K$3)</f>
        <v/>
      </c>
      <c r="L8" s="32">
        <f>SUMIFS(SprintPlanning[HLE],SprintPlanning[Stream],$A8,SprintPlanning[Sprint],L$3)</f>
        <v/>
      </c>
      <c r="M8" s="32">
        <f>SUMIFS(SprintPlanning[HLE],SprintPlanning[Stream],$A8,SprintPlanning[Sprint],M$3)</f>
        <v/>
      </c>
      <c r="N8" s="32">
        <f>SUMIFS(SprintPlanning[HLE],SprintPlanning[Stream],$A8,SprintPlanning[Sprint],N$3)</f>
        <v/>
      </c>
      <c r="O8" s="32">
        <f>SUMIFS(SprintPlanning[HLE],SprintPlanning[Stream],$A8,SprintPlanning[Sprint],O$3)</f>
        <v/>
      </c>
      <c r="P8" s="32">
        <f>SUMIFS(SprintPlanning[HLE],SprintPlanning[Stream],$A8,SprintPlanning[Sprint],P$3)</f>
        <v/>
      </c>
      <c r="Q8" s="32">
        <f>SUMIFS(SprintPlanning[HLE],SprintPlanning[Stream],$A8,SprintPlanning[Sprint],Q$3)</f>
        <v/>
      </c>
      <c r="R8" s="49">
        <f>SUM(B8:Q8)</f>
        <v/>
      </c>
      <c r="T8">
        <f>IF(AND('Sprint Planning'!$H8&gt;=10,'Sprint Planning'!$H8&lt;=16),IFERROR(MATCH('Sprint Planning'!$C8,Roadmap!$A$4:$A$15,0),99)*100+'Sprint Planning'!$H8+8/100000,"")</f>
        <v/>
      </c>
    </row>
    <row r="9" ht="15" customHeight="1">
      <c r="A9" s="32" t="inlineStr">
        <is>
          <t>PI11</t>
        </is>
      </c>
      <c r="B9" s="32">
        <f>SUMIFS(SprintPlanning[HLE],SprintPlanning[Stream],$A9,SprintPlanning[Sprint],B$3)</f>
        <v/>
      </c>
      <c r="C9" s="32">
        <f>SUMIFS(SprintPlanning[HLE],SprintPlanning[Stream],$A9,SprintPlanning[Sprint],C$3)</f>
        <v/>
      </c>
      <c r="D9" s="32">
        <f>SUMIFS(SprintPlanning[HLE],SprintPlanning[Stream],$A9,SprintPlanning[Sprint],D$3)</f>
        <v/>
      </c>
      <c r="E9" s="32">
        <f>SUMIFS(SprintPlanning[HLE],SprintPlanning[Stream],$A9,SprintPlanning[Sprint],E$3)</f>
        <v/>
      </c>
      <c r="F9" s="32">
        <f>SUMIFS(SprintPlanning[HLE],SprintPlanning[Stream],$A9,SprintPlanning[Sprint],F$3)</f>
        <v/>
      </c>
      <c r="G9" s="32">
        <f>SUMIFS(SprintPlanning[HLE],SprintPlanning[Stream],$A9,SprintPlanning[Sprint],G$3)</f>
        <v/>
      </c>
      <c r="H9" s="32">
        <f>SUMIFS(SprintPlanning[HLE],SprintPlanning[Stream],$A9,SprintPlanning[Sprint],H$3)</f>
        <v/>
      </c>
      <c r="I9" s="32">
        <f>SUMIFS(SprintPlanning[HLE],SprintPlanning[Stream],$A9,SprintPlanning[Sprint],I$3)</f>
        <v/>
      </c>
      <c r="J9" s="32">
        <f>SUMIFS(SprintPlanning[HLE],SprintPlanning[Stream],$A9,SprintPlanning[Sprint],J$3)</f>
        <v/>
      </c>
      <c r="K9" s="32">
        <f>SUMIFS(SprintPlanning[HLE],SprintPlanning[Stream],$A9,SprintPlanning[Sprint],K$3)</f>
        <v/>
      </c>
      <c r="L9" s="32">
        <f>SUMIFS(SprintPlanning[HLE],SprintPlanning[Stream],$A9,SprintPlanning[Sprint],L$3)</f>
        <v/>
      </c>
      <c r="M9" s="32">
        <f>SUMIFS(SprintPlanning[HLE],SprintPlanning[Stream],$A9,SprintPlanning[Sprint],M$3)</f>
        <v/>
      </c>
      <c r="N9" s="32">
        <f>SUMIFS(SprintPlanning[HLE],SprintPlanning[Stream],$A9,SprintPlanning[Sprint],N$3)</f>
        <v/>
      </c>
      <c r="O9" s="32">
        <f>SUMIFS(SprintPlanning[HLE],SprintPlanning[Stream],$A9,SprintPlanning[Sprint],O$3)</f>
        <v/>
      </c>
      <c r="P9" s="32">
        <f>SUMIFS(SprintPlanning[HLE],SprintPlanning[Stream],$A9,SprintPlanning[Sprint],P$3)</f>
        <v/>
      </c>
      <c r="Q9" s="32">
        <f>SUMIFS(SprintPlanning[HLE],SprintPlanning[Stream],$A9,SprintPlanning[Sprint],Q$3)</f>
        <v/>
      </c>
      <c r="R9" s="49">
        <f>SUM(B9:Q9)</f>
        <v/>
      </c>
      <c r="T9">
        <f>IF(AND('Sprint Planning'!$H9&gt;=10,'Sprint Planning'!$H9&lt;=16),IFERROR(MATCH('Sprint Planning'!$C9,Roadmap!$A$4:$A$15,0),99)*100+'Sprint Planning'!$H9+9/100000,"")</f>
        <v/>
      </c>
    </row>
    <row r="10" ht="15" customHeight="1">
      <c r="A10" s="32" t="inlineStr">
        <is>
          <t>Backlog</t>
        </is>
      </c>
      <c r="B10" s="32">
        <f>SUMIFS(SprintPlanning[HLE],SprintPlanning[Stream],$A10,SprintPlanning[Sprint],B$3)</f>
        <v/>
      </c>
      <c r="C10" s="32">
        <f>SUMIFS(SprintPlanning[HLE],SprintPlanning[Stream],$A10,SprintPlanning[Sprint],C$3)</f>
        <v/>
      </c>
      <c r="D10" s="32">
        <f>SUMIFS(SprintPlanning[HLE],SprintPlanning[Stream],$A10,SprintPlanning[Sprint],D$3)</f>
        <v/>
      </c>
      <c r="E10" s="32">
        <f>SUMIFS(SprintPlanning[HLE],SprintPlanning[Stream],$A10,SprintPlanning[Sprint],E$3)</f>
        <v/>
      </c>
      <c r="F10" s="32">
        <f>SUMIFS(SprintPlanning[HLE],SprintPlanning[Stream],$A10,SprintPlanning[Sprint],F$3)</f>
        <v/>
      </c>
      <c r="G10" s="32">
        <f>SUMIFS(SprintPlanning[HLE],SprintPlanning[Stream],$A10,SprintPlanning[Sprint],G$3)</f>
        <v/>
      </c>
      <c r="H10" s="32">
        <f>SUMIFS(SprintPlanning[HLE],SprintPlanning[Stream],$A10,SprintPlanning[Sprint],H$3)</f>
        <v/>
      </c>
      <c r="I10" s="32">
        <f>SUMIFS(SprintPlanning[HLE],SprintPlanning[Stream],$A10,SprintPlanning[Sprint],I$3)</f>
        <v/>
      </c>
      <c r="J10" s="32">
        <f>SUMIFS(SprintPlanning[HLE],SprintPlanning[Stream],$A10,SprintPlanning[Sprint],J$3)</f>
        <v/>
      </c>
      <c r="K10" s="32">
        <f>SUMIFS(SprintPlanning[HLE],SprintPlanning[Stream],$A10,SprintPlanning[Sprint],K$3)</f>
        <v/>
      </c>
      <c r="L10" s="32">
        <f>SUMIFS(SprintPlanning[HLE],SprintPlanning[Stream],$A10,SprintPlanning[Sprint],L$3)</f>
        <v/>
      </c>
      <c r="M10" s="32">
        <f>SUMIFS(SprintPlanning[HLE],SprintPlanning[Stream],$A10,SprintPlanning[Sprint],M$3)</f>
        <v/>
      </c>
      <c r="N10" s="32">
        <f>SUMIFS(SprintPlanning[HLE],SprintPlanning[Stream],$A10,SprintPlanning[Sprint],N$3)</f>
        <v/>
      </c>
      <c r="O10" s="32">
        <f>SUMIFS(SprintPlanning[HLE],SprintPlanning[Stream],$A10,SprintPlanning[Sprint],O$3)</f>
        <v/>
      </c>
      <c r="P10" s="32">
        <f>SUMIFS(SprintPlanning[HLE],SprintPlanning[Stream],$A10,SprintPlanning[Sprint],P$3)</f>
        <v/>
      </c>
      <c r="Q10" s="32">
        <f>SUMIFS(SprintPlanning[HLE],SprintPlanning[Stream],$A10,SprintPlanning[Sprint],Q$3)</f>
        <v/>
      </c>
      <c r="R10" s="49">
        <f>SUM(B10:Q10)</f>
        <v/>
      </c>
      <c r="T10">
        <f>IF(AND('Sprint Planning'!$H10&gt;=10,'Sprint Planning'!$H10&lt;=16),IFERROR(MATCH('Sprint Planning'!$C10,Roadmap!$A$4:$A$15,0),99)*100+'Sprint Planning'!$H10+10/100000,"")</f>
        <v/>
      </c>
    </row>
    <row r="11" ht="15" customHeight="1">
      <c r="A11" s="32" t="inlineStr">
        <is>
          <t>Tech Enhancements</t>
        </is>
      </c>
      <c r="B11" s="32">
        <f>SUMIFS(SprintPlanning[HLE],SprintPlanning[Stream],$A11,SprintPlanning[Sprint],B$3)</f>
        <v/>
      </c>
      <c r="C11" s="32">
        <f>SUMIFS(SprintPlanning[HLE],SprintPlanning[Stream],$A11,SprintPlanning[Sprint],C$3)</f>
        <v/>
      </c>
      <c r="D11" s="32">
        <f>SUMIFS(SprintPlanning[HLE],SprintPlanning[Stream],$A11,SprintPlanning[Sprint],D$3)</f>
        <v/>
      </c>
      <c r="E11" s="32">
        <f>SUMIFS(SprintPlanning[HLE],SprintPlanning[Stream],$A11,SprintPlanning[Sprint],E$3)</f>
        <v/>
      </c>
      <c r="F11" s="32">
        <f>SUMIFS(SprintPlanning[HLE],SprintPlanning[Stream],$A11,SprintPlanning[Sprint],F$3)</f>
        <v/>
      </c>
      <c r="G11" s="32">
        <f>SUMIFS(SprintPlanning[HLE],SprintPlanning[Stream],$A11,SprintPlanning[Sprint],G$3)</f>
        <v/>
      </c>
      <c r="H11" s="32">
        <f>SUMIFS(SprintPlanning[HLE],SprintPlanning[Stream],$A11,SprintPlanning[Sprint],H$3)</f>
        <v/>
      </c>
      <c r="I11" s="32">
        <f>SUMIFS(SprintPlanning[HLE],SprintPlanning[Stream],$A11,SprintPlanning[Sprint],I$3)</f>
        <v/>
      </c>
      <c r="J11" s="32">
        <f>SUMIFS(SprintPlanning[HLE],SprintPlanning[Stream],$A11,SprintPlanning[Sprint],J$3)</f>
        <v/>
      </c>
      <c r="K11" s="32">
        <f>SUMIFS(SprintPlanning[HLE],SprintPlanning[Stream],$A11,SprintPlanning[Sprint],K$3)</f>
        <v/>
      </c>
      <c r="L11" s="32">
        <f>SUMIFS(SprintPlanning[HLE],SprintPlanning[Stream],$A11,SprintPlanning[Sprint],L$3)</f>
        <v/>
      </c>
      <c r="M11" s="32">
        <f>SUMIFS(SprintPlanning[HLE],SprintPlanning[Stream],$A11,SprintPlanning[Sprint],M$3)</f>
        <v/>
      </c>
      <c r="N11" s="32">
        <f>SUMIFS(SprintPlanning[HLE],SprintPlanning[Stream],$A11,SprintPlanning[Sprint],N$3)</f>
        <v/>
      </c>
      <c r="O11" s="32">
        <f>SUMIFS(SprintPlanning[HLE],SprintPlanning[Stream],$A11,SprintPlanning[Sprint],O$3)</f>
        <v/>
      </c>
      <c r="P11" s="32">
        <f>SUMIFS(SprintPlanning[HLE],SprintPlanning[Stream],$A11,SprintPlanning[Sprint],P$3)</f>
        <v/>
      </c>
      <c r="Q11" s="32">
        <f>SUMIFS(SprintPlanning[HLE],SprintPlanning[Stream],$A11,SprintPlanning[Sprint],Q$3)</f>
        <v/>
      </c>
      <c r="R11" s="49">
        <f>SUM(B11:Q11)</f>
        <v/>
      </c>
      <c r="T11">
        <f>IF(AND('Sprint Planning'!$H11&gt;=10,'Sprint Planning'!$H11&lt;=16),IFERROR(MATCH('Sprint Planning'!$C11,Roadmap!$A$4:$A$15,0),99)*100+'Sprint Planning'!$H11+11/100000,"")</f>
        <v/>
      </c>
    </row>
    <row r="12" ht="15" customHeight="1">
      <c r="A12" s="32" t="inlineStr">
        <is>
          <t>PP</t>
        </is>
      </c>
      <c r="B12" s="32">
        <f>SUMIFS(SprintPlanning[HLE],SprintPlanning[Stream],$A12,SprintPlanning[Sprint],B$3)</f>
        <v/>
      </c>
      <c r="C12" s="32">
        <f>SUMIFS(SprintPlanning[HLE],SprintPlanning[Stream],$A12,SprintPlanning[Sprint],C$3)</f>
        <v/>
      </c>
      <c r="D12" s="32">
        <f>SUMIFS(SprintPlanning[HLE],SprintPlanning[Stream],$A12,SprintPlanning[Sprint],D$3)</f>
        <v/>
      </c>
      <c r="E12" s="32">
        <f>SUMIFS(SprintPlanning[HLE],SprintPlanning[Stream],$A12,SprintPlanning[Sprint],E$3)</f>
        <v/>
      </c>
      <c r="F12" s="32">
        <f>SUMIFS(SprintPlanning[HLE],SprintPlanning[Stream],$A12,SprintPlanning[Sprint],F$3)</f>
        <v/>
      </c>
      <c r="G12" s="32">
        <f>SUMIFS(SprintPlanning[HLE],SprintPlanning[Stream],$A12,SprintPlanning[Sprint],G$3)</f>
        <v/>
      </c>
      <c r="H12" s="32">
        <f>SUMIFS(SprintPlanning[HLE],SprintPlanning[Stream],$A12,SprintPlanning[Sprint],H$3)</f>
        <v/>
      </c>
      <c r="I12" s="32">
        <f>SUMIFS(SprintPlanning[HLE],SprintPlanning[Stream],$A12,SprintPlanning[Sprint],I$3)</f>
        <v/>
      </c>
      <c r="J12" s="32">
        <f>SUMIFS(SprintPlanning[HLE],SprintPlanning[Stream],$A12,SprintPlanning[Sprint],J$3)</f>
        <v/>
      </c>
      <c r="K12" s="32">
        <f>SUMIFS(SprintPlanning[HLE],SprintPlanning[Stream],$A12,SprintPlanning[Sprint],K$3)</f>
        <v/>
      </c>
      <c r="L12" s="32">
        <f>SUMIFS(SprintPlanning[HLE],SprintPlanning[Stream],$A12,SprintPlanning[Sprint],L$3)</f>
        <v/>
      </c>
      <c r="M12" s="32">
        <f>SUMIFS(SprintPlanning[HLE],SprintPlanning[Stream],$A12,SprintPlanning[Sprint],M$3)</f>
        <v/>
      </c>
      <c r="N12" s="32">
        <f>SUMIFS(SprintPlanning[HLE],SprintPlanning[Stream],$A12,SprintPlanning[Sprint],N$3)</f>
        <v/>
      </c>
      <c r="O12" s="32">
        <f>SUMIFS(SprintPlanning[HLE],SprintPlanning[Stream],$A12,SprintPlanning[Sprint],O$3)</f>
        <v/>
      </c>
      <c r="P12" s="32">
        <f>SUMIFS(SprintPlanning[HLE],SprintPlanning[Stream],$A12,SprintPlanning[Sprint],P$3)</f>
        <v/>
      </c>
      <c r="Q12" s="32">
        <f>SUMIFS(SprintPlanning[HLE],SprintPlanning[Stream],$A12,SprintPlanning[Sprint],Q$3)</f>
        <v/>
      </c>
      <c r="R12" s="49">
        <f>SUM(B12:Q12)</f>
        <v/>
      </c>
      <c r="T12">
        <f>IF(AND('Sprint Planning'!$H12&gt;=10,'Sprint Planning'!$H12&lt;=16),IFERROR(MATCH('Sprint Planning'!$C12,Roadmap!$A$4:$A$15,0),99)*100+'Sprint Planning'!$H12+12/100000,"")</f>
        <v/>
      </c>
    </row>
    <row r="13" ht="15" customHeight="1">
      <c r="A13" s="32" t="inlineStr">
        <is>
          <t>HR</t>
        </is>
      </c>
      <c r="B13" s="32">
        <f>SUMIFS(SprintPlanning[HLE],SprintPlanning[Stream],$A13,SprintPlanning[Sprint],B$3)</f>
        <v/>
      </c>
      <c r="C13" s="32">
        <f>SUMIFS(SprintPlanning[HLE],SprintPlanning[Stream],$A13,SprintPlanning[Sprint],C$3)</f>
        <v/>
      </c>
      <c r="D13" s="32">
        <f>SUMIFS(SprintPlanning[HLE],SprintPlanning[Stream],$A13,SprintPlanning[Sprint],D$3)</f>
        <v/>
      </c>
      <c r="E13" s="32">
        <f>SUMIFS(SprintPlanning[HLE],SprintPlanning[Stream],$A13,SprintPlanning[Sprint],E$3)</f>
        <v/>
      </c>
      <c r="F13" s="32">
        <f>SUMIFS(SprintPlanning[HLE],SprintPlanning[Stream],$A13,SprintPlanning[Sprint],F$3)</f>
        <v/>
      </c>
      <c r="G13" s="32">
        <f>SUMIFS(SprintPlanning[HLE],SprintPlanning[Stream],$A13,SprintPlanning[Sprint],G$3)</f>
        <v/>
      </c>
      <c r="H13" s="32">
        <f>SUMIFS(SprintPlanning[HLE],SprintPlanning[Stream],$A13,SprintPlanning[Sprint],H$3)</f>
        <v/>
      </c>
      <c r="I13" s="32">
        <f>SUMIFS(SprintPlanning[HLE],SprintPlanning[Stream],$A13,SprintPlanning[Sprint],I$3)</f>
        <v/>
      </c>
      <c r="J13" s="32">
        <f>SUMIFS(SprintPlanning[HLE],SprintPlanning[Stream],$A13,SprintPlanning[Sprint],J$3)</f>
        <v/>
      </c>
      <c r="K13" s="32">
        <f>SUMIFS(SprintPlanning[HLE],SprintPlanning[Stream],$A13,SprintPlanning[Sprint],K$3)</f>
        <v/>
      </c>
      <c r="L13" s="32">
        <f>SUMIFS(SprintPlanning[HLE],SprintPlanning[Stream],$A13,SprintPlanning[Sprint],L$3)</f>
        <v/>
      </c>
      <c r="M13" s="32">
        <f>SUMIFS(SprintPlanning[HLE],SprintPlanning[Stream],$A13,SprintPlanning[Sprint],M$3)</f>
        <v/>
      </c>
      <c r="N13" s="32">
        <f>SUMIFS(SprintPlanning[HLE],SprintPlanning[Stream],$A13,SprintPlanning[Sprint],N$3)</f>
        <v/>
      </c>
      <c r="O13" s="32">
        <f>SUMIFS(SprintPlanning[HLE],SprintPlanning[Stream],$A13,SprintPlanning[Sprint],O$3)</f>
        <v/>
      </c>
      <c r="P13" s="32">
        <f>SUMIFS(SprintPlanning[HLE],SprintPlanning[Stream],$A13,SprintPlanning[Sprint],P$3)</f>
        <v/>
      </c>
      <c r="Q13" s="32">
        <f>SUMIFS(SprintPlanning[HLE],SprintPlanning[Stream],$A13,SprintPlanning[Sprint],Q$3)</f>
        <v/>
      </c>
      <c r="R13" s="49">
        <f>SUM(B13:Q13)</f>
        <v/>
      </c>
      <c r="T13">
        <f>IF(AND('Sprint Planning'!$H13&gt;=10,'Sprint Planning'!$H13&lt;=16),IFERROR(MATCH('Sprint Planning'!$C13,Roadmap!$A$4:$A$15,0),99)*100+'Sprint Planning'!$H13+13/100000,"")</f>
        <v/>
      </c>
    </row>
    <row r="14" ht="15" customHeight="1">
      <c r="A14" s="32" t="inlineStr">
        <is>
          <t>PI9</t>
        </is>
      </c>
      <c r="B14" s="32">
        <f>SUMIFS(SprintPlanning[HLE],SprintPlanning[Stream],$A14,SprintPlanning[Sprint],B$3)</f>
        <v/>
      </c>
      <c r="C14" s="32">
        <f>SUMIFS(SprintPlanning[HLE],SprintPlanning[Stream],$A14,SprintPlanning[Sprint],C$3)</f>
        <v/>
      </c>
      <c r="D14" s="32">
        <f>SUMIFS(SprintPlanning[HLE],SprintPlanning[Stream],$A14,SprintPlanning[Sprint],D$3)</f>
        <v/>
      </c>
      <c r="E14" s="32">
        <f>SUMIFS(SprintPlanning[HLE],SprintPlanning[Stream],$A14,SprintPlanning[Sprint],E$3)</f>
        <v/>
      </c>
      <c r="F14" s="32">
        <f>SUMIFS(SprintPlanning[HLE],SprintPlanning[Stream],$A14,SprintPlanning[Sprint],F$3)</f>
        <v/>
      </c>
      <c r="G14" s="32">
        <f>SUMIFS(SprintPlanning[HLE],SprintPlanning[Stream],$A14,SprintPlanning[Sprint],G$3)</f>
        <v/>
      </c>
      <c r="H14" s="32">
        <f>SUMIFS(SprintPlanning[HLE],SprintPlanning[Stream],$A14,SprintPlanning[Sprint],H$3)</f>
        <v/>
      </c>
      <c r="I14" s="32">
        <f>SUMIFS(SprintPlanning[HLE],SprintPlanning[Stream],$A14,SprintPlanning[Sprint],I$3)</f>
        <v/>
      </c>
      <c r="J14" s="32">
        <f>SUMIFS(SprintPlanning[HLE],SprintPlanning[Stream],$A14,SprintPlanning[Sprint],J$3)</f>
        <v/>
      </c>
      <c r="K14" s="32">
        <f>SUMIFS(SprintPlanning[HLE],SprintPlanning[Stream],$A14,SprintPlanning[Sprint],K$3)</f>
        <v/>
      </c>
      <c r="L14" s="32">
        <f>SUMIFS(SprintPlanning[HLE],SprintPlanning[Stream],$A14,SprintPlanning[Sprint],L$3)</f>
        <v/>
      </c>
      <c r="M14" s="32">
        <f>SUMIFS(SprintPlanning[HLE],SprintPlanning[Stream],$A14,SprintPlanning[Sprint],M$3)</f>
        <v/>
      </c>
      <c r="N14" s="32">
        <f>SUMIFS(SprintPlanning[HLE],SprintPlanning[Stream],$A14,SprintPlanning[Sprint],N$3)</f>
        <v/>
      </c>
      <c r="O14" s="32">
        <f>SUMIFS(SprintPlanning[HLE],SprintPlanning[Stream],$A14,SprintPlanning[Sprint],O$3)</f>
        <v/>
      </c>
      <c r="P14" s="32">
        <f>SUMIFS(SprintPlanning[HLE],SprintPlanning[Stream],$A14,SprintPlanning[Sprint],P$3)</f>
        <v/>
      </c>
      <c r="Q14" s="32">
        <f>SUMIFS(SprintPlanning[HLE],SprintPlanning[Stream],$A14,SprintPlanning[Sprint],Q$3)</f>
        <v/>
      </c>
      <c r="R14" s="49">
        <f>SUM(B14:Q14)</f>
        <v/>
      </c>
      <c r="T14">
        <f>IF(AND('Sprint Planning'!$H14&gt;=10,'Sprint Planning'!$H14&lt;=16),IFERROR(MATCH('Sprint Planning'!$C14,Roadmap!$A$4:$A$15,0),99)*100+'Sprint Planning'!$H14+14/100000,"")</f>
        <v/>
      </c>
    </row>
    <row r="15" ht="15" customHeight="1">
      <c r="A15" s="32" t="inlineStr">
        <is>
          <t>PI10</t>
        </is>
      </c>
      <c r="B15" s="32">
        <f>SUMIFS(SprintPlanning[HLE],SprintPlanning[Stream],$A15,SprintPlanning[Sprint],B$3)</f>
        <v/>
      </c>
      <c r="C15" s="32">
        <f>SUMIFS(SprintPlanning[HLE],SprintPlanning[Stream],$A15,SprintPlanning[Sprint],C$3)</f>
        <v/>
      </c>
      <c r="D15" s="32">
        <f>SUMIFS(SprintPlanning[HLE],SprintPlanning[Stream],$A15,SprintPlanning[Sprint],D$3)</f>
        <v/>
      </c>
      <c r="E15" s="32">
        <f>SUMIFS(SprintPlanning[HLE],SprintPlanning[Stream],$A15,SprintPlanning[Sprint],E$3)</f>
        <v/>
      </c>
      <c r="F15" s="32">
        <f>SUMIFS(SprintPlanning[HLE],SprintPlanning[Stream],$A15,SprintPlanning[Sprint],F$3)</f>
        <v/>
      </c>
      <c r="G15" s="32">
        <f>SUMIFS(SprintPlanning[HLE],SprintPlanning[Stream],$A15,SprintPlanning[Sprint],G$3)</f>
        <v/>
      </c>
      <c r="H15" s="32">
        <f>SUMIFS(SprintPlanning[HLE],SprintPlanning[Stream],$A15,SprintPlanning[Sprint],H$3)</f>
        <v/>
      </c>
      <c r="I15" s="32">
        <f>SUMIFS(SprintPlanning[HLE],SprintPlanning[Stream],$A15,SprintPlanning[Sprint],I$3)</f>
        <v/>
      </c>
      <c r="J15" s="32">
        <f>SUMIFS(SprintPlanning[HLE],SprintPlanning[Stream],$A15,SprintPlanning[Sprint],J$3)</f>
        <v/>
      </c>
      <c r="K15" s="32">
        <f>SUMIFS(SprintPlanning[HLE],SprintPlanning[Stream],$A15,SprintPlanning[Sprint],K$3)</f>
        <v/>
      </c>
      <c r="L15" s="32">
        <f>SUMIFS(SprintPlanning[HLE],SprintPlanning[Stream],$A15,SprintPlanning[Sprint],L$3)</f>
        <v/>
      </c>
      <c r="M15" s="32">
        <f>SUMIFS(SprintPlanning[HLE],SprintPlanning[Stream],$A15,SprintPlanning[Sprint],M$3)</f>
        <v/>
      </c>
      <c r="N15" s="32">
        <f>SUMIFS(SprintPlanning[HLE],SprintPlanning[Stream],$A15,SprintPlanning[Sprint],N$3)</f>
        <v/>
      </c>
      <c r="O15" s="32">
        <f>SUMIFS(SprintPlanning[HLE],SprintPlanning[Stream],$A15,SprintPlanning[Sprint],O$3)</f>
        <v/>
      </c>
      <c r="P15" s="32">
        <f>SUMIFS(SprintPlanning[HLE],SprintPlanning[Stream],$A15,SprintPlanning[Sprint],P$3)</f>
        <v/>
      </c>
      <c r="Q15" s="32">
        <f>SUMIFS(SprintPlanning[HLE],SprintPlanning[Stream],$A15,SprintPlanning[Sprint],Q$3)</f>
        <v/>
      </c>
      <c r="R15" s="49">
        <f>SUM(B15:Q15)</f>
        <v/>
      </c>
      <c r="T15">
        <f>IF(AND('Sprint Planning'!$H15&gt;=10,'Sprint Planning'!$H15&lt;=16),IFERROR(MATCH('Sprint Planning'!$C15,Roadmap!$A$4:$A$15,0),99)*100+'Sprint Planning'!$H15+15/100000,"")</f>
        <v/>
      </c>
    </row>
    <row r="16" ht="15" customHeight="1">
      <c r="A16" s="49" t="inlineStr">
        <is>
          <t>Total</t>
        </is>
      </c>
      <c r="B16" s="49">
        <f>SUM(B4:B15)</f>
        <v/>
      </c>
      <c r="C16" s="49">
        <f>SUM(C4:C15)</f>
        <v/>
      </c>
      <c r="D16" s="49">
        <f>SUM(D4:D15)</f>
        <v/>
      </c>
      <c r="E16" s="49">
        <f>SUM(E4:E15)</f>
        <v/>
      </c>
      <c r="F16" s="49">
        <f>SUM(F4:F15)</f>
        <v/>
      </c>
      <c r="G16" s="49">
        <f>SUM(G4:G15)</f>
        <v/>
      </c>
      <c r="H16" s="49">
        <f>SUM(H4:H15)</f>
        <v/>
      </c>
      <c r="I16" s="49">
        <f>SUM(I4:I15)</f>
        <v/>
      </c>
      <c r="J16" s="49">
        <f>SUM(J4:J15)</f>
        <v/>
      </c>
      <c r="K16" s="49">
        <f>SUM(K4:K15)</f>
        <v/>
      </c>
      <c r="L16" s="49">
        <f>SUM(L4:L15)</f>
        <v/>
      </c>
      <c r="M16" s="49">
        <f>SUM(M4:M15)</f>
        <v/>
      </c>
      <c r="N16" s="49">
        <f>SUM(N4:N15)</f>
        <v/>
      </c>
      <c r="O16" s="49">
        <f>SUM(O4:O15)</f>
        <v/>
      </c>
      <c r="P16" s="49">
        <f>SUM(P4:P15)</f>
        <v/>
      </c>
      <c r="Q16" s="49">
        <f>SUM(Q4:Q15)</f>
        <v/>
      </c>
      <c r="R16" s="49">
        <f>SUM(R4:R15)</f>
        <v/>
      </c>
      <c r="T16">
        <f>IF(AND('Sprint Planning'!$H16&gt;=10,'Sprint Planning'!$H16&lt;=16),IFERROR(MATCH('Sprint Planning'!$C16,Roadmap!$A$4:$A$15,0),99)*100+'Sprint Planning'!$H16+16/100000,"")</f>
        <v/>
      </c>
    </row>
    <row r="17" ht="15" customHeight="1">
      <c r="T17">
        <f>IF(AND('Sprint Planning'!$H17&gt;=10,'Sprint Planning'!$H17&lt;=16),IFERROR(MATCH('Sprint Planning'!$C17,Roadmap!$A$4:$A$15,0),99)*100+'Sprint Planning'!$H17+17/100000,"")</f>
        <v/>
      </c>
    </row>
    <row r="18" ht="15" customHeight="1">
      <c r="A18" s="48" t="inlineStr">
        <is>
          <t>6-Month Look-ahead Gantt (Sprint 10 - Sprint 16, Aug 3 - Dec 24 2026) -- limited to sprints already defined on the Lists tab; extend the Sprint-&gt;Quarter mapping there to push this further into 2027.</t>
        </is>
      </c>
      <c r="T18">
        <f>IF(AND('Sprint Planning'!$H18&gt;=10,'Sprint Planning'!$H18&lt;=16),IFERROR(MATCH('Sprint Planning'!$C18,Roadmap!$A$4:$A$15,0),99)*100+'Sprint Planning'!$H18+18/100000,"")</f>
        <v/>
      </c>
    </row>
    <row r="19" ht="15" customHeight="1">
      <c r="T19">
        <f>IF(AND('Sprint Planning'!$H19&gt;=10,'Sprint Planning'!$H19&lt;=16),IFERROR(MATCH('Sprint Planning'!$C19,Roadmap!$A$4:$A$15,0),99)*100+'Sprint Planning'!$H19+19/100000,"")</f>
        <v/>
      </c>
    </row>
    <row r="20" ht="15" customHeight="1">
      <c r="A20" s="50" t="inlineStr">
        <is>
          <t>Stream</t>
        </is>
      </c>
      <c r="B20" s="51" t="inlineStr">
        <is>
          <t>Task</t>
        </is>
      </c>
      <c r="C20" s="50" t="n"/>
      <c r="D20" s="50" t="inlineStr">
        <is>
          <t>Sprint 10</t>
        </is>
      </c>
      <c r="E20" s="50" t="inlineStr">
        <is>
          <t>Sprint 11</t>
        </is>
      </c>
      <c r="F20" s="50" t="inlineStr">
        <is>
          <t>Sprint 12</t>
        </is>
      </c>
      <c r="G20" s="50" t="inlineStr">
        <is>
          <t>Sprint 13</t>
        </is>
      </c>
      <c r="H20" s="50" t="inlineStr">
        <is>
          <t>Sprint 14</t>
        </is>
      </c>
      <c r="I20" s="50" t="inlineStr">
        <is>
          <t>Sprint 15</t>
        </is>
      </c>
      <c r="J20" s="50" t="inlineStr">
        <is>
          <t>Sprint 16</t>
        </is>
      </c>
      <c r="K20" s="52" t="n"/>
      <c r="T20">
        <f>IF(AND('Sprint Planning'!$H20&gt;=10,'Sprint Planning'!$H20&lt;=16),IFERROR(MATCH('Sprint Planning'!$C20,Roadmap!$A$4:$A$15,0),99)*100+'Sprint Planning'!$H20+20/100000,"")</f>
        <v/>
      </c>
    </row>
    <row r="21" ht="15" customHeight="1">
      <c r="A21">
        <f>IFERROR(INDEX('Sprint Planning'!$C$2:$C$243,MATCH(SMALL(Roadmap!$T$2:$T$243,ROW()-20),Roadmap!$T$2:$T$243,0)),"")</f>
        <v/>
      </c>
      <c r="B21" s="41">
        <f>IFERROR(INDEX('Sprint Planning'!$B$2:$B$243,MATCH(SMALL(Roadmap!$T$2:$T$243,ROW()-20),Roadmap!$T$2:$T$243,0)),"")</f>
        <v/>
      </c>
      <c r="C21">
        <f>IFERROR(INDEX('Sprint Planning'!$H$2:$H$243,MATCH(SMALL(Roadmap!$T$2:$T$243,ROW()-20),Roadmap!$T$2:$T$243,0)),"")</f>
        <v/>
      </c>
      <c r="D21">
        <f>IF($B21="","",IF($C21=10,"●",""))</f>
        <v/>
      </c>
      <c r="E21">
        <f>IF($B21="","",IF($C21=11,"●",""))</f>
        <v/>
      </c>
      <c r="F21">
        <f>IF($B21="","",IF($C21=12,"●",""))</f>
        <v/>
      </c>
      <c r="G21">
        <f>IF($B21="","",IF($C21=13,"●",""))</f>
        <v/>
      </c>
      <c r="H21">
        <f>IF($B21="","",IF($C21=14,"●",""))</f>
        <v/>
      </c>
      <c r="I21">
        <f>IF($B21="","",IF($C21=15,"●",""))</f>
        <v/>
      </c>
      <c r="J21">
        <f>IF($B21="","",IF($C21=16,"●",""))</f>
        <v/>
      </c>
      <c r="T21">
        <f>IF(AND('Sprint Planning'!$H21&gt;=10,'Sprint Planning'!$H21&lt;=16),IFERROR(MATCH('Sprint Planning'!$C21,Roadmap!$A$4:$A$15,0),99)*100+'Sprint Planning'!$H21+21/100000,"")</f>
        <v/>
      </c>
    </row>
    <row r="22" ht="15" customHeight="1">
      <c r="A22">
        <f>IFERROR(INDEX('Sprint Planning'!$C$2:$C$243,MATCH(SMALL(Roadmap!$T$2:$T$243,ROW()-20),Roadmap!$T$2:$T$243,0)),"")</f>
        <v/>
      </c>
      <c r="B22" s="41">
        <f>IFERROR(INDEX('Sprint Planning'!$B$2:$B$243,MATCH(SMALL(Roadmap!$T$2:$T$243,ROW()-20),Roadmap!$T$2:$T$243,0)),"")</f>
        <v/>
      </c>
      <c r="C22">
        <f>IFERROR(INDEX('Sprint Planning'!$H$2:$H$243,MATCH(SMALL(Roadmap!$T$2:$T$243,ROW()-20),Roadmap!$T$2:$T$243,0)),"")</f>
        <v/>
      </c>
      <c r="D22">
        <f>IF($B22="","",IF($C22=10,"●",""))</f>
        <v/>
      </c>
      <c r="E22">
        <f>IF($B22="","",IF($C22=11,"●",""))</f>
        <v/>
      </c>
      <c r="F22">
        <f>IF($B22="","",IF($C22=12,"●",""))</f>
        <v/>
      </c>
      <c r="G22">
        <f>IF($B22="","",IF($C22=13,"●",""))</f>
        <v/>
      </c>
      <c r="H22">
        <f>IF($B22="","",IF($C22=14,"●",""))</f>
        <v/>
      </c>
      <c r="I22">
        <f>IF($B22="","",IF($C22=15,"●",""))</f>
        <v/>
      </c>
      <c r="J22">
        <f>IF($B22="","",IF($C22=16,"●",""))</f>
        <v/>
      </c>
      <c r="T22">
        <f>IF(AND('Sprint Planning'!$H22&gt;=10,'Sprint Planning'!$H22&lt;=16),IFERROR(MATCH('Sprint Planning'!$C22,Roadmap!$A$4:$A$15,0),99)*100+'Sprint Planning'!$H22+22/100000,"")</f>
        <v/>
      </c>
    </row>
    <row r="23" ht="15" customHeight="1">
      <c r="A23">
        <f>IFERROR(INDEX('Sprint Planning'!$C$2:$C$243,MATCH(SMALL(Roadmap!$T$2:$T$243,ROW()-20),Roadmap!$T$2:$T$243,0)),"")</f>
        <v/>
      </c>
      <c r="B23" s="41">
        <f>IFERROR(INDEX('Sprint Planning'!$B$2:$B$243,MATCH(SMALL(Roadmap!$T$2:$T$243,ROW()-20),Roadmap!$T$2:$T$243,0)),"")</f>
        <v/>
      </c>
      <c r="C23">
        <f>IFERROR(INDEX('Sprint Planning'!$H$2:$H$243,MATCH(SMALL(Roadmap!$T$2:$T$243,ROW()-20),Roadmap!$T$2:$T$243,0)),"")</f>
        <v/>
      </c>
      <c r="D23">
        <f>IF($B23="","",IF($C23=10,"●",""))</f>
        <v/>
      </c>
      <c r="E23">
        <f>IF($B23="","",IF($C23=11,"●",""))</f>
        <v/>
      </c>
      <c r="F23">
        <f>IF($B23="","",IF($C23=12,"●",""))</f>
        <v/>
      </c>
      <c r="G23">
        <f>IF($B23="","",IF($C23=13,"●",""))</f>
        <v/>
      </c>
      <c r="H23">
        <f>IF($B23="","",IF($C23=14,"●",""))</f>
        <v/>
      </c>
      <c r="I23">
        <f>IF($B23="","",IF($C23=15,"●",""))</f>
        <v/>
      </c>
      <c r="J23">
        <f>IF($B23="","",IF($C23=16,"●",""))</f>
        <v/>
      </c>
      <c r="T23">
        <f>IF(AND('Sprint Planning'!$H23&gt;=10,'Sprint Planning'!$H23&lt;=16),IFERROR(MATCH('Sprint Planning'!$C23,Roadmap!$A$4:$A$15,0),99)*100+'Sprint Planning'!$H23+23/100000,"")</f>
        <v/>
      </c>
    </row>
    <row r="24" ht="15" customHeight="1">
      <c r="A24">
        <f>IFERROR(INDEX('Sprint Planning'!$C$2:$C$243,MATCH(SMALL(Roadmap!$T$2:$T$243,ROW()-20),Roadmap!$T$2:$T$243,0)),"")</f>
        <v/>
      </c>
      <c r="B24" s="41">
        <f>IFERROR(INDEX('Sprint Planning'!$B$2:$B$243,MATCH(SMALL(Roadmap!$T$2:$T$243,ROW()-20),Roadmap!$T$2:$T$243,0)),"")</f>
        <v/>
      </c>
      <c r="C24">
        <f>IFERROR(INDEX('Sprint Planning'!$H$2:$H$243,MATCH(SMALL(Roadmap!$T$2:$T$243,ROW()-20),Roadmap!$T$2:$T$243,0)),"")</f>
        <v/>
      </c>
      <c r="D24">
        <f>IF($B24="","",IF($C24=10,"●",""))</f>
        <v/>
      </c>
      <c r="E24">
        <f>IF($B24="","",IF($C24=11,"●",""))</f>
        <v/>
      </c>
      <c r="F24">
        <f>IF($B24="","",IF($C24=12,"●",""))</f>
        <v/>
      </c>
      <c r="G24">
        <f>IF($B24="","",IF($C24=13,"●",""))</f>
        <v/>
      </c>
      <c r="H24">
        <f>IF($B24="","",IF($C24=14,"●",""))</f>
        <v/>
      </c>
      <c r="I24">
        <f>IF($B24="","",IF($C24=15,"●",""))</f>
        <v/>
      </c>
      <c r="J24">
        <f>IF($B24="","",IF($C24=16,"●",""))</f>
        <v/>
      </c>
      <c r="T24">
        <f>IF(AND('Sprint Planning'!$H24&gt;=10,'Sprint Planning'!$H24&lt;=16),IFERROR(MATCH('Sprint Planning'!$C24,Roadmap!$A$4:$A$15,0),99)*100+'Sprint Planning'!$H24+24/100000,"")</f>
        <v/>
      </c>
    </row>
    <row r="25" ht="15" customHeight="1">
      <c r="A25">
        <f>IFERROR(INDEX('Sprint Planning'!$C$2:$C$243,MATCH(SMALL(Roadmap!$T$2:$T$243,ROW()-20),Roadmap!$T$2:$T$243,0)),"")</f>
        <v/>
      </c>
      <c r="B25" s="41">
        <f>IFERROR(INDEX('Sprint Planning'!$B$2:$B$243,MATCH(SMALL(Roadmap!$T$2:$T$243,ROW()-20),Roadmap!$T$2:$T$243,0)),"")</f>
        <v/>
      </c>
      <c r="C25">
        <f>IFERROR(INDEX('Sprint Planning'!$H$2:$H$243,MATCH(SMALL(Roadmap!$T$2:$T$243,ROW()-20),Roadmap!$T$2:$T$243,0)),"")</f>
        <v/>
      </c>
      <c r="D25">
        <f>IF($B25="","",IF($C25=10,"●",""))</f>
        <v/>
      </c>
      <c r="E25">
        <f>IF($B25="","",IF($C25=11,"●",""))</f>
        <v/>
      </c>
      <c r="F25">
        <f>IF($B25="","",IF($C25=12,"●",""))</f>
        <v/>
      </c>
      <c r="G25">
        <f>IF($B25="","",IF($C25=13,"●",""))</f>
        <v/>
      </c>
      <c r="H25">
        <f>IF($B25="","",IF($C25=14,"●",""))</f>
        <v/>
      </c>
      <c r="I25">
        <f>IF($B25="","",IF($C25=15,"●",""))</f>
        <v/>
      </c>
      <c r="J25">
        <f>IF($B25="","",IF($C25=16,"●",""))</f>
        <v/>
      </c>
      <c r="T25">
        <f>IF(AND('Sprint Planning'!$H25&gt;=10,'Sprint Planning'!$H25&lt;=16),IFERROR(MATCH('Sprint Planning'!$C25,Roadmap!$A$4:$A$15,0),99)*100+'Sprint Planning'!$H25+25/100000,"")</f>
        <v/>
      </c>
    </row>
    <row r="26" ht="15" customHeight="1">
      <c r="A26">
        <f>IFERROR(INDEX('Sprint Planning'!$C$2:$C$243,MATCH(SMALL(Roadmap!$T$2:$T$243,ROW()-20),Roadmap!$T$2:$T$243,0)),"")</f>
        <v/>
      </c>
      <c r="B26" s="41">
        <f>IFERROR(INDEX('Sprint Planning'!$B$2:$B$243,MATCH(SMALL(Roadmap!$T$2:$T$243,ROW()-20),Roadmap!$T$2:$T$243,0)),"")</f>
        <v/>
      </c>
      <c r="C26">
        <f>IFERROR(INDEX('Sprint Planning'!$H$2:$H$243,MATCH(SMALL(Roadmap!$T$2:$T$243,ROW()-20),Roadmap!$T$2:$T$243,0)),"")</f>
        <v/>
      </c>
      <c r="D26">
        <f>IF($B26="","",IF($C26=10,"●",""))</f>
        <v/>
      </c>
      <c r="E26">
        <f>IF($B26="","",IF($C26=11,"●",""))</f>
        <v/>
      </c>
      <c r="F26">
        <f>IF($B26="","",IF($C26=12,"●",""))</f>
        <v/>
      </c>
      <c r="G26">
        <f>IF($B26="","",IF($C26=13,"●",""))</f>
        <v/>
      </c>
      <c r="H26">
        <f>IF($B26="","",IF($C26=14,"●",""))</f>
        <v/>
      </c>
      <c r="I26">
        <f>IF($B26="","",IF($C26=15,"●",""))</f>
        <v/>
      </c>
      <c r="J26">
        <f>IF($B26="","",IF($C26=16,"●",""))</f>
        <v/>
      </c>
      <c r="T26">
        <f>IF(AND('Sprint Planning'!$H26&gt;=10,'Sprint Planning'!$H26&lt;=16),IFERROR(MATCH('Sprint Planning'!$C26,Roadmap!$A$4:$A$15,0),99)*100+'Sprint Planning'!$H26+26/100000,"")</f>
        <v/>
      </c>
    </row>
    <row r="27" ht="15" customHeight="1">
      <c r="A27">
        <f>IFERROR(INDEX('Sprint Planning'!$C$2:$C$243,MATCH(SMALL(Roadmap!$T$2:$T$243,ROW()-20),Roadmap!$T$2:$T$243,0)),"")</f>
        <v/>
      </c>
      <c r="B27" s="41">
        <f>IFERROR(INDEX('Sprint Planning'!$B$2:$B$243,MATCH(SMALL(Roadmap!$T$2:$T$243,ROW()-20),Roadmap!$T$2:$T$243,0)),"")</f>
        <v/>
      </c>
      <c r="C27">
        <f>IFERROR(INDEX('Sprint Planning'!$H$2:$H$243,MATCH(SMALL(Roadmap!$T$2:$T$243,ROW()-20),Roadmap!$T$2:$T$243,0)),"")</f>
        <v/>
      </c>
      <c r="D27">
        <f>IF($B27="","",IF($C27=10,"●",""))</f>
        <v/>
      </c>
      <c r="E27">
        <f>IF($B27="","",IF($C27=11,"●",""))</f>
        <v/>
      </c>
      <c r="F27">
        <f>IF($B27="","",IF($C27=12,"●",""))</f>
        <v/>
      </c>
      <c r="G27">
        <f>IF($B27="","",IF($C27=13,"●",""))</f>
        <v/>
      </c>
      <c r="H27">
        <f>IF($B27="","",IF($C27=14,"●",""))</f>
        <v/>
      </c>
      <c r="I27">
        <f>IF($B27="","",IF($C27=15,"●",""))</f>
        <v/>
      </c>
      <c r="J27">
        <f>IF($B27="","",IF($C27=16,"●",""))</f>
        <v/>
      </c>
      <c r="T27">
        <f>IF(AND('Sprint Planning'!$H27&gt;=10,'Sprint Planning'!$H27&lt;=16),IFERROR(MATCH('Sprint Planning'!$C27,Roadmap!$A$4:$A$15,0),99)*100+'Sprint Planning'!$H27+27/100000,"")</f>
        <v/>
      </c>
    </row>
    <row r="28" ht="15" customHeight="1">
      <c r="A28">
        <f>IFERROR(INDEX('Sprint Planning'!$C$2:$C$243,MATCH(SMALL(Roadmap!$T$2:$T$243,ROW()-20),Roadmap!$T$2:$T$243,0)),"")</f>
        <v/>
      </c>
      <c r="B28" s="41">
        <f>IFERROR(INDEX('Sprint Planning'!$B$2:$B$243,MATCH(SMALL(Roadmap!$T$2:$T$243,ROW()-20),Roadmap!$T$2:$T$243,0)),"")</f>
        <v/>
      </c>
      <c r="C28">
        <f>IFERROR(INDEX('Sprint Planning'!$H$2:$H$243,MATCH(SMALL(Roadmap!$T$2:$T$243,ROW()-20),Roadmap!$T$2:$T$243,0)),"")</f>
        <v/>
      </c>
      <c r="D28">
        <f>IF($B28="","",IF($C28=10,"●",""))</f>
        <v/>
      </c>
      <c r="E28">
        <f>IF($B28="","",IF($C28=11,"●",""))</f>
        <v/>
      </c>
      <c r="F28">
        <f>IF($B28="","",IF($C28=12,"●",""))</f>
        <v/>
      </c>
      <c r="G28">
        <f>IF($B28="","",IF($C28=13,"●",""))</f>
        <v/>
      </c>
      <c r="H28">
        <f>IF($B28="","",IF($C28=14,"●",""))</f>
        <v/>
      </c>
      <c r="I28">
        <f>IF($B28="","",IF($C28=15,"●",""))</f>
        <v/>
      </c>
      <c r="J28">
        <f>IF($B28="","",IF($C28=16,"●",""))</f>
        <v/>
      </c>
      <c r="T28">
        <f>IF(AND('Sprint Planning'!$H28&gt;=10,'Sprint Planning'!$H28&lt;=16),IFERROR(MATCH('Sprint Planning'!$C28,Roadmap!$A$4:$A$15,0),99)*100+'Sprint Planning'!$H28+28/100000,"")</f>
        <v/>
      </c>
    </row>
    <row r="29" ht="15" customHeight="1">
      <c r="A29">
        <f>IFERROR(INDEX('Sprint Planning'!$C$2:$C$243,MATCH(SMALL(Roadmap!$T$2:$T$243,ROW()-20),Roadmap!$T$2:$T$243,0)),"")</f>
        <v/>
      </c>
      <c r="B29" s="41">
        <f>IFERROR(INDEX('Sprint Planning'!$B$2:$B$243,MATCH(SMALL(Roadmap!$T$2:$T$243,ROW()-20),Roadmap!$T$2:$T$243,0)),"")</f>
        <v/>
      </c>
      <c r="C29">
        <f>IFERROR(INDEX('Sprint Planning'!$H$2:$H$243,MATCH(SMALL(Roadmap!$T$2:$T$243,ROW()-20),Roadmap!$T$2:$T$243,0)),"")</f>
        <v/>
      </c>
      <c r="D29">
        <f>IF($B29="","",IF($C29=10,"●",""))</f>
        <v/>
      </c>
      <c r="E29">
        <f>IF($B29="","",IF($C29=11,"●",""))</f>
        <v/>
      </c>
      <c r="F29">
        <f>IF($B29="","",IF($C29=12,"●",""))</f>
        <v/>
      </c>
      <c r="G29">
        <f>IF($B29="","",IF($C29=13,"●",""))</f>
        <v/>
      </c>
      <c r="H29">
        <f>IF($B29="","",IF($C29=14,"●",""))</f>
        <v/>
      </c>
      <c r="I29">
        <f>IF($B29="","",IF($C29=15,"●",""))</f>
        <v/>
      </c>
      <c r="J29">
        <f>IF($B29="","",IF($C29=16,"●",""))</f>
        <v/>
      </c>
      <c r="T29">
        <f>IF(AND('Sprint Planning'!$H29&gt;=10,'Sprint Planning'!$H29&lt;=16),IFERROR(MATCH('Sprint Planning'!$C29,Roadmap!$A$4:$A$15,0),99)*100+'Sprint Planning'!$H29+29/100000,"")</f>
        <v/>
      </c>
    </row>
    <row r="30" ht="15" customHeight="1">
      <c r="A30">
        <f>IFERROR(INDEX('Sprint Planning'!$C$2:$C$243,MATCH(SMALL(Roadmap!$T$2:$T$243,ROW()-20),Roadmap!$T$2:$T$243,0)),"")</f>
        <v/>
      </c>
      <c r="B30" s="41">
        <f>IFERROR(INDEX('Sprint Planning'!$B$2:$B$243,MATCH(SMALL(Roadmap!$T$2:$T$243,ROW()-20),Roadmap!$T$2:$T$243,0)),"")</f>
        <v/>
      </c>
      <c r="C30">
        <f>IFERROR(INDEX('Sprint Planning'!$H$2:$H$243,MATCH(SMALL(Roadmap!$T$2:$T$243,ROW()-20),Roadmap!$T$2:$T$243,0)),"")</f>
        <v/>
      </c>
      <c r="D30">
        <f>IF($B30="","",IF($C30=10,"●",""))</f>
        <v/>
      </c>
      <c r="E30">
        <f>IF($B30="","",IF($C30=11,"●",""))</f>
        <v/>
      </c>
      <c r="F30">
        <f>IF($B30="","",IF($C30=12,"●",""))</f>
        <v/>
      </c>
      <c r="G30">
        <f>IF($B30="","",IF($C30=13,"●",""))</f>
        <v/>
      </c>
      <c r="H30">
        <f>IF($B30="","",IF($C30=14,"●",""))</f>
        <v/>
      </c>
      <c r="I30">
        <f>IF($B30="","",IF($C30=15,"●",""))</f>
        <v/>
      </c>
      <c r="J30">
        <f>IF($B30="","",IF($C30=16,"●",""))</f>
        <v/>
      </c>
      <c r="T30">
        <f>IF(AND('Sprint Planning'!$H30&gt;=10,'Sprint Planning'!$H30&lt;=16),IFERROR(MATCH('Sprint Planning'!$C30,Roadmap!$A$4:$A$15,0),99)*100+'Sprint Planning'!$H30+30/100000,"")</f>
        <v/>
      </c>
    </row>
    <row r="31" ht="15" customHeight="1">
      <c r="A31">
        <f>IFERROR(INDEX('Sprint Planning'!$C$2:$C$243,MATCH(SMALL(Roadmap!$T$2:$T$243,ROW()-20),Roadmap!$T$2:$T$243,0)),"")</f>
        <v/>
      </c>
      <c r="B31" s="41">
        <f>IFERROR(INDEX('Sprint Planning'!$B$2:$B$243,MATCH(SMALL(Roadmap!$T$2:$T$243,ROW()-20),Roadmap!$T$2:$T$243,0)),"")</f>
        <v/>
      </c>
      <c r="C31">
        <f>IFERROR(INDEX('Sprint Planning'!$H$2:$H$243,MATCH(SMALL(Roadmap!$T$2:$T$243,ROW()-20),Roadmap!$T$2:$T$243,0)),"")</f>
        <v/>
      </c>
      <c r="D31">
        <f>IF($B31="","",IF($C31=10,"●",""))</f>
        <v/>
      </c>
      <c r="E31">
        <f>IF($B31="","",IF($C31=11,"●",""))</f>
        <v/>
      </c>
      <c r="F31">
        <f>IF($B31="","",IF($C31=12,"●",""))</f>
        <v/>
      </c>
      <c r="G31">
        <f>IF($B31="","",IF($C31=13,"●",""))</f>
        <v/>
      </c>
      <c r="H31">
        <f>IF($B31="","",IF($C31=14,"●",""))</f>
        <v/>
      </c>
      <c r="I31">
        <f>IF($B31="","",IF($C31=15,"●",""))</f>
        <v/>
      </c>
      <c r="J31">
        <f>IF($B31="","",IF($C31=16,"●",""))</f>
        <v/>
      </c>
      <c r="T31">
        <f>IF(AND('Sprint Planning'!$H31&gt;=10,'Sprint Planning'!$H31&lt;=16),IFERROR(MATCH('Sprint Planning'!$C31,Roadmap!$A$4:$A$15,0),99)*100+'Sprint Planning'!$H31+31/100000,"")</f>
        <v/>
      </c>
    </row>
    <row r="32" ht="15" customHeight="1">
      <c r="A32">
        <f>IFERROR(INDEX('Sprint Planning'!$C$2:$C$243,MATCH(SMALL(Roadmap!$T$2:$T$243,ROW()-20),Roadmap!$T$2:$T$243,0)),"")</f>
        <v/>
      </c>
      <c r="B32" s="41">
        <f>IFERROR(INDEX('Sprint Planning'!$B$2:$B$243,MATCH(SMALL(Roadmap!$T$2:$T$243,ROW()-20),Roadmap!$T$2:$T$243,0)),"")</f>
        <v/>
      </c>
      <c r="C32">
        <f>IFERROR(INDEX('Sprint Planning'!$H$2:$H$243,MATCH(SMALL(Roadmap!$T$2:$T$243,ROW()-20),Roadmap!$T$2:$T$243,0)),"")</f>
        <v/>
      </c>
      <c r="D32">
        <f>IF($B32="","",IF($C32=10,"●",""))</f>
        <v/>
      </c>
      <c r="E32">
        <f>IF($B32="","",IF($C32=11,"●",""))</f>
        <v/>
      </c>
      <c r="F32">
        <f>IF($B32="","",IF($C32=12,"●",""))</f>
        <v/>
      </c>
      <c r="G32">
        <f>IF($B32="","",IF($C32=13,"●",""))</f>
        <v/>
      </c>
      <c r="H32">
        <f>IF($B32="","",IF($C32=14,"●",""))</f>
        <v/>
      </c>
      <c r="I32">
        <f>IF($B32="","",IF($C32=15,"●",""))</f>
        <v/>
      </c>
      <c r="J32">
        <f>IF($B32="","",IF($C32=16,"●",""))</f>
        <v/>
      </c>
      <c r="T32">
        <f>IF(AND('Sprint Planning'!$H32&gt;=10,'Sprint Planning'!$H32&lt;=16),IFERROR(MATCH('Sprint Planning'!$C32,Roadmap!$A$4:$A$15,0),99)*100+'Sprint Planning'!$H32+32/100000,"")</f>
        <v/>
      </c>
    </row>
    <row r="33" ht="15" customHeight="1">
      <c r="A33">
        <f>IFERROR(INDEX('Sprint Planning'!$C$2:$C$243,MATCH(SMALL(Roadmap!$T$2:$T$243,ROW()-20),Roadmap!$T$2:$T$243,0)),"")</f>
        <v/>
      </c>
      <c r="B33" s="41">
        <f>IFERROR(INDEX('Sprint Planning'!$B$2:$B$243,MATCH(SMALL(Roadmap!$T$2:$T$243,ROW()-20),Roadmap!$T$2:$T$243,0)),"")</f>
        <v/>
      </c>
      <c r="C33">
        <f>IFERROR(INDEX('Sprint Planning'!$H$2:$H$243,MATCH(SMALL(Roadmap!$T$2:$T$243,ROW()-20),Roadmap!$T$2:$T$243,0)),"")</f>
        <v/>
      </c>
      <c r="D33">
        <f>IF($B33="","",IF($C33=10,"●",""))</f>
        <v/>
      </c>
      <c r="E33">
        <f>IF($B33="","",IF($C33=11,"●",""))</f>
        <v/>
      </c>
      <c r="F33">
        <f>IF($B33="","",IF($C33=12,"●",""))</f>
        <v/>
      </c>
      <c r="G33">
        <f>IF($B33="","",IF($C33=13,"●",""))</f>
        <v/>
      </c>
      <c r="H33">
        <f>IF($B33="","",IF($C33=14,"●",""))</f>
        <v/>
      </c>
      <c r="I33">
        <f>IF($B33="","",IF($C33=15,"●",""))</f>
        <v/>
      </c>
      <c r="J33">
        <f>IF($B33="","",IF($C33=16,"●",""))</f>
        <v/>
      </c>
      <c r="T33">
        <f>IF(AND('Sprint Planning'!$H33&gt;=10,'Sprint Planning'!$H33&lt;=16),IFERROR(MATCH('Sprint Planning'!$C33,Roadmap!$A$4:$A$15,0),99)*100+'Sprint Planning'!$H33+33/100000,"")</f>
        <v/>
      </c>
    </row>
    <row r="34" ht="15" customHeight="1">
      <c r="A34">
        <f>IFERROR(INDEX('Sprint Planning'!$C$2:$C$243,MATCH(SMALL(Roadmap!$T$2:$T$243,ROW()-20),Roadmap!$T$2:$T$243,0)),"")</f>
        <v/>
      </c>
      <c r="B34" s="41">
        <f>IFERROR(INDEX('Sprint Planning'!$B$2:$B$243,MATCH(SMALL(Roadmap!$T$2:$T$243,ROW()-20),Roadmap!$T$2:$T$243,0)),"")</f>
        <v/>
      </c>
      <c r="C34">
        <f>IFERROR(INDEX('Sprint Planning'!$H$2:$H$243,MATCH(SMALL(Roadmap!$T$2:$T$243,ROW()-20),Roadmap!$T$2:$T$243,0)),"")</f>
        <v/>
      </c>
      <c r="D34">
        <f>IF($B34="","",IF($C34=10,"●",""))</f>
        <v/>
      </c>
      <c r="E34">
        <f>IF($B34="","",IF($C34=11,"●",""))</f>
        <v/>
      </c>
      <c r="F34">
        <f>IF($B34="","",IF($C34=12,"●",""))</f>
        <v/>
      </c>
      <c r="G34">
        <f>IF($B34="","",IF($C34=13,"●",""))</f>
        <v/>
      </c>
      <c r="H34">
        <f>IF($B34="","",IF($C34=14,"●",""))</f>
        <v/>
      </c>
      <c r="I34">
        <f>IF($B34="","",IF($C34=15,"●",""))</f>
        <v/>
      </c>
      <c r="J34">
        <f>IF($B34="","",IF($C34=16,"●",""))</f>
        <v/>
      </c>
      <c r="T34">
        <f>IF(AND('Sprint Planning'!$H34&gt;=10,'Sprint Planning'!$H34&lt;=16),IFERROR(MATCH('Sprint Planning'!$C34,Roadmap!$A$4:$A$15,0),99)*100+'Sprint Planning'!$H34+34/100000,"")</f>
        <v/>
      </c>
    </row>
    <row r="35" ht="15" customHeight="1">
      <c r="A35">
        <f>IFERROR(INDEX('Sprint Planning'!$C$2:$C$243,MATCH(SMALL(Roadmap!$T$2:$T$243,ROW()-20),Roadmap!$T$2:$T$243,0)),"")</f>
        <v/>
      </c>
      <c r="B35" s="41">
        <f>IFERROR(INDEX('Sprint Planning'!$B$2:$B$243,MATCH(SMALL(Roadmap!$T$2:$T$243,ROW()-20),Roadmap!$T$2:$T$243,0)),"")</f>
        <v/>
      </c>
      <c r="C35">
        <f>IFERROR(INDEX('Sprint Planning'!$H$2:$H$243,MATCH(SMALL(Roadmap!$T$2:$T$243,ROW()-20),Roadmap!$T$2:$T$243,0)),"")</f>
        <v/>
      </c>
      <c r="D35">
        <f>IF($B35="","",IF($C35=10,"●",""))</f>
        <v/>
      </c>
      <c r="E35">
        <f>IF($B35="","",IF($C35=11,"●",""))</f>
        <v/>
      </c>
      <c r="F35">
        <f>IF($B35="","",IF($C35=12,"●",""))</f>
        <v/>
      </c>
      <c r="G35">
        <f>IF($B35="","",IF($C35=13,"●",""))</f>
        <v/>
      </c>
      <c r="H35">
        <f>IF($B35="","",IF($C35=14,"●",""))</f>
        <v/>
      </c>
      <c r="I35">
        <f>IF($B35="","",IF($C35=15,"●",""))</f>
        <v/>
      </c>
      <c r="J35">
        <f>IF($B35="","",IF($C35=16,"●",""))</f>
        <v/>
      </c>
      <c r="T35">
        <f>IF(AND('Sprint Planning'!$H35&gt;=10,'Sprint Planning'!$H35&lt;=16),IFERROR(MATCH('Sprint Planning'!$C35,Roadmap!$A$4:$A$15,0),99)*100+'Sprint Planning'!$H35+35/100000,"")</f>
        <v/>
      </c>
    </row>
    <row r="36" ht="15" customHeight="1">
      <c r="A36">
        <f>IFERROR(INDEX('Sprint Planning'!$C$2:$C$243,MATCH(SMALL(Roadmap!$T$2:$T$243,ROW()-20),Roadmap!$T$2:$T$243,0)),"")</f>
        <v/>
      </c>
      <c r="B36" s="41">
        <f>IFERROR(INDEX('Sprint Planning'!$B$2:$B$243,MATCH(SMALL(Roadmap!$T$2:$T$243,ROW()-20),Roadmap!$T$2:$T$243,0)),"")</f>
        <v/>
      </c>
      <c r="C36">
        <f>IFERROR(INDEX('Sprint Planning'!$H$2:$H$243,MATCH(SMALL(Roadmap!$T$2:$T$243,ROW()-20),Roadmap!$T$2:$T$243,0)),"")</f>
        <v/>
      </c>
      <c r="D36">
        <f>IF($B36="","",IF($C36=10,"●",""))</f>
        <v/>
      </c>
      <c r="E36">
        <f>IF($B36="","",IF($C36=11,"●",""))</f>
        <v/>
      </c>
      <c r="F36">
        <f>IF($B36="","",IF($C36=12,"●",""))</f>
        <v/>
      </c>
      <c r="G36">
        <f>IF($B36="","",IF($C36=13,"●",""))</f>
        <v/>
      </c>
      <c r="H36">
        <f>IF($B36="","",IF($C36=14,"●",""))</f>
        <v/>
      </c>
      <c r="I36">
        <f>IF($B36="","",IF($C36=15,"●",""))</f>
        <v/>
      </c>
      <c r="J36">
        <f>IF($B36="","",IF($C36=16,"●",""))</f>
        <v/>
      </c>
      <c r="T36">
        <f>IF(AND('Sprint Planning'!$H36&gt;=10,'Sprint Planning'!$H36&lt;=16),IFERROR(MATCH('Sprint Planning'!$C36,Roadmap!$A$4:$A$15,0),99)*100+'Sprint Planning'!$H36+36/100000,"")</f>
        <v/>
      </c>
    </row>
    <row r="37" ht="15" customHeight="1">
      <c r="A37">
        <f>IFERROR(INDEX('Sprint Planning'!$C$2:$C$243,MATCH(SMALL(Roadmap!$T$2:$T$243,ROW()-20),Roadmap!$T$2:$T$243,0)),"")</f>
        <v/>
      </c>
      <c r="B37" s="41">
        <f>IFERROR(INDEX('Sprint Planning'!$B$2:$B$243,MATCH(SMALL(Roadmap!$T$2:$T$243,ROW()-20),Roadmap!$T$2:$T$243,0)),"")</f>
        <v/>
      </c>
      <c r="C37">
        <f>IFERROR(INDEX('Sprint Planning'!$H$2:$H$243,MATCH(SMALL(Roadmap!$T$2:$T$243,ROW()-20),Roadmap!$T$2:$T$243,0)),"")</f>
        <v/>
      </c>
      <c r="D37">
        <f>IF($B37="","",IF($C37=10,"●",""))</f>
        <v/>
      </c>
      <c r="E37">
        <f>IF($B37="","",IF($C37=11,"●",""))</f>
        <v/>
      </c>
      <c r="F37">
        <f>IF($B37="","",IF($C37=12,"●",""))</f>
        <v/>
      </c>
      <c r="G37">
        <f>IF($B37="","",IF($C37=13,"●",""))</f>
        <v/>
      </c>
      <c r="H37">
        <f>IF($B37="","",IF($C37=14,"●",""))</f>
        <v/>
      </c>
      <c r="I37">
        <f>IF($B37="","",IF($C37=15,"●",""))</f>
        <v/>
      </c>
      <c r="J37">
        <f>IF($B37="","",IF($C37=16,"●",""))</f>
        <v/>
      </c>
      <c r="T37">
        <f>IF(AND('Sprint Planning'!$H37&gt;=10,'Sprint Planning'!$H37&lt;=16),IFERROR(MATCH('Sprint Planning'!$C37,Roadmap!$A$4:$A$15,0),99)*100+'Sprint Planning'!$H37+37/100000,"")</f>
        <v/>
      </c>
    </row>
    <row r="38" ht="15" customHeight="1">
      <c r="A38">
        <f>IFERROR(INDEX('Sprint Planning'!$C$2:$C$243,MATCH(SMALL(Roadmap!$T$2:$T$243,ROW()-20),Roadmap!$T$2:$T$243,0)),"")</f>
        <v/>
      </c>
      <c r="B38" s="41">
        <f>IFERROR(INDEX('Sprint Planning'!$B$2:$B$243,MATCH(SMALL(Roadmap!$T$2:$T$243,ROW()-20),Roadmap!$T$2:$T$243,0)),"")</f>
        <v/>
      </c>
      <c r="C38">
        <f>IFERROR(INDEX('Sprint Planning'!$H$2:$H$243,MATCH(SMALL(Roadmap!$T$2:$T$243,ROW()-20),Roadmap!$T$2:$T$243,0)),"")</f>
        <v/>
      </c>
      <c r="D38">
        <f>IF($B38="","",IF($C38=10,"●",""))</f>
        <v/>
      </c>
      <c r="E38">
        <f>IF($B38="","",IF($C38=11,"●",""))</f>
        <v/>
      </c>
      <c r="F38">
        <f>IF($B38="","",IF($C38=12,"●",""))</f>
        <v/>
      </c>
      <c r="G38">
        <f>IF($B38="","",IF($C38=13,"●",""))</f>
        <v/>
      </c>
      <c r="H38">
        <f>IF($B38="","",IF($C38=14,"●",""))</f>
        <v/>
      </c>
      <c r="I38">
        <f>IF($B38="","",IF($C38=15,"●",""))</f>
        <v/>
      </c>
      <c r="J38">
        <f>IF($B38="","",IF($C38=16,"●",""))</f>
        <v/>
      </c>
      <c r="T38">
        <f>IF(AND('Sprint Planning'!$H38&gt;=10,'Sprint Planning'!$H38&lt;=16),IFERROR(MATCH('Sprint Planning'!$C38,Roadmap!$A$4:$A$15,0),99)*100+'Sprint Planning'!$H38+38/100000,"")</f>
        <v/>
      </c>
    </row>
    <row r="39" ht="15" customHeight="1">
      <c r="A39">
        <f>IFERROR(INDEX('Sprint Planning'!$C$2:$C$243,MATCH(SMALL(Roadmap!$T$2:$T$243,ROW()-20),Roadmap!$T$2:$T$243,0)),"")</f>
        <v/>
      </c>
      <c r="B39" s="41">
        <f>IFERROR(INDEX('Sprint Planning'!$B$2:$B$243,MATCH(SMALL(Roadmap!$T$2:$T$243,ROW()-20),Roadmap!$T$2:$T$243,0)),"")</f>
        <v/>
      </c>
      <c r="C39">
        <f>IFERROR(INDEX('Sprint Planning'!$H$2:$H$243,MATCH(SMALL(Roadmap!$T$2:$T$243,ROW()-20),Roadmap!$T$2:$T$243,0)),"")</f>
        <v/>
      </c>
      <c r="D39">
        <f>IF($B39="","",IF($C39=10,"●",""))</f>
        <v/>
      </c>
      <c r="E39">
        <f>IF($B39="","",IF($C39=11,"●",""))</f>
        <v/>
      </c>
      <c r="F39">
        <f>IF($B39="","",IF($C39=12,"●",""))</f>
        <v/>
      </c>
      <c r="G39">
        <f>IF($B39="","",IF($C39=13,"●",""))</f>
        <v/>
      </c>
      <c r="H39">
        <f>IF($B39="","",IF($C39=14,"●",""))</f>
        <v/>
      </c>
      <c r="I39">
        <f>IF($B39="","",IF($C39=15,"●",""))</f>
        <v/>
      </c>
      <c r="J39">
        <f>IF($B39="","",IF($C39=16,"●",""))</f>
        <v/>
      </c>
      <c r="T39">
        <f>IF(AND('Sprint Planning'!$H39&gt;=10,'Sprint Planning'!$H39&lt;=16),IFERROR(MATCH('Sprint Planning'!$C39,Roadmap!$A$4:$A$15,0),99)*100+'Sprint Planning'!$H39+39/100000,"")</f>
        <v/>
      </c>
    </row>
    <row r="40" ht="15" customHeight="1">
      <c r="A40">
        <f>IFERROR(INDEX('Sprint Planning'!$C$2:$C$243,MATCH(SMALL(Roadmap!$T$2:$T$243,ROW()-20),Roadmap!$T$2:$T$243,0)),"")</f>
        <v/>
      </c>
      <c r="B40" s="41">
        <f>IFERROR(INDEX('Sprint Planning'!$B$2:$B$243,MATCH(SMALL(Roadmap!$T$2:$T$243,ROW()-20),Roadmap!$T$2:$T$243,0)),"")</f>
        <v/>
      </c>
      <c r="C40">
        <f>IFERROR(INDEX('Sprint Planning'!$H$2:$H$243,MATCH(SMALL(Roadmap!$T$2:$T$243,ROW()-20),Roadmap!$T$2:$T$243,0)),"")</f>
        <v/>
      </c>
      <c r="D40">
        <f>IF($B40="","",IF($C40=10,"●",""))</f>
        <v/>
      </c>
      <c r="E40">
        <f>IF($B40="","",IF($C40=11,"●",""))</f>
        <v/>
      </c>
      <c r="F40">
        <f>IF($B40="","",IF($C40=12,"●",""))</f>
        <v/>
      </c>
      <c r="G40">
        <f>IF($B40="","",IF($C40=13,"●",""))</f>
        <v/>
      </c>
      <c r="H40">
        <f>IF($B40="","",IF($C40=14,"●",""))</f>
        <v/>
      </c>
      <c r="I40">
        <f>IF($B40="","",IF($C40=15,"●",""))</f>
        <v/>
      </c>
      <c r="J40">
        <f>IF($B40="","",IF($C40=16,"●",""))</f>
        <v/>
      </c>
      <c r="T40">
        <f>IF(AND('Sprint Planning'!$H40&gt;=10,'Sprint Planning'!$H40&lt;=16),IFERROR(MATCH('Sprint Planning'!$C40,Roadmap!$A$4:$A$15,0),99)*100+'Sprint Planning'!$H40+40/100000,"")</f>
        <v/>
      </c>
    </row>
    <row r="41" ht="15" customHeight="1">
      <c r="A41">
        <f>IFERROR(INDEX('Sprint Planning'!$C$2:$C$243,MATCH(SMALL(Roadmap!$T$2:$T$243,ROW()-20),Roadmap!$T$2:$T$243,0)),"")</f>
        <v/>
      </c>
      <c r="B41" s="41">
        <f>IFERROR(INDEX('Sprint Planning'!$B$2:$B$243,MATCH(SMALL(Roadmap!$T$2:$T$243,ROW()-20),Roadmap!$T$2:$T$243,0)),"")</f>
        <v/>
      </c>
      <c r="C41">
        <f>IFERROR(INDEX('Sprint Planning'!$H$2:$H$243,MATCH(SMALL(Roadmap!$T$2:$T$243,ROW()-20),Roadmap!$T$2:$T$243,0)),"")</f>
        <v/>
      </c>
      <c r="D41">
        <f>IF($B41="","",IF($C41=10,"●",""))</f>
        <v/>
      </c>
      <c r="E41">
        <f>IF($B41="","",IF($C41=11,"●",""))</f>
        <v/>
      </c>
      <c r="F41">
        <f>IF($B41="","",IF($C41=12,"●",""))</f>
        <v/>
      </c>
      <c r="G41">
        <f>IF($B41="","",IF($C41=13,"●",""))</f>
        <v/>
      </c>
      <c r="H41">
        <f>IF($B41="","",IF($C41=14,"●",""))</f>
        <v/>
      </c>
      <c r="I41">
        <f>IF($B41="","",IF($C41=15,"●",""))</f>
        <v/>
      </c>
      <c r="J41">
        <f>IF($B41="","",IF($C41=16,"●",""))</f>
        <v/>
      </c>
      <c r="T41">
        <f>IF(AND('Sprint Planning'!$H41&gt;=10,'Sprint Planning'!$H41&lt;=16),IFERROR(MATCH('Sprint Planning'!$C41,Roadmap!$A$4:$A$15,0),99)*100+'Sprint Planning'!$H41+41/100000,"")</f>
        <v/>
      </c>
    </row>
    <row r="42" ht="15" customHeight="1">
      <c r="A42">
        <f>IFERROR(INDEX('Sprint Planning'!$C$2:$C$243,MATCH(SMALL(Roadmap!$T$2:$T$243,ROW()-20),Roadmap!$T$2:$T$243,0)),"")</f>
        <v/>
      </c>
      <c r="B42" s="41">
        <f>IFERROR(INDEX('Sprint Planning'!$B$2:$B$243,MATCH(SMALL(Roadmap!$T$2:$T$243,ROW()-20),Roadmap!$T$2:$T$243,0)),"")</f>
        <v/>
      </c>
      <c r="C42">
        <f>IFERROR(INDEX('Sprint Planning'!$H$2:$H$243,MATCH(SMALL(Roadmap!$T$2:$T$243,ROW()-20),Roadmap!$T$2:$T$243,0)),"")</f>
        <v/>
      </c>
      <c r="D42">
        <f>IF($B42="","",IF($C42=10,"●",""))</f>
        <v/>
      </c>
      <c r="E42">
        <f>IF($B42="","",IF($C42=11,"●",""))</f>
        <v/>
      </c>
      <c r="F42">
        <f>IF($B42="","",IF($C42=12,"●",""))</f>
        <v/>
      </c>
      <c r="G42">
        <f>IF($B42="","",IF($C42=13,"●",""))</f>
        <v/>
      </c>
      <c r="H42">
        <f>IF($B42="","",IF($C42=14,"●",""))</f>
        <v/>
      </c>
      <c r="I42">
        <f>IF($B42="","",IF($C42=15,"●",""))</f>
        <v/>
      </c>
      <c r="J42">
        <f>IF($B42="","",IF($C42=16,"●",""))</f>
        <v/>
      </c>
      <c r="T42">
        <f>IF(AND('Sprint Planning'!$H42&gt;=10,'Sprint Planning'!$H42&lt;=16),IFERROR(MATCH('Sprint Planning'!$C42,Roadmap!$A$4:$A$15,0),99)*100+'Sprint Planning'!$H42+42/100000,"")</f>
        <v/>
      </c>
    </row>
    <row r="43" ht="15" customHeight="1">
      <c r="A43">
        <f>IFERROR(INDEX('Sprint Planning'!$C$2:$C$243,MATCH(SMALL(Roadmap!$T$2:$T$243,ROW()-20),Roadmap!$T$2:$T$243,0)),"")</f>
        <v/>
      </c>
      <c r="B43" s="41">
        <f>IFERROR(INDEX('Sprint Planning'!$B$2:$B$243,MATCH(SMALL(Roadmap!$T$2:$T$243,ROW()-20),Roadmap!$T$2:$T$243,0)),"")</f>
        <v/>
      </c>
      <c r="C43">
        <f>IFERROR(INDEX('Sprint Planning'!$H$2:$H$243,MATCH(SMALL(Roadmap!$T$2:$T$243,ROW()-20),Roadmap!$T$2:$T$243,0)),"")</f>
        <v/>
      </c>
      <c r="D43">
        <f>IF($B43="","",IF($C43=10,"●",""))</f>
        <v/>
      </c>
      <c r="E43">
        <f>IF($B43="","",IF($C43=11,"●",""))</f>
        <v/>
      </c>
      <c r="F43">
        <f>IF($B43="","",IF($C43=12,"●",""))</f>
        <v/>
      </c>
      <c r="G43">
        <f>IF($B43="","",IF($C43=13,"●",""))</f>
        <v/>
      </c>
      <c r="H43">
        <f>IF($B43="","",IF($C43=14,"●",""))</f>
        <v/>
      </c>
      <c r="I43">
        <f>IF($B43="","",IF($C43=15,"●",""))</f>
        <v/>
      </c>
      <c r="J43">
        <f>IF($B43="","",IF($C43=16,"●",""))</f>
        <v/>
      </c>
      <c r="T43">
        <f>IF(AND('Sprint Planning'!$H43&gt;=10,'Sprint Planning'!$H43&lt;=16),IFERROR(MATCH('Sprint Planning'!$C43,Roadmap!$A$4:$A$15,0),99)*100+'Sprint Planning'!$H43+43/100000,"")</f>
        <v/>
      </c>
    </row>
    <row r="44" ht="15" customHeight="1">
      <c r="A44">
        <f>IFERROR(INDEX('Sprint Planning'!$C$2:$C$243,MATCH(SMALL(Roadmap!$T$2:$T$243,ROW()-20),Roadmap!$T$2:$T$243,0)),"")</f>
        <v/>
      </c>
      <c r="B44" s="41">
        <f>IFERROR(INDEX('Sprint Planning'!$B$2:$B$243,MATCH(SMALL(Roadmap!$T$2:$T$243,ROW()-20),Roadmap!$T$2:$T$243,0)),"")</f>
        <v/>
      </c>
      <c r="C44">
        <f>IFERROR(INDEX('Sprint Planning'!$H$2:$H$243,MATCH(SMALL(Roadmap!$T$2:$T$243,ROW()-20),Roadmap!$T$2:$T$243,0)),"")</f>
        <v/>
      </c>
      <c r="D44">
        <f>IF($B44="","",IF($C44=10,"●",""))</f>
        <v/>
      </c>
      <c r="E44">
        <f>IF($B44="","",IF($C44=11,"●",""))</f>
        <v/>
      </c>
      <c r="F44">
        <f>IF($B44="","",IF($C44=12,"●",""))</f>
        <v/>
      </c>
      <c r="G44">
        <f>IF($B44="","",IF($C44=13,"●",""))</f>
        <v/>
      </c>
      <c r="H44">
        <f>IF($B44="","",IF($C44=14,"●",""))</f>
        <v/>
      </c>
      <c r="I44">
        <f>IF($B44="","",IF($C44=15,"●",""))</f>
        <v/>
      </c>
      <c r="J44">
        <f>IF($B44="","",IF($C44=16,"●",""))</f>
        <v/>
      </c>
      <c r="T44">
        <f>IF(AND('Sprint Planning'!$H44&gt;=10,'Sprint Planning'!$H44&lt;=16),IFERROR(MATCH('Sprint Planning'!$C44,Roadmap!$A$4:$A$15,0),99)*100+'Sprint Planning'!$H44+44/100000,"")</f>
        <v/>
      </c>
    </row>
    <row r="45" ht="15" customHeight="1">
      <c r="A45">
        <f>IFERROR(INDEX('Sprint Planning'!$C$2:$C$243,MATCH(SMALL(Roadmap!$T$2:$T$243,ROW()-20),Roadmap!$T$2:$T$243,0)),"")</f>
        <v/>
      </c>
      <c r="B45" s="41">
        <f>IFERROR(INDEX('Sprint Planning'!$B$2:$B$243,MATCH(SMALL(Roadmap!$T$2:$T$243,ROW()-20),Roadmap!$T$2:$T$243,0)),"")</f>
        <v/>
      </c>
      <c r="C45">
        <f>IFERROR(INDEX('Sprint Planning'!$H$2:$H$243,MATCH(SMALL(Roadmap!$T$2:$T$243,ROW()-20),Roadmap!$T$2:$T$243,0)),"")</f>
        <v/>
      </c>
      <c r="D45">
        <f>IF($B45="","",IF($C45=10,"●",""))</f>
        <v/>
      </c>
      <c r="E45">
        <f>IF($B45="","",IF($C45=11,"●",""))</f>
        <v/>
      </c>
      <c r="F45">
        <f>IF($B45="","",IF($C45=12,"●",""))</f>
        <v/>
      </c>
      <c r="G45">
        <f>IF($B45="","",IF($C45=13,"●",""))</f>
        <v/>
      </c>
      <c r="H45">
        <f>IF($B45="","",IF($C45=14,"●",""))</f>
        <v/>
      </c>
      <c r="I45">
        <f>IF($B45="","",IF($C45=15,"●",""))</f>
        <v/>
      </c>
      <c r="J45">
        <f>IF($B45="","",IF($C45=16,"●",""))</f>
        <v/>
      </c>
      <c r="T45">
        <f>IF(AND('Sprint Planning'!$H45&gt;=10,'Sprint Planning'!$H45&lt;=16),IFERROR(MATCH('Sprint Planning'!$C45,Roadmap!$A$4:$A$15,0),99)*100+'Sprint Planning'!$H45+45/100000,"")</f>
        <v/>
      </c>
    </row>
    <row r="46" ht="15" customHeight="1">
      <c r="A46">
        <f>IFERROR(INDEX('Sprint Planning'!$C$2:$C$243,MATCH(SMALL(Roadmap!$T$2:$T$243,ROW()-20),Roadmap!$T$2:$T$243,0)),"")</f>
        <v/>
      </c>
      <c r="B46" s="41">
        <f>IFERROR(INDEX('Sprint Planning'!$B$2:$B$243,MATCH(SMALL(Roadmap!$T$2:$T$243,ROW()-20),Roadmap!$T$2:$T$243,0)),"")</f>
        <v/>
      </c>
      <c r="C46">
        <f>IFERROR(INDEX('Sprint Planning'!$H$2:$H$243,MATCH(SMALL(Roadmap!$T$2:$T$243,ROW()-20),Roadmap!$T$2:$T$243,0)),"")</f>
        <v/>
      </c>
      <c r="D46">
        <f>IF($B46="","",IF($C46=10,"●",""))</f>
        <v/>
      </c>
      <c r="E46">
        <f>IF($B46="","",IF($C46=11,"●",""))</f>
        <v/>
      </c>
      <c r="F46">
        <f>IF($B46="","",IF($C46=12,"●",""))</f>
        <v/>
      </c>
      <c r="G46">
        <f>IF($B46="","",IF($C46=13,"●",""))</f>
        <v/>
      </c>
      <c r="H46">
        <f>IF($B46="","",IF($C46=14,"●",""))</f>
        <v/>
      </c>
      <c r="I46">
        <f>IF($B46="","",IF($C46=15,"●",""))</f>
        <v/>
      </c>
      <c r="J46">
        <f>IF($B46="","",IF($C46=16,"●",""))</f>
        <v/>
      </c>
      <c r="T46">
        <f>IF(AND('Sprint Planning'!$H46&gt;=10,'Sprint Planning'!$H46&lt;=16),IFERROR(MATCH('Sprint Planning'!$C46,Roadmap!$A$4:$A$15,0),99)*100+'Sprint Planning'!$H46+46/100000,"")</f>
        <v/>
      </c>
    </row>
    <row r="47" ht="15" customHeight="1">
      <c r="A47">
        <f>IFERROR(INDEX('Sprint Planning'!$C$2:$C$243,MATCH(SMALL(Roadmap!$T$2:$T$243,ROW()-20),Roadmap!$T$2:$T$243,0)),"")</f>
        <v/>
      </c>
      <c r="B47" s="41">
        <f>IFERROR(INDEX('Sprint Planning'!$B$2:$B$243,MATCH(SMALL(Roadmap!$T$2:$T$243,ROW()-20),Roadmap!$T$2:$T$243,0)),"")</f>
        <v/>
      </c>
      <c r="C47">
        <f>IFERROR(INDEX('Sprint Planning'!$H$2:$H$243,MATCH(SMALL(Roadmap!$T$2:$T$243,ROW()-20),Roadmap!$T$2:$T$243,0)),"")</f>
        <v/>
      </c>
      <c r="D47">
        <f>IF($B47="","",IF($C47=10,"●",""))</f>
        <v/>
      </c>
      <c r="E47">
        <f>IF($B47="","",IF($C47=11,"●",""))</f>
        <v/>
      </c>
      <c r="F47">
        <f>IF($B47="","",IF($C47=12,"●",""))</f>
        <v/>
      </c>
      <c r="G47">
        <f>IF($B47="","",IF($C47=13,"●",""))</f>
        <v/>
      </c>
      <c r="H47">
        <f>IF($B47="","",IF($C47=14,"●",""))</f>
        <v/>
      </c>
      <c r="I47">
        <f>IF($B47="","",IF($C47=15,"●",""))</f>
        <v/>
      </c>
      <c r="J47">
        <f>IF($B47="","",IF($C47=16,"●",""))</f>
        <v/>
      </c>
      <c r="T47">
        <f>IF(AND('Sprint Planning'!$H47&gt;=10,'Sprint Planning'!$H47&lt;=16),IFERROR(MATCH('Sprint Planning'!$C47,Roadmap!$A$4:$A$15,0),99)*100+'Sprint Planning'!$H47+47/100000,"")</f>
        <v/>
      </c>
    </row>
    <row r="48" ht="15" customHeight="1">
      <c r="A48">
        <f>IFERROR(INDEX('Sprint Planning'!$C$2:$C$243,MATCH(SMALL(Roadmap!$T$2:$T$243,ROW()-20),Roadmap!$T$2:$T$243,0)),"")</f>
        <v/>
      </c>
      <c r="B48" s="41">
        <f>IFERROR(INDEX('Sprint Planning'!$B$2:$B$243,MATCH(SMALL(Roadmap!$T$2:$T$243,ROW()-20),Roadmap!$T$2:$T$243,0)),"")</f>
        <v/>
      </c>
      <c r="C48">
        <f>IFERROR(INDEX('Sprint Planning'!$H$2:$H$243,MATCH(SMALL(Roadmap!$T$2:$T$243,ROW()-20),Roadmap!$T$2:$T$243,0)),"")</f>
        <v/>
      </c>
      <c r="D48">
        <f>IF($B48="","",IF($C48=10,"●",""))</f>
        <v/>
      </c>
      <c r="E48">
        <f>IF($B48="","",IF($C48=11,"●",""))</f>
        <v/>
      </c>
      <c r="G48">
        <f>IF($B48="","",IF($C48=13,"●",""))</f>
        <v/>
      </c>
      <c r="H48">
        <f>IF($B48="","",IF($C48=14,"●",""))</f>
        <v/>
      </c>
      <c r="I48">
        <f>IF($B48="","",IF($C48=15,"●",""))</f>
        <v/>
      </c>
      <c r="J48">
        <f>IF($B48="","",IF($C48=16,"●",""))</f>
        <v/>
      </c>
      <c r="T48">
        <f>IF(AND('Sprint Planning'!$H48&gt;=10,'Sprint Planning'!$H48&lt;=16),IFERROR(MATCH('Sprint Planning'!$C48,Roadmap!$A$4:$A$15,0),99)*100+'Sprint Planning'!$H48+48/100000,"")</f>
        <v/>
      </c>
    </row>
    <row r="49" ht="15" customHeight="1">
      <c r="A49">
        <f>IFERROR(INDEX('Sprint Planning'!$C$2:$C$243,MATCH(SMALL(Roadmap!$T$2:$T$243,ROW()-20),Roadmap!$T$2:$T$243,0)),"")</f>
        <v/>
      </c>
      <c r="B49" s="41">
        <f>IFERROR(INDEX('Sprint Planning'!$B$2:$B$243,MATCH(SMALL(Roadmap!$T$2:$T$243,ROW()-20),Roadmap!$T$2:$T$243,0)),"")</f>
        <v/>
      </c>
      <c r="C49">
        <f>IFERROR(INDEX('Sprint Planning'!$H$2:$H$243,MATCH(SMALL(Roadmap!$T$2:$T$243,ROW()-20),Roadmap!$T$2:$T$243,0)),"")</f>
        <v/>
      </c>
      <c r="D49">
        <f>IF($B49="","",IF($C49=10,"●",""))</f>
        <v/>
      </c>
      <c r="E49">
        <f>IF($B49="","",IF($C49=11,"●",""))</f>
        <v/>
      </c>
      <c r="F49">
        <f>IF($B49="","",IF($C49=12,"●",""))</f>
        <v/>
      </c>
      <c r="G49">
        <f>IF($B49="","",IF($C49=13,"●",""))</f>
        <v/>
      </c>
      <c r="H49">
        <f>IF($B49="","",IF($C49=14,"●",""))</f>
        <v/>
      </c>
      <c r="I49">
        <f>IF($B49="","",IF($C49=15,"●",""))</f>
        <v/>
      </c>
      <c r="J49">
        <f>IF($B49="","",IF($C49=16,"●",""))</f>
        <v/>
      </c>
      <c r="T49">
        <f>IF(AND('Sprint Planning'!$H49&gt;=10,'Sprint Planning'!$H49&lt;=16),IFERROR(MATCH('Sprint Planning'!$C49,Roadmap!$A$4:$A$15,0),99)*100+'Sprint Planning'!$H49+49/100000,"")</f>
        <v/>
      </c>
    </row>
    <row r="50" ht="15" customHeight="1">
      <c r="A50">
        <f>IFERROR(INDEX('Sprint Planning'!$C$2:$C$243,MATCH(SMALL(Roadmap!$T$2:$T$243,ROW()-20),Roadmap!$T$2:$T$243,0)),"")</f>
        <v/>
      </c>
      <c r="B50" s="41">
        <f>IFERROR(INDEX('Sprint Planning'!$B$2:$B$243,MATCH(SMALL(Roadmap!$T$2:$T$243,ROW()-20),Roadmap!$T$2:$T$243,0)),"")</f>
        <v/>
      </c>
      <c r="C50">
        <f>IFERROR(INDEX('Sprint Planning'!$H$2:$H$243,MATCH(SMALL(Roadmap!$T$2:$T$243,ROW()-20),Roadmap!$T$2:$T$243,0)),"")</f>
        <v/>
      </c>
      <c r="D50">
        <f>IF($B50="","",IF($C50=10,"●",""))</f>
        <v/>
      </c>
      <c r="E50">
        <f>IF($B50="","",IF($C50=11,"●",""))</f>
        <v/>
      </c>
      <c r="F50">
        <f>IF($B50="","",IF($C50=12,"●",""))</f>
        <v/>
      </c>
      <c r="G50">
        <f>IF($B50="","",IF($C50=13,"●",""))</f>
        <v/>
      </c>
      <c r="H50">
        <f>IF($B50="","",IF($C50=14,"●",""))</f>
        <v/>
      </c>
      <c r="I50">
        <f>IF($B50="","",IF($C50=15,"●",""))</f>
        <v/>
      </c>
      <c r="J50">
        <f>IF($B50="","",IF($C50=16,"●",""))</f>
        <v/>
      </c>
      <c r="T50">
        <f>IF(AND('Sprint Planning'!$H50&gt;=10,'Sprint Planning'!$H50&lt;=16),IFERROR(MATCH('Sprint Planning'!$C50,Roadmap!$A$4:$A$15,0),99)*100+'Sprint Planning'!$H50+50/100000,"")</f>
        <v/>
      </c>
    </row>
    <row r="51" ht="15" customHeight="1">
      <c r="A51">
        <f>IFERROR(INDEX('Sprint Planning'!$C$2:$C$243,MATCH(SMALL(Roadmap!$T$2:$T$243,ROW()-20),Roadmap!$T$2:$T$243,0)),"")</f>
        <v/>
      </c>
      <c r="B51" s="41">
        <f>IFERROR(INDEX('Sprint Planning'!$B$2:$B$243,MATCH(SMALL(Roadmap!$T$2:$T$243,ROW()-20),Roadmap!$T$2:$T$243,0)),"")</f>
        <v/>
      </c>
      <c r="C51">
        <f>IFERROR(INDEX('Sprint Planning'!$H$2:$H$243,MATCH(SMALL(Roadmap!$T$2:$T$243,ROW()-20),Roadmap!$T$2:$T$243,0)),"")</f>
        <v/>
      </c>
      <c r="D51">
        <f>IF($B51="","",IF($C51=10,"●",""))</f>
        <v/>
      </c>
      <c r="E51">
        <f>IF($B51="","",IF($C51=11,"●",""))</f>
        <v/>
      </c>
      <c r="F51">
        <f>IF($B51="","",IF($C51=12,"●",""))</f>
        <v/>
      </c>
      <c r="G51">
        <f>IF($B51="","",IF($C51=13,"●",""))</f>
        <v/>
      </c>
      <c r="H51">
        <f>IF($B51="","",IF($C51=14,"●",""))</f>
        <v/>
      </c>
      <c r="I51">
        <f>IF($B51="","",IF($C51=15,"●",""))</f>
        <v/>
      </c>
      <c r="J51">
        <f>IF($B51="","",IF($C51=16,"●",""))</f>
        <v/>
      </c>
      <c r="T51">
        <f>IF(AND('Sprint Planning'!$H51&gt;=10,'Sprint Planning'!$H51&lt;=16),IFERROR(MATCH('Sprint Planning'!$C51,Roadmap!$A$4:$A$15,0),99)*100+'Sprint Planning'!$H51+51/100000,"")</f>
        <v/>
      </c>
    </row>
    <row r="52" ht="15" customHeight="1">
      <c r="A52">
        <f>IFERROR(INDEX('Sprint Planning'!$C$2:$C$243,MATCH(SMALL(Roadmap!$T$2:$T$243,ROW()-20),Roadmap!$T$2:$T$243,0)),"")</f>
        <v/>
      </c>
      <c r="B52" s="41">
        <f>IFERROR(INDEX('Sprint Planning'!$B$2:$B$243,MATCH(SMALL(Roadmap!$T$2:$T$243,ROW()-20),Roadmap!$T$2:$T$243,0)),"")</f>
        <v/>
      </c>
      <c r="C52">
        <f>IFERROR(INDEX('Sprint Planning'!$H$2:$H$243,MATCH(SMALL(Roadmap!$T$2:$T$243,ROW()-20),Roadmap!$T$2:$T$243,0)),"")</f>
        <v/>
      </c>
      <c r="D52">
        <f>IF($B52="","",IF($C52=10,"●",""))</f>
        <v/>
      </c>
      <c r="E52">
        <f>IF($B52="","",IF($C52=11,"●",""))</f>
        <v/>
      </c>
      <c r="F52">
        <f>IF($B52="","",IF($C52=12,"●",""))</f>
        <v/>
      </c>
      <c r="G52">
        <f>IF($B52="","",IF($C52=13,"●",""))</f>
        <v/>
      </c>
      <c r="H52">
        <f>IF($B52="","",IF($C52=14,"●",""))</f>
        <v/>
      </c>
      <c r="I52">
        <f>IF($B52="","",IF($C52=15,"●",""))</f>
        <v/>
      </c>
      <c r="J52">
        <f>IF($B52="","",IF($C52=16,"●",""))</f>
        <v/>
      </c>
      <c r="T52">
        <f>IF(AND('Sprint Planning'!$H52&gt;=10,'Sprint Planning'!$H52&lt;=16),IFERROR(MATCH('Sprint Planning'!$C52,Roadmap!$A$4:$A$15,0),99)*100+'Sprint Planning'!$H52+52/100000,"")</f>
        <v/>
      </c>
    </row>
    <row r="53" ht="15" customHeight="1">
      <c r="A53">
        <f>IFERROR(INDEX('Sprint Planning'!$C$2:$C$243,MATCH(SMALL(Roadmap!$T$2:$T$243,ROW()-20),Roadmap!$T$2:$T$243,0)),"")</f>
        <v/>
      </c>
      <c r="B53" s="41">
        <f>IFERROR(INDEX('Sprint Planning'!$B$2:$B$243,MATCH(SMALL(Roadmap!$T$2:$T$243,ROW()-20),Roadmap!$T$2:$T$243,0)),"")</f>
        <v/>
      </c>
      <c r="C53">
        <f>IFERROR(INDEX('Sprint Planning'!$H$2:$H$243,MATCH(SMALL(Roadmap!$T$2:$T$243,ROW()-20),Roadmap!$T$2:$T$243,0)),"")</f>
        <v/>
      </c>
      <c r="D53">
        <f>IF($B53="","",IF($C53=10,"●",""))</f>
        <v/>
      </c>
      <c r="E53">
        <f>IF($B53="","",IF($C53=11,"●",""))</f>
        <v/>
      </c>
      <c r="F53">
        <f>IF($B53="","",IF($C53=12,"●",""))</f>
        <v/>
      </c>
      <c r="G53">
        <f>IF($B53="","",IF($C53=13,"●",""))</f>
        <v/>
      </c>
      <c r="H53">
        <f>IF($B53="","",IF($C53=14,"●",""))</f>
        <v/>
      </c>
      <c r="I53">
        <f>IF($B53="","",IF($C53=15,"●",""))</f>
        <v/>
      </c>
      <c r="J53">
        <f>IF($B53="","",IF($C53=16,"●",""))</f>
        <v/>
      </c>
      <c r="T53">
        <f>IF(AND('Sprint Planning'!$H53&gt;=10,'Sprint Planning'!$H53&lt;=16),IFERROR(MATCH('Sprint Planning'!$C53,Roadmap!$A$4:$A$15,0),99)*100+'Sprint Planning'!$H53+53/100000,"")</f>
        <v/>
      </c>
    </row>
    <row r="54" ht="15" customHeight="1">
      <c r="A54">
        <f>IFERROR(INDEX('Sprint Planning'!$C$2:$C$243,MATCH(SMALL(Roadmap!$T$2:$T$243,ROW()-20),Roadmap!$T$2:$T$243,0)),"")</f>
        <v/>
      </c>
      <c r="B54" s="41">
        <f>IFERROR(INDEX('Sprint Planning'!$B$2:$B$243,MATCH(SMALL(Roadmap!$T$2:$T$243,ROW()-20),Roadmap!$T$2:$T$243,0)),"")</f>
        <v/>
      </c>
      <c r="C54">
        <f>IFERROR(INDEX('Sprint Planning'!$H$2:$H$243,MATCH(SMALL(Roadmap!$T$2:$T$243,ROW()-20),Roadmap!$T$2:$T$243,0)),"")</f>
        <v/>
      </c>
      <c r="D54">
        <f>IF($B54="","",IF($C54=10,"●",""))</f>
        <v/>
      </c>
      <c r="E54">
        <f>IF($B54="","",IF($C54=11,"●",""))</f>
        <v/>
      </c>
      <c r="F54">
        <f>IF($B54="","",IF($C54=12,"●",""))</f>
        <v/>
      </c>
      <c r="G54">
        <f>IF($B54="","",IF($C54=13,"●",""))</f>
        <v/>
      </c>
      <c r="H54">
        <f>IF($B54="","",IF($C54=14,"●",""))</f>
        <v/>
      </c>
      <c r="I54">
        <f>IF($B54="","",IF($C54=15,"●",""))</f>
        <v/>
      </c>
      <c r="J54">
        <f>IF($B54="","",IF($C54=16,"●",""))</f>
        <v/>
      </c>
      <c r="T54">
        <f>IF(AND('Sprint Planning'!$H54&gt;=10,'Sprint Planning'!$H54&lt;=16),IFERROR(MATCH('Sprint Planning'!$C54,Roadmap!$A$4:$A$15,0),99)*100+'Sprint Planning'!$H54+54/100000,"")</f>
        <v/>
      </c>
    </row>
    <row r="55" ht="15" customHeight="1">
      <c r="A55">
        <f>IFERROR(INDEX('Sprint Planning'!$C$2:$C$243,MATCH(SMALL(Roadmap!$T$2:$T$243,ROW()-20),Roadmap!$T$2:$T$243,0)),"")</f>
        <v/>
      </c>
      <c r="B55" s="41">
        <f>IFERROR(INDEX('Sprint Planning'!$B$2:$B$243,MATCH(SMALL(Roadmap!$T$2:$T$243,ROW()-20),Roadmap!$T$2:$T$243,0)),"")</f>
        <v/>
      </c>
      <c r="C55">
        <f>IFERROR(INDEX('Sprint Planning'!$H$2:$H$243,MATCH(SMALL(Roadmap!$T$2:$T$243,ROW()-20),Roadmap!$T$2:$T$243,0)),"")</f>
        <v/>
      </c>
      <c r="D55">
        <f>IF($B55="","",IF($C55=10,"●",""))</f>
        <v/>
      </c>
      <c r="E55">
        <f>IF($B55="","",IF($C55=11,"●",""))</f>
        <v/>
      </c>
      <c r="F55">
        <f>IF($B55="","",IF($C55=12,"●",""))</f>
        <v/>
      </c>
      <c r="G55">
        <f>IF($B55="","",IF($C55=13,"●",""))</f>
        <v/>
      </c>
      <c r="H55">
        <f>IF($B55="","",IF($C55=14,"●",""))</f>
        <v/>
      </c>
      <c r="I55">
        <f>IF($B55="","",IF($C55=15,"●",""))</f>
        <v/>
      </c>
      <c r="J55">
        <f>IF($B55="","",IF($C55=16,"●",""))</f>
        <v/>
      </c>
      <c r="T55">
        <f>IF(AND('Sprint Planning'!$H55&gt;=10,'Sprint Planning'!$H55&lt;=16),IFERROR(MATCH('Sprint Planning'!$C55,Roadmap!$A$4:$A$15,0),99)*100+'Sprint Planning'!$H55+55/100000,"")</f>
        <v/>
      </c>
    </row>
    <row r="56" ht="15" customHeight="1">
      <c r="A56">
        <f>IFERROR(INDEX('Sprint Planning'!$C$2:$C$243,MATCH(SMALL(Roadmap!$T$2:$T$243,ROW()-20),Roadmap!$T$2:$T$243,0)),"")</f>
        <v/>
      </c>
      <c r="B56" s="41">
        <f>IFERROR(INDEX('Sprint Planning'!$B$2:$B$243,MATCH(SMALL(Roadmap!$T$2:$T$243,ROW()-20),Roadmap!$T$2:$T$243,0)),"")</f>
        <v/>
      </c>
      <c r="C56">
        <f>IFERROR(INDEX('Sprint Planning'!$H$2:$H$243,MATCH(SMALL(Roadmap!$T$2:$T$243,ROW()-20),Roadmap!$T$2:$T$243,0)),"")</f>
        <v/>
      </c>
      <c r="D56">
        <f>IF($B56="","",IF($C56=10,"●",""))</f>
        <v/>
      </c>
      <c r="E56">
        <f>IF($B56="","",IF($C56=11,"●",""))</f>
        <v/>
      </c>
      <c r="F56">
        <f>IF($B56="","",IF($C56=12,"●",""))</f>
        <v/>
      </c>
      <c r="G56">
        <f>IF($B56="","",IF($C56=13,"●",""))</f>
        <v/>
      </c>
      <c r="H56">
        <f>IF($B56="","",IF($C56=14,"●",""))</f>
        <v/>
      </c>
      <c r="I56">
        <f>IF($B56="","",IF($C56=15,"●",""))</f>
        <v/>
      </c>
      <c r="J56">
        <f>IF($B56="","",IF($C56=16,"●",""))</f>
        <v/>
      </c>
      <c r="T56">
        <f>IF(AND('Sprint Planning'!$H56&gt;=10,'Sprint Planning'!$H56&lt;=16),IFERROR(MATCH('Sprint Planning'!$C56,Roadmap!$A$4:$A$15,0),99)*100+'Sprint Planning'!$H56+56/100000,"")</f>
        <v/>
      </c>
    </row>
    <row r="57" ht="15" customHeight="1">
      <c r="A57">
        <f>IFERROR(INDEX('Sprint Planning'!$C$2:$C$243,MATCH(SMALL(Roadmap!$T$2:$T$243,ROW()-20),Roadmap!$T$2:$T$243,0)),"")</f>
        <v/>
      </c>
      <c r="B57" s="41">
        <f>IFERROR(INDEX('Sprint Planning'!$B$2:$B$243,MATCH(SMALL(Roadmap!$T$2:$T$243,ROW()-20),Roadmap!$T$2:$T$243,0)),"")</f>
        <v/>
      </c>
      <c r="C57">
        <f>IFERROR(INDEX('Sprint Planning'!$H$2:$H$243,MATCH(SMALL(Roadmap!$T$2:$T$243,ROW()-20),Roadmap!$T$2:$T$243,0)),"")</f>
        <v/>
      </c>
      <c r="D57">
        <f>IF($B57="","",IF($C57=10,"●",""))</f>
        <v/>
      </c>
      <c r="E57">
        <f>IF($B57="","",IF($C57=11,"●",""))</f>
        <v/>
      </c>
      <c r="F57">
        <f>IF($B57="","",IF($C57=12,"●",""))</f>
        <v/>
      </c>
      <c r="G57">
        <f>IF($B57="","",IF($C57=13,"●",""))</f>
        <v/>
      </c>
      <c r="H57">
        <f>IF($B57="","",IF($C57=14,"●",""))</f>
        <v/>
      </c>
      <c r="I57">
        <f>IF($B57="","",IF($C57=15,"●",""))</f>
        <v/>
      </c>
      <c r="J57">
        <f>IF($B57="","",IF($C57=16,"●",""))</f>
        <v/>
      </c>
      <c r="T57">
        <f>IF(AND('Sprint Planning'!$H57&gt;=10,'Sprint Planning'!$H57&lt;=16),IFERROR(MATCH('Sprint Planning'!$C57,Roadmap!$A$4:$A$15,0),99)*100+'Sprint Planning'!$H57+57/100000,"")</f>
        <v/>
      </c>
    </row>
    <row r="58" ht="15" customHeight="1">
      <c r="A58">
        <f>IFERROR(INDEX('Sprint Planning'!$C$2:$C$243,MATCH(SMALL(Roadmap!$T$2:$T$243,ROW()-20),Roadmap!$T$2:$T$243,0)),"")</f>
        <v/>
      </c>
      <c r="B58" s="41">
        <f>IFERROR(INDEX('Sprint Planning'!$B$2:$B$243,MATCH(SMALL(Roadmap!$T$2:$T$243,ROW()-20),Roadmap!$T$2:$T$243,0)),"")</f>
        <v/>
      </c>
      <c r="C58">
        <f>IFERROR(INDEX('Sprint Planning'!$H$2:$H$243,MATCH(SMALL(Roadmap!$T$2:$T$243,ROW()-20),Roadmap!$T$2:$T$243,0)),"")</f>
        <v/>
      </c>
      <c r="D58">
        <f>IF($B58="","",IF($C58=10,"●",""))</f>
        <v/>
      </c>
      <c r="E58">
        <f>IF($B58="","",IF($C58=11,"●",""))</f>
        <v/>
      </c>
      <c r="F58">
        <f>IF($B58="","",IF($C58=12,"●",""))</f>
        <v/>
      </c>
      <c r="G58">
        <f>IF($B58="","",IF($C58=13,"●",""))</f>
        <v/>
      </c>
      <c r="H58">
        <f>IF($B58="","",IF($C58=14,"●",""))</f>
        <v/>
      </c>
      <c r="I58">
        <f>IF($B58="","",IF($C58=15,"●",""))</f>
        <v/>
      </c>
      <c r="J58">
        <f>IF($B58="","",IF($C58=16,"●",""))</f>
        <v/>
      </c>
      <c r="T58">
        <f>IF(AND('Sprint Planning'!$H58&gt;=10,'Sprint Planning'!$H58&lt;=16),IFERROR(MATCH('Sprint Planning'!$C58,Roadmap!$A$4:$A$15,0),99)*100+'Sprint Planning'!$H58+58/100000,"")</f>
        <v/>
      </c>
    </row>
    <row r="59" ht="15" customHeight="1">
      <c r="A59">
        <f>IFERROR(INDEX('Sprint Planning'!$C$2:$C$243,MATCH(SMALL(Roadmap!$T$2:$T$243,ROW()-20),Roadmap!$T$2:$T$243,0)),"")</f>
        <v/>
      </c>
      <c r="B59" s="41">
        <f>IFERROR(INDEX('Sprint Planning'!$B$2:$B$243,MATCH(SMALL(Roadmap!$T$2:$T$243,ROW()-20),Roadmap!$T$2:$T$243,0)),"")</f>
        <v/>
      </c>
      <c r="C59">
        <f>IFERROR(INDEX('Sprint Planning'!$H$2:$H$243,MATCH(SMALL(Roadmap!$T$2:$T$243,ROW()-20),Roadmap!$T$2:$T$243,0)),"")</f>
        <v/>
      </c>
      <c r="D59">
        <f>IF($B59="","",IF($C59=10,"●",""))</f>
        <v/>
      </c>
      <c r="E59">
        <f>IF($B59="","",IF($C59=11,"●",""))</f>
        <v/>
      </c>
      <c r="F59">
        <f>IF($B59="","",IF($C59=12,"●",""))</f>
        <v/>
      </c>
      <c r="G59">
        <f>IF($B59="","",IF($C59=13,"●",""))</f>
        <v/>
      </c>
      <c r="H59">
        <f>IF($B59="","",IF($C59=14,"●",""))</f>
        <v/>
      </c>
      <c r="I59">
        <f>IF($B59="","",IF($C59=15,"●",""))</f>
        <v/>
      </c>
      <c r="J59">
        <f>IF($B59="","",IF($C59=16,"●",""))</f>
        <v/>
      </c>
      <c r="T59">
        <f>IF(AND('Sprint Planning'!$H59&gt;=10,'Sprint Planning'!$H59&lt;=16),IFERROR(MATCH('Sprint Planning'!$C59,Roadmap!$A$4:$A$15,0),99)*100+'Sprint Planning'!$H59+59/100000,"")</f>
        <v/>
      </c>
    </row>
    <row r="60" ht="15" customHeight="1">
      <c r="A60">
        <f>IFERROR(INDEX('Sprint Planning'!$C$2:$C$243,MATCH(SMALL(Roadmap!$T$2:$T$243,ROW()-20),Roadmap!$T$2:$T$243,0)),"")</f>
        <v/>
      </c>
      <c r="B60" s="41">
        <f>IFERROR(INDEX('Sprint Planning'!$B$2:$B$243,MATCH(SMALL(Roadmap!$T$2:$T$243,ROW()-20),Roadmap!$T$2:$T$243,0)),"")</f>
        <v/>
      </c>
      <c r="C60">
        <f>IFERROR(INDEX('Sprint Planning'!$H$2:$H$243,MATCH(SMALL(Roadmap!$T$2:$T$243,ROW()-20),Roadmap!$T$2:$T$243,0)),"")</f>
        <v/>
      </c>
      <c r="D60">
        <f>IF($B60="","",IF($C60=10,"●",""))</f>
        <v/>
      </c>
      <c r="E60">
        <f>IF($B60="","",IF($C60=11,"●",""))</f>
        <v/>
      </c>
      <c r="F60">
        <f>IF($B60="","",IF($C60=12,"●",""))</f>
        <v/>
      </c>
      <c r="G60">
        <f>IF($B60="","",IF($C60=13,"●",""))</f>
        <v/>
      </c>
      <c r="H60">
        <f>IF($B60="","",IF($C60=14,"●",""))</f>
        <v/>
      </c>
      <c r="I60">
        <f>IF($B60="","",IF($C60=15,"●",""))</f>
        <v/>
      </c>
      <c r="J60">
        <f>IF($B60="","",IF($C60=16,"●",""))</f>
        <v/>
      </c>
      <c r="T60">
        <f>IF(AND('Sprint Planning'!$H60&gt;=10,'Sprint Planning'!$H60&lt;=16),IFERROR(MATCH('Sprint Planning'!$C60,Roadmap!$A$4:$A$15,0),99)*100+'Sprint Planning'!$H60+60/100000,"")</f>
        <v/>
      </c>
    </row>
    <row r="61" ht="15" customHeight="1">
      <c r="A61">
        <f>IFERROR(INDEX('Sprint Planning'!$C$2:$C$243,MATCH(SMALL(Roadmap!$T$2:$T$243,ROW()-20),Roadmap!$T$2:$T$243,0)),"")</f>
        <v/>
      </c>
      <c r="B61" s="41">
        <f>IFERROR(INDEX('Sprint Planning'!$B$2:$B$243,MATCH(SMALL(Roadmap!$T$2:$T$243,ROW()-20),Roadmap!$T$2:$T$243,0)),"")</f>
        <v/>
      </c>
      <c r="C61">
        <f>IFERROR(INDEX('Sprint Planning'!$H$2:$H$243,MATCH(SMALL(Roadmap!$T$2:$T$243,ROW()-20),Roadmap!$T$2:$T$243,0)),"")</f>
        <v/>
      </c>
      <c r="D61">
        <f>IF($B61="","",IF($C61=10,"●",""))</f>
        <v/>
      </c>
      <c r="E61">
        <f>IF($B61="","",IF($C61=11,"●",""))</f>
        <v/>
      </c>
      <c r="F61">
        <f>IF($B61="","",IF($C61=12,"●",""))</f>
        <v/>
      </c>
      <c r="G61">
        <f>IF($B61="","",IF($C61=13,"●",""))</f>
        <v/>
      </c>
      <c r="H61">
        <f>IF($B61="","",IF($C61=14,"●",""))</f>
        <v/>
      </c>
      <c r="I61">
        <f>IF($B61="","",IF($C61=15,"●",""))</f>
        <v/>
      </c>
      <c r="J61">
        <f>IF($B61="","",IF($C61=16,"●",""))</f>
        <v/>
      </c>
      <c r="T61">
        <f>IF(AND('Sprint Planning'!$H61&gt;=10,'Sprint Planning'!$H61&lt;=16),IFERROR(MATCH('Sprint Planning'!$C61,Roadmap!$A$4:$A$15,0),99)*100+'Sprint Planning'!$H61+61/100000,"")</f>
        <v/>
      </c>
    </row>
    <row r="62" ht="15" customHeight="1">
      <c r="A62">
        <f>IFERROR(INDEX('Sprint Planning'!$C$2:$C$243,MATCH(SMALL(Roadmap!$T$2:$T$243,ROW()-20),Roadmap!$T$2:$T$243,0)),"")</f>
        <v/>
      </c>
      <c r="B62">
        <f>IFERROR(INDEX('Sprint Planning'!$B$2:$B$243,MATCH(SMALL(Roadmap!$T$2:$T$243,ROW()-20),Roadmap!$T$2:$T$243,0)),"")</f>
        <v/>
      </c>
      <c r="C62">
        <f>IFERROR(INDEX('Sprint Planning'!$H$2:$H$243,MATCH(SMALL(Roadmap!$T$2:$T$243,ROW()-20),Roadmap!$T$2:$T$243,0)),"")</f>
        <v/>
      </c>
      <c r="D62">
        <f>IF($B62="","",IF($C62=10,"●",""))</f>
        <v/>
      </c>
      <c r="E62">
        <f>IF($B62="","",IF($C62=11,"●",""))</f>
        <v/>
      </c>
      <c r="F62">
        <f>IF($B62="","",IF($C62=12,"●",""))</f>
        <v/>
      </c>
      <c r="G62">
        <f>IF($B62="","",IF($C62=13,"●",""))</f>
        <v/>
      </c>
      <c r="H62">
        <f>IF($B62="","",IF($C62=14,"●",""))</f>
        <v/>
      </c>
      <c r="I62">
        <f>IF($B62="","",IF($C62=15,"●",""))</f>
        <v/>
      </c>
      <c r="J62">
        <f>IF($B62="","",IF($C62=16,"●",""))</f>
        <v/>
      </c>
      <c r="T62">
        <f>IF(AND('Sprint Planning'!$H62&gt;=10,'Sprint Planning'!$H62&lt;=16),IFERROR(MATCH('Sprint Planning'!$C62,Roadmap!$A$4:$A$15,0),99)*100+'Sprint Planning'!$H62+62/100000,"")</f>
        <v/>
      </c>
    </row>
    <row r="63" ht="15" customHeight="1">
      <c r="A63">
        <f>IFERROR(INDEX('Sprint Planning'!$C$2:$C$243,MATCH(SMALL(Roadmap!$T$2:$T$243,ROW()-20),Roadmap!$T$2:$T$243,0)),"")</f>
        <v/>
      </c>
      <c r="B63">
        <f>IFERROR(INDEX('Sprint Planning'!$B$2:$B$243,MATCH(SMALL(Roadmap!$T$2:$T$243,ROW()-20),Roadmap!$T$2:$T$243,0)),"")</f>
        <v/>
      </c>
      <c r="C63">
        <f>IFERROR(INDEX('Sprint Planning'!$H$2:$H$243,MATCH(SMALL(Roadmap!$T$2:$T$243,ROW()-20),Roadmap!$T$2:$T$243,0)),"")</f>
        <v/>
      </c>
      <c r="D63">
        <f>IF($B63="","",IF($C63=10,"●",""))</f>
        <v/>
      </c>
      <c r="E63">
        <f>IF($B63="","",IF($C63=11,"●",""))</f>
        <v/>
      </c>
      <c r="F63">
        <f>IF($B63="","",IF($C63=12,"●",""))</f>
        <v/>
      </c>
      <c r="G63">
        <f>IF($B63="","",IF($C63=13,"●",""))</f>
        <v/>
      </c>
      <c r="H63">
        <f>IF($B63="","",IF($C63=14,"●",""))</f>
        <v/>
      </c>
      <c r="I63">
        <f>IF($B63="","",IF($C63=15,"●",""))</f>
        <v/>
      </c>
      <c r="J63">
        <f>IF($B63="","",IF($C63=16,"●",""))</f>
        <v/>
      </c>
      <c r="T63">
        <f>IF(AND('Sprint Planning'!$H63&gt;=10,'Sprint Planning'!$H63&lt;=16),IFERROR(MATCH('Sprint Planning'!$C63,Roadmap!$A$4:$A$15,0),99)*100+'Sprint Planning'!$H63+63/100000,"")</f>
        <v/>
      </c>
    </row>
    <row r="64" ht="15" customHeight="1">
      <c r="A64">
        <f>IFERROR(INDEX('Sprint Planning'!$C$2:$C$243,MATCH(SMALL(Roadmap!$T$2:$T$243,ROW()-20),Roadmap!$T$2:$T$243,0)),"")</f>
        <v/>
      </c>
      <c r="B64">
        <f>IFERROR(INDEX('Sprint Planning'!$B$2:$B$243,MATCH(SMALL(Roadmap!$T$2:$T$243,ROW()-20),Roadmap!$T$2:$T$243,0)),"")</f>
        <v/>
      </c>
      <c r="C64">
        <f>IFERROR(INDEX('Sprint Planning'!$H$2:$H$243,MATCH(SMALL(Roadmap!$T$2:$T$243,ROW()-20),Roadmap!$T$2:$T$243,0)),"")</f>
        <v/>
      </c>
      <c r="D64">
        <f>IF($B64="","",IF($C64=10,"●",""))</f>
        <v/>
      </c>
      <c r="E64">
        <f>IF($B64="","",IF($C64=11,"●",""))</f>
        <v/>
      </c>
      <c r="F64">
        <f>IF($B64="","",IF($C64=12,"●",""))</f>
        <v/>
      </c>
      <c r="G64">
        <f>IF($B64="","",IF($C64=13,"●",""))</f>
        <v/>
      </c>
      <c r="H64">
        <f>IF($B64="","",IF($C64=14,"●",""))</f>
        <v/>
      </c>
      <c r="I64">
        <f>IF($B64="","",IF($C64=15,"●",""))</f>
        <v/>
      </c>
      <c r="J64">
        <f>IF($B64="","",IF($C64=16,"●",""))</f>
        <v/>
      </c>
      <c r="T64">
        <f>IF(AND('Sprint Planning'!$H64&gt;=10,'Sprint Planning'!$H64&lt;=16),IFERROR(MATCH('Sprint Planning'!$C64,Roadmap!$A$4:$A$15,0),99)*100+'Sprint Planning'!$H64+64/100000,"")</f>
        <v/>
      </c>
    </row>
    <row r="65" ht="15" customHeight="1">
      <c r="A65">
        <f>IFERROR(INDEX('Sprint Planning'!$C$2:$C$243,MATCH(SMALL(Roadmap!$T$2:$T$243,ROW()-20),Roadmap!$T$2:$T$243,0)),"")</f>
        <v/>
      </c>
      <c r="B65">
        <f>IFERROR(INDEX('Sprint Planning'!$B$2:$B$243,MATCH(SMALL(Roadmap!$T$2:$T$243,ROW()-20),Roadmap!$T$2:$T$243,0)),"")</f>
        <v/>
      </c>
      <c r="C65">
        <f>IFERROR(INDEX('Sprint Planning'!$H$2:$H$243,MATCH(SMALL(Roadmap!$T$2:$T$243,ROW()-20),Roadmap!$T$2:$T$243,0)),"")</f>
        <v/>
      </c>
      <c r="D65">
        <f>IF($B65="","",IF($C65=10,"●",""))</f>
        <v/>
      </c>
      <c r="E65">
        <f>IF($B65="","",IF($C65=11,"●",""))</f>
        <v/>
      </c>
      <c r="F65">
        <f>IF($B65="","",IF($C65=12,"●",""))</f>
        <v/>
      </c>
      <c r="G65">
        <f>IF($B65="","",IF($C65=13,"●",""))</f>
        <v/>
      </c>
      <c r="H65">
        <f>IF($B65="","",IF($C65=14,"●",""))</f>
        <v/>
      </c>
      <c r="I65">
        <f>IF($B65="","",IF($C65=15,"●",""))</f>
        <v/>
      </c>
      <c r="J65">
        <f>IF($B65="","",IF($C65=16,"●",""))</f>
        <v/>
      </c>
      <c r="T65">
        <f>IF(AND('Sprint Planning'!$H65&gt;=10,'Sprint Planning'!$H65&lt;=16),IFERROR(MATCH('Sprint Planning'!$C65,Roadmap!$A$4:$A$15,0),99)*100+'Sprint Planning'!$H65+65/100000,"")</f>
        <v/>
      </c>
    </row>
    <row r="66" ht="15" customHeight="1">
      <c r="A66">
        <f>IFERROR(INDEX('Sprint Planning'!$C$2:$C$243,MATCH(SMALL(Roadmap!$T$2:$T$243,ROW()-20),Roadmap!$T$2:$T$243,0)),"")</f>
        <v/>
      </c>
      <c r="B66">
        <f>IFERROR(INDEX('Sprint Planning'!$B$2:$B$243,MATCH(SMALL(Roadmap!$T$2:$T$243,ROW()-20),Roadmap!$T$2:$T$243,0)),"")</f>
        <v/>
      </c>
      <c r="C66">
        <f>IFERROR(INDEX('Sprint Planning'!$H$2:$H$243,MATCH(SMALL(Roadmap!$T$2:$T$243,ROW()-20),Roadmap!$T$2:$T$243,0)),"")</f>
        <v/>
      </c>
      <c r="D66">
        <f>IF($B66="","",IF($C66=10,"●",""))</f>
        <v/>
      </c>
      <c r="E66">
        <f>IF($B66="","",IF($C66=11,"●",""))</f>
        <v/>
      </c>
      <c r="F66">
        <f>IF($B66="","",IF($C66=12,"●",""))</f>
        <v/>
      </c>
      <c r="G66">
        <f>IF($B66="","",IF($C66=13,"●",""))</f>
        <v/>
      </c>
      <c r="H66">
        <f>IF($B66="","",IF($C66=14,"●",""))</f>
        <v/>
      </c>
      <c r="I66">
        <f>IF($B66="","",IF($C66=15,"●",""))</f>
        <v/>
      </c>
      <c r="J66">
        <f>IF($B66="","",IF($C66=16,"●",""))</f>
        <v/>
      </c>
      <c r="T66">
        <f>IF(AND('Sprint Planning'!$H66&gt;=10,'Sprint Planning'!$H66&lt;=16),IFERROR(MATCH('Sprint Planning'!$C66,Roadmap!$A$4:$A$15,0),99)*100+'Sprint Planning'!$H66+66/100000,"")</f>
        <v/>
      </c>
    </row>
    <row r="67" ht="15" customHeight="1">
      <c r="A67">
        <f>IFERROR(INDEX('Sprint Planning'!$C$2:$C$243,MATCH(SMALL(Roadmap!$T$2:$T$243,ROW()-20),Roadmap!$T$2:$T$243,0)),"")</f>
        <v/>
      </c>
      <c r="B67">
        <f>IFERROR(INDEX('Sprint Planning'!$B$2:$B$243,MATCH(SMALL(Roadmap!$T$2:$T$243,ROW()-20),Roadmap!$T$2:$T$243,0)),"")</f>
        <v/>
      </c>
      <c r="C67">
        <f>IFERROR(INDEX('Sprint Planning'!$H$2:$H$243,MATCH(SMALL(Roadmap!$T$2:$T$243,ROW()-20),Roadmap!$T$2:$T$243,0)),"")</f>
        <v/>
      </c>
      <c r="D67">
        <f>IF($B67="","",IF($C67=10,"●",""))</f>
        <v/>
      </c>
      <c r="E67">
        <f>IF($B67="","",IF($C67=11,"●",""))</f>
        <v/>
      </c>
      <c r="F67">
        <f>IF($B67="","",IF($C67=12,"●",""))</f>
        <v/>
      </c>
      <c r="G67">
        <f>IF($B67="","",IF($C67=13,"●",""))</f>
        <v/>
      </c>
      <c r="H67">
        <f>IF($B67="","",IF($C67=14,"●",""))</f>
        <v/>
      </c>
      <c r="I67">
        <f>IF($B67="","",IF($C67=15,"●",""))</f>
        <v/>
      </c>
      <c r="J67">
        <f>IF($B67="","",IF($C67=16,"●",""))</f>
        <v/>
      </c>
      <c r="T67">
        <f>IF(AND('Sprint Planning'!$H67&gt;=10,'Sprint Planning'!$H67&lt;=16),IFERROR(MATCH('Sprint Planning'!$C67,Roadmap!$A$4:$A$15,0),99)*100+'Sprint Planning'!$H67+67/100000,"")</f>
        <v/>
      </c>
    </row>
    <row r="68" ht="15" customHeight="1">
      <c r="A68">
        <f>IFERROR(INDEX('Sprint Planning'!$C$2:$C$243,MATCH(SMALL(Roadmap!$T$2:$T$243,ROW()-20),Roadmap!$T$2:$T$243,0)),"")</f>
        <v/>
      </c>
      <c r="B68">
        <f>IFERROR(INDEX('Sprint Planning'!$B$2:$B$243,MATCH(SMALL(Roadmap!$T$2:$T$243,ROW()-20),Roadmap!$T$2:$T$243,0)),"")</f>
        <v/>
      </c>
      <c r="C68">
        <f>IFERROR(INDEX('Sprint Planning'!$H$2:$H$243,MATCH(SMALL(Roadmap!$T$2:$T$243,ROW()-20),Roadmap!$T$2:$T$243,0)),"")</f>
        <v/>
      </c>
      <c r="D68">
        <f>IF($B68="","",IF($C68=10,"●",""))</f>
        <v/>
      </c>
      <c r="E68">
        <f>IF($B68="","",IF($C68=11,"●",""))</f>
        <v/>
      </c>
      <c r="F68">
        <f>IF($B68="","",IF($C68=12,"●",""))</f>
        <v/>
      </c>
      <c r="G68">
        <f>IF($B68="","",IF($C68=13,"●",""))</f>
        <v/>
      </c>
      <c r="H68">
        <f>IF($B68="","",IF($C68=14,"●",""))</f>
        <v/>
      </c>
      <c r="I68">
        <f>IF($B68="","",IF($C68=15,"●",""))</f>
        <v/>
      </c>
      <c r="J68">
        <f>IF($B68="","",IF($C68=16,"●",""))</f>
        <v/>
      </c>
      <c r="T68">
        <f>IF(AND('Sprint Planning'!$H68&gt;=10,'Sprint Planning'!$H68&lt;=16),IFERROR(MATCH('Sprint Planning'!$C68,Roadmap!$A$4:$A$15,0),99)*100+'Sprint Planning'!$H68+68/100000,"")</f>
        <v/>
      </c>
    </row>
    <row r="69" ht="15" customHeight="1">
      <c r="A69">
        <f>IFERROR(INDEX('Sprint Planning'!$C$2:$C$243,MATCH(SMALL(Roadmap!$T$2:$T$243,ROW()-20),Roadmap!$T$2:$T$243,0)),"")</f>
        <v/>
      </c>
      <c r="B69">
        <f>IFERROR(INDEX('Sprint Planning'!$B$2:$B$243,MATCH(SMALL(Roadmap!$T$2:$T$243,ROW()-20),Roadmap!$T$2:$T$243,0)),"")</f>
        <v/>
      </c>
      <c r="C69">
        <f>IFERROR(INDEX('Sprint Planning'!$H$2:$H$243,MATCH(SMALL(Roadmap!$T$2:$T$243,ROW()-20),Roadmap!$T$2:$T$243,0)),"")</f>
        <v/>
      </c>
      <c r="D69">
        <f>IF($B69="","",IF($C69=10,"●",""))</f>
        <v/>
      </c>
      <c r="E69">
        <f>IF($B69="","",IF($C69=11,"●",""))</f>
        <v/>
      </c>
      <c r="F69">
        <f>IF($B69="","",IF($C69=12,"●",""))</f>
        <v/>
      </c>
      <c r="G69">
        <f>IF($B69="","",IF($C69=13,"●",""))</f>
        <v/>
      </c>
      <c r="H69">
        <f>IF($B69="","",IF($C69=14,"●",""))</f>
        <v/>
      </c>
      <c r="I69">
        <f>IF($B69="","",IF($C69=15,"●",""))</f>
        <v/>
      </c>
      <c r="J69">
        <f>IF($B69="","",IF($C69=16,"●",""))</f>
        <v/>
      </c>
      <c r="T69">
        <f>IF(AND('Sprint Planning'!$H69&gt;=10,'Sprint Planning'!$H69&lt;=16),IFERROR(MATCH('Sprint Planning'!$C69,Roadmap!$A$4:$A$15,0),99)*100+'Sprint Planning'!$H69+69/100000,"")</f>
        <v/>
      </c>
    </row>
    <row r="70" ht="15" customHeight="1">
      <c r="A70">
        <f>IFERROR(INDEX('Sprint Planning'!$C$2:$C$243,MATCH(SMALL(Roadmap!$T$2:$T$243,ROW()-20),Roadmap!$T$2:$T$243,0)),"")</f>
        <v/>
      </c>
      <c r="B70">
        <f>IFERROR(INDEX('Sprint Planning'!$B$2:$B$243,MATCH(SMALL(Roadmap!$T$2:$T$243,ROW()-20),Roadmap!$T$2:$T$243,0)),"")</f>
        <v/>
      </c>
      <c r="C70">
        <f>IFERROR(INDEX('Sprint Planning'!$H$2:$H$243,MATCH(SMALL(Roadmap!$T$2:$T$243,ROW()-20),Roadmap!$T$2:$T$243,0)),"")</f>
        <v/>
      </c>
      <c r="D70">
        <f>IF($B70="","",IF($C70=10,"●",""))</f>
        <v/>
      </c>
      <c r="E70">
        <f>IF($B70="","",IF($C70=11,"●",""))</f>
        <v/>
      </c>
      <c r="F70">
        <f>IF($B70="","",IF($C70=12,"●",""))</f>
        <v/>
      </c>
      <c r="G70">
        <f>IF($B70="","",IF($C70=13,"●",""))</f>
        <v/>
      </c>
      <c r="H70">
        <f>IF($B70="","",IF($C70=14,"●",""))</f>
        <v/>
      </c>
      <c r="I70">
        <f>IF($B70="","",IF($C70=15,"●",""))</f>
        <v/>
      </c>
      <c r="J70">
        <f>IF($B70="","",IF($C70=16,"●",""))</f>
        <v/>
      </c>
      <c r="T70">
        <f>IF(AND('Sprint Planning'!$H70&gt;=10,'Sprint Planning'!$H70&lt;=16),IFERROR(MATCH('Sprint Planning'!$C70,Roadmap!$A$4:$A$15,0),99)*100+'Sprint Planning'!$H70+70/100000,"")</f>
        <v/>
      </c>
    </row>
    <row r="71" ht="15" customHeight="1">
      <c r="A71">
        <f>IFERROR(INDEX('Sprint Planning'!$C$2:$C$243,MATCH(SMALL(Roadmap!$T$2:$T$243,ROW()-20),Roadmap!$T$2:$T$243,0)),"")</f>
        <v/>
      </c>
      <c r="B71">
        <f>IFERROR(INDEX('Sprint Planning'!$B$2:$B$243,MATCH(SMALL(Roadmap!$T$2:$T$243,ROW()-20),Roadmap!$T$2:$T$243,0)),"")</f>
        <v/>
      </c>
      <c r="C71">
        <f>IFERROR(INDEX('Sprint Planning'!$H$2:$H$243,MATCH(SMALL(Roadmap!$T$2:$T$243,ROW()-20),Roadmap!$T$2:$T$243,0)),"")</f>
        <v/>
      </c>
      <c r="D71">
        <f>IF($B71="","",IF($C71=10,"●",""))</f>
        <v/>
      </c>
      <c r="E71">
        <f>IF($B71="","",IF($C71=11,"●",""))</f>
        <v/>
      </c>
      <c r="F71">
        <f>IF($B71="","",IF($C71=12,"●",""))</f>
        <v/>
      </c>
      <c r="G71">
        <f>IF($B71="","",IF($C71=13,"●",""))</f>
        <v/>
      </c>
      <c r="H71">
        <f>IF($B71="","",IF($C71=14,"●",""))</f>
        <v/>
      </c>
      <c r="I71">
        <f>IF($B71="","",IF($C71=15,"●",""))</f>
        <v/>
      </c>
      <c r="J71">
        <f>IF($B71="","",IF($C71=16,"●",""))</f>
        <v/>
      </c>
      <c r="T71">
        <f>IF(AND('Sprint Planning'!$H71&gt;=10,'Sprint Planning'!$H71&lt;=16),IFERROR(MATCH('Sprint Planning'!$C71,Roadmap!$A$4:$A$15,0),99)*100+'Sprint Planning'!$H71+71/100000,"")</f>
        <v/>
      </c>
    </row>
    <row r="72" ht="15" customHeight="1">
      <c r="A72">
        <f>IFERROR(INDEX('Sprint Planning'!$C$2:$C$243,MATCH(SMALL(Roadmap!$T$2:$T$243,ROW()-20),Roadmap!$T$2:$T$243,0)),"")</f>
        <v/>
      </c>
      <c r="B72">
        <f>IFERROR(INDEX('Sprint Planning'!$B$2:$B$243,MATCH(SMALL(Roadmap!$T$2:$T$243,ROW()-20),Roadmap!$T$2:$T$243,0)),"")</f>
        <v/>
      </c>
      <c r="C72">
        <f>IFERROR(INDEX('Sprint Planning'!$H$2:$H$243,MATCH(SMALL(Roadmap!$T$2:$T$243,ROW()-20),Roadmap!$T$2:$T$243,0)),"")</f>
        <v/>
      </c>
      <c r="D72">
        <f>IF($B72="","",IF($C72=10,"●",""))</f>
        <v/>
      </c>
      <c r="E72">
        <f>IF($B72="","",IF($C72=11,"●",""))</f>
        <v/>
      </c>
      <c r="F72">
        <f>IF($B72="","",IF($C72=12,"●",""))</f>
        <v/>
      </c>
      <c r="G72">
        <f>IF($B72="","",IF($C72=13,"●",""))</f>
        <v/>
      </c>
      <c r="H72">
        <f>IF($B72="","",IF($C72=14,"●",""))</f>
        <v/>
      </c>
      <c r="I72">
        <f>IF($B72="","",IF($C72=15,"●",""))</f>
        <v/>
      </c>
      <c r="J72">
        <f>IF($B72="","",IF($C72=16,"●",""))</f>
        <v/>
      </c>
      <c r="T72">
        <f>IF(AND('Sprint Planning'!$H72&gt;=10,'Sprint Planning'!$H72&lt;=16),IFERROR(MATCH('Sprint Planning'!$C72,Roadmap!$A$4:$A$15,0),99)*100+'Sprint Planning'!$H72+72/100000,"")</f>
        <v/>
      </c>
    </row>
    <row r="73" ht="15" customHeight="1">
      <c r="A73">
        <f>IFERROR(INDEX('Sprint Planning'!$C$2:$C$243,MATCH(SMALL(Roadmap!$T$2:$T$243,ROW()-20),Roadmap!$T$2:$T$243,0)),"")</f>
        <v/>
      </c>
      <c r="B73">
        <f>IFERROR(INDEX('Sprint Planning'!$B$2:$B$243,MATCH(SMALL(Roadmap!$T$2:$T$243,ROW()-20),Roadmap!$T$2:$T$243,0)),"")</f>
        <v/>
      </c>
      <c r="C73">
        <f>IFERROR(INDEX('Sprint Planning'!$H$2:$H$243,MATCH(SMALL(Roadmap!$T$2:$T$243,ROW()-20),Roadmap!$T$2:$T$243,0)),"")</f>
        <v/>
      </c>
      <c r="D73">
        <f>IF($B73="","",IF($C73=10,"●",""))</f>
        <v/>
      </c>
      <c r="E73">
        <f>IF($B73="","",IF($C73=11,"●",""))</f>
        <v/>
      </c>
      <c r="F73">
        <f>IF($B73="","",IF($C73=12,"●",""))</f>
        <v/>
      </c>
      <c r="G73">
        <f>IF($B73="","",IF($C73=13,"●",""))</f>
        <v/>
      </c>
      <c r="H73">
        <f>IF($B73="","",IF($C73=14,"●",""))</f>
        <v/>
      </c>
      <c r="I73">
        <f>IF($B73="","",IF($C73=15,"●",""))</f>
        <v/>
      </c>
      <c r="J73">
        <f>IF($B73="","",IF($C73=16,"●",""))</f>
        <v/>
      </c>
      <c r="T73">
        <f>IF(AND('Sprint Planning'!$H73&gt;=10,'Sprint Planning'!$H73&lt;=16),IFERROR(MATCH('Sprint Planning'!$C73,Roadmap!$A$4:$A$15,0),99)*100+'Sprint Planning'!$H73+73/100000,"")</f>
        <v/>
      </c>
    </row>
    <row r="74" ht="15" customHeight="1">
      <c r="A74">
        <f>IFERROR(INDEX('Sprint Planning'!$C$2:$C$243,MATCH(SMALL(Roadmap!$T$2:$T$243,ROW()-20),Roadmap!$T$2:$T$243,0)),"")</f>
        <v/>
      </c>
      <c r="B74">
        <f>IFERROR(INDEX('Sprint Planning'!$B$2:$B$243,MATCH(SMALL(Roadmap!$T$2:$T$243,ROW()-20),Roadmap!$T$2:$T$243,0)),"")</f>
        <v/>
      </c>
      <c r="C74">
        <f>IFERROR(INDEX('Sprint Planning'!$H$2:$H$243,MATCH(SMALL(Roadmap!$T$2:$T$243,ROW()-20),Roadmap!$T$2:$T$243,0)),"")</f>
        <v/>
      </c>
      <c r="D74">
        <f>IF($B74="","",IF($C74=10,"●",""))</f>
        <v/>
      </c>
      <c r="E74">
        <f>IF($B74="","",IF($C74=11,"●",""))</f>
        <v/>
      </c>
      <c r="F74">
        <f>IF($B74="","",IF($C74=12,"●",""))</f>
        <v/>
      </c>
      <c r="G74">
        <f>IF($B74="","",IF($C74=13,"●",""))</f>
        <v/>
      </c>
      <c r="H74">
        <f>IF($B74="","",IF($C74=14,"●",""))</f>
        <v/>
      </c>
      <c r="I74">
        <f>IF($B74="","",IF($C74=15,"●",""))</f>
        <v/>
      </c>
      <c r="J74">
        <f>IF($B74="","",IF($C74=16,"●",""))</f>
        <v/>
      </c>
      <c r="T74">
        <f>IF(AND('Sprint Planning'!$H74&gt;=10,'Sprint Planning'!$H74&lt;=16),IFERROR(MATCH('Sprint Planning'!$C74,Roadmap!$A$4:$A$15,0),99)*100+'Sprint Planning'!$H74+74/100000,"")</f>
        <v/>
      </c>
    </row>
    <row r="75" ht="15" customHeight="1">
      <c r="A75">
        <f>IFERROR(INDEX('Sprint Planning'!$C$2:$C$243,MATCH(SMALL(Roadmap!$T$2:$T$243,ROW()-20),Roadmap!$T$2:$T$243,0)),"")</f>
        <v/>
      </c>
      <c r="B75">
        <f>IFERROR(INDEX('Sprint Planning'!$B$2:$B$243,MATCH(SMALL(Roadmap!$T$2:$T$243,ROW()-20),Roadmap!$T$2:$T$243,0)),"")</f>
        <v/>
      </c>
      <c r="C75">
        <f>IFERROR(INDEX('Sprint Planning'!$H$2:$H$243,MATCH(SMALL(Roadmap!$T$2:$T$243,ROW()-20),Roadmap!$T$2:$T$243,0)),"")</f>
        <v/>
      </c>
      <c r="D75">
        <f>IF($B75="","",IF($C75=10,"●",""))</f>
        <v/>
      </c>
      <c r="E75">
        <f>IF($B75="","",IF($C75=11,"●",""))</f>
        <v/>
      </c>
      <c r="F75">
        <f>IF($B75="","",IF($C75=12,"●",""))</f>
        <v/>
      </c>
      <c r="G75">
        <f>IF($B75="","",IF($C75=13,"●",""))</f>
        <v/>
      </c>
      <c r="H75">
        <f>IF($B75="","",IF($C75=14,"●",""))</f>
        <v/>
      </c>
      <c r="I75">
        <f>IF($B75="","",IF($C75=15,"●",""))</f>
        <v/>
      </c>
      <c r="J75">
        <f>IF($B75="","",IF($C75=16,"●",""))</f>
        <v/>
      </c>
      <c r="T75">
        <f>IF(AND('Sprint Planning'!$H75&gt;=10,'Sprint Planning'!$H75&lt;=16),IFERROR(MATCH('Sprint Planning'!$C75,Roadmap!$A$4:$A$15,0),99)*100+'Sprint Planning'!$H75+75/100000,"")</f>
        <v/>
      </c>
    </row>
    <row r="76" ht="15" customHeight="1">
      <c r="A76">
        <f>IFERROR(INDEX('Sprint Planning'!$C$2:$C$243,MATCH(SMALL(Roadmap!$T$2:$T$243,ROW()-20),Roadmap!$T$2:$T$243,0)),"")</f>
        <v/>
      </c>
      <c r="B76">
        <f>IFERROR(INDEX('Sprint Planning'!$B$2:$B$243,MATCH(SMALL(Roadmap!$T$2:$T$243,ROW()-20),Roadmap!$T$2:$T$243,0)),"")</f>
        <v/>
      </c>
      <c r="C76">
        <f>IFERROR(INDEX('Sprint Planning'!$H$2:$H$243,MATCH(SMALL(Roadmap!$T$2:$T$243,ROW()-20),Roadmap!$T$2:$T$243,0)),"")</f>
        <v/>
      </c>
      <c r="D76">
        <f>IF($B76="","",IF($C76=10,"●",""))</f>
        <v/>
      </c>
      <c r="E76">
        <f>IF($B76="","",IF($C76=11,"●",""))</f>
        <v/>
      </c>
      <c r="F76">
        <f>IF($B76="","",IF($C76=12,"●",""))</f>
        <v/>
      </c>
      <c r="G76">
        <f>IF($B76="","",IF($C76=13,"●",""))</f>
        <v/>
      </c>
      <c r="H76">
        <f>IF($B76="","",IF($C76=14,"●",""))</f>
        <v/>
      </c>
      <c r="I76">
        <f>IF($B76="","",IF($C76=15,"●",""))</f>
        <v/>
      </c>
      <c r="J76">
        <f>IF($B76="","",IF($C76=16,"●",""))</f>
        <v/>
      </c>
      <c r="T76">
        <f>IF(AND('Sprint Planning'!$H76&gt;=10,'Sprint Planning'!$H76&lt;=16),IFERROR(MATCH('Sprint Planning'!$C76,Roadmap!$A$4:$A$15,0),99)*100+'Sprint Planning'!$H76+76/100000,"")</f>
        <v/>
      </c>
    </row>
    <row r="77" ht="15" customHeight="1">
      <c r="A77">
        <f>IFERROR(INDEX('Sprint Planning'!$C$2:$C$243,MATCH(SMALL(Roadmap!$T$2:$T$243,ROW()-20),Roadmap!$T$2:$T$243,0)),"")</f>
        <v/>
      </c>
      <c r="B77">
        <f>IFERROR(INDEX('Sprint Planning'!$B$2:$B$243,MATCH(SMALL(Roadmap!$T$2:$T$243,ROW()-20),Roadmap!$T$2:$T$243,0)),"")</f>
        <v/>
      </c>
      <c r="C77">
        <f>IFERROR(INDEX('Sprint Planning'!$H$2:$H$243,MATCH(SMALL(Roadmap!$T$2:$T$243,ROW()-20),Roadmap!$T$2:$T$243,0)),"")</f>
        <v/>
      </c>
      <c r="D77">
        <f>IF($B77="","",IF($C77=10,"●",""))</f>
        <v/>
      </c>
      <c r="E77">
        <f>IF($B77="","",IF($C77=11,"●",""))</f>
        <v/>
      </c>
      <c r="F77">
        <f>IF($B77="","",IF($C77=12,"●",""))</f>
        <v/>
      </c>
      <c r="G77">
        <f>IF($B77="","",IF($C77=13,"●",""))</f>
        <v/>
      </c>
      <c r="H77">
        <f>IF($B77="","",IF($C77=14,"●",""))</f>
        <v/>
      </c>
      <c r="I77">
        <f>IF($B77="","",IF($C77=15,"●",""))</f>
        <v/>
      </c>
      <c r="J77">
        <f>IF($B77="","",IF($C77=16,"●",""))</f>
        <v/>
      </c>
      <c r="T77">
        <f>IF(AND('Sprint Planning'!$H77&gt;=10,'Sprint Planning'!$H77&lt;=16),IFERROR(MATCH('Sprint Planning'!$C77,Roadmap!$A$4:$A$15,0),99)*100+'Sprint Planning'!$H77+77/100000,"")</f>
        <v/>
      </c>
    </row>
    <row r="78" ht="15" customHeight="1">
      <c r="A78">
        <f>IFERROR(INDEX('Sprint Planning'!$C$2:$C$243,MATCH(SMALL(Roadmap!$T$2:$T$243,ROW()-20),Roadmap!$T$2:$T$243,0)),"")</f>
        <v/>
      </c>
      <c r="B78">
        <f>IFERROR(INDEX('Sprint Planning'!$B$2:$B$243,MATCH(SMALL(Roadmap!$T$2:$T$243,ROW()-20),Roadmap!$T$2:$T$243,0)),"")</f>
        <v/>
      </c>
      <c r="C78">
        <f>IFERROR(INDEX('Sprint Planning'!$H$2:$H$243,MATCH(SMALL(Roadmap!$T$2:$T$243,ROW()-20),Roadmap!$T$2:$T$243,0)),"")</f>
        <v/>
      </c>
      <c r="D78">
        <f>IF($B78="","",IF($C78=10,"●",""))</f>
        <v/>
      </c>
      <c r="E78">
        <f>IF($B78="","",IF($C78=11,"●",""))</f>
        <v/>
      </c>
      <c r="F78">
        <f>IF($B78="","",IF($C78=12,"●",""))</f>
        <v/>
      </c>
      <c r="G78">
        <f>IF($B78="","",IF($C78=13,"●",""))</f>
        <v/>
      </c>
      <c r="H78">
        <f>IF($B78="","",IF($C78=14,"●",""))</f>
        <v/>
      </c>
      <c r="I78">
        <f>IF($B78="","",IF($C78=15,"●",""))</f>
        <v/>
      </c>
      <c r="J78">
        <f>IF($B78="","",IF($C78=16,"●",""))</f>
        <v/>
      </c>
      <c r="T78">
        <f>IF(AND('Sprint Planning'!$H78&gt;=10,'Sprint Planning'!$H78&lt;=16),IFERROR(MATCH('Sprint Planning'!$C78,Roadmap!$A$4:$A$15,0),99)*100+'Sprint Planning'!$H78+78/100000,"")</f>
        <v/>
      </c>
    </row>
    <row r="79" ht="15" customHeight="1">
      <c r="A79">
        <f>IFERROR(INDEX('Sprint Planning'!$C$2:$C$243,MATCH(SMALL(Roadmap!$T$2:$T$243,ROW()-20),Roadmap!$T$2:$T$243,0)),"")</f>
        <v/>
      </c>
      <c r="B79">
        <f>IFERROR(INDEX('Sprint Planning'!$B$2:$B$243,MATCH(SMALL(Roadmap!$T$2:$T$243,ROW()-20),Roadmap!$T$2:$T$243,0)),"")</f>
        <v/>
      </c>
      <c r="C79">
        <f>IFERROR(INDEX('Sprint Planning'!$H$2:$H$243,MATCH(SMALL(Roadmap!$T$2:$T$243,ROW()-20),Roadmap!$T$2:$T$243,0)),"")</f>
        <v/>
      </c>
      <c r="D79">
        <f>IF($B79="","",IF($C79=10,"●",""))</f>
        <v/>
      </c>
      <c r="E79">
        <f>IF($B79="","",IF($C79=11,"●",""))</f>
        <v/>
      </c>
      <c r="F79">
        <f>IF($B79="","",IF($C79=12,"●",""))</f>
        <v/>
      </c>
      <c r="G79">
        <f>IF($B79="","",IF($C79=13,"●",""))</f>
        <v/>
      </c>
      <c r="H79">
        <f>IF($B79="","",IF($C79=14,"●",""))</f>
        <v/>
      </c>
      <c r="I79">
        <f>IF($B79="","",IF($C79=15,"●",""))</f>
        <v/>
      </c>
      <c r="J79">
        <f>IF($B79="","",IF($C79=16,"●",""))</f>
        <v/>
      </c>
      <c r="T79">
        <f>IF(AND('Sprint Planning'!$H79&gt;=10,'Sprint Planning'!$H79&lt;=16),IFERROR(MATCH('Sprint Planning'!$C79,Roadmap!$A$4:$A$15,0),99)*100+'Sprint Planning'!$H79+79/100000,"")</f>
        <v/>
      </c>
    </row>
    <row r="80" ht="15" customHeight="1">
      <c r="A80">
        <f>IFERROR(INDEX('Sprint Planning'!$C$2:$C$243,MATCH(SMALL(Roadmap!$T$2:$T$243,ROW()-20),Roadmap!$T$2:$T$243,0)),"")</f>
        <v/>
      </c>
      <c r="B80">
        <f>IFERROR(INDEX('Sprint Planning'!$B$2:$B$243,MATCH(SMALL(Roadmap!$T$2:$T$243,ROW()-20),Roadmap!$T$2:$T$243,0)),"")</f>
        <v/>
      </c>
      <c r="C80">
        <f>IFERROR(INDEX('Sprint Planning'!$H$2:$H$243,MATCH(SMALL(Roadmap!$T$2:$T$243,ROW()-20),Roadmap!$T$2:$T$243,0)),"")</f>
        <v/>
      </c>
      <c r="D80">
        <f>IF($B80="","",IF($C80=10,"●",""))</f>
        <v/>
      </c>
      <c r="E80">
        <f>IF($B80="","",IF($C80=11,"●",""))</f>
        <v/>
      </c>
      <c r="F80">
        <f>IF($B80="","",IF($C80=12,"●",""))</f>
        <v/>
      </c>
      <c r="G80">
        <f>IF($B80="","",IF($C80=13,"●",""))</f>
        <v/>
      </c>
      <c r="H80">
        <f>IF($B80="","",IF($C80=14,"●",""))</f>
        <v/>
      </c>
      <c r="I80">
        <f>IF($B80="","",IF($C80=15,"●",""))</f>
        <v/>
      </c>
      <c r="J80">
        <f>IF($B80="","",IF($C80=16,"●",""))</f>
        <v/>
      </c>
      <c r="T80">
        <f>IF(AND('Sprint Planning'!$H80&gt;=10,'Sprint Planning'!$H80&lt;=16),IFERROR(MATCH('Sprint Planning'!$C80,Roadmap!$A$4:$A$15,0),99)*100+'Sprint Planning'!$H80+80/100000,"")</f>
        <v/>
      </c>
    </row>
    <row r="81" ht="15" customHeight="1">
      <c r="A81">
        <f>IFERROR(INDEX('Sprint Planning'!$C$2:$C$243,MATCH(SMALL(Roadmap!$T$2:$T$243,ROW()-20),Roadmap!$T$2:$T$243,0)),"")</f>
        <v/>
      </c>
      <c r="B81">
        <f>IFERROR(INDEX('Sprint Planning'!$B$2:$B$243,MATCH(SMALL(Roadmap!$T$2:$T$243,ROW()-20),Roadmap!$T$2:$T$243,0)),"")</f>
        <v/>
      </c>
      <c r="C81">
        <f>IFERROR(INDEX('Sprint Planning'!$H$2:$H$243,MATCH(SMALL(Roadmap!$T$2:$T$243,ROW()-20),Roadmap!$T$2:$T$243,0)),"")</f>
        <v/>
      </c>
      <c r="D81">
        <f>IF($B81="","",IF($C81=10,"●",""))</f>
        <v/>
      </c>
      <c r="E81">
        <f>IF($B81="","",IF($C81=11,"●",""))</f>
        <v/>
      </c>
      <c r="F81">
        <f>IF($B81="","",IF($C81=12,"●",""))</f>
        <v/>
      </c>
      <c r="G81">
        <f>IF($B81="","",IF($C81=13,"●",""))</f>
        <v/>
      </c>
      <c r="H81">
        <f>IF($B81="","",IF($C81=14,"●",""))</f>
        <v/>
      </c>
      <c r="I81">
        <f>IF($B81="","",IF($C81=15,"●",""))</f>
        <v/>
      </c>
      <c r="J81">
        <f>IF($B81="","",IF($C81=16,"●",""))</f>
        <v/>
      </c>
      <c r="T81">
        <f>IF(AND('Sprint Planning'!$H81&gt;=10,'Sprint Planning'!$H81&lt;=16),IFERROR(MATCH('Sprint Planning'!$C81,Roadmap!$A$4:$A$15,0),99)*100+'Sprint Planning'!$H81+81/100000,"")</f>
        <v/>
      </c>
    </row>
    <row r="82" ht="15" customHeight="1">
      <c r="A82">
        <f>IFERROR(INDEX('Sprint Planning'!$C$2:$C$243,MATCH(SMALL(Roadmap!$T$2:$T$243,ROW()-20),Roadmap!$T$2:$T$243,0)),"")</f>
        <v/>
      </c>
      <c r="B82">
        <f>IFERROR(INDEX('Sprint Planning'!$B$2:$B$243,MATCH(SMALL(Roadmap!$T$2:$T$243,ROW()-20),Roadmap!$T$2:$T$243,0)),"")</f>
        <v/>
      </c>
      <c r="C82">
        <f>IFERROR(INDEX('Sprint Planning'!$H$2:$H$243,MATCH(SMALL(Roadmap!$T$2:$T$243,ROW()-20),Roadmap!$T$2:$T$243,0)),"")</f>
        <v/>
      </c>
      <c r="D82">
        <f>IF($B82="","",IF($C82=10,"●",""))</f>
        <v/>
      </c>
      <c r="E82">
        <f>IF($B82="","",IF($C82=11,"●",""))</f>
        <v/>
      </c>
      <c r="F82">
        <f>IF($B82="","",IF($C82=12,"●",""))</f>
        <v/>
      </c>
      <c r="G82">
        <f>IF($B82="","",IF($C82=13,"●",""))</f>
        <v/>
      </c>
      <c r="H82">
        <f>IF($B82="","",IF($C82=14,"●",""))</f>
        <v/>
      </c>
      <c r="I82">
        <f>IF($B82="","",IF($C82=15,"●",""))</f>
        <v/>
      </c>
      <c r="J82">
        <f>IF($B82="","",IF($C82=16,"●",""))</f>
        <v/>
      </c>
      <c r="T82">
        <f>IF(AND('Sprint Planning'!$H82&gt;=10,'Sprint Planning'!$H82&lt;=16),IFERROR(MATCH('Sprint Planning'!$C82,Roadmap!$A$4:$A$15,0),99)*100+'Sprint Planning'!$H82+82/100000,"")</f>
        <v/>
      </c>
    </row>
    <row r="83" ht="15" customHeight="1">
      <c r="A83">
        <f>IFERROR(INDEX('Sprint Planning'!$C$2:$C$243,MATCH(SMALL(Roadmap!$T$2:$T$243,ROW()-20),Roadmap!$T$2:$T$243,0)),"")</f>
        <v/>
      </c>
      <c r="B83">
        <f>IFERROR(INDEX('Sprint Planning'!$B$2:$B$243,MATCH(SMALL(Roadmap!$T$2:$T$243,ROW()-20),Roadmap!$T$2:$T$243,0)),"")</f>
        <v/>
      </c>
      <c r="C83">
        <f>IFERROR(INDEX('Sprint Planning'!$H$2:$H$243,MATCH(SMALL(Roadmap!$T$2:$T$243,ROW()-20),Roadmap!$T$2:$T$243,0)),"")</f>
        <v/>
      </c>
      <c r="D83">
        <f>IF($B83="","",IF($C83=10,"●",""))</f>
        <v/>
      </c>
      <c r="E83">
        <f>IF($B83="","",IF($C83=11,"●",""))</f>
        <v/>
      </c>
      <c r="F83">
        <f>IF($B83="","",IF($C83=12,"●",""))</f>
        <v/>
      </c>
      <c r="G83">
        <f>IF($B83="","",IF($C83=13,"●",""))</f>
        <v/>
      </c>
      <c r="H83">
        <f>IF($B83="","",IF($C83=14,"●",""))</f>
        <v/>
      </c>
      <c r="I83">
        <f>IF($B83="","",IF($C83=15,"●",""))</f>
        <v/>
      </c>
      <c r="J83">
        <f>IF($B83="","",IF($C83=16,"●",""))</f>
        <v/>
      </c>
      <c r="T83">
        <f>IF(AND('Sprint Planning'!$H83&gt;=10,'Sprint Planning'!$H83&lt;=16),IFERROR(MATCH('Sprint Planning'!$C83,Roadmap!$A$4:$A$15,0),99)*100+'Sprint Planning'!$H83+83/100000,"")</f>
        <v/>
      </c>
    </row>
    <row r="84" ht="15" customHeight="1">
      <c r="A84">
        <f>IFERROR(INDEX('Sprint Planning'!$C$2:$C$243,MATCH(SMALL(Roadmap!$T$2:$T$243,ROW()-20),Roadmap!$T$2:$T$243,0)),"")</f>
        <v/>
      </c>
      <c r="B84">
        <f>IFERROR(INDEX('Sprint Planning'!$B$2:$B$243,MATCH(SMALL(Roadmap!$T$2:$T$243,ROW()-20),Roadmap!$T$2:$T$243,0)),"")</f>
        <v/>
      </c>
      <c r="C84">
        <f>IFERROR(INDEX('Sprint Planning'!$H$2:$H$243,MATCH(SMALL(Roadmap!$T$2:$T$243,ROW()-20),Roadmap!$T$2:$T$243,0)),"")</f>
        <v/>
      </c>
      <c r="D84">
        <f>IF($B84="","",IF($C84=10,"●",""))</f>
        <v/>
      </c>
      <c r="E84">
        <f>IF($B84="","",IF($C84=11,"●",""))</f>
        <v/>
      </c>
      <c r="F84">
        <f>IF($B84="","",IF($C84=12,"●",""))</f>
        <v/>
      </c>
      <c r="G84">
        <f>IF($B84="","",IF($C84=13,"●",""))</f>
        <v/>
      </c>
      <c r="H84">
        <f>IF($B84="","",IF($C84=14,"●",""))</f>
        <v/>
      </c>
      <c r="I84">
        <f>IF($B84="","",IF($C84=15,"●",""))</f>
        <v/>
      </c>
      <c r="J84">
        <f>IF($B84="","",IF($C84=16,"●",""))</f>
        <v/>
      </c>
      <c r="T84">
        <f>IF(AND('Sprint Planning'!$H84&gt;=10,'Sprint Planning'!$H84&lt;=16),IFERROR(MATCH('Sprint Planning'!$C84,Roadmap!$A$4:$A$15,0),99)*100+'Sprint Planning'!$H84+84/100000,"")</f>
        <v/>
      </c>
    </row>
    <row r="85" ht="15" customHeight="1">
      <c r="A85">
        <f>IFERROR(INDEX('Sprint Planning'!$C$2:$C$243,MATCH(SMALL(Roadmap!$T$2:$T$243,ROW()-20),Roadmap!$T$2:$T$243,0)),"")</f>
        <v/>
      </c>
      <c r="B85">
        <f>IFERROR(INDEX('Sprint Planning'!$B$2:$B$243,MATCH(SMALL(Roadmap!$T$2:$T$243,ROW()-20),Roadmap!$T$2:$T$243,0)),"")</f>
        <v/>
      </c>
      <c r="C85">
        <f>IFERROR(INDEX('Sprint Planning'!$H$2:$H$243,MATCH(SMALL(Roadmap!$T$2:$T$243,ROW()-20),Roadmap!$T$2:$T$243,0)),"")</f>
        <v/>
      </c>
      <c r="D85">
        <f>IF($B85="","",IF($C85=10,"●",""))</f>
        <v/>
      </c>
      <c r="E85">
        <f>IF($B85="","",IF($C85=11,"●",""))</f>
        <v/>
      </c>
      <c r="F85">
        <f>IF($B85="","",IF($C85=12,"●",""))</f>
        <v/>
      </c>
      <c r="G85">
        <f>IF($B85="","",IF($C85=13,"●",""))</f>
        <v/>
      </c>
      <c r="H85">
        <f>IF($B85="","",IF($C85=14,"●",""))</f>
        <v/>
      </c>
      <c r="I85">
        <f>IF($B85="","",IF($C85=15,"●",""))</f>
        <v/>
      </c>
      <c r="J85">
        <f>IF($B85="","",IF($C85=16,"●",""))</f>
        <v/>
      </c>
      <c r="T85">
        <f>IF(AND('Sprint Planning'!$H85&gt;=10,'Sprint Planning'!$H85&lt;=16),IFERROR(MATCH('Sprint Planning'!$C85,Roadmap!$A$4:$A$15,0),99)*100+'Sprint Planning'!$H85+85/100000,"")</f>
        <v/>
      </c>
    </row>
    <row r="86" ht="15" customHeight="1">
      <c r="A86">
        <f>IFERROR(INDEX('Sprint Planning'!$C$2:$C$243,MATCH(SMALL(Roadmap!$T$2:$T$243,ROW()-20),Roadmap!$T$2:$T$243,0)),"")</f>
        <v/>
      </c>
      <c r="B86">
        <f>IFERROR(INDEX('Sprint Planning'!$B$2:$B$243,MATCH(SMALL(Roadmap!$T$2:$T$243,ROW()-20),Roadmap!$T$2:$T$243,0)),"")</f>
        <v/>
      </c>
      <c r="C86">
        <f>IFERROR(INDEX('Sprint Planning'!$H$2:$H$243,MATCH(SMALL(Roadmap!$T$2:$T$243,ROW()-20),Roadmap!$T$2:$T$243,0)),"")</f>
        <v/>
      </c>
      <c r="D86">
        <f>IF($B86="","",IF($C86=10,"●",""))</f>
        <v/>
      </c>
      <c r="E86">
        <f>IF($B86="","",IF($C86=11,"●",""))</f>
        <v/>
      </c>
      <c r="F86">
        <f>IF($B86="","",IF($C86=12,"●",""))</f>
        <v/>
      </c>
      <c r="G86">
        <f>IF($B86="","",IF($C86=13,"●",""))</f>
        <v/>
      </c>
      <c r="H86">
        <f>IF($B86="","",IF($C86=14,"●",""))</f>
        <v/>
      </c>
      <c r="I86">
        <f>IF($B86="","",IF($C86=15,"●",""))</f>
        <v/>
      </c>
      <c r="J86">
        <f>IF($B86="","",IF($C86=16,"●",""))</f>
        <v/>
      </c>
      <c r="T86">
        <f>IF(AND('Sprint Planning'!$H86&gt;=10,'Sprint Planning'!$H86&lt;=16),IFERROR(MATCH('Sprint Planning'!$C86,Roadmap!$A$4:$A$15,0),99)*100+'Sprint Planning'!$H86+86/100000,"")</f>
        <v/>
      </c>
    </row>
    <row r="87" ht="15" customHeight="1">
      <c r="A87">
        <f>IFERROR(INDEX('Sprint Planning'!$C$2:$C$243,MATCH(SMALL(Roadmap!$T$2:$T$243,ROW()-20),Roadmap!$T$2:$T$243,0)),"")</f>
        <v/>
      </c>
      <c r="B87">
        <f>IFERROR(INDEX('Sprint Planning'!$B$2:$B$243,MATCH(SMALL(Roadmap!$T$2:$T$243,ROW()-20),Roadmap!$T$2:$T$243,0)),"")</f>
        <v/>
      </c>
      <c r="C87">
        <f>IFERROR(INDEX('Sprint Planning'!$H$2:$H$243,MATCH(SMALL(Roadmap!$T$2:$T$243,ROW()-20),Roadmap!$T$2:$T$243,0)),"")</f>
        <v/>
      </c>
      <c r="D87">
        <f>IF($B87="","",IF($C87=10,"●",""))</f>
        <v/>
      </c>
      <c r="E87">
        <f>IF($B87="","",IF($C87=11,"●",""))</f>
        <v/>
      </c>
      <c r="F87">
        <f>IF($B87="","",IF($C87=12,"●",""))</f>
        <v/>
      </c>
      <c r="G87">
        <f>IF($B87="","",IF($C87=13,"●",""))</f>
        <v/>
      </c>
      <c r="H87">
        <f>IF($B87="","",IF($C87=14,"●",""))</f>
        <v/>
      </c>
      <c r="I87">
        <f>IF($B87="","",IF($C87=15,"●",""))</f>
        <v/>
      </c>
      <c r="J87">
        <f>IF($B87="","",IF($C87=16,"●",""))</f>
        <v/>
      </c>
      <c r="T87">
        <f>IF(AND('Sprint Planning'!$H87&gt;=10,'Sprint Planning'!$H87&lt;=16),IFERROR(MATCH('Sprint Planning'!$C87,Roadmap!$A$4:$A$15,0),99)*100+'Sprint Planning'!$H87+87/100000,"")</f>
        <v/>
      </c>
    </row>
    <row r="88" ht="15" customHeight="1">
      <c r="A88">
        <f>IFERROR(INDEX('Sprint Planning'!$C$2:$C$243,MATCH(SMALL(Roadmap!$T$2:$T$243,ROW()-20),Roadmap!$T$2:$T$243,0)),"")</f>
        <v/>
      </c>
      <c r="B88">
        <f>IFERROR(INDEX('Sprint Planning'!$B$2:$B$243,MATCH(SMALL(Roadmap!$T$2:$T$243,ROW()-20),Roadmap!$T$2:$T$243,0)),"")</f>
        <v/>
      </c>
      <c r="C88">
        <f>IFERROR(INDEX('Sprint Planning'!$H$2:$H$243,MATCH(SMALL(Roadmap!$T$2:$T$243,ROW()-20),Roadmap!$T$2:$T$243,0)),"")</f>
        <v/>
      </c>
      <c r="D88">
        <f>IF($B88="","",IF($C88=10,"●",""))</f>
        <v/>
      </c>
      <c r="E88">
        <f>IF($B88="","",IF($C88=11,"●",""))</f>
        <v/>
      </c>
      <c r="F88">
        <f>IF($B88="","",IF($C88=12,"●",""))</f>
        <v/>
      </c>
      <c r="G88">
        <f>IF($B88="","",IF($C88=13,"●",""))</f>
        <v/>
      </c>
      <c r="H88">
        <f>IF($B88="","",IF($C88=14,"●",""))</f>
        <v/>
      </c>
      <c r="I88">
        <f>IF($B88="","",IF($C88=15,"●",""))</f>
        <v/>
      </c>
      <c r="J88">
        <f>IF($B88="","",IF($C88=16,"●",""))</f>
        <v/>
      </c>
      <c r="T88">
        <f>IF(AND('Sprint Planning'!$H88&gt;=10,'Sprint Planning'!$H88&lt;=16),IFERROR(MATCH('Sprint Planning'!$C88,Roadmap!$A$4:$A$15,0),99)*100+'Sprint Planning'!$H88+88/100000,"")</f>
        <v/>
      </c>
    </row>
    <row r="89" ht="15" customHeight="1">
      <c r="A89">
        <f>IFERROR(INDEX('Sprint Planning'!$C$2:$C$243,MATCH(SMALL(Roadmap!$T$2:$T$243,ROW()-20),Roadmap!$T$2:$T$243,0)),"")</f>
        <v/>
      </c>
      <c r="B89">
        <f>IFERROR(INDEX('Sprint Planning'!$B$2:$B$243,MATCH(SMALL(Roadmap!$T$2:$T$243,ROW()-20),Roadmap!$T$2:$T$243,0)),"")</f>
        <v/>
      </c>
      <c r="C89">
        <f>IFERROR(INDEX('Sprint Planning'!$H$2:$H$243,MATCH(SMALL(Roadmap!$T$2:$T$243,ROW()-20),Roadmap!$T$2:$T$243,0)),"")</f>
        <v/>
      </c>
      <c r="D89">
        <f>IF($B89="","",IF($C89=10,"●",""))</f>
        <v/>
      </c>
      <c r="E89">
        <f>IF($B89="","",IF($C89=11,"●",""))</f>
        <v/>
      </c>
      <c r="F89">
        <f>IF($B89="","",IF($C89=12,"●",""))</f>
        <v/>
      </c>
      <c r="G89">
        <f>IF($B89="","",IF($C89=13,"●",""))</f>
        <v/>
      </c>
      <c r="H89">
        <f>IF($B89="","",IF($C89=14,"●",""))</f>
        <v/>
      </c>
      <c r="I89">
        <f>IF($B89="","",IF($C89=15,"●",""))</f>
        <v/>
      </c>
      <c r="J89">
        <f>IF($B89="","",IF($C89=16,"●",""))</f>
        <v/>
      </c>
      <c r="T89">
        <f>IF(AND('Sprint Planning'!$H89&gt;=10,'Sprint Planning'!$H89&lt;=16),IFERROR(MATCH('Sprint Planning'!$C89,Roadmap!$A$4:$A$15,0),99)*100+'Sprint Planning'!$H89+89/100000,"")</f>
        <v/>
      </c>
    </row>
    <row r="90" ht="15" customHeight="1">
      <c r="A90">
        <f>IFERROR(INDEX('Sprint Planning'!$C$2:$C$243,MATCH(SMALL(Roadmap!$T$2:$T$243,ROW()-20),Roadmap!$T$2:$T$243,0)),"")</f>
        <v/>
      </c>
      <c r="B90">
        <f>IFERROR(INDEX('Sprint Planning'!$B$2:$B$243,MATCH(SMALL(Roadmap!$T$2:$T$243,ROW()-20),Roadmap!$T$2:$T$243,0)),"")</f>
        <v/>
      </c>
      <c r="C90">
        <f>IFERROR(INDEX('Sprint Planning'!$H$2:$H$243,MATCH(SMALL(Roadmap!$T$2:$T$243,ROW()-20),Roadmap!$T$2:$T$243,0)),"")</f>
        <v/>
      </c>
      <c r="D90">
        <f>IF($B90="","",IF($C90=10,"●",""))</f>
        <v/>
      </c>
      <c r="E90">
        <f>IF($B90="","",IF($C90=11,"●",""))</f>
        <v/>
      </c>
      <c r="F90">
        <f>IF($B90="","",IF($C90=12,"●",""))</f>
        <v/>
      </c>
      <c r="G90">
        <f>IF($B90="","",IF($C90=13,"●",""))</f>
        <v/>
      </c>
      <c r="H90">
        <f>IF($B90="","",IF($C90=14,"●",""))</f>
        <v/>
      </c>
      <c r="I90">
        <f>IF($B90="","",IF($C90=15,"●",""))</f>
        <v/>
      </c>
      <c r="J90">
        <f>IF($B90="","",IF($C90=16,"●",""))</f>
        <v/>
      </c>
      <c r="T90">
        <f>IF(AND('Sprint Planning'!$H90&gt;=10,'Sprint Planning'!$H90&lt;=16),IFERROR(MATCH('Sprint Planning'!$C90,Roadmap!$A$4:$A$15,0),99)*100+'Sprint Planning'!$H90+90/100000,"")</f>
        <v/>
      </c>
    </row>
    <row r="91" ht="15" customHeight="1">
      <c r="A91">
        <f>IFERROR(INDEX('Sprint Planning'!$C$2:$C$243,MATCH(SMALL(Roadmap!$T$2:$T$243,ROW()-20),Roadmap!$T$2:$T$243,0)),"")</f>
        <v/>
      </c>
      <c r="B91">
        <f>IFERROR(INDEX('Sprint Planning'!$B$2:$B$243,MATCH(SMALL(Roadmap!$T$2:$T$243,ROW()-20),Roadmap!$T$2:$T$243,0)),"")</f>
        <v/>
      </c>
      <c r="C91">
        <f>IFERROR(INDEX('Sprint Planning'!$H$2:$H$243,MATCH(SMALL(Roadmap!$T$2:$T$243,ROW()-20),Roadmap!$T$2:$T$243,0)),"")</f>
        <v/>
      </c>
      <c r="D91">
        <f>IF($B91="","",IF($C91=10,"●",""))</f>
        <v/>
      </c>
      <c r="E91">
        <f>IF($B91="","",IF($C91=11,"●",""))</f>
        <v/>
      </c>
      <c r="F91">
        <f>IF($B91="","",IF($C91=12,"●",""))</f>
        <v/>
      </c>
      <c r="G91">
        <f>IF($B91="","",IF($C91=13,"●",""))</f>
        <v/>
      </c>
      <c r="H91">
        <f>IF($B91="","",IF($C91=14,"●",""))</f>
        <v/>
      </c>
      <c r="I91">
        <f>IF($B91="","",IF($C91=15,"●",""))</f>
        <v/>
      </c>
      <c r="J91">
        <f>IF($B91="","",IF($C91=16,"●",""))</f>
        <v/>
      </c>
      <c r="T91">
        <f>IF(AND('Sprint Planning'!$H91&gt;=10,'Sprint Planning'!$H91&lt;=16),IFERROR(MATCH('Sprint Planning'!$C91,Roadmap!$A$4:$A$15,0),99)*100+'Sprint Planning'!$H91+91/100000,"")</f>
        <v/>
      </c>
    </row>
    <row r="92" ht="15" customHeight="1">
      <c r="A92">
        <f>IFERROR(INDEX('Sprint Planning'!$C$2:$C$243,MATCH(SMALL(Roadmap!$T$2:$T$243,ROW()-20),Roadmap!$T$2:$T$243,0)),"")</f>
        <v/>
      </c>
      <c r="B92">
        <f>IFERROR(INDEX('Sprint Planning'!$B$2:$B$243,MATCH(SMALL(Roadmap!$T$2:$T$243,ROW()-20),Roadmap!$T$2:$T$243,0)),"")</f>
        <v/>
      </c>
      <c r="C92">
        <f>IFERROR(INDEX('Sprint Planning'!$H$2:$H$243,MATCH(SMALL(Roadmap!$T$2:$T$243,ROW()-20),Roadmap!$T$2:$T$243,0)),"")</f>
        <v/>
      </c>
      <c r="D92">
        <f>IF($B92="","",IF($C92=10,"●",""))</f>
        <v/>
      </c>
      <c r="E92">
        <f>IF($B92="","",IF($C92=11,"●",""))</f>
        <v/>
      </c>
      <c r="F92">
        <f>IF($B92="","",IF($C92=12,"●",""))</f>
        <v/>
      </c>
      <c r="G92">
        <f>IF($B92="","",IF($C92=13,"●",""))</f>
        <v/>
      </c>
      <c r="H92">
        <f>IF($B92="","",IF($C92=14,"●",""))</f>
        <v/>
      </c>
      <c r="I92">
        <f>IF($B92="","",IF($C92=15,"●",""))</f>
        <v/>
      </c>
      <c r="J92">
        <f>IF($B92="","",IF($C92=16,"●",""))</f>
        <v/>
      </c>
      <c r="T92">
        <f>IF(AND('Sprint Planning'!$H92&gt;=10,'Sprint Planning'!$H92&lt;=16),IFERROR(MATCH('Sprint Planning'!$C92,Roadmap!$A$4:$A$15,0),99)*100+'Sprint Planning'!$H92+92/100000,"")</f>
        <v/>
      </c>
    </row>
    <row r="93" ht="15" customHeight="1">
      <c r="A93">
        <f>IFERROR(INDEX('Sprint Planning'!$C$2:$C$243,MATCH(SMALL(Roadmap!$T$2:$T$243,ROW()-20),Roadmap!$T$2:$T$243,0)),"")</f>
        <v/>
      </c>
      <c r="B93">
        <f>IFERROR(INDEX('Sprint Planning'!$B$2:$B$243,MATCH(SMALL(Roadmap!$T$2:$T$243,ROW()-20),Roadmap!$T$2:$T$243,0)),"")</f>
        <v/>
      </c>
      <c r="C93">
        <f>IFERROR(INDEX('Sprint Planning'!$H$2:$H$243,MATCH(SMALL(Roadmap!$T$2:$T$243,ROW()-20),Roadmap!$T$2:$T$243,0)),"")</f>
        <v/>
      </c>
      <c r="D93">
        <f>IF($B93="","",IF($C93=10,"●",""))</f>
        <v/>
      </c>
      <c r="E93">
        <f>IF($B93="","",IF($C93=11,"●",""))</f>
        <v/>
      </c>
      <c r="F93">
        <f>IF($B93="","",IF($C93=12,"●",""))</f>
        <v/>
      </c>
      <c r="G93">
        <f>IF($B93="","",IF($C93=13,"●",""))</f>
        <v/>
      </c>
      <c r="H93">
        <f>IF($B93="","",IF($C93=14,"●",""))</f>
        <v/>
      </c>
      <c r="I93">
        <f>IF($B93="","",IF($C93=15,"●",""))</f>
        <v/>
      </c>
      <c r="J93">
        <f>IF($B93="","",IF($C93=16,"●",""))</f>
        <v/>
      </c>
      <c r="T93">
        <f>IF(AND('Sprint Planning'!$H93&gt;=10,'Sprint Planning'!$H93&lt;=16),IFERROR(MATCH('Sprint Planning'!$C93,Roadmap!$A$4:$A$15,0),99)*100+'Sprint Planning'!$H93+93/100000,"")</f>
        <v/>
      </c>
    </row>
    <row r="94" ht="15" customHeight="1">
      <c r="A94">
        <f>IFERROR(INDEX('Sprint Planning'!$C$2:$C$243,MATCH(SMALL(Roadmap!$T$2:$T$243,ROW()-20),Roadmap!$T$2:$T$243,0)),"")</f>
        <v/>
      </c>
      <c r="B94">
        <f>IFERROR(INDEX('Sprint Planning'!$B$2:$B$243,MATCH(SMALL(Roadmap!$T$2:$T$243,ROW()-20),Roadmap!$T$2:$T$243,0)),"")</f>
        <v/>
      </c>
      <c r="C94">
        <f>IFERROR(INDEX('Sprint Planning'!$H$2:$H$243,MATCH(SMALL(Roadmap!$T$2:$T$243,ROW()-20),Roadmap!$T$2:$T$243,0)),"")</f>
        <v/>
      </c>
      <c r="D94">
        <f>IF($B94="","",IF($C94=10,"●",""))</f>
        <v/>
      </c>
      <c r="E94">
        <f>IF($B94="","",IF($C94=11,"●",""))</f>
        <v/>
      </c>
      <c r="F94">
        <f>IF($B94="","",IF($C94=12,"●",""))</f>
        <v/>
      </c>
      <c r="G94">
        <f>IF($B94="","",IF($C94=13,"●",""))</f>
        <v/>
      </c>
      <c r="H94">
        <f>IF($B94="","",IF($C94=14,"●",""))</f>
        <v/>
      </c>
      <c r="I94">
        <f>IF($B94="","",IF($C94=15,"●",""))</f>
        <v/>
      </c>
      <c r="J94">
        <f>IF($B94="","",IF($C94=16,"●",""))</f>
        <v/>
      </c>
      <c r="T94">
        <f>IF(AND('Sprint Planning'!$H94&gt;=10,'Sprint Planning'!$H94&lt;=16),IFERROR(MATCH('Sprint Planning'!$C94,Roadmap!$A$4:$A$15,0),99)*100+'Sprint Planning'!$H94+94/100000,"")</f>
        <v/>
      </c>
    </row>
    <row r="95" ht="15" customHeight="1">
      <c r="A95">
        <f>IFERROR(INDEX('Sprint Planning'!$C$2:$C$243,MATCH(SMALL(Roadmap!$T$2:$T$243,ROW()-20),Roadmap!$T$2:$T$243,0)),"")</f>
        <v/>
      </c>
      <c r="B95">
        <f>IFERROR(INDEX('Sprint Planning'!$B$2:$B$243,MATCH(SMALL(Roadmap!$T$2:$T$243,ROW()-20),Roadmap!$T$2:$T$243,0)),"")</f>
        <v/>
      </c>
      <c r="C95">
        <f>IFERROR(INDEX('Sprint Planning'!$H$2:$H$243,MATCH(SMALL(Roadmap!$T$2:$T$243,ROW()-20),Roadmap!$T$2:$T$243,0)),"")</f>
        <v/>
      </c>
      <c r="D95">
        <f>IF($B95="","",IF($C95=10,"●",""))</f>
        <v/>
      </c>
      <c r="E95">
        <f>IF($B95="","",IF($C95=11,"●",""))</f>
        <v/>
      </c>
      <c r="F95">
        <f>IF($B95="","",IF($C95=12,"●",""))</f>
        <v/>
      </c>
      <c r="G95">
        <f>IF($B95="","",IF($C95=13,"●",""))</f>
        <v/>
      </c>
      <c r="H95">
        <f>IF($B95="","",IF($C95=14,"●",""))</f>
        <v/>
      </c>
      <c r="I95">
        <f>IF($B95="","",IF($C95=15,"●",""))</f>
        <v/>
      </c>
      <c r="J95">
        <f>IF($B95="","",IF($C95=16,"●",""))</f>
        <v/>
      </c>
      <c r="T95">
        <f>IF(AND('Sprint Planning'!$H95&gt;=10,'Sprint Planning'!$H95&lt;=16),IFERROR(MATCH('Sprint Planning'!$C95,Roadmap!$A$4:$A$15,0),99)*100+'Sprint Planning'!$H95+95/100000,"")</f>
        <v/>
      </c>
    </row>
    <row r="96" ht="15" customHeight="1">
      <c r="A96">
        <f>IFERROR(INDEX('Sprint Planning'!$C$2:$C$243,MATCH(SMALL(Roadmap!$T$2:$T$243,ROW()-20),Roadmap!$T$2:$T$243,0)),"")</f>
        <v/>
      </c>
      <c r="B96">
        <f>IFERROR(INDEX('Sprint Planning'!$B$2:$B$243,MATCH(SMALL(Roadmap!$T$2:$T$243,ROW()-20),Roadmap!$T$2:$T$243,0)),"")</f>
        <v/>
      </c>
      <c r="C96">
        <f>IFERROR(INDEX('Sprint Planning'!$H$2:$H$243,MATCH(SMALL(Roadmap!$T$2:$T$243,ROW()-20),Roadmap!$T$2:$T$243,0)),"")</f>
        <v/>
      </c>
      <c r="D96">
        <f>IF($B96="","",IF($C96=10,"●",""))</f>
        <v/>
      </c>
      <c r="E96">
        <f>IF($B96="","",IF($C96=11,"●",""))</f>
        <v/>
      </c>
      <c r="F96">
        <f>IF($B96="","",IF($C96=12,"●",""))</f>
        <v/>
      </c>
      <c r="G96">
        <f>IF($B96="","",IF($C96=13,"●",""))</f>
        <v/>
      </c>
      <c r="H96">
        <f>IF($B96="","",IF($C96=14,"●",""))</f>
        <v/>
      </c>
      <c r="I96">
        <f>IF($B96="","",IF($C96=15,"●",""))</f>
        <v/>
      </c>
      <c r="J96">
        <f>IF($B96="","",IF($C96=16,"●",""))</f>
        <v/>
      </c>
      <c r="T96">
        <f>IF(AND('Sprint Planning'!$H96&gt;=10,'Sprint Planning'!$H96&lt;=16),IFERROR(MATCH('Sprint Planning'!$C96,Roadmap!$A$4:$A$15,0),99)*100+'Sprint Planning'!$H96+96/100000,"")</f>
        <v/>
      </c>
    </row>
    <row r="97" ht="15" customHeight="1">
      <c r="A97">
        <f>IFERROR(INDEX('Sprint Planning'!$C$2:$C$243,MATCH(SMALL(Roadmap!$T$2:$T$243,ROW()-20),Roadmap!$T$2:$T$243,0)),"")</f>
        <v/>
      </c>
      <c r="B97">
        <f>IFERROR(INDEX('Sprint Planning'!$B$2:$B$243,MATCH(SMALL(Roadmap!$T$2:$T$243,ROW()-20),Roadmap!$T$2:$T$243,0)),"")</f>
        <v/>
      </c>
      <c r="C97">
        <f>IFERROR(INDEX('Sprint Planning'!$H$2:$H$243,MATCH(SMALL(Roadmap!$T$2:$T$243,ROW()-20),Roadmap!$T$2:$T$243,0)),"")</f>
        <v/>
      </c>
      <c r="D97">
        <f>IF($B97="","",IF($C97=10,"●",""))</f>
        <v/>
      </c>
      <c r="E97">
        <f>IF($B97="","",IF($C97=11,"●",""))</f>
        <v/>
      </c>
      <c r="F97">
        <f>IF($B97="","",IF($C97=12,"●",""))</f>
        <v/>
      </c>
      <c r="G97">
        <f>IF($B97="","",IF($C97=13,"●",""))</f>
        <v/>
      </c>
      <c r="H97">
        <f>IF($B97="","",IF($C97=14,"●",""))</f>
        <v/>
      </c>
      <c r="I97">
        <f>IF($B97="","",IF($C97=15,"●",""))</f>
        <v/>
      </c>
      <c r="J97">
        <f>IF($B97="","",IF($C97=16,"●",""))</f>
        <v/>
      </c>
      <c r="T97">
        <f>IF(AND('Sprint Planning'!$H97&gt;=10,'Sprint Planning'!$H97&lt;=16),IFERROR(MATCH('Sprint Planning'!$C97,Roadmap!$A$4:$A$15,0),99)*100+'Sprint Planning'!$H97+97/100000,"")</f>
        <v/>
      </c>
    </row>
    <row r="98" ht="15" customHeight="1">
      <c r="A98">
        <f>IFERROR(INDEX('Sprint Planning'!$C$2:$C$243,MATCH(SMALL(Roadmap!$T$2:$T$243,ROW()-20),Roadmap!$T$2:$T$243,0)),"")</f>
        <v/>
      </c>
      <c r="B98">
        <f>IFERROR(INDEX('Sprint Planning'!$B$2:$B$243,MATCH(SMALL(Roadmap!$T$2:$T$243,ROW()-20),Roadmap!$T$2:$T$243,0)),"")</f>
        <v/>
      </c>
      <c r="C98">
        <f>IFERROR(INDEX('Sprint Planning'!$H$2:$H$243,MATCH(SMALL(Roadmap!$T$2:$T$243,ROW()-20),Roadmap!$T$2:$T$243,0)),"")</f>
        <v/>
      </c>
      <c r="D98">
        <f>IF($B98="","",IF($C98=10,"●",""))</f>
        <v/>
      </c>
      <c r="E98">
        <f>IF($B98="","",IF($C98=11,"●",""))</f>
        <v/>
      </c>
      <c r="F98">
        <f>IF($B98="","",IF($C98=12,"●",""))</f>
        <v/>
      </c>
      <c r="G98">
        <f>IF($B98="","",IF($C98=13,"●",""))</f>
        <v/>
      </c>
      <c r="H98">
        <f>IF($B98="","",IF($C98=14,"●",""))</f>
        <v/>
      </c>
      <c r="I98">
        <f>IF($B98="","",IF($C98=15,"●",""))</f>
        <v/>
      </c>
      <c r="J98">
        <f>IF($B98="","",IF($C98=16,"●",""))</f>
        <v/>
      </c>
      <c r="T98">
        <f>IF(AND('Sprint Planning'!$H98&gt;=10,'Sprint Planning'!$H98&lt;=16),IFERROR(MATCH('Sprint Planning'!$C98,Roadmap!$A$4:$A$15,0),99)*100+'Sprint Planning'!$H98+98/100000,"")</f>
        <v/>
      </c>
    </row>
    <row r="99" ht="15" customHeight="1">
      <c r="A99">
        <f>IFERROR(INDEX('Sprint Planning'!$C$2:$C$243,MATCH(SMALL(Roadmap!$T$2:$T$243,ROW()-20),Roadmap!$T$2:$T$243,0)),"")</f>
        <v/>
      </c>
      <c r="B99">
        <f>IFERROR(INDEX('Sprint Planning'!$B$2:$B$243,MATCH(SMALL(Roadmap!$T$2:$T$243,ROW()-20),Roadmap!$T$2:$T$243,0)),"")</f>
        <v/>
      </c>
      <c r="C99">
        <f>IFERROR(INDEX('Sprint Planning'!$H$2:$H$243,MATCH(SMALL(Roadmap!$T$2:$T$243,ROW()-20),Roadmap!$T$2:$T$243,0)),"")</f>
        <v/>
      </c>
      <c r="D99">
        <f>IF($B99="","",IF($C99=10,"●",""))</f>
        <v/>
      </c>
      <c r="E99">
        <f>IF($B99="","",IF($C99=11,"●",""))</f>
        <v/>
      </c>
      <c r="F99">
        <f>IF($B99="","",IF($C99=12,"●",""))</f>
        <v/>
      </c>
      <c r="G99">
        <f>IF($B99="","",IF($C99=13,"●",""))</f>
        <v/>
      </c>
      <c r="H99">
        <f>IF($B99="","",IF($C99=14,"●",""))</f>
        <v/>
      </c>
      <c r="I99">
        <f>IF($B99="","",IF($C99=15,"●",""))</f>
        <v/>
      </c>
      <c r="J99">
        <f>IF($B99="","",IF($C99=16,"●",""))</f>
        <v/>
      </c>
      <c r="T99">
        <f>IF(AND('Sprint Planning'!$H99&gt;=10,'Sprint Planning'!$H99&lt;=16),IFERROR(MATCH('Sprint Planning'!$C99,Roadmap!$A$4:$A$15,0),99)*100+'Sprint Planning'!$H99+99/100000,"")</f>
        <v/>
      </c>
    </row>
    <row r="100" ht="15" customHeight="1">
      <c r="A100">
        <f>IFERROR(INDEX('Sprint Planning'!$C$2:$C$243,MATCH(SMALL(Roadmap!$T$2:$T$243,ROW()-20),Roadmap!$T$2:$T$243,0)),"")</f>
        <v/>
      </c>
      <c r="B100">
        <f>IFERROR(INDEX('Sprint Planning'!$B$2:$B$243,MATCH(SMALL(Roadmap!$T$2:$T$243,ROW()-20),Roadmap!$T$2:$T$243,0)),"")</f>
        <v/>
      </c>
      <c r="C100">
        <f>IFERROR(INDEX('Sprint Planning'!$H$2:$H$243,MATCH(SMALL(Roadmap!$T$2:$T$243,ROW()-20),Roadmap!$T$2:$T$243,0)),"")</f>
        <v/>
      </c>
      <c r="D100">
        <f>IF($B100="","",IF($C100=10,"●",""))</f>
        <v/>
      </c>
      <c r="E100">
        <f>IF($B100="","",IF($C100=11,"●",""))</f>
        <v/>
      </c>
      <c r="F100">
        <f>IF($B100="","",IF($C100=12,"●",""))</f>
        <v/>
      </c>
      <c r="G100">
        <f>IF($B100="","",IF($C100=13,"●",""))</f>
        <v/>
      </c>
      <c r="H100">
        <f>IF($B100="","",IF($C100=14,"●",""))</f>
        <v/>
      </c>
      <c r="I100">
        <f>IF($B100="","",IF($C100=15,"●",""))</f>
        <v/>
      </c>
      <c r="J100">
        <f>IF($B100="","",IF($C100=16,"●",""))</f>
        <v/>
      </c>
      <c r="T100">
        <f>IF(AND('Sprint Planning'!$H100&gt;=10,'Sprint Planning'!$H100&lt;=16),IFERROR(MATCH('Sprint Planning'!$C100,Roadmap!$A$4:$A$15,0),99)*100+'Sprint Planning'!$H100+100/100000,"")</f>
        <v/>
      </c>
    </row>
    <row r="101" ht="15" customHeight="1">
      <c r="T101">
        <f>IF(AND('Sprint Planning'!$H101&gt;=10,'Sprint Planning'!$H101&lt;=16),IFERROR(MATCH('Sprint Planning'!$C101,Roadmap!$A$4:$A$15,0),99)*100+'Sprint Planning'!$H101+101/100000,"")</f>
        <v/>
      </c>
    </row>
    <row r="102" ht="15" customHeight="1">
      <c r="T102">
        <f>IF(AND('Sprint Planning'!$H102&gt;=10,'Sprint Planning'!$H102&lt;=16),IFERROR(MATCH('Sprint Planning'!$C102,Roadmap!$A$4:$A$15,0),99)*100+'Sprint Planning'!$H102+102/100000,"")</f>
        <v/>
      </c>
    </row>
    <row r="103" ht="15" customHeight="1">
      <c r="T103">
        <f>IF(AND('Sprint Planning'!$H103&gt;=10,'Sprint Planning'!$H103&lt;=16),IFERROR(MATCH('Sprint Planning'!$C103,Roadmap!$A$4:$A$15,0),99)*100+'Sprint Planning'!$H103+103/100000,"")</f>
        <v/>
      </c>
    </row>
    <row r="104" ht="15" customHeight="1">
      <c r="T104">
        <f>IF(AND('Sprint Planning'!$H104&gt;=10,'Sprint Planning'!$H104&lt;=16),IFERROR(MATCH('Sprint Planning'!$C104,Roadmap!$A$4:$A$15,0),99)*100+'Sprint Planning'!$H104+104/100000,"")</f>
        <v/>
      </c>
    </row>
    <row r="105" ht="15" customHeight="1">
      <c r="T105">
        <f>IF(AND('Sprint Planning'!$H105&gt;=10,'Sprint Planning'!$H105&lt;=16),IFERROR(MATCH('Sprint Planning'!$C105,Roadmap!$A$4:$A$15,0),99)*100+'Sprint Planning'!$H105+105/100000,"")</f>
        <v/>
      </c>
    </row>
    <row r="106" ht="15" customHeight="1">
      <c r="T106">
        <f>IF(AND('Sprint Planning'!$H106&gt;=10,'Sprint Planning'!$H106&lt;=16),IFERROR(MATCH('Sprint Planning'!$C106,Roadmap!$A$4:$A$15,0),99)*100+'Sprint Planning'!$H106+106/100000,"")</f>
        <v/>
      </c>
    </row>
    <row r="107" ht="15" customHeight="1">
      <c r="T107">
        <f>IF(AND('Sprint Planning'!$H107&gt;=10,'Sprint Planning'!$H107&lt;=16),IFERROR(MATCH('Sprint Planning'!$C107,Roadmap!$A$4:$A$15,0),99)*100+'Sprint Planning'!$H107+107/100000,"")</f>
        <v/>
      </c>
    </row>
    <row r="108" ht="15" customHeight="1">
      <c r="T108">
        <f>IF(AND('Sprint Planning'!$H108&gt;=10,'Sprint Planning'!$H108&lt;=16),IFERROR(MATCH('Sprint Planning'!$C108,Roadmap!$A$4:$A$15,0),99)*100+'Sprint Planning'!$H108+108/100000,"")</f>
        <v/>
      </c>
    </row>
    <row r="109" ht="15" customHeight="1">
      <c r="T109">
        <f>IF(AND('Sprint Planning'!$H109&gt;=10,'Sprint Planning'!$H109&lt;=16),IFERROR(MATCH('Sprint Planning'!$C109,Roadmap!$A$4:$A$15,0),99)*100+'Sprint Planning'!$H109+109/100000,"")</f>
        <v/>
      </c>
    </row>
    <row r="110" ht="15" customHeight="1">
      <c r="T110">
        <f>IF(AND('Sprint Planning'!$H110&gt;=10,'Sprint Planning'!$H110&lt;=16),IFERROR(MATCH('Sprint Planning'!$C110,Roadmap!$A$4:$A$15,0),99)*100+'Sprint Planning'!$H110+110/100000,"")</f>
        <v/>
      </c>
    </row>
    <row r="111" ht="15" customHeight="1">
      <c r="T111">
        <f>IF(AND('Sprint Planning'!$H111&gt;=10,'Sprint Planning'!$H111&lt;=16),IFERROR(MATCH('Sprint Planning'!$C111,Roadmap!$A$4:$A$15,0),99)*100+'Sprint Planning'!$H111+111/100000,"")</f>
        <v/>
      </c>
    </row>
    <row r="112" ht="15" customHeight="1">
      <c r="T112">
        <f>IF(AND('Sprint Planning'!$H112&gt;=10,'Sprint Planning'!$H112&lt;=16),IFERROR(MATCH('Sprint Planning'!$C112,Roadmap!$A$4:$A$15,0),99)*100+'Sprint Planning'!$H112+112/100000,"")</f>
        <v/>
      </c>
    </row>
    <row r="113" ht="15" customHeight="1">
      <c r="T113">
        <f>IF(AND('Sprint Planning'!$H113&gt;=10,'Sprint Planning'!$H113&lt;=16),IFERROR(MATCH('Sprint Planning'!$C113,Roadmap!$A$4:$A$15,0),99)*100+'Sprint Planning'!$H113+113/100000,"")</f>
        <v/>
      </c>
    </row>
    <row r="114" ht="15" customHeight="1">
      <c r="T114">
        <f>IF(AND('Sprint Planning'!$H114&gt;=10,'Sprint Planning'!$H114&lt;=16),IFERROR(MATCH('Sprint Planning'!$C114,Roadmap!$A$4:$A$15,0),99)*100+'Sprint Planning'!$H114+114/100000,"")</f>
        <v/>
      </c>
    </row>
    <row r="115" ht="15" customHeight="1">
      <c r="T115">
        <f>IF(AND('Sprint Planning'!$H115&gt;=10,'Sprint Planning'!$H115&lt;=16),IFERROR(MATCH('Sprint Planning'!$C115,Roadmap!$A$4:$A$15,0),99)*100+'Sprint Planning'!$H115+115/100000,"")</f>
        <v/>
      </c>
    </row>
    <row r="116" ht="15" customHeight="1">
      <c r="T116">
        <f>IF(AND('Sprint Planning'!$H116&gt;=10,'Sprint Planning'!$H116&lt;=16),IFERROR(MATCH('Sprint Planning'!$C116,Roadmap!$A$4:$A$15,0),99)*100+'Sprint Planning'!$H116+116/100000,"")</f>
        <v/>
      </c>
    </row>
    <row r="117" ht="15" customHeight="1">
      <c r="T117">
        <f>IF(AND('Sprint Planning'!$H117&gt;=10,'Sprint Planning'!$H117&lt;=16),IFERROR(MATCH('Sprint Planning'!$C117,Roadmap!$A$4:$A$15,0),99)*100+'Sprint Planning'!$H117+117/100000,"")</f>
        <v/>
      </c>
    </row>
    <row r="118" ht="15" customHeight="1">
      <c r="T118">
        <f>IF(AND('Sprint Planning'!$H118&gt;=10,'Sprint Planning'!$H118&lt;=16),IFERROR(MATCH('Sprint Planning'!$C118,Roadmap!$A$4:$A$15,0),99)*100+'Sprint Planning'!$H118+118/100000,"")</f>
        <v/>
      </c>
    </row>
    <row r="119" ht="15" customHeight="1">
      <c r="T119">
        <f>IF(AND('Sprint Planning'!$H119&gt;=10,'Sprint Planning'!$H119&lt;=16),IFERROR(MATCH('Sprint Planning'!$C119,Roadmap!$A$4:$A$15,0),99)*100+'Sprint Planning'!$H119+119/100000,"")</f>
        <v/>
      </c>
    </row>
    <row r="120" ht="15" customHeight="1">
      <c r="T120">
        <f>IF(AND('Sprint Planning'!$H120&gt;=10,'Sprint Planning'!$H120&lt;=16),IFERROR(MATCH('Sprint Planning'!$C120,Roadmap!$A$4:$A$15,0),99)*100+'Sprint Planning'!$H120+120/100000,"")</f>
        <v/>
      </c>
    </row>
    <row r="121" ht="15" customHeight="1">
      <c r="T121">
        <f>IF(AND('Sprint Planning'!$H121&gt;=10,'Sprint Planning'!$H121&lt;=16),IFERROR(MATCH('Sprint Planning'!$C121,Roadmap!$A$4:$A$15,0),99)*100+'Sprint Planning'!$H121+121/100000,"")</f>
        <v/>
      </c>
    </row>
    <row r="122" ht="15" customHeight="1">
      <c r="T122">
        <f>IF(AND('Sprint Planning'!$H122&gt;=10,'Sprint Planning'!$H122&lt;=16),IFERROR(MATCH('Sprint Planning'!$C122,Roadmap!$A$4:$A$15,0),99)*100+'Sprint Planning'!$H122+122/100000,"")</f>
        <v/>
      </c>
    </row>
    <row r="123" ht="15" customHeight="1">
      <c r="T123">
        <f>IF(AND('Sprint Planning'!$H123&gt;=10,'Sprint Planning'!$H123&lt;=16),IFERROR(MATCH('Sprint Planning'!$C123,Roadmap!$A$4:$A$15,0),99)*100+'Sprint Planning'!$H123+123/100000,"")</f>
        <v/>
      </c>
    </row>
    <row r="124" ht="15" customHeight="1">
      <c r="T124">
        <f>IF(AND('Sprint Planning'!$H124&gt;=10,'Sprint Planning'!$H124&lt;=16),IFERROR(MATCH('Sprint Planning'!$C124,Roadmap!$A$4:$A$15,0),99)*100+'Sprint Planning'!$H124+124/100000,"")</f>
        <v/>
      </c>
    </row>
    <row r="125" ht="15" customHeight="1">
      <c r="T125">
        <f>IF(AND('Sprint Planning'!$H125&gt;=10,'Sprint Planning'!$H125&lt;=16),IFERROR(MATCH('Sprint Planning'!$C125,Roadmap!$A$4:$A$15,0),99)*100+'Sprint Planning'!$H125+125/100000,"")</f>
        <v/>
      </c>
    </row>
    <row r="126" ht="15" customHeight="1">
      <c r="T126">
        <f>IF(AND('Sprint Planning'!$H126&gt;=10,'Sprint Planning'!$H126&lt;=16),IFERROR(MATCH('Sprint Planning'!$C126,Roadmap!$A$4:$A$15,0),99)*100+'Sprint Planning'!$H126+126/100000,"")</f>
        <v/>
      </c>
    </row>
    <row r="127" ht="15" customHeight="1">
      <c r="T127">
        <f>IF(AND('Sprint Planning'!$H127&gt;=10,'Sprint Planning'!$H127&lt;=16),IFERROR(MATCH('Sprint Planning'!$C127,Roadmap!$A$4:$A$15,0),99)*100+'Sprint Planning'!$H127+127/100000,"")</f>
        <v/>
      </c>
    </row>
    <row r="128" ht="15" customHeight="1">
      <c r="T128">
        <f>IF(AND('Sprint Planning'!$H128&gt;=10,'Sprint Planning'!$H128&lt;=16),IFERROR(MATCH('Sprint Planning'!$C128,Roadmap!$A$4:$A$15,0),99)*100+'Sprint Planning'!$H128+128/100000,"")</f>
        <v/>
      </c>
    </row>
    <row r="129" ht="15" customHeight="1">
      <c r="T129">
        <f>IF(AND('Sprint Planning'!$H129&gt;=10,'Sprint Planning'!$H129&lt;=16),IFERROR(MATCH('Sprint Planning'!$C129,Roadmap!$A$4:$A$15,0),99)*100+'Sprint Planning'!$H129+129/100000,"")</f>
        <v/>
      </c>
    </row>
    <row r="130" ht="15" customHeight="1">
      <c r="T130">
        <f>IF(AND('Sprint Planning'!$H130&gt;=10,'Sprint Planning'!$H130&lt;=16),IFERROR(MATCH('Sprint Planning'!$C130,Roadmap!$A$4:$A$15,0),99)*100+'Sprint Planning'!$H130+130/100000,"")</f>
        <v/>
      </c>
    </row>
    <row r="131" ht="15" customHeight="1">
      <c r="T131">
        <f>IF(AND('Sprint Planning'!$H131&gt;=10,'Sprint Planning'!$H131&lt;=16),IFERROR(MATCH('Sprint Planning'!$C131,Roadmap!$A$4:$A$15,0),99)*100+'Sprint Planning'!$H131+131/100000,"")</f>
        <v/>
      </c>
    </row>
    <row r="132" ht="15" customHeight="1">
      <c r="T132">
        <f>IF(AND('Sprint Planning'!$H132&gt;=10,'Sprint Planning'!$H132&lt;=16),IFERROR(MATCH('Sprint Planning'!$C132,Roadmap!$A$4:$A$15,0),99)*100+'Sprint Planning'!$H132+132/100000,"")</f>
        <v/>
      </c>
    </row>
    <row r="133" ht="15" customHeight="1">
      <c r="T133">
        <f>IF(AND('Sprint Planning'!$H133&gt;=10,'Sprint Planning'!$H133&lt;=16),IFERROR(MATCH('Sprint Planning'!$C133,Roadmap!$A$4:$A$15,0),99)*100+'Sprint Planning'!$H133+133/100000,"")</f>
        <v/>
      </c>
    </row>
    <row r="134" ht="15" customHeight="1">
      <c r="T134">
        <f>IF(AND('Sprint Planning'!$H134&gt;=10,'Sprint Planning'!$H134&lt;=16),IFERROR(MATCH('Sprint Planning'!$C134,Roadmap!$A$4:$A$15,0),99)*100+'Sprint Planning'!$H134+134/100000,"")</f>
        <v/>
      </c>
    </row>
    <row r="135" ht="15" customHeight="1">
      <c r="T135">
        <f>IF(AND('Sprint Planning'!$H135&gt;=10,'Sprint Planning'!$H135&lt;=16),IFERROR(MATCH('Sprint Planning'!$C135,Roadmap!$A$4:$A$15,0),99)*100+'Sprint Planning'!$H135+135/100000,"")</f>
        <v/>
      </c>
    </row>
    <row r="136" ht="15" customHeight="1">
      <c r="T136">
        <f>IF(AND('Sprint Planning'!$H136&gt;=10,'Sprint Planning'!$H136&lt;=16),IFERROR(MATCH('Sprint Planning'!$C136,Roadmap!$A$4:$A$15,0),99)*100+'Sprint Planning'!$H136+136/100000,"")</f>
        <v/>
      </c>
    </row>
    <row r="137" ht="15" customHeight="1">
      <c r="T137">
        <f>IF(AND('Sprint Planning'!$H137&gt;=10,'Sprint Planning'!$H137&lt;=16),IFERROR(MATCH('Sprint Planning'!$C137,Roadmap!$A$4:$A$15,0),99)*100+'Sprint Planning'!$H137+137/100000,"")</f>
        <v/>
      </c>
    </row>
    <row r="138" ht="15" customHeight="1">
      <c r="T138">
        <f>IF(AND('Sprint Planning'!$H138&gt;=10,'Sprint Planning'!$H138&lt;=16),IFERROR(MATCH('Sprint Planning'!$C138,Roadmap!$A$4:$A$15,0),99)*100+'Sprint Planning'!$H138+138/100000,"")</f>
        <v/>
      </c>
    </row>
    <row r="139" ht="15" customHeight="1">
      <c r="T139">
        <f>IF(AND('Sprint Planning'!$H139&gt;=10,'Sprint Planning'!$H139&lt;=16),IFERROR(MATCH('Sprint Planning'!$C139,Roadmap!$A$4:$A$15,0),99)*100+'Sprint Planning'!$H139+139/100000,"")</f>
        <v/>
      </c>
    </row>
    <row r="140" ht="15" customHeight="1">
      <c r="T140">
        <f>IF(AND('Sprint Planning'!$H140&gt;=10,'Sprint Planning'!$H140&lt;=16),IFERROR(MATCH('Sprint Planning'!$C140,Roadmap!$A$4:$A$15,0),99)*100+'Sprint Planning'!$H140+140/100000,"")</f>
        <v/>
      </c>
    </row>
    <row r="141" ht="15" customHeight="1">
      <c r="T141">
        <f>IF(AND('Sprint Planning'!$H141&gt;=10,'Sprint Planning'!$H141&lt;=16),IFERROR(MATCH('Sprint Planning'!$C141,Roadmap!$A$4:$A$15,0),99)*100+'Sprint Planning'!$H141+141/100000,"")</f>
        <v/>
      </c>
    </row>
    <row r="142" ht="15" customHeight="1">
      <c r="T142">
        <f>IF(AND('Sprint Planning'!$H142&gt;=10,'Sprint Planning'!$H142&lt;=16),IFERROR(MATCH('Sprint Planning'!$C142,Roadmap!$A$4:$A$15,0),99)*100+'Sprint Planning'!$H142+142/100000,"")</f>
        <v/>
      </c>
    </row>
    <row r="143" ht="15" customHeight="1">
      <c r="T143">
        <f>IF(AND('Sprint Planning'!$H143&gt;=10,'Sprint Planning'!$H143&lt;=16),IFERROR(MATCH('Sprint Planning'!$C143,Roadmap!$A$4:$A$15,0),99)*100+'Sprint Planning'!$H143+143/100000,"")</f>
        <v/>
      </c>
    </row>
    <row r="144" ht="15" customHeight="1">
      <c r="T144">
        <f>IF(AND('Sprint Planning'!$H144&gt;=10,'Sprint Planning'!$H144&lt;=16),IFERROR(MATCH('Sprint Planning'!$C144,Roadmap!$A$4:$A$15,0),99)*100+'Sprint Planning'!$H144+144/100000,"")</f>
        <v/>
      </c>
    </row>
    <row r="145" ht="15" customHeight="1">
      <c r="T145">
        <f>IF(AND('Sprint Planning'!$H145&gt;=10,'Sprint Planning'!$H145&lt;=16),IFERROR(MATCH('Sprint Planning'!$C145,Roadmap!$A$4:$A$15,0),99)*100+'Sprint Planning'!$H145+145/100000,"")</f>
        <v/>
      </c>
    </row>
    <row r="146" ht="15" customHeight="1">
      <c r="T146">
        <f>IF(AND('Sprint Planning'!$H146&gt;=10,'Sprint Planning'!$H146&lt;=16),IFERROR(MATCH('Sprint Planning'!$C146,Roadmap!$A$4:$A$15,0),99)*100+'Sprint Planning'!$H146+146/100000,"")</f>
        <v/>
      </c>
    </row>
    <row r="147" ht="15" customHeight="1">
      <c r="T147">
        <f>IF(AND('Sprint Planning'!$H147&gt;=10,'Sprint Planning'!$H147&lt;=16),IFERROR(MATCH('Sprint Planning'!$C147,Roadmap!$A$4:$A$15,0),99)*100+'Sprint Planning'!$H147+147/100000,"")</f>
        <v/>
      </c>
    </row>
    <row r="148" ht="15" customHeight="1">
      <c r="T148">
        <f>IF(AND('Sprint Planning'!$H148&gt;=10,'Sprint Planning'!$H148&lt;=16),IFERROR(MATCH('Sprint Planning'!$C148,Roadmap!$A$4:$A$15,0),99)*100+'Sprint Planning'!$H148+148/100000,"")</f>
        <v/>
      </c>
    </row>
    <row r="149" ht="15" customHeight="1">
      <c r="T149">
        <f>IF(AND('Sprint Planning'!$H149&gt;=10,'Sprint Planning'!$H149&lt;=16),IFERROR(MATCH('Sprint Planning'!$C149,Roadmap!$A$4:$A$15,0),99)*100+'Sprint Planning'!$H149+149/100000,"")</f>
        <v/>
      </c>
    </row>
    <row r="150" ht="15" customHeight="1">
      <c r="T150">
        <f>IF(AND('Sprint Planning'!$H150&gt;=10,'Sprint Planning'!$H150&lt;=16),IFERROR(MATCH('Sprint Planning'!$C150,Roadmap!$A$4:$A$15,0),99)*100+'Sprint Planning'!$H150+150/100000,"")</f>
        <v/>
      </c>
    </row>
    <row r="151" ht="15" customHeight="1">
      <c r="T151">
        <f>IF(AND('Sprint Planning'!$H151&gt;=10,'Sprint Planning'!$H151&lt;=16),IFERROR(MATCH('Sprint Planning'!$C151,Roadmap!$A$4:$A$15,0),99)*100+'Sprint Planning'!$H151+151/100000,"")</f>
        <v/>
      </c>
    </row>
    <row r="152" ht="15" customHeight="1">
      <c r="T152">
        <f>IF(AND('Sprint Planning'!$H152&gt;=10,'Sprint Planning'!$H152&lt;=16),IFERROR(MATCH('Sprint Planning'!$C152,Roadmap!$A$4:$A$15,0),99)*100+'Sprint Planning'!$H152+152/100000,"")</f>
        <v/>
      </c>
    </row>
    <row r="153" ht="15" customHeight="1">
      <c r="T153">
        <f>IF(AND('Sprint Planning'!$H153&gt;=10,'Sprint Planning'!$H153&lt;=16),IFERROR(MATCH('Sprint Planning'!$C153,Roadmap!$A$4:$A$15,0),99)*100+'Sprint Planning'!$H153+153/100000,"")</f>
        <v/>
      </c>
    </row>
    <row r="154" ht="15" customHeight="1">
      <c r="T154">
        <f>IF(AND('Sprint Planning'!$H154&gt;=10,'Sprint Planning'!$H154&lt;=16),IFERROR(MATCH('Sprint Planning'!$C154,Roadmap!$A$4:$A$15,0),99)*100+'Sprint Planning'!$H154+154/100000,"")</f>
        <v/>
      </c>
    </row>
    <row r="155" ht="15" customHeight="1">
      <c r="T155">
        <f>IF(AND('Sprint Planning'!$H155&gt;=10,'Sprint Planning'!$H155&lt;=16),IFERROR(MATCH('Sprint Planning'!$C155,Roadmap!$A$4:$A$15,0),99)*100+'Sprint Planning'!$H155+155/100000,"")</f>
        <v/>
      </c>
    </row>
    <row r="156" ht="15" customHeight="1">
      <c r="T156">
        <f>IF(AND('Sprint Planning'!$H156&gt;=10,'Sprint Planning'!$H156&lt;=16),IFERROR(MATCH('Sprint Planning'!$C156,Roadmap!$A$4:$A$15,0),99)*100+'Sprint Planning'!$H156+156/100000,"")</f>
        <v/>
      </c>
    </row>
    <row r="157" ht="15" customHeight="1">
      <c r="T157">
        <f>IF(AND('Sprint Planning'!$H157&gt;=10,'Sprint Planning'!$H157&lt;=16),IFERROR(MATCH('Sprint Planning'!$C157,Roadmap!$A$4:$A$15,0),99)*100+'Sprint Planning'!$H157+157/100000,"")</f>
        <v/>
      </c>
    </row>
    <row r="158" ht="15" customHeight="1">
      <c r="T158">
        <f>IF(AND('Sprint Planning'!$H158&gt;=10,'Sprint Planning'!$H158&lt;=16),IFERROR(MATCH('Sprint Planning'!$C158,Roadmap!$A$4:$A$15,0),99)*100+'Sprint Planning'!$H158+158/100000,"")</f>
        <v/>
      </c>
    </row>
    <row r="159" ht="15" customHeight="1">
      <c r="T159">
        <f>IF(AND('Sprint Planning'!$H159&gt;=10,'Sprint Planning'!$H159&lt;=16),IFERROR(MATCH('Sprint Planning'!$C159,Roadmap!$A$4:$A$15,0),99)*100+'Sprint Planning'!$H159+159/100000,"")</f>
        <v/>
      </c>
    </row>
    <row r="160" ht="15" customHeight="1">
      <c r="T160">
        <f>IF(AND('Sprint Planning'!$H160&gt;=10,'Sprint Planning'!$H160&lt;=16),IFERROR(MATCH('Sprint Planning'!$C160,Roadmap!$A$4:$A$15,0),99)*100+'Sprint Planning'!$H160+160/100000,"")</f>
        <v/>
      </c>
    </row>
    <row r="161" ht="15" customHeight="1">
      <c r="T161">
        <f>IF(AND('Sprint Planning'!$H161&gt;=10,'Sprint Planning'!$H161&lt;=16),IFERROR(MATCH('Sprint Planning'!$C161,Roadmap!$A$4:$A$15,0),99)*100+'Sprint Planning'!$H161+161/100000,"")</f>
        <v/>
      </c>
    </row>
    <row r="162" ht="15" customHeight="1">
      <c r="T162">
        <f>IF(AND('Sprint Planning'!$H162&gt;=10,'Sprint Planning'!$H162&lt;=16),IFERROR(MATCH('Sprint Planning'!$C162,Roadmap!$A$4:$A$15,0),99)*100+'Sprint Planning'!$H162+162/100000,"")</f>
        <v/>
      </c>
    </row>
    <row r="163" ht="15" customHeight="1">
      <c r="T163">
        <f>IF(AND('Sprint Planning'!$H163&gt;=10,'Sprint Planning'!$H163&lt;=16),IFERROR(MATCH('Sprint Planning'!$C163,Roadmap!$A$4:$A$15,0),99)*100+'Sprint Planning'!$H163+163/100000,"")</f>
        <v/>
      </c>
    </row>
    <row r="164" ht="15" customHeight="1">
      <c r="T164">
        <f>IF(AND('Sprint Planning'!$H164&gt;=10,'Sprint Planning'!$H164&lt;=16),IFERROR(MATCH('Sprint Planning'!$C164,Roadmap!$A$4:$A$15,0),99)*100+'Sprint Planning'!$H164+164/100000,"")</f>
        <v/>
      </c>
    </row>
    <row r="165" ht="15" customHeight="1">
      <c r="T165">
        <f>IF(AND('Sprint Planning'!$H165&gt;=10,'Sprint Planning'!$H165&lt;=16),IFERROR(MATCH('Sprint Planning'!$C165,Roadmap!$A$4:$A$15,0),99)*100+'Sprint Planning'!$H165+165/100000,"")</f>
        <v/>
      </c>
    </row>
    <row r="166" ht="15" customHeight="1">
      <c r="T166">
        <f>IF(AND('Sprint Planning'!$H166&gt;=10,'Sprint Planning'!$H166&lt;=16),IFERROR(MATCH('Sprint Planning'!$C166,Roadmap!$A$4:$A$15,0),99)*100+'Sprint Planning'!$H166+166/100000,"")</f>
        <v/>
      </c>
    </row>
    <row r="167" ht="15" customHeight="1">
      <c r="T167">
        <f>IF(AND('Sprint Planning'!$H167&gt;=10,'Sprint Planning'!$H167&lt;=16),IFERROR(MATCH('Sprint Planning'!$C167,Roadmap!$A$4:$A$15,0),99)*100+'Sprint Planning'!$H167+167/100000,"")</f>
        <v/>
      </c>
    </row>
    <row r="168" ht="15" customHeight="1">
      <c r="T168">
        <f>IF(AND('Sprint Planning'!$H168&gt;=10,'Sprint Planning'!$H168&lt;=16),IFERROR(MATCH('Sprint Planning'!$C168,Roadmap!$A$4:$A$15,0),99)*100+'Sprint Planning'!$H168+168/100000,"")</f>
        <v/>
      </c>
    </row>
    <row r="169" ht="15" customHeight="1">
      <c r="T169">
        <f>IF(AND('Sprint Planning'!$H169&gt;=10,'Sprint Planning'!$H169&lt;=16),IFERROR(MATCH('Sprint Planning'!$C169,Roadmap!$A$4:$A$15,0),99)*100+'Sprint Planning'!$H169+169/100000,"")</f>
        <v/>
      </c>
    </row>
    <row r="170" ht="15" customHeight="1">
      <c r="T170">
        <f>IF(AND('Sprint Planning'!$H170&gt;=10,'Sprint Planning'!$H170&lt;=16),IFERROR(MATCH('Sprint Planning'!$C170,Roadmap!$A$4:$A$15,0),99)*100+'Sprint Planning'!$H170+170/100000,"")</f>
        <v/>
      </c>
    </row>
    <row r="171" ht="15" customHeight="1">
      <c r="T171">
        <f>IF(AND('Sprint Planning'!$H171&gt;=10,'Sprint Planning'!$H171&lt;=16),IFERROR(MATCH('Sprint Planning'!$C171,Roadmap!$A$4:$A$15,0),99)*100+'Sprint Planning'!$H171+171/100000,"")</f>
        <v/>
      </c>
    </row>
    <row r="172" ht="15" customHeight="1">
      <c r="T172">
        <f>IF(AND('Sprint Planning'!$H172&gt;=10,'Sprint Planning'!$H172&lt;=16),IFERROR(MATCH('Sprint Planning'!$C172,Roadmap!$A$4:$A$15,0),99)*100+'Sprint Planning'!$H172+172/100000,"")</f>
        <v/>
      </c>
    </row>
    <row r="173" ht="15" customHeight="1">
      <c r="T173">
        <f>IF(AND('Sprint Planning'!$H173&gt;=10,'Sprint Planning'!$H173&lt;=16),IFERROR(MATCH('Sprint Planning'!$C173,Roadmap!$A$4:$A$15,0),99)*100+'Sprint Planning'!$H173+173/100000,"")</f>
        <v/>
      </c>
    </row>
    <row r="174" ht="15" customHeight="1">
      <c r="T174">
        <f>IF(AND('Sprint Planning'!$H174&gt;=10,'Sprint Planning'!$H174&lt;=16),IFERROR(MATCH('Sprint Planning'!$C174,Roadmap!$A$4:$A$15,0),99)*100+'Sprint Planning'!$H174+174/100000,"")</f>
        <v/>
      </c>
    </row>
    <row r="175" ht="15" customHeight="1">
      <c r="T175">
        <f>IF(AND('Sprint Planning'!$H175&gt;=10,'Sprint Planning'!$H175&lt;=16),IFERROR(MATCH('Sprint Planning'!$C175,Roadmap!$A$4:$A$15,0),99)*100+'Sprint Planning'!$H175+175/100000,"")</f>
        <v/>
      </c>
    </row>
    <row r="176" ht="15" customHeight="1">
      <c r="T176">
        <f>IF(AND('Sprint Planning'!$H176&gt;=10,'Sprint Planning'!$H176&lt;=16),IFERROR(MATCH('Sprint Planning'!$C176,Roadmap!$A$4:$A$15,0),99)*100+'Sprint Planning'!$H176+176/100000,"")</f>
        <v/>
      </c>
    </row>
    <row r="177" ht="15" customHeight="1">
      <c r="T177">
        <f>IF(AND('Sprint Planning'!$H177&gt;=10,'Sprint Planning'!$H177&lt;=16),IFERROR(MATCH('Sprint Planning'!$C177,Roadmap!$A$4:$A$15,0),99)*100+'Sprint Planning'!$H177+177/100000,"")</f>
        <v/>
      </c>
    </row>
    <row r="178" ht="15" customHeight="1">
      <c r="T178">
        <f>IF(AND('Sprint Planning'!$H178&gt;=10,'Sprint Planning'!$H178&lt;=16),IFERROR(MATCH('Sprint Planning'!$C178,Roadmap!$A$4:$A$15,0),99)*100+'Sprint Planning'!$H178+178/100000,"")</f>
        <v/>
      </c>
    </row>
    <row r="179" ht="15" customHeight="1">
      <c r="T179">
        <f>IF(AND('Sprint Planning'!$H179&gt;=10,'Sprint Planning'!$H179&lt;=16),IFERROR(MATCH('Sprint Planning'!$C179,Roadmap!$A$4:$A$15,0),99)*100+'Sprint Planning'!$H179+179/100000,"")</f>
        <v/>
      </c>
    </row>
    <row r="180" ht="15" customHeight="1">
      <c r="T180">
        <f>IF(AND('Sprint Planning'!$H180&gt;=10,'Sprint Planning'!$H180&lt;=16),IFERROR(MATCH('Sprint Planning'!$C180,Roadmap!$A$4:$A$15,0),99)*100+'Sprint Planning'!$H180+180/100000,"")</f>
        <v/>
      </c>
    </row>
    <row r="181" ht="15" customHeight="1">
      <c r="T181">
        <f>IF(AND('Sprint Planning'!$H181&gt;=10,'Sprint Planning'!$H181&lt;=16),IFERROR(MATCH('Sprint Planning'!$C181,Roadmap!$A$4:$A$15,0),99)*100+'Sprint Planning'!$H181+181/100000,"")</f>
        <v/>
      </c>
    </row>
    <row r="182" ht="15" customHeight="1">
      <c r="T182">
        <f>IF(AND('Sprint Planning'!$H182&gt;=10,'Sprint Planning'!$H182&lt;=16),IFERROR(MATCH('Sprint Planning'!$C182,Roadmap!$A$4:$A$15,0),99)*100+'Sprint Planning'!$H182+182/100000,"")</f>
        <v/>
      </c>
    </row>
    <row r="183" ht="15" customHeight="1">
      <c r="T183">
        <f>IF(AND('Sprint Planning'!$H183&gt;=10,'Sprint Planning'!$H183&lt;=16),IFERROR(MATCH('Sprint Planning'!$C183,Roadmap!$A$4:$A$15,0),99)*100+'Sprint Planning'!$H183+183/100000,"")</f>
        <v/>
      </c>
    </row>
    <row r="184" ht="15" customHeight="1">
      <c r="T184">
        <f>IF(AND('Sprint Planning'!$H184&gt;=10,'Sprint Planning'!$H184&lt;=16),IFERROR(MATCH('Sprint Planning'!$C184,Roadmap!$A$4:$A$15,0),99)*100+'Sprint Planning'!$H184+184/100000,"")</f>
        <v/>
      </c>
    </row>
    <row r="185" ht="15" customHeight="1">
      <c r="T185">
        <f>IF(AND('Sprint Planning'!$H185&gt;=10,'Sprint Planning'!$H185&lt;=16),IFERROR(MATCH('Sprint Planning'!$C185,Roadmap!$A$4:$A$15,0),99)*100+'Sprint Planning'!$H185+185/100000,"")</f>
        <v/>
      </c>
    </row>
    <row r="186" ht="15" customHeight="1">
      <c r="T186">
        <f>IF(AND('Sprint Planning'!$H186&gt;=10,'Sprint Planning'!$H186&lt;=16),IFERROR(MATCH('Sprint Planning'!$C186,Roadmap!$A$4:$A$15,0),99)*100+'Sprint Planning'!$H186+186/100000,"")</f>
        <v/>
      </c>
    </row>
    <row r="187" ht="15" customHeight="1">
      <c r="T187">
        <f>IF(AND('Sprint Planning'!$H187&gt;=10,'Sprint Planning'!$H187&lt;=16),IFERROR(MATCH('Sprint Planning'!$C187,Roadmap!$A$4:$A$15,0),99)*100+'Sprint Planning'!$H187+187/100000,"")</f>
        <v/>
      </c>
    </row>
    <row r="188" ht="15" customHeight="1">
      <c r="T188">
        <f>IF(AND('Sprint Planning'!$H188&gt;=10,'Sprint Planning'!$H188&lt;=16),IFERROR(MATCH('Sprint Planning'!$C188,Roadmap!$A$4:$A$15,0),99)*100+'Sprint Planning'!$H188+188/100000,"")</f>
        <v/>
      </c>
    </row>
    <row r="189" ht="15" customHeight="1">
      <c r="T189">
        <f>IF(AND('Sprint Planning'!$H189&gt;=10,'Sprint Planning'!$H189&lt;=16),IFERROR(MATCH('Sprint Planning'!$C189,Roadmap!$A$4:$A$15,0),99)*100+'Sprint Planning'!$H189+189/100000,"")</f>
        <v/>
      </c>
    </row>
    <row r="190" ht="15" customHeight="1">
      <c r="T190">
        <f>IF(AND('Sprint Planning'!$H190&gt;=10,'Sprint Planning'!$H190&lt;=16),IFERROR(MATCH('Sprint Planning'!$C190,Roadmap!$A$4:$A$15,0),99)*100+'Sprint Planning'!$H190+190/100000,"")</f>
        <v/>
      </c>
    </row>
    <row r="191" ht="15" customHeight="1">
      <c r="T191">
        <f>IF(AND('Sprint Planning'!$H191&gt;=10,'Sprint Planning'!$H191&lt;=16),IFERROR(MATCH('Sprint Planning'!$C191,Roadmap!$A$4:$A$15,0),99)*100+'Sprint Planning'!$H191+191/100000,"")</f>
        <v/>
      </c>
    </row>
    <row r="192" ht="15" customHeight="1">
      <c r="T192">
        <f>IF(AND('Sprint Planning'!$H192&gt;=10,'Sprint Planning'!$H192&lt;=16),IFERROR(MATCH('Sprint Planning'!$C192,Roadmap!$A$4:$A$15,0),99)*100+'Sprint Planning'!$H192+192/100000,"")</f>
        <v/>
      </c>
    </row>
    <row r="193" ht="15" customHeight="1">
      <c r="T193">
        <f>IF(AND('Sprint Planning'!$H193&gt;=10,'Sprint Planning'!$H193&lt;=16),IFERROR(MATCH('Sprint Planning'!$C193,Roadmap!$A$4:$A$15,0),99)*100+'Sprint Planning'!$H193+193/100000,"")</f>
        <v/>
      </c>
    </row>
    <row r="194" ht="15" customHeight="1">
      <c r="T194">
        <f>IF(AND('Sprint Planning'!$H194&gt;=10,'Sprint Planning'!$H194&lt;=16),IFERROR(MATCH('Sprint Planning'!$C194,Roadmap!$A$4:$A$15,0),99)*100+'Sprint Planning'!$H194+194/100000,"")</f>
        <v/>
      </c>
    </row>
    <row r="195" ht="15" customHeight="1">
      <c r="T195">
        <f>IF(AND('Sprint Planning'!$H195&gt;=10,'Sprint Planning'!$H195&lt;=16),IFERROR(MATCH('Sprint Planning'!$C195,Roadmap!$A$4:$A$15,0),99)*100+'Sprint Planning'!$H195+195/100000,"")</f>
        <v/>
      </c>
    </row>
    <row r="196" ht="15" customHeight="1">
      <c r="T196">
        <f>IF(AND('Sprint Planning'!$H196&gt;=10,'Sprint Planning'!$H196&lt;=16),IFERROR(MATCH('Sprint Planning'!$C196,Roadmap!$A$4:$A$15,0),99)*100+'Sprint Planning'!$H196+196/100000,"")</f>
        <v/>
      </c>
    </row>
    <row r="197" ht="15" customHeight="1">
      <c r="T197">
        <f>IF(AND('Sprint Planning'!$H197&gt;=10,'Sprint Planning'!$H197&lt;=16),IFERROR(MATCH('Sprint Planning'!$C197,Roadmap!$A$4:$A$15,0),99)*100+'Sprint Planning'!$H197+197/100000,"")</f>
        <v/>
      </c>
    </row>
    <row r="198" ht="15" customHeight="1">
      <c r="T198">
        <f>IF(AND('Sprint Planning'!$H198&gt;=10,'Sprint Planning'!$H198&lt;=16),IFERROR(MATCH('Sprint Planning'!$C198,Roadmap!$A$4:$A$15,0),99)*100+'Sprint Planning'!$H198+198/100000,"")</f>
        <v/>
      </c>
    </row>
    <row r="199" ht="15" customHeight="1">
      <c r="T199">
        <f>IF(AND('Sprint Planning'!$H199&gt;=10,'Sprint Planning'!$H199&lt;=16),IFERROR(MATCH('Sprint Planning'!$C199,Roadmap!$A$4:$A$15,0),99)*100+'Sprint Planning'!$H199+199/100000,"")</f>
        <v/>
      </c>
    </row>
    <row r="200" ht="15" customHeight="1">
      <c r="T200">
        <f>IF(AND('Sprint Planning'!$H200&gt;=10,'Sprint Planning'!$H200&lt;=16),IFERROR(MATCH('Sprint Planning'!$C200,Roadmap!$A$4:$A$15,0),99)*100+'Sprint Planning'!$H200+200/100000,"")</f>
        <v/>
      </c>
    </row>
    <row r="201" ht="15" customHeight="1">
      <c r="T201">
        <f>IF(AND('Sprint Planning'!$H201&gt;=10,'Sprint Planning'!$H201&lt;=16),IFERROR(MATCH('Sprint Planning'!$C201,Roadmap!$A$4:$A$15,0),99)*100+'Sprint Planning'!$H201+201/100000,"")</f>
        <v/>
      </c>
    </row>
    <row r="202" ht="15" customHeight="1">
      <c r="T202">
        <f>IF(AND('Sprint Planning'!$H202&gt;=10,'Sprint Planning'!$H202&lt;=16),IFERROR(MATCH('Sprint Planning'!$C202,Roadmap!$A$4:$A$15,0),99)*100+'Sprint Planning'!$H202+202/100000,"")</f>
        <v/>
      </c>
    </row>
    <row r="203" ht="15" customHeight="1">
      <c r="T203">
        <f>IF(AND('Sprint Planning'!$H203&gt;=10,'Sprint Planning'!$H203&lt;=16),IFERROR(MATCH('Sprint Planning'!$C203,Roadmap!$A$4:$A$15,0),99)*100+'Sprint Planning'!$H203+203/100000,"")</f>
        <v/>
      </c>
    </row>
    <row r="204" ht="15" customHeight="1">
      <c r="T204">
        <f>IF(AND('Sprint Planning'!$H204&gt;=10,'Sprint Planning'!$H204&lt;=16),IFERROR(MATCH('Sprint Planning'!$C204,Roadmap!$A$4:$A$15,0),99)*100+'Sprint Planning'!$H204+204/100000,"")</f>
        <v/>
      </c>
    </row>
    <row r="205" ht="15" customHeight="1">
      <c r="T205">
        <f>IF(AND('Sprint Planning'!$H205&gt;=10,'Sprint Planning'!$H205&lt;=16),IFERROR(MATCH('Sprint Planning'!$C205,Roadmap!$A$4:$A$15,0),99)*100+'Sprint Planning'!$H205+205/100000,"")</f>
        <v/>
      </c>
    </row>
    <row r="206" ht="15" customHeight="1">
      <c r="T206">
        <f>IF(AND('Sprint Planning'!$H206&gt;=10,'Sprint Planning'!$H206&lt;=16),IFERROR(MATCH('Sprint Planning'!$C206,Roadmap!$A$4:$A$15,0),99)*100+'Sprint Planning'!$H206+206/100000,"")</f>
        <v/>
      </c>
    </row>
    <row r="207" ht="15" customHeight="1">
      <c r="T207">
        <f>IF(AND('Sprint Planning'!$H207&gt;=10,'Sprint Planning'!$H207&lt;=16),IFERROR(MATCH('Sprint Planning'!$C207,Roadmap!$A$4:$A$15,0),99)*100+'Sprint Planning'!$H207+207/100000,"")</f>
        <v/>
      </c>
    </row>
    <row r="208" ht="15" customHeight="1">
      <c r="T208">
        <f>IF(AND('Sprint Planning'!$H208&gt;=10,'Sprint Planning'!$H208&lt;=16),IFERROR(MATCH('Sprint Planning'!$C208,Roadmap!$A$4:$A$15,0),99)*100+'Sprint Planning'!$H208+208/100000,"")</f>
        <v/>
      </c>
    </row>
    <row r="209" ht="15" customHeight="1">
      <c r="T209">
        <f>IF(AND('Sprint Planning'!$H209&gt;=10,'Sprint Planning'!$H209&lt;=16),IFERROR(MATCH('Sprint Planning'!$C209,Roadmap!$A$4:$A$15,0),99)*100+'Sprint Planning'!$H209+209/100000,"")</f>
        <v/>
      </c>
    </row>
    <row r="210" ht="15" customHeight="1">
      <c r="T210">
        <f>IF(AND('Sprint Planning'!$H210&gt;=10,'Sprint Planning'!$H210&lt;=16),IFERROR(MATCH('Sprint Planning'!$C210,Roadmap!$A$4:$A$15,0),99)*100+'Sprint Planning'!$H210+210/100000,"")</f>
        <v/>
      </c>
    </row>
    <row r="211" ht="15" customHeight="1">
      <c r="T211">
        <f>IF(AND('Sprint Planning'!$H211&gt;=10,'Sprint Planning'!$H211&lt;=16),IFERROR(MATCH('Sprint Planning'!$C211,Roadmap!$A$4:$A$15,0),99)*100+'Sprint Planning'!$H211+211/100000,"")</f>
        <v/>
      </c>
    </row>
    <row r="212" ht="15" customHeight="1">
      <c r="T212">
        <f>IF(AND('Sprint Planning'!$H212&gt;=10,'Sprint Planning'!$H212&lt;=16),IFERROR(MATCH('Sprint Planning'!$C212,Roadmap!$A$4:$A$15,0),99)*100+'Sprint Planning'!$H212+212/100000,"")</f>
        <v/>
      </c>
    </row>
    <row r="213" ht="15" customHeight="1">
      <c r="T213">
        <f>IF(AND('Sprint Planning'!$H213&gt;=10,'Sprint Planning'!$H213&lt;=16),IFERROR(MATCH('Sprint Planning'!$C213,Roadmap!$A$4:$A$15,0),99)*100+'Sprint Planning'!$H213+213/100000,"")</f>
        <v/>
      </c>
    </row>
    <row r="214" ht="15" customHeight="1">
      <c r="T214">
        <f>IF(AND('Sprint Planning'!$H214&gt;=10,'Sprint Planning'!$H214&lt;=16),IFERROR(MATCH('Sprint Planning'!$C214,Roadmap!$A$4:$A$15,0),99)*100+'Sprint Planning'!$H214+214/100000,"")</f>
        <v/>
      </c>
    </row>
    <row r="215" ht="15" customHeight="1">
      <c r="T215">
        <f>IF(AND('Sprint Planning'!$H215&gt;=10,'Sprint Planning'!$H215&lt;=16),IFERROR(MATCH('Sprint Planning'!$C215,Roadmap!$A$4:$A$15,0),99)*100+'Sprint Planning'!$H215+215/100000,"")</f>
        <v/>
      </c>
    </row>
    <row r="216" ht="15" customHeight="1">
      <c r="T216">
        <f>IF(AND('Sprint Planning'!$H216&gt;=10,'Sprint Planning'!$H216&lt;=16),IFERROR(MATCH('Sprint Planning'!$C216,Roadmap!$A$4:$A$15,0),99)*100+'Sprint Planning'!$H216+216/100000,"")</f>
        <v/>
      </c>
    </row>
    <row r="217" ht="15" customHeight="1">
      <c r="T217">
        <f>IF(AND('Sprint Planning'!$H217&gt;=10,'Sprint Planning'!$H217&lt;=16),IFERROR(MATCH('Sprint Planning'!$C217,Roadmap!$A$4:$A$15,0),99)*100+'Sprint Planning'!$H217+217/100000,"")</f>
        <v/>
      </c>
    </row>
    <row r="218" ht="15" customHeight="1">
      <c r="T218">
        <f>IF(AND('Sprint Planning'!$H218&gt;=10,'Sprint Planning'!$H218&lt;=16),IFERROR(MATCH('Sprint Planning'!$C218,Roadmap!$A$4:$A$15,0),99)*100+'Sprint Planning'!$H218+218/100000,"")</f>
        <v/>
      </c>
    </row>
    <row r="219" ht="15" customHeight="1">
      <c r="T219">
        <f>IF(AND('Sprint Planning'!$H219&gt;=10,'Sprint Planning'!$H219&lt;=16),IFERROR(MATCH('Sprint Planning'!$C219,Roadmap!$A$4:$A$15,0),99)*100+'Sprint Planning'!$H219+219/100000,"")</f>
        <v/>
      </c>
    </row>
    <row r="220" ht="15" customHeight="1">
      <c r="T220">
        <f>IF(AND('Sprint Planning'!$H220&gt;=10,'Sprint Planning'!$H220&lt;=16),IFERROR(MATCH('Sprint Planning'!$C220,Roadmap!$A$4:$A$15,0),99)*100+'Sprint Planning'!$H220+220/100000,"")</f>
        <v/>
      </c>
    </row>
    <row r="221" ht="15" customHeight="1">
      <c r="T221">
        <f>IF(AND('Sprint Planning'!$H221&gt;=10,'Sprint Planning'!$H221&lt;=16),IFERROR(MATCH('Sprint Planning'!$C221,Roadmap!$A$4:$A$15,0),99)*100+'Sprint Planning'!$H221+221/100000,"")</f>
        <v/>
      </c>
    </row>
    <row r="222" ht="15" customHeight="1">
      <c r="T222">
        <f>IF(AND('Sprint Planning'!$H222&gt;=10,'Sprint Planning'!$H222&lt;=16),IFERROR(MATCH('Sprint Planning'!$C222,Roadmap!$A$4:$A$15,0),99)*100+'Sprint Planning'!$H222+222/100000,"")</f>
        <v/>
      </c>
    </row>
    <row r="223" ht="15" customHeight="1">
      <c r="T223">
        <f>IF(AND('Sprint Planning'!$H223&gt;=10,'Sprint Planning'!$H223&lt;=16),IFERROR(MATCH('Sprint Planning'!$C223,Roadmap!$A$4:$A$15,0),99)*100+'Sprint Planning'!$H223+223/100000,"")</f>
        <v/>
      </c>
    </row>
    <row r="224" ht="15" customHeight="1">
      <c r="T224">
        <f>IF(AND('Sprint Planning'!$H224&gt;=10,'Sprint Planning'!$H224&lt;=16),IFERROR(MATCH('Sprint Planning'!$C224,Roadmap!$A$4:$A$15,0),99)*100+'Sprint Planning'!$H224+224/100000,"")</f>
        <v/>
      </c>
    </row>
    <row r="225" ht="15" customHeight="1">
      <c r="T225">
        <f>IF(AND('Sprint Planning'!$H225&gt;=10,'Sprint Planning'!$H225&lt;=16),IFERROR(MATCH('Sprint Planning'!$C225,Roadmap!$A$4:$A$15,0),99)*100+'Sprint Planning'!$H225+225/100000,"")</f>
        <v/>
      </c>
    </row>
    <row r="226" ht="15" customHeight="1">
      <c r="T226">
        <f>IF(AND('Sprint Planning'!$H226&gt;=10,'Sprint Planning'!$H226&lt;=16),IFERROR(MATCH('Sprint Planning'!$C226,Roadmap!$A$4:$A$15,0),99)*100+'Sprint Planning'!$H226+226/100000,"")</f>
        <v/>
      </c>
    </row>
    <row r="227" ht="15" customHeight="1">
      <c r="T227">
        <f>IF(AND('Sprint Planning'!$H227&gt;=10,'Sprint Planning'!$H227&lt;=16),IFERROR(MATCH('Sprint Planning'!$C227,Roadmap!$A$4:$A$15,0),99)*100+'Sprint Planning'!$H227+227/100000,"")</f>
        <v/>
      </c>
    </row>
    <row r="228" ht="15" customHeight="1">
      <c r="T228">
        <f>IF(AND('Sprint Planning'!$H228&gt;=10,'Sprint Planning'!$H228&lt;=16),IFERROR(MATCH('Sprint Planning'!$C228,Roadmap!$A$4:$A$15,0),99)*100+'Sprint Planning'!$H228+228/100000,"")</f>
        <v/>
      </c>
    </row>
    <row r="229" ht="15" customHeight="1">
      <c r="T229">
        <f>IF(AND('Sprint Planning'!$H229&gt;=10,'Sprint Planning'!$H229&lt;=16),IFERROR(MATCH('Sprint Planning'!$C229,Roadmap!$A$4:$A$15,0),99)*100+'Sprint Planning'!$H229+229/100000,"")</f>
        <v/>
      </c>
    </row>
    <row r="230" ht="15" customHeight="1">
      <c r="T230">
        <f>IF(AND('Sprint Planning'!$H230&gt;=10,'Sprint Planning'!$H230&lt;=16),IFERROR(MATCH('Sprint Planning'!$C230,Roadmap!$A$4:$A$15,0),99)*100+'Sprint Planning'!$H230+230/100000,"")</f>
        <v/>
      </c>
    </row>
    <row r="231" ht="15" customHeight="1">
      <c r="T231">
        <f>IF(AND('Sprint Planning'!$H231&gt;=10,'Sprint Planning'!$H231&lt;=16),IFERROR(MATCH('Sprint Planning'!$C231,Roadmap!$A$4:$A$15,0),99)*100+'Sprint Planning'!$H231+231/100000,"")</f>
        <v/>
      </c>
    </row>
    <row r="232" ht="15" customHeight="1">
      <c r="T232">
        <f>IF(AND('Sprint Planning'!$H232&gt;=10,'Sprint Planning'!$H232&lt;=16),IFERROR(MATCH('Sprint Planning'!$C232,Roadmap!$A$4:$A$15,0),99)*100+'Sprint Planning'!$H232+232/100000,"")</f>
        <v/>
      </c>
    </row>
    <row r="233" ht="15" customHeight="1">
      <c r="T233">
        <f>IF(AND('Sprint Planning'!$H233&gt;=10,'Sprint Planning'!$H233&lt;=16),IFERROR(MATCH('Sprint Planning'!$C233,Roadmap!$A$4:$A$15,0),99)*100+'Sprint Planning'!$H233+233/100000,"")</f>
        <v/>
      </c>
    </row>
    <row r="234" ht="15" customHeight="1">
      <c r="T234">
        <f>IF(AND('Sprint Planning'!$H234&gt;=10,'Sprint Planning'!$H234&lt;=16),IFERROR(MATCH('Sprint Planning'!$C234,Roadmap!$A$4:$A$15,0),99)*100+'Sprint Planning'!$H234+234/100000,"")</f>
        <v/>
      </c>
    </row>
    <row r="235" ht="15" customHeight="1">
      <c r="T235">
        <f>IF(AND('Sprint Planning'!$H235&gt;=10,'Sprint Planning'!$H235&lt;=16),IFERROR(MATCH('Sprint Planning'!$C235,Roadmap!$A$4:$A$15,0),99)*100+'Sprint Planning'!$H235+235/100000,"")</f>
        <v/>
      </c>
    </row>
    <row r="236" ht="15" customHeight="1">
      <c r="T236">
        <f>IF(AND('Sprint Planning'!$H236&gt;=10,'Sprint Planning'!$H236&lt;=16),IFERROR(MATCH('Sprint Planning'!$C236,Roadmap!$A$4:$A$15,0),99)*100+'Sprint Planning'!$H236+236/100000,"")</f>
        <v/>
      </c>
    </row>
    <row r="237" ht="15" customHeight="1">
      <c r="T237">
        <f>IF(AND('Sprint Planning'!$H237&gt;=10,'Sprint Planning'!$H237&lt;=16),IFERROR(MATCH('Sprint Planning'!$C237,Roadmap!$A$4:$A$15,0),99)*100+'Sprint Planning'!$H237+237/100000,"")</f>
        <v/>
      </c>
    </row>
    <row r="238" ht="15" customHeight="1">
      <c r="T238">
        <f>IF(AND('Sprint Planning'!$H238&gt;=10,'Sprint Planning'!$H238&lt;=16),IFERROR(MATCH('Sprint Planning'!$C238,Roadmap!$A$4:$A$15,0),99)*100+'Sprint Planning'!$H238+238/100000,"")</f>
        <v/>
      </c>
    </row>
    <row r="239" ht="15" customHeight="1">
      <c r="T239">
        <f>IF(AND('Sprint Planning'!$H239&gt;=10,'Sprint Planning'!$H239&lt;=16),IFERROR(MATCH('Sprint Planning'!$C239,Roadmap!$A$4:$A$15,0),99)*100+'Sprint Planning'!$H239+239/100000,"")</f>
        <v/>
      </c>
    </row>
    <row r="240" ht="15" customHeight="1">
      <c r="T240">
        <f>IF(AND('Sprint Planning'!$H240&gt;=10,'Sprint Planning'!$H240&lt;=16),IFERROR(MATCH('Sprint Planning'!$C240,Roadmap!$A$4:$A$15,0),99)*100+'Sprint Planning'!$H240+240/100000,"")</f>
        <v/>
      </c>
    </row>
    <row r="241" ht="15" customHeight="1">
      <c r="T241">
        <f>IF(AND('Sprint Planning'!$H241&gt;=10,'Sprint Planning'!$H241&lt;=16),IFERROR(MATCH('Sprint Planning'!$C241,Roadmap!$A$4:$A$15,0),99)*100+'Sprint Planning'!$H241+241/100000,"")</f>
        <v/>
      </c>
    </row>
    <row r="242" ht="15" customHeight="1">
      <c r="T242">
        <f>IF(AND('Sprint Planning'!$H242&gt;=10,'Sprint Planning'!$H242&lt;=16),IFERROR(MATCH('Sprint Planning'!$C242,Roadmap!$A$4:$A$15,0),99)*100+'Sprint Planning'!$H242+242/100000,"")</f>
        <v/>
      </c>
    </row>
    <row r="243" ht="15" customHeight="1">
      <c r="T243">
        <f>IF(AND('Sprint Planning'!$H243&gt;=10,'Sprint Planning'!$H243&lt;=16),IFERROR(MATCH('Sprint Planning'!$C243,Roadmap!$A$4:$A$15,0),99)*100+'Sprint Planning'!$H243+243/100000,"")</f>
        <v/>
      </c>
    </row>
    <row r="244" ht="15" customHeight="1">
      <c r="T244">
        <f>IF(AND('Sprint Planning'!$H244&gt;=10,'Sprint Planning'!$H244&lt;=16),IFERROR(MATCH('Sprint Planning'!$C244,Roadmap!$A$4:$A$15,0),99)*100+'Sprint Planning'!$H244+244/100000,"")</f>
        <v/>
      </c>
    </row>
    <row r="245" ht="15" customHeight="1">
      <c r="T245">
        <f>IF(AND('Sprint Planning'!$H245&gt;=10,'Sprint Planning'!$H245&lt;=16),IFERROR(MATCH('Sprint Planning'!$C245,Roadmap!$A$4:$A$15,0),99)*100+'Sprint Planning'!$H245+245/100000,"")</f>
        <v/>
      </c>
    </row>
    <row r="246" ht="15" customHeight="1">
      <c r="T246">
        <f>IF(AND('Sprint Planning'!$H246&gt;=10,'Sprint Planning'!$H246&lt;=16),IFERROR(MATCH('Sprint Planning'!$C246,Roadmap!$A$4:$A$15,0),99)*100+'Sprint Planning'!$H246+246/100000,"")</f>
        <v/>
      </c>
    </row>
    <row r="247" ht="15" customHeight="1">
      <c r="T247">
        <f>IF(AND('Sprint Planning'!$H247&gt;=10,'Sprint Planning'!$H247&lt;=16),IFERROR(MATCH('Sprint Planning'!$C247,Roadmap!$A$4:$A$15,0),99)*100+'Sprint Planning'!$H247+247/100000,"")</f>
        <v/>
      </c>
    </row>
    <row r="248" ht="15" customHeight="1">
      <c r="T248">
        <f>IF(AND('Sprint Planning'!$H248&gt;=10,'Sprint Planning'!$H248&lt;=16),IFERROR(MATCH('Sprint Planning'!$C248,Roadmap!$A$4:$A$15,0),99)*100+'Sprint Planning'!$H248+248/100000,"")</f>
        <v/>
      </c>
    </row>
    <row r="249" ht="15" customHeight="1">
      <c r="T249">
        <f>IF(AND('Sprint Planning'!$H249&gt;=10,'Sprint Planning'!$H249&lt;=16),IFERROR(MATCH('Sprint Planning'!$C249,Roadmap!$A$4:$A$15,0),99)*100+'Sprint Planning'!$H249+249/100000,"")</f>
        <v/>
      </c>
    </row>
    <row r="250" ht="15" customHeight="1">
      <c r="T250">
        <f>IF(AND('Sprint Planning'!$H250&gt;=10,'Sprint Planning'!$H250&lt;=16),IFERROR(MATCH('Sprint Planning'!$C250,Roadmap!$A$4:$A$15,0),99)*100+'Sprint Planning'!$H250+250/100000,"")</f>
        <v/>
      </c>
    </row>
    <row r="251" ht="15" customHeight="1">
      <c r="T251">
        <f>IF(AND('Sprint Planning'!$H251&gt;=10,'Sprint Planning'!$H251&lt;=16),IFERROR(MATCH('Sprint Planning'!$C251,Roadmap!$A$4:$A$15,0),99)*100+'Sprint Planning'!$H251+251/100000,"")</f>
        <v/>
      </c>
    </row>
    <row r="252" ht="15" customHeight="1">
      <c r="T252">
        <f>IF(AND('Sprint Planning'!$H252&gt;=10,'Sprint Planning'!$H252&lt;=16),IFERROR(MATCH('Sprint Planning'!$C252,Roadmap!$A$4:$A$15,0),99)*100+'Sprint Planning'!$H252+252/100000,"")</f>
        <v/>
      </c>
    </row>
    <row r="253" ht="15" customHeight="1">
      <c r="T253">
        <f>IF(AND('Sprint Planning'!$H253&gt;=10,'Sprint Planning'!$H253&lt;=16),IFERROR(MATCH('Sprint Planning'!$C253,Roadmap!$A$4:$A$15,0),99)*100+'Sprint Planning'!$H253+253/100000,"")</f>
        <v/>
      </c>
    </row>
    <row r="254" ht="15" customHeight="1">
      <c r="T254">
        <f>IF(AND('Sprint Planning'!$H254&gt;=10,'Sprint Planning'!$H254&lt;=16),IFERROR(MATCH('Sprint Planning'!$C254,Roadmap!$A$4:$A$15,0),99)*100+'Sprint Planning'!$H254+254/100000,"")</f>
        <v/>
      </c>
    </row>
    <row r="255" ht="15" customHeight="1">
      <c r="T255">
        <f>IF(AND('Sprint Planning'!$H255&gt;=10,'Sprint Planning'!$H255&lt;=16),IFERROR(MATCH('Sprint Planning'!$C255,Roadmap!$A$4:$A$15,0),99)*100+'Sprint Planning'!$H255+255/100000,"")</f>
        <v/>
      </c>
    </row>
    <row r="256" ht="15" customHeight="1">
      <c r="T256">
        <f>IF(AND('Sprint Planning'!$H256&gt;=10,'Sprint Planning'!$H256&lt;=16),IFERROR(MATCH('Sprint Planning'!$C256,Roadmap!$A$4:$A$15,0),99)*100+'Sprint Planning'!$H256+256/100000,"")</f>
        <v/>
      </c>
    </row>
    <row r="257" ht="15" customHeight="1">
      <c r="T257">
        <f>IF(AND('Sprint Planning'!$H257&gt;=10,'Sprint Planning'!$H257&lt;=16),IFERROR(MATCH('Sprint Planning'!$C257,Roadmap!$A$4:$A$15,0),99)*100+'Sprint Planning'!$H257+257/100000,"")</f>
        <v/>
      </c>
    </row>
    <row r="258" ht="15" customHeight="1">
      <c r="T258">
        <f>IF(AND('Sprint Planning'!$H258&gt;=10,'Sprint Planning'!$H258&lt;=16),IFERROR(MATCH('Sprint Planning'!$C258,Roadmap!$A$4:$A$15,0),99)*100+'Sprint Planning'!$H258+258/100000,"")</f>
        <v/>
      </c>
    </row>
    <row r="259" ht="15" customHeight="1">
      <c r="T259">
        <f>IF(AND('Sprint Planning'!$H259&gt;=10,'Sprint Planning'!$H259&lt;=16),IFERROR(MATCH('Sprint Planning'!$C259,Roadmap!$A$4:$A$15,0),99)*100+'Sprint Planning'!$H259+259/100000,"")</f>
        <v/>
      </c>
    </row>
    <row r="260" ht="15" customHeight="1">
      <c r="T260">
        <f>IF(AND('Sprint Planning'!$H260&gt;=10,'Sprint Planning'!$H260&lt;=16),IFERROR(MATCH('Sprint Planning'!$C260,Roadmap!$A$4:$A$15,0),99)*100+'Sprint Planning'!$H260+260/100000,"")</f>
        <v/>
      </c>
    </row>
    <row r="261" ht="15" customHeight="1">
      <c r="T261">
        <f>IF(AND('Sprint Planning'!$H261&gt;=10,'Sprint Planning'!$H261&lt;=16),IFERROR(MATCH('Sprint Planning'!$C261,Roadmap!$A$4:$A$15,0),99)*100+'Sprint Planning'!$H261+261/100000,"")</f>
        <v/>
      </c>
    </row>
    <row r="262" ht="15" customHeight="1">
      <c r="T262">
        <f>IF(AND('Sprint Planning'!$H262&gt;=10,'Sprint Planning'!$H262&lt;=16),IFERROR(MATCH('Sprint Planning'!$C262,Roadmap!$A$4:$A$15,0),99)*100+'Sprint Planning'!$H262+262/100000,"")</f>
        <v/>
      </c>
    </row>
    <row r="263" ht="15" customHeight="1">
      <c r="T263">
        <f>IF(AND('Sprint Planning'!$H263&gt;=10,'Sprint Planning'!$H263&lt;=16),IFERROR(MATCH('Sprint Planning'!$C263,Roadmap!$A$4:$A$15,0),99)*100+'Sprint Planning'!$H263+263/100000,"")</f>
        <v/>
      </c>
    </row>
    <row r="264" ht="15" customHeight="1">
      <c r="T264">
        <f>IF(AND('Sprint Planning'!$H264&gt;=10,'Sprint Planning'!$H264&lt;=16),IFERROR(MATCH('Sprint Planning'!$C264,Roadmap!$A$4:$A$15,0),99)*100+'Sprint Planning'!$H264+264/100000,"")</f>
        <v/>
      </c>
    </row>
    <row r="265" ht="15" customHeight="1">
      <c r="T265">
        <f>IF(AND('Sprint Planning'!$H265&gt;=10,'Sprint Planning'!$H265&lt;=16),IFERROR(MATCH('Sprint Planning'!$C265,Roadmap!$A$4:$A$15,0),99)*100+'Sprint Planning'!$H265+265/100000,"")</f>
        <v/>
      </c>
    </row>
    <row r="266" ht="15" customHeight="1">
      <c r="T266">
        <f>IF(AND('Sprint Planning'!$H266&gt;=10,'Sprint Planning'!$H266&lt;=16),IFERROR(MATCH('Sprint Planning'!$C266,Roadmap!$A$4:$A$15,0),99)*100+'Sprint Planning'!$H266+266/100000,"")</f>
        <v/>
      </c>
    </row>
    <row r="267" ht="15" customHeight="1">
      <c r="T267">
        <f>IF(AND('Sprint Planning'!$H267&gt;=10,'Sprint Planning'!$H267&lt;=16),IFERROR(MATCH('Sprint Planning'!$C267,Roadmap!$A$4:$A$15,0),99)*100+'Sprint Planning'!$H267+267/100000,"")</f>
        <v/>
      </c>
    </row>
    <row r="268" ht="15" customHeight="1">
      <c r="T268">
        <f>IF(AND('Sprint Planning'!$H268&gt;=10,'Sprint Planning'!$H268&lt;=16),IFERROR(MATCH('Sprint Planning'!$C268,Roadmap!$A$4:$A$15,0),99)*100+'Sprint Planning'!$H268+268/100000,"")</f>
        <v/>
      </c>
    </row>
    <row r="269" ht="15" customHeight="1">
      <c r="T269">
        <f>IF(AND('Sprint Planning'!$H269&gt;=10,'Sprint Planning'!$H269&lt;=16),IFERROR(MATCH('Sprint Planning'!$C269,Roadmap!$A$4:$A$15,0),99)*100+'Sprint Planning'!$H269+269/100000,"")</f>
        <v/>
      </c>
    </row>
    <row r="270" ht="15" customHeight="1">
      <c r="T270">
        <f>IF(AND('Sprint Planning'!$H270&gt;=10,'Sprint Planning'!$H270&lt;=16),IFERROR(MATCH('Sprint Planning'!$C270,Roadmap!$A$4:$A$15,0),99)*100+'Sprint Planning'!$H270+270/100000,"")</f>
        <v/>
      </c>
    </row>
    <row r="271" ht="15" customHeight="1">
      <c r="T271">
        <f>IF(AND('Sprint Planning'!$H271&gt;=10,'Sprint Planning'!$H271&lt;=16),IFERROR(MATCH('Sprint Planning'!$C271,Roadmap!$A$4:$A$15,0),99)*100+'Sprint Planning'!$H271+271/100000,"")</f>
        <v/>
      </c>
    </row>
    <row r="272" ht="15" customHeight="1">
      <c r="T272">
        <f>IF(AND('Sprint Planning'!$H272&gt;=10,'Sprint Planning'!$H272&lt;=16),IFERROR(MATCH('Sprint Planning'!$C272,Roadmap!$A$4:$A$15,0),99)*100+'Sprint Planning'!$H272+272/100000,"")</f>
        <v/>
      </c>
    </row>
    <row r="273" ht="15" customHeight="1">
      <c r="T273">
        <f>IF(AND('Sprint Planning'!$H273&gt;=10,'Sprint Planning'!$H273&lt;=16),IFERROR(MATCH('Sprint Planning'!$C273,Roadmap!$A$4:$A$15,0),99)*100+'Sprint Planning'!$H273+273/100000,"")</f>
        <v/>
      </c>
    </row>
    <row r="274" ht="15" customHeight="1">
      <c r="T274">
        <f>IF(AND('Sprint Planning'!$H274&gt;=10,'Sprint Planning'!$H274&lt;=16),IFERROR(MATCH('Sprint Planning'!$C274,Roadmap!$A$4:$A$15,0),99)*100+'Sprint Planning'!$H274+274/100000,"")</f>
        <v/>
      </c>
    </row>
    <row r="275" ht="15" customHeight="1">
      <c r="T275">
        <f>IF(AND('Sprint Planning'!$H275&gt;=10,'Sprint Planning'!$H275&lt;=16),IFERROR(MATCH('Sprint Planning'!$C275,Roadmap!$A$4:$A$15,0),99)*100+'Sprint Planning'!$H275+275/100000,"")</f>
        <v/>
      </c>
    </row>
    <row r="276" ht="15" customHeight="1">
      <c r="T276">
        <f>IF(AND('Sprint Planning'!$H276&gt;=10,'Sprint Planning'!$H276&lt;=16),IFERROR(MATCH('Sprint Planning'!$C276,Roadmap!$A$4:$A$15,0),99)*100+'Sprint Planning'!$H276+276/100000,"")</f>
        <v/>
      </c>
    </row>
    <row r="277" ht="15" customHeight="1">
      <c r="T277">
        <f>IF(AND('Sprint Planning'!$H277&gt;=10,'Sprint Planning'!$H277&lt;=16),IFERROR(MATCH('Sprint Planning'!$C277,Roadmap!$A$4:$A$15,0),99)*100+'Sprint Planning'!$H277+277/100000,"")</f>
        <v/>
      </c>
    </row>
    <row r="278" ht="15" customHeight="1">
      <c r="T278">
        <f>IF(AND('Sprint Planning'!$H278&gt;=10,'Sprint Planning'!$H278&lt;=16),IFERROR(MATCH('Sprint Planning'!$C278,Roadmap!$A$4:$A$15,0),99)*100+'Sprint Planning'!$H278+278/100000,"")</f>
        <v/>
      </c>
    </row>
    <row r="279" ht="15" customHeight="1">
      <c r="T279">
        <f>IF(AND('Sprint Planning'!$H279&gt;=10,'Sprint Planning'!$H279&lt;=16),IFERROR(MATCH('Sprint Planning'!$C279,Roadmap!$A$4:$A$15,0),99)*100+'Sprint Planning'!$H279+279/100000,"")</f>
        <v/>
      </c>
    </row>
    <row r="280" ht="15" customHeight="1">
      <c r="T280">
        <f>IF(AND('Sprint Planning'!$H280&gt;=10,'Sprint Planning'!$H280&lt;=16),IFERROR(MATCH('Sprint Planning'!$C280,Roadmap!$A$4:$A$15,0),99)*100+'Sprint Planning'!$H280+280/100000,"")</f>
        <v/>
      </c>
    </row>
    <row r="281" ht="15" customHeight="1">
      <c r="T281">
        <f>IF(AND('Sprint Planning'!$H281&gt;=10,'Sprint Planning'!$H281&lt;=16),IFERROR(MATCH('Sprint Planning'!$C281,Roadmap!$A$4:$A$15,0),99)*100+'Sprint Planning'!$H281+281/100000,"")</f>
        <v/>
      </c>
    </row>
    <row r="282" ht="15" customHeight="1">
      <c r="T282">
        <f>IF(AND('Sprint Planning'!$H282&gt;=10,'Sprint Planning'!$H282&lt;=16),IFERROR(MATCH('Sprint Planning'!$C282,Roadmap!$A$4:$A$15,0),99)*100+'Sprint Planning'!$H282+282/100000,"")</f>
        <v/>
      </c>
    </row>
    <row r="283" ht="15" customHeight="1">
      <c r="T283">
        <f>IF(AND('Sprint Planning'!$H283&gt;=10,'Sprint Planning'!$H283&lt;=16),IFERROR(MATCH('Sprint Planning'!$C283,Roadmap!$A$4:$A$15,0),99)*100+'Sprint Planning'!$H283+283/100000,"")</f>
        <v/>
      </c>
    </row>
    <row r="284" ht="15" customHeight="1">
      <c r="T284">
        <f>IF(AND('Sprint Planning'!$H284&gt;=10,'Sprint Planning'!$H284&lt;=16),IFERROR(MATCH('Sprint Planning'!$C284,Roadmap!$A$4:$A$15,0),99)*100+'Sprint Planning'!$H284+284/100000,"")</f>
        <v/>
      </c>
    </row>
    <row r="285" ht="15" customHeight="1">
      <c r="T285">
        <f>IF(AND('Sprint Planning'!$H285&gt;=10,'Sprint Planning'!$H285&lt;=16),IFERROR(MATCH('Sprint Planning'!$C285,Roadmap!$A$4:$A$15,0),99)*100+'Sprint Planning'!$H285+285/100000,"")</f>
        <v/>
      </c>
    </row>
    <row r="286" ht="15" customHeight="1">
      <c r="T286">
        <f>IF(AND('Sprint Planning'!$H286&gt;=10,'Sprint Planning'!$H286&lt;=16),IFERROR(MATCH('Sprint Planning'!$C286,Roadmap!$A$4:$A$15,0),99)*100+'Sprint Planning'!$H286+286/100000,"")</f>
        <v/>
      </c>
    </row>
    <row r="287" ht="15" customHeight="1">
      <c r="T287">
        <f>IF(AND('Sprint Planning'!$H287&gt;=10,'Sprint Planning'!$H287&lt;=16),IFERROR(MATCH('Sprint Planning'!$C287,Roadmap!$A$4:$A$15,0),99)*100+'Sprint Planning'!$H287+287/100000,"")</f>
        <v/>
      </c>
    </row>
    <row r="288" ht="15" customHeight="1">
      <c r="T288">
        <f>IF(AND('Sprint Planning'!$H288&gt;=10,'Sprint Planning'!$H288&lt;=16),IFERROR(MATCH('Sprint Planning'!$C288,Roadmap!$A$4:$A$15,0),99)*100+'Sprint Planning'!$H288+288/100000,"")</f>
        <v/>
      </c>
    </row>
    <row r="289" ht="15" customHeight="1">
      <c r="T289">
        <f>IF(AND('Sprint Planning'!$H289&gt;=10,'Sprint Planning'!$H289&lt;=16),IFERROR(MATCH('Sprint Planning'!$C289,Roadmap!$A$4:$A$15,0),99)*100+'Sprint Planning'!$H289+289/100000,"")</f>
        <v/>
      </c>
    </row>
    <row r="290" ht="15" customHeight="1">
      <c r="T290">
        <f>IF(AND('Sprint Planning'!$H290&gt;=10,'Sprint Planning'!$H290&lt;=16),IFERROR(MATCH('Sprint Planning'!$C290,Roadmap!$A$4:$A$15,0),99)*100+'Sprint Planning'!$H290+290/100000,"")</f>
        <v/>
      </c>
    </row>
    <row r="291" ht="15" customHeight="1">
      <c r="T291">
        <f>IF(AND('Sprint Planning'!$H291&gt;=10,'Sprint Planning'!$H291&lt;=16),IFERROR(MATCH('Sprint Planning'!$C291,Roadmap!$A$4:$A$15,0),99)*100+'Sprint Planning'!$H291+291/100000,"")</f>
        <v/>
      </c>
    </row>
    <row r="292" ht="15" customHeight="1">
      <c r="T292">
        <f>IF(AND('Sprint Planning'!$H292&gt;=10,'Sprint Planning'!$H292&lt;=16),IFERROR(MATCH('Sprint Planning'!$C292,Roadmap!$A$4:$A$15,0),99)*100+'Sprint Planning'!$H292+292/100000,"")</f>
        <v/>
      </c>
    </row>
    <row r="293" ht="15" customHeight="1">
      <c r="T293">
        <f>IF(AND('Sprint Planning'!$H293&gt;=10,'Sprint Planning'!$H293&lt;=16),IFERROR(MATCH('Sprint Planning'!$C293,Roadmap!$A$4:$A$15,0),99)*100+'Sprint Planning'!$H293+293/100000,"")</f>
        <v/>
      </c>
    </row>
    <row r="294" ht="15" customHeight="1">
      <c r="T294">
        <f>IF(AND('Sprint Planning'!$H294&gt;=10,'Sprint Planning'!$H294&lt;=16),IFERROR(MATCH('Sprint Planning'!$C294,Roadmap!$A$4:$A$15,0),99)*100+'Sprint Planning'!$H294+294/100000,"")</f>
        <v/>
      </c>
    </row>
    <row r="295" ht="15" customHeight="1">
      <c r="T295">
        <f>IF(AND('Sprint Planning'!$H295&gt;=10,'Sprint Planning'!$H295&lt;=16),IFERROR(MATCH('Sprint Planning'!$C295,Roadmap!$A$4:$A$15,0),99)*100+'Sprint Planning'!$H295+295/100000,"")</f>
        <v/>
      </c>
    </row>
    <row r="296" ht="15" customHeight="1">
      <c r="T296">
        <f>IF(AND('Sprint Planning'!$H296&gt;=10,'Sprint Planning'!$H296&lt;=16),IFERROR(MATCH('Sprint Planning'!$C296,Roadmap!$A$4:$A$15,0),99)*100+'Sprint Planning'!$H296+296/100000,"")</f>
        <v/>
      </c>
    </row>
    <row r="297" ht="15" customHeight="1">
      <c r="T297">
        <f>IF(AND('Sprint Planning'!$H297&gt;=10,'Sprint Planning'!$H297&lt;=16),IFERROR(MATCH('Sprint Planning'!$C297,Roadmap!$A$4:$A$15,0),99)*100+'Sprint Planning'!$H297+297/100000,"")</f>
        <v/>
      </c>
    </row>
    <row r="298" ht="15" customHeight="1">
      <c r="T298">
        <f>IF(AND('Sprint Planning'!$H298&gt;=10,'Sprint Planning'!$H298&lt;=16),IFERROR(MATCH('Sprint Planning'!$C298,Roadmap!$A$4:$A$15,0),99)*100+'Sprint Planning'!$H298+298/100000,"")</f>
        <v/>
      </c>
    </row>
    <row r="299" ht="15" customHeight="1">
      <c r="T299">
        <f>IF(AND('Sprint Planning'!$H299&gt;=10,'Sprint Planning'!$H299&lt;=16),IFERROR(MATCH('Sprint Planning'!$C299,Roadmap!$A$4:$A$15,0),99)*100+'Sprint Planning'!$H299+299/100000,"")</f>
        <v/>
      </c>
    </row>
    <row r="300" ht="15" customHeight="1">
      <c r="T300">
        <f>IF(AND('Sprint Planning'!$H300&gt;=10,'Sprint Planning'!$H300&lt;=16),IFERROR(MATCH('Sprint Planning'!$C300,Roadmap!$A$4:$A$15,0),99)*100+'Sprint Planning'!$H300+300/100000,"")</f>
        <v/>
      </c>
    </row>
    <row r="301" ht="15" customHeight="1">
      <c r="T301">
        <f>IF(AND('Sprint Planning'!$H301&gt;=10,'Sprint Planning'!$H301&lt;=16),IFERROR(MATCH('Sprint Planning'!$C301,Roadmap!$A$4:$A$15,0),99)*100+'Sprint Planning'!$H301+301/100000,"")</f>
        <v/>
      </c>
    </row>
    <row r="302" ht="15" customHeight="1">
      <c r="T302">
        <f>IF(AND('Sprint Planning'!$H302&gt;=10,'Sprint Planning'!$H302&lt;=16),IFERROR(MATCH('Sprint Planning'!$C302,Roadmap!$A$4:$A$15,0),99)*100+'Sprint Planning'!$H302+302/100000,"")</f>
        <v/>
      </c>
    </row>
    <row r="303" ht="15" customHeight="1">
      <c r="T303">
        <f>IF(AND('Sprint Planning'!$H303&gt;=10,'Sprint Planning'!$H303&lt;=16),IFERROR(MATCH('Sprint Planning'!$C303,Roadmap!$A$4:$A$15,0),99)*100+'Sprint Planning'!$H303+303/100000,"")</f>
        <v/>
      </c>
    </row>
    <row r="304" ht="15" customHeight="1">
      <c r="T304">
        <f>IF(AND('Sprint Planning'!$H304&gt;=10,'Sprint Planning'!$H304&lt;=16),IFERROR(MATCH('Sprint Planning'!$C304,Roadmap!$A$4:$A$15,0),99)*100+'Sprint Planning'!$H304+304/100000,"")</f>
        <v/>
      </c>
    </row>
    <row r="305" ht="15" customHeight="1">
      <c r="T305">
        <f>IF(AND('Sprint Planning'!$H305&gt;=10,'Sprint Planning'!$H305&lt;=16),IFERROR(MATCH('Sprint Planning'!$C305,Roadmap!$A$4:$A$15,0),99)*100+'Sprint Planning'!$H305+305/100000,"")</f>
        <v/>
      </c>
    </row>
    <row r="306" ht="15" customHeight="1">
      <c r="T306">
        <f>IF(AND('Sprint Planning'!$H306&gt;=10,'Sprint Planning'!$H306&lt;=16),IFERROR(MATCH('Sprint Planning'!$C306,Roadmap!$A$4:$A$15,0),99)*100+'Sprint Planning'!$H306+306/100000,"")</f>
        <v/>
      </c>
    </row>
    <row r="307" ht="15" customHeight="1">
      <c r="T307">
        <f>IF(AND('Sprint Planning'!$H307&gt;=10,'Sprint Planning'!$H307&lt;=16),IFERROR(MATCH('Sprint Planning'!$C307,Roadmap!$A$4:$A$15,0),99)*100+'Sprint Planning'!$H307+307/100000,"")</f>
        <v/>
      </c>
    </row>
    <row r="308" ht="15" customHeight="1">
      <c r="T308">
        <f>IF(AND('Sprint Planning'!$H308&gt;=10,'Sprint Planning'!$H308&lt;=16),IFERROR(MATCH('Sprint Planning'!$C308,Roadmap!$A$4:$A$15,0),99)*100+'Sprint Planning'!$H308+308/100000,"")</f>
        <v/>
      </c>
    </row>
    <row r="309" ht="15" customHeight="1">
      <c r="T309">
        <f>IF(AND('Sprint Planning'!$H309&gt;=10,'Sprint Planning'!$H309&lt;=16),IFERROR(MATCH('Sprint Planning'!$C309,Roadmap!$A$4:$A$15,0),99)*100+'Sprint Planning'!$H309+309/100000,"")</f>
        <v/>
      </c>
    </row>
    <row r="310" ht="15" customHeight="1">
      <c r="T310">
        <f>IF(AND('Sprint Planning'!$H310&gt;=10,'Sprint Planning'!$H310&lt;=16),IFERROR(MATCH('Sprint Planning'!$C310,Roadmap!$A$4:$A$15,0),99)*100+'Sprint Planning'!$H310+310/100000,"")</f>
        <v/>
      </c>
    </row>
    <row r="311" ht="15" customHeight="1">
      <c r="T311">
        <f>IF(AND('Sprint Planning'!$H311&gt;=10,'Sprint Planning'!$H311&lt;=16),IFERROR(MATCH('Sprint Planning'!$C311,Roadmap!$A$4:$A$15,0),99)*100+'Sprint Planning'!$H311+311/100000,"")</f>
        <v/>
      </c>
    </row>
    <row r="312" ht="15" customHeight="1">
      <c r="T312">
        <f>IF(AND('Sprint Planning'!$H312&gt;=10,'Sprint Planning'!$H312&lt;=16),IFERROR(MATCH('Sprint Planning'!$C312,Roadmap!$A$4:$A$15,0),99)*100+'Sprint Planning'!$H312+312/100000,"")</f>
        <v/>
      </c>
    </row>
    <row r="313" ht="15" customHeight="1">
      <c r="T313">
        <f>IF(AND('Sprint Planning'!$H313&gt;=10,'Sprint Planning'!$H313&lt;=16),IFERROR(MATCH('Sprint Planning'!$C313,Roadmap!$A$4:$A$15,0),99)*100+'Sprint Planning'!$H313+313/100000,"")</f>
        <v/>
      </c>
    </row>
    <row r="314" ht="15" customHeight="1">
      <c r="T314">
        <f>IF(AND('Sprint Planning'!$H314&gt;=10,'Sprint Planning'!$H314&lt;=16),IFERROR(MATCH('Sprint Planning'!$C314,Roadmap!$A$4:$A$15,0),99)*100+'Sprint Planning'!$H314+314/100000,"")</f>
        <v/>
      </c>
    </row>
    <row r="315" ht="15" customHeight="1">
      <c r="T315">
        <f>IF(AND('Sprint Planning'!$H315&gt;=10,'Sprint Planning'!$H315&lt;=16),IFERROR(MATCH('Sprint Planning'!$C315,Roadmap!$A$4:$A$15,0),99)*100+'Sprint Planning'!$H315+315/100000,"")</f>
        <v/>
      </c>
    </row>
    <row r="316" ht="15" customHeight="1">
      <c r="T316">
        <f>IF(AND('Sprint Planning'!$H316&gt;=10,'Sprint Planning'!$H316&lt;=16),IFERROR(MATCH('Sprint Planning'!$C316,Roadmap!$A$4:$A$15,0),99)*100+'Sprint Planning'!$H316+316/100000,"")</f>
        <v/>
      </c>
    </row>
    <row r="317" ht="15" customHeight="1">
      <c r="T317">
        <f>IF(AND('Sprint Planning'!$H317&gt;=10,'Sprint Planning'!$H317&lt;=16),IFERROR(MATCH('Sprint Planning'!$C317,Roadmap!$A$4:$A$15,0),99)*100+'Sprint Planning'!$H317+317/100000,"")</f>
        <v/>
      </c>
    </row>
    <row r="318" ht="15" customHeight="1">
      <c r="T318">
        <f>IF(AND('Sprint Planning'!$H318&gt;=10,'Sprint Planning'!$H318&lt;=16),IFERROR(MATCH('Sprint Planning'!$C318,Roadmap!$A$4:$A$15,0),99)*100+'Sprint Planning'!$H318+318/100000,"")</f>
        <v/>
      </c>
    </row>
    <row r="319" ht="15" customHeight="1">
      <c r="T319">
        <f>IF(AND('Sprint Planning'!$H319&gt;=10,'Sprint Planning'!$H319&lt;=16),IFERROR(MATCH('Sprint Planning'!$C319,Roadmap!$A$4:$A$15,0),99)*100+'Sprint Planning'!$H319+319/100000,"")</f>
        <v/>
      </c>
    </row>
    <row r="320" ht="15" customHeight="1">
      <c r="T320">
        <f>IF(AND('Sprint Planning'!$H320&gt;=10,'Sprint Planning'!$H320&lt;=16),IFERROR(MATCH('Sprint Planning'!$C320,Roadmap!$A$4:$A$15,0),99)*100+'Sprint Planning'!$H320+320/100000,"")</f>
        <v/>
      </c>
    </row>
    <row r="321" ht="15" customHeight="1">
      <c r="T321">
        <f>IF(AND('Sprint Planning'!$H321&gt;=10,'Sprint Planning'!$H321&lt;=16),IFERROR(MATCH('Sprint Planning'!$C321,Roadmap!$A$4:$A$15,0),99)*100+'Sprint Planning'!$H321+321/100000,"")</f>
        <v/>
      </c>
    </row>
    <row r="322" ht="15" customHeight="1">
      <c r="T322">
        <f>IF(AND('Sprint Planning'!$H322&gt;=10,'Sprint Planning'!$H322&lt;=16),IFERROR(MATCH('Sprint Planning'!$C322,Roadmap!$A$4:$A$15,0),99)*100+'Sprint Planning'!$H322+322/100000,"")</f>
        <v/>
      </c>
    </row>
    <row r="323" ht="15" customHeight="1">
      <c r="T323">
        <f>IF(AND('Sprint Planning'!$H323&gt;=10,'Sprint Planning'!$H323&lt;=16),IFERROR(MATCH('Sprint Planning'!$C323,Roadmap!$A$4:$A$15,0),99)*100+'Sprint Planning'!$H323+323/100000,"")</f>
        <v/>
      </c>
    </row>
    <row r="324" ht="15" customHeight="1">
      <c r="T324">
        <f>IF(AND('Sprint Planning'!$H324&gt;=10,'Sprint Planning'!$H324&lt;=16),IFERROR(MATCH('Sprint Planning'!$C324,Roadmap!$A$4:$A$15,0),99)*100+'Sprint Planning'!$H324+324/100000,"")</f>
        <v/>
      </c>
    </row>
    <row r="325" ht="15" customHeight="1">
      <c r="T325">
        <f>IF(AND('Sprint Planning'!$H325&gt;=10,'Sprint Planning'!$H325&lt;=16),IFERROR(MATCH('Sprint Planning'!$C325,Roadmap!$A$4:$A$15,0),99)*100+'Sprint Planning'!$H325+325/100000,"")</f>
        <v/>
      </c>
    </row>
    <row r="326" ht="15" customHeight="1">
      <c r="T326">
        <f>IF(AND('Sprint Planning'!$H326&gt;=10,'Sprint Planning'!$H326&lt;=16),IFERROR(MATCH('Sprint Planning'!$C326,Roadmap!$A$4:$A$15,0),99)*100+'Sprint Planning'!$H326+326/100000,"")</f>
        <v/>
      </c>
    </row>
    <row r="327" ht="15" customHeight="1">
      <c r="T327">
        <f>IF(AND('Sprint Planning'!$H327&gt;=10,'Sprint Planning'!$H327&lt;=16),IFERROR(MATCH('Sprint Planning'!$C327,Roadmap!$A$4:$A$15,0),99)*100+'Sprint Planning'!$H327+327/100000,"")</f>
        <v/>
      </c>
    </row>
    <row r="328" ht="15" customHeight="1">
      <c r="T328">
        <f>IF(AND('Sprint Planning'!$H328&gt;=10,'Sprint Planning'!$H328&lt;=16),IFERROR(MATCH('Sprint Planning'!$C328,Roadmap!$A$4:$A$15,0),99)*100+'Sprint Planning'!$H328+328/100000,"")</f>
        <v/>
      </c>
    </row>
    <row r="329" ht="15" customHeight="1">
      <c r="T329">
        <f>IF(AND('Sprint Planning'!$H329&gt;=10,'Sprint Planning'!$H329&lt;=16),IFERROR(MATCH('Sprint Planning'!$C329,Roadmap!$A$4:$A$15,0),99)*100+'Sprint Planning'!$H329+329/100000,"")</f>
        <v/>
      </c>
    </row>
    <row r="330" ht="15" customHeight="1">
      <c r="T330">
        <f>IF(AND('Sprint Planning'!$H330&gt;=10,'Sprint Planning'!$H330&lt;=16),IFERROR(MATCH('Sprint Planning'!$C330,Roadmap!$A$4:$A$15,0),99)*100+'Sprint Planning'!$H330+330/100000,"")</f>
        <v/>
      </c>
    </row>
    <row r="331" ht="15" customHeight="1">
      <c r="T331">
        <f>IF(AND('Sprint Planning'!$H331&gt;=10,'Sprint Planning'!$H331&lt;=16),IFERROR(MATCH('Sprint Planning'!$C331,Roadmap!$A$4:$A$15,0),99)*100+'Sprint Planning'!$H331+331/100000,"")</f>
        <v/>
      </c>
    </row>
    <row r="332" ht="15" customHeight="1">
      <c r="T332">
        <f>IF(AND('Sprint Planning'!$H332&gt;=10,'Sprint Planning'!$H332&lt;=16),IFERROR(MATCH('Sprint Planning'!$C332,Roadmap!$A$4:$A$15,0),99)*100+'Sprint Planning'!$H332+332/100000,"")</f>
        <v/>
      </c>
    </row>
    <row r="333" ht="15" customHeight="1">
      <c r="T333">
        <f>IF(AND('Sprint Planning'!$H333&gt;=10,'Sprint Planning'!$H333&lt;=16),IFERROR(MATCH('Sprint Planning'!$C333,Roadmap!$A$4:$A$15,0),99)*100+'Sprint Planning'!$H333+333/100000,"")</f>
        <v/>
      </c>
    </row>
    <row r="334" ht="15" customHeight="1">
      <c r="T334">
        <f>IF(AND('Sprint Planning'!$H334&gt;=10,'Sprint Planning'!$H334&lt;=16),IFERROR(MATCH('Sprint Planning'!$C334,Roadmap!$A$4:$A$15,0),99)*100+'Sprint Planning'!$H334+334/100000,"")</f>
        <v/>
      </c>
    </row>
    <row r="335" ht="15" customHeight="1">
      <c r="T335">
        <f>IF(AND('Sprint Planning'!$H335&gt;=10,'Sprint Planning'!$H335&lt;=16),IFERROR(MATCH('Sprint Planning'!$C335,Roadmap!$A$4:$A$15,0),99)*100+'Sprint Planning'!$H335+335/100000,"")</f>
        <v/>
      </c>
    </row>
    <row r="336" ht="15" customHeight="1">
      <c r="T336">
        <f>IF(AND('Sprint Planning'!$H336&gt;=10,'Sprint Planning'!$H336&lt;=16),IFERROR(MATCH('Sprint Planning'!$C336,Roadmap!$A$4:$A$15,0),99)*100+'Sprint Planning'!$H336+336/100000,"")</f>
        <v/>
      </c>
    </row>
    <row r="337" ht="15" customHeight="1">
      <c r="T337">
        <f>IF(AND('Sprint Planning'!$H337&gt;=10,'Sprint Planning'!$H337&lt;=16),IFERROR(MATCH('Sprint Planning'!$C337,Roadmap!$A$4:$A$15,0),99)*100+'Sprint Planning'!$H337+337/100000,"")</f>
        <v/>
      </c>
    </row>
    <row r="338" ht="15" customHeight="1">
      <c r="T338">
        <f>IF(AND('Sprint Planning'!$H338&gt;=10,'Sprint Planning'!$H338&lt;=16),IFERROR(MATCH('Sprint Planning'!$C338,Roadmap!$A$4:$A$15,0),99)*100+'Sprint Planning'!$H338+338/100000,"")</f>
        <v/>
      </c>
    </row>
    <row r="339" ht="15" customHeight="1">
      <c r="T339">
        <f>IF(AND('Sprint Planning'!$H339&gt;=10,'Sprint Planning'!$H339&lt;=16),IFERROR(MATCH('Sprint Planning'!$C339,Roadmap!$A$4:$A$15,0),99)*100+'Sprint Planning'!$H339+339/100000,"")</f>
        <v/>
      </c>
    </row>
    <row r="340" ht="15" customHeight="1">
      <c r="T340">
        <f>IF(AND('Sprint Planning'!$H340&gt;=10,'Sprint Planning'!$H340&lt;=16),IFERROR(MATCH('Sprint Planning'!$C340,Roadmap!$A$4:$A$15,0),99)*100+'Sprint Planning'!$H340+340/100000,"")</f>
        <v/>
      </c>
    </row>
    <row r="341" ht="15" customHeight="1">
      <c r="T341">
        <f>IF(AND('Sprint Planning'!$H341&gt;=10,'Sprint Planning'!$H341&lt;=16),IFERROR(MATCH('Sprint Planning'!$C341,Roadmap!$A$4:$A$15,0),99)*100+'Sprint Planning'!$H341+341/100000,"")</f>
        <v/>
      </c>
    </row>
    <row r="342" ht="15" customHeight="1">
      <c r="T342">
        <f>IF(AND('Sprint Planning'!$H342&gt;=10,'Sprint Planning'!$H342&lt;=16),IFERROR(MATCH('Sprint Planning'!$C342,Roadmap!$A$4:$A$15,0),99)*100+'Sprint Planning'!$H342+342/100000,"")</f>
        <v/>
      </c>
    </row>
    <row r="343" ht="15" customHeight="1">
      <c r="T343">
        <f>IF(AND('Sprint Planning'!$H343&gt;=10,'Sprint Planning'!$H343&lt;=16),IFERROR(MATCH('Sprint Planning'!$C343,Roadmap!$A$4:$A$15,0),99)*100+'Sprint Planning'!$H343+343/100000,"")</f>
        <v/>
      </c>
    </row>
    <row r="344" ht="15" customHeight="1">
      <c r="T344">
        <f>IF(AND('Sprint Planning'!$H344&gt;=10,'Sprint Planning'!$H344&lt;=16),IFERROR(MATCH('Sprint Planning'!$C344,Roadmap!$A$4:$A$15,0),99)*100+'Sprint Planning'!$H344+344/100000,"")</f>
        <v/>
      </c>
    </row>
    <row r="345" ht="15" customHeight="1">
      <c r="T345">
        <f>IF(AND('Sprint Planning'!$H345&gt;=10,'Sprint Planning'!$H345&lt;=16),IFERROR(MATCH('Sprint Planning'!$C345,Roadmap!$A$4:$A$15,0),99)*100+'Sprint Planning'!$H345+345/100000,"")</f>
        <v/>
      </c>
    </row>
    <row r="346" ht="15" customHeight="1">
      <c r="T346">
        <f>IF(AND('Sprint Planning'!$H346&gt;=10,'Sprint Planning'!$H346&lt;=16),IFERROR(MATCH('Sprint Planning'!$C346,Roadmap!$A$4:$A$15,0),99)*100+'Sprint Planning'!$H346+346/100000,"")</f>
        <v/>
      </c>
    </row>
    <row r="347" ht="15" customHeight="1">
      <c r="T347">
        <f>IF(AND('Sprint Planning'!$H347&gt;=10,'Sprint Planning'!$H347&lt;=16),IFERROR(MATCH('Sprint Planning'!$C347,Roadmap!$A$4:$A$15,0),99)*100+'Sprint Planning'!$H347+347/100000,"")</f>
        <v/>
      </c>
    </row>
    <row r="348" ht="15" customHeight="1">
      <c r="T348">
        <f>IF(AND('Sprint Planning'!$H348&gt;=10,'Sprint Planning'!$H348&lt;=16),IFERROR(MATCH('Sprint Planning'!$C348,Roadmap!$A$4:$A$15,0),99)*100+'Sprint Planning'!$H348+348/100000,"")</f>
        <v/>
      </c>
    </row>
    <row r="349" ht="15" customHeight="1">
      <c r="T349">
        <f>IF(AND('Sprint Planning'!$H349&gt;=10,'Sprint Planning'!$H349&lt;=16),IFERROR(MATCH('Sprint Planning'!$C349,Roadmap!$A$4:$A$15,0),99)*100+'Sprint Planning'!$H349+349/100000,"")</f>
        <v/>
      </c>
    </row>
    <row r="350" ht="15" customHeight="1">
      <c r="T350">
        <f>IF(AND('Sprint Planning'!$H350&gt;=10,'Sprint Planning'!$H350&lt;=16),IFERROR(MATCH('Sprint Planning'!$C350,Roadmap!$A$4:$A$15,0),99)*100+'Sprint Planning'!$H350+350/100000,"")</f>
        <v/>
      </c>
    </row>
    <row r="351" ht="15" customHeight="1">
      <c r="T351">
        <f>IF(AND('Sprint Planning'!$H351&gt;=10,'Sprint Planning'!$H351&lt;=16),IFERROR(MATCH('Sprint Planning'!$C351,Roadmap!$A$4:$A$15,0),99)*100+'Sprint Planning'!$H351+351/100000,"")</f>
        <v/>
      </c>
    </row>
    <row r="352" ht="15" customHeight="1">
      <c r="T352">
        <f>IF(AND('Sprint Planning'!$H352&gt;=10,'Sprint Planning'!$H352&lt;=16),IFERROR(MATCH('Sprint Planning'!$C352,Roadmap!$A$4:$A$15,0),99)*100+'Sprint Planning'!$H352+352/100000,"")</f>
        <v/>
      </c>
    </row>
    <row r="353" ht="15" customHeight="1">
      <c r="T353">
        <f>IF(AND('Sprint Planning'!$H353&gt;=10,'Sprint Planning'!$H353&lt;=16),IFERROR(MATCH('Sprint Planning'!$C353,Roadmap!$A$4:$A$15,0),99)*100+'Sprint Planning'!$H353+353/100000,"")</f>
        <v/>
      </c>
    </row>
    <row r="354" ht="15" customHeight="1">
      <c r="T354">
        <f>IF(AND('Sprint Planning'!$H354&gt;=10,'Sprint Planning'!$H354&lt;=16),IFERROR(MATCH('Sprint Planning'!$C354,Roadmap!$A$4:$A$15,0),99)*100+'Sprint Planning'!$H354+354/100000,"")</f>
        <v/>
      </c>
    </row>
    <row r="355" ht="15" customHeight="1">
      <c r="T355">
        <f>IF(AND('Sprint Planning'!$H355&gt;=10,'Sprint Planning'!$H355&lt;=16),IFERROR(MATCH('Sprint Planning'!$C355,Roadmap!$A$4:$A$15,0),99)*100+'Sprint Planning'!$H355+355/100000,"")</f>
        <v/>
      </c>
    </row>
    <row r="356" ht="15" customHeight="1">
      <c r="T356">
        <f>IF(AND('Sprint Planning'!$H356&gt;=10,'Sprint Planning'!$H356&lt;=16),IFERROR(MATCH('Sprint Planning'!$C356,Roadmap!$A$4:$A$15,0),99)*100+'Sprint Planning'!$H356+356/100000,"")</f>
        <v/>
      </c>
    </row>
    <row r="357" ht="15" customHeight="1">
      <c r="T357">
        <f>IF(AND('Sprint Planning'!$H357&gt;=10,'Sprint Planning'!$H357&lt;=16),IFERROR(MATCH('Sprint Planning'!$C357,Roadmap!$A$4:$A$15,0),99)*100+'Sprint Planning'!$H357+357/100000,"")</f>
        <v/>
      </c>
    </row>
    <row r="358" ht="15" customHeight="1">
      <c r="T358">
        <f>IF(AND('Sprint Planning'!$H358&gt;=10,'Sprint Planning'!$H358&lt;=16),IFERROR(MATCH('Sprint Planning'!$C358,Roadmap!$A$4:$A$15,0),99)*100+'Sprint Planning'!$H358+358/100000,"")</f>
        <v/>
      </c>
    </row>
    <row r="359" ht="15" customHeight="1">
      <c r="T359">
        <f>IF(AND('Sprint Planning'!$H359&gt;=10,'Sprint Planning'!$H359&lt;=16),IFERROR(MATCH('Sprint Planning'!$C359,Roadmap!$A$4:$A$15,0),99)*100+'Sprint Planning'!$H359+359/100000,"")</f>
        <v/>
      </c>
    </row>
    <row r="360" ht="15" customHeight="1">
      <c r="T360">
        <f>IF(AND('Sprint Planning'!$H360&gt;=10,'Sprint Planning'!$H360&lt;=16),IFERROR(MATCH('Sprint Planning'!$C360,Roadmap!$A$4:$A$15,0),99)*100+'Sprint Planning'!$H360+360/100000,"")</f>
        <v/>
      </c>
    </row>
    <row r="361" ht="15" customHeight="1">
      <c r="T361">
        <f>IF(AND('Sprint Planning'!$H361&gt;=10,'Sprint Planning'!$H361&lt;=16),IFERROR(MATCH('Sprint Planning'!$C361,Roadmap!$A$4:$A$15,0),99)*100+'Sprint Planning'!$H361+361/100000,"")</f>
        <v/>
      </c>
    </row>
    <row r="362" ht="15" customHeight="1">
      <c r="T362">
        <f>IF(AND('Sprint Planning'!$H362&gt;=10,'Sprint Planning'!$H362&lt;=16),IFERROR(MATCH('Sprint Planning'!$C362,Roadmap!$A$4:$A$15,0),99)*100+'Sprint Planning'!$H362+362/100000,"")</f>
        <v/>
      </c>
    </row>
    <row r="363" ht="15" customHeight="1">
      <c r="T363">
        <f>IF(AND('Sprint Planning'!$H363&gt;=10,'Sprint Planning'!$H363&lt;=16),IFERROR(MATCH('Sprint Planning'!$C363,Roadmap!$A$4:$A$15,0),99)*100+'Sprint Planning'!$H363+363/100000,"")</f>
        <v/>
      </c>
    </row>
    <row r="364" ht="15" customHeight="1">
      <c r="T364">
        <f>IF(AND('Sprint Planning'!$H364&gt;=10,'Sprint Planning'!$H364&lt;=16),IFERROR(MATCH('Sprint Planning'!$C364,Roadmap!$A$4:$A$15,0),99)*100+'Sprint Planning'!$H364+364/100000,"")</f>
        <v/>
      </c>
    </row>
    <row r="365" ht="15" customHeight="1">
      <c r="T365">
        <f>IF(AND('Sprint Planning'!$H365&gt;=10,'Sprint Planning'!$H365&lt;=16),IFERROR(MATCH('Sprint Planning'!$C365,Roadmap!$A$4:$A$15,0),99)*100+'Sprint Planning'!$H365+365/100000,"")</f>
        <v/>
      </c>
    </row>
    <row r="366" ht="15" customHeight="1">
      <c r="T366">
        <f>IF(AND('Sprint Planning'!$H366&gt;=10,'Sprint Planning'!$H366&lt;=16),IFERROR(MATCH('Sprint Planning'!$C366,Roadmap!$A$4:$A$15,0),99)*100+'Sprint Planning'!$H366+366/100000,"")</f>
        <v/>
      </c>
    </row>
    <row r="367" ht="15" customHeight="1">
      <c r="T367">
        <f>IF(AND('Sprint Planning'!$H367&gt;=10,'Sprint Planning'!$H367&lt;=16),IFERROR(MATCH('Sprint Planning'!$C367,Roadmap!$A$4:$A$15,0),99)*100+'Sprint Planning'!$H367+367/100000,"")</f>
        <v/>
      </c>
    </row>
    <row r="368" ht="15" customHeight="1">
      <c r="T368">
        <f>IF(AND('Sprint Planning'!$H368&gt;=10,'Sprint Planning'!$H368&lt;=16),IFERROR(MATCH('Sprint Planning'!$C368,Roadmap!$A$4:$A$15,0),99)*100+'Sprint Planning'!$H368+368/100000,"")</f>
        <v/>
      </c>
    </row>
    <row r="369" ht="15" customHeight="1">
      <c r="T369">
        <f>IF(AND('Sprint Planning'!$H369&gt;=10,'Sprint Planning'!$H369&lt;=16),IFERROR(MATCH('Sprint Planning'!$C369,Roadmap!$A$4:$A$15,0),99)*100+'Sprint Planning'!$H369+369/100000,"")</f>
        <v/>
      </c>
    </row>
    <row r="370" ht="15" customHeight="1">
      <c r="T370">
        <f>IF(AND('Sprint Planning'!$H370&gt;=10,'Sprint Planning'!$H370&lt;=16),IFERROR(MATCH('Sprint Planning'!$C370,Roadmap!$A$4:$A$15,0),99)*100+'Sprint Planning'!$H370+370/100000,"")</f>
        <v/>
      </c>
    </row>
    <row r="371" ht="15" customHeight="1">
      <c r="T371">
        <f>IF(AND('Sprint Planning'!$H371&gt;=10,'Sprint Planning'!$H371&lt;=16),IFERROR(MATCH('Sprint Planning'!$C371,Roadmap!$A$4:$A$15,0),99)*100+'Sprint Planning'!$H371+371/100000,"")</f>
        <v/>
      </c>
    </row>
    <row r="372" ht="15" customHeight="1">
      <c r="T372">
        <f>IF(AND('Sprint Planning'!$H372&gt;=10,'Sprint Planning'!$H372&lt;=16),IFERROR(MATCH('Sprint Planning'!$C372,Roadmap!$A$4:$A$15,0),99)*100+'Sprint Planning'!$H372+372/100000,"")</f>
        <v/>
      </c>
    </row>
    <row r="373" ht="15" customHeight="1">
      <c r="T373">
        <f>IF(AND('Sprint Planning'!$H373&gt;=10,'Sprint Planning'!$H373&lt;=16),IFERROR(MATCH('Sprint Planning'!$C373,Roadmap!$A$4:$A$15,0),99)*100+'Sprint Planning'!$H373+373/100000,"")</f>
        <v/>
      </c>
    </row>
    <row r="374" ht="15" customHeight="1">
      <c r="T374">
        <f>IF(AND('Sprint Planning'!$H374&gt;=10,'Sprint Planning'!$H374&lt;=16),IFERROR(MATCH('Sprint Planning'!$C374,Roadmap!$A$4:$A$15,0),99)*100+'Sprint Planning'!$H374+374/100000,"")</f>
        <v/>
      </c>
    </row>
    <row r="375" ht="15" customHeight="1">
      <c r="T375">
        <f>IF(AND('Sprint Planning'!$H375&gt;=10,'Sprint Planning'!$H375&lt;=16),IFERROR(MATCH('Sprint Planning'!$C375,Roadmap!$A$4:$A$15,0),99)*100+'Sprint Planning'!$H375+375/100000,"")</f>
        <v/>
      </c>
    </row>
    <row r="376" ht="15" customHeight="1">
      <c r="T376">
        <f>IF(AND('Sprint Planning'!$H376&gt;=10,'Sprint Planning'!$H376&lt;=16),IFERROR(MATCH('Sprint Planning'!$C376,Roadmap!$A$4:$A$15,0),99)*100+'Sprint Planning'!$H376+376/100000,"")</f>
        <v/>
      </c>
    </row>
    <row r="377" ht="15" customHeight="1">
      <c r="T377">
        <f>IF(AND('Sprint Planning'!$H377&gt;=10,'Sprint Planning'!$H377&lt;=16),IFERROR(MATCH('Sprint Planning'!$C377,Roadmap!$A$4:$A$15,0),99)*100+'Sprint Planning'!$H377+377/100000,"")</f>
        <v/>
      </c>
    </row>
    <row r="378" ht="15" customHeight="1">
      <c r="T378">
        <f>IF(AND('Sprint Planning'!$H378&gt;=10,'Sprint Planning'!$H378&lt;=16),IFERROR(MATCH('Sprint Planning'!$C378,Roadmap!$A$4:$A$15,0),99)*100+'Sprint Planning'!$H378+378/100000,"")</f>
        <v/>
      </c>
    </row>
    <row r="379" ht="15" customHeight="1">
      <c r="T379">
        <f>IF(AND('Sprint Planning'!$H379&gt;=10,'Sprint Planning'!$H379&lt;=16),IFERROR(MATCH('Sprint Planning'!$C379,Roadmap!$A$4:$A$15,0),99)*100+'Sprint Planning'!$H379+379/100000,"")</f>
        <v/>
      </c>
    </row>
    <row r="380" ht="15" customHeight="1">
      <c r="T380">
        <f>IF(AND('Sprint Planning'!$H380&gt;=10,'Sprint Planning'!$H380&lt;=16),IFERROR(MATCH('Sprint Planning'!$C380,Roadmap!$A$4:$A$15,0),99)*100+'Sprint Planning'!$H380+380/100000,"")</f>
        <v/>
      </c>
    </row>
    <row r="381" ht="15" customHeight="1">
      <c r="T381">
        <f>IF(AND('Sprint Planning'!$H381&gt;=10,'Sprint Planning'!$H381&lt;=16),IFERROR(MATCH('Sprint Planning'!$C381,Roadmap!$A$4:$A$15,0),99)*100+'Sprint Planning'!$H381+381/100000,"")</f>
        <v/>
      </c>
    </row>
    <row r="382" ht="15" customHeight="1">
      <c r="T382">
        <f>IF(AND('Sprint Planning'!$H382&gt;=10,'Sprint Planning'!$H382&lt;=16),IFERROR(MATCH('Sprint Planning'!$C382,Roadmap!$A$4:$A$15,0),99)*100+'Sprint Planning'!$H382+382/100000,"")</f>
        <v/>
      </c>
    </row>
    <row r="383" ht="15" customHeight="1">
      <c r="T383">
        <f>IF(AND('Sprint Planning'!$H383&gt;=10,'Sprint Planning'!$H383&lt;=16),IFERROR(MATCH('Sprint Planning'!$C383,Roadmap!$A$4:$A$15,0),99)*100+'Sprint Planning'!$H383+383/100000,"")</f>
        <v/>
      </c>
    </row>
    <row r="384" ht="15" customHeight="1">
      <c r="T384">
        <f>IF(AND('Sprint Planning'!$H384&gt;=10,'Sprint Planning'!$H384&lt;=16),IFERROR(MATCH('Sprint Planning'!$C384,Roadmap!$A$4:$A$15,0),99)*100+'Sprint Planning'!$H384+384/100000,"")</f>
        <v/>
      </c>
    </row>
    <row r="385" ht="15" customHeight="1">
      <c r="T385">
        <f>IF(AND('Sprint Planning'!$H385&gt;=10,'Sprint Planning'!$H385&lt;=16),IFERROR(MATCH('Sprint Planning'!$C385,Roadmap!$A$4:$A$15,0),99)*100+'Sprint Planning'!$H385+385/100000,"")</f>
        <v/>
      </c>
    </row>
    <row r="386" ht="15" customHeight="1">
      <c r="T386">
        <f>IF(AND('Sprint Planning'!$H386&gt;=10,'Sprint Planning'!$H386&lt;=16),IFERROR(MATCH('Sprint Planning'!$C386,Roadmap!$A$4:$A$15,0),99)*100+'Sprint Planning'!$H386+386/100000,"")</f>
        <v/>
      </c>
    </row>
    <row r="387" ht="15" customHeight="1">
      <c r="T387">
        <f>IF(AND('Sprint Planning'!$H387&gt;=10,'Sprint Planning'!$H387&lt;=16),IFERROR(MATCH('Sprint Planning'!$C387,Roadmap!$A$4:$A$15,0),99)*100+'Sprint Planning'!$H387+387/100000,"")</f>
        <v/>
      </c>
    </row>
    <row r="388" ht="15" customHeight="1">
      <c r="T388">
        <f>IF(AND('Sprint Planning'!$H388&gt;=10,'Sprint Planning'!$H388&lt;=16),IFERROR(MATCH('Sprint Planning'!$C388,Roadmap!$A$4:$A$15,0),99)*100+'Sprint Planning'!$H388+388/100000,"")</f>
        <v/>
      </c>
    </row>
    <row r="389" ht="15" customHeight="1">
      <c r="T389">
        <f>IF(AND('Sprint Planning'!$H389&gt;=10,'Sprint Planning'!$H389&lt;=16),IFERROR(MATCH('Sprint Planning'!$C389,Roadmap!$A$4:$A$15,0),99)*100+'Sprint Planning'!$H389+389/100000,"")</f>
        <v/>
      </c>
    </row>
    <row r="390" ht="15" customHeight="1">
      <c r="T390">
        <f>IF(AND('Sprint Planning'!$H390&gt;=10,'Sprint Planning'!$H390&lt;=16),IFERROR(MATCH('Sprint Planning'!$C390,Roadmap!$A$4:$A$15,0),99)*100+'Sprint Planning'!$H390+390/100000,"")</f>
        <v/>
      </c>
    </row>
    <row r="391" ht="15" customHeight="1">
      <c r="T391">
        <f>IF(AND('Sprint Planning'!$H391&gt;=10,'Sprint Planning'!$H391&lt;=16),IFERROR(MATCH('Sprint Planning'!$C391,Roadmap!$A$4:$A$15,0),99)*100+'Sprint Planning'!$H391+391/100000,"")</f>
        <v/>
      </c>
    </row>
    <row r="392" ht="15" customHeight="1">
      <c r="T392">
        <f>IF(AND('Sprint Planning'!$H392&gt;=10,'Sprint Planning'!$H392&lt;=16),IFERROR(MATCH('Sprint Planning'!$C392,Roadmap!$A$4:$A$15,0),99)*100+'Sprint Planning'!$H392+392/100000,"")</f>
        <v/>
      </c>
    </row>
    <row r="393" ht="15" customHeight="1">
      <c r="T393">
        <f>IF(AND('Sprint Planning'!$H393&gt;=10,'Sprint Planning'!$H393&lt;=16),IFERROR(MATCH('Sprint Planning'!$C393,Roadmap!$A$4:$A$15,0),99)*100+'Sprint Planning'!$H393+393/100000,"")</f>
        <v/>
      </c>
    </row>
    <row r="394" ht="15" customHeight="1">
      <c r="T394">
        <f>IF(AND('Sprint Planning'!$H394&gt;=10,'Sprint Planning'!$H394&lt;=16),IFERROR(MATCH('Sprint Planning'!$C394,Roadmap!$A$4:$A$15,0),99)*100+'Sprint Planning'!$H394+394/100000,"")</f>
        <v/>
      </c>
    </row>
    <row r="395" ht="15" customHeight="1">
      <c r="T395">
        <f>IF(AND('Sprint Planning'!$H395&gt;=10,'Sprint Planning'!$H395&lt;=16),IFERROR(MATCH('Sprint Planning'!$C395,Roadmap!$A$4:$A$15,0),99)*100+'Sprint Planning'!$H395+395/100000,"")</f>
        <v/>
      </c>
    </row>
    <row r="396" ht="15" customHeight="1">
      <c r="T396">
        <f>IF(AND('Sprint Planning'!$H396&gt;=10,'Sprint Planning'!$H396&lt;=16),IFERROR(MATCH('Sprint Planning'!$C396,Roadmap!$A$4:$A$15,0),99)*100+'Sprint Planning'!$H396+396/100000,"")</f>
        <v/>
      </c>
    </row>
    <row r="397" ht="15" customHeight="1">
      <c r="T397">
        <f>IF(AND('Sprint Planning'!$H397&gt;=10,'Sprint Planning'!$H397&lt;=16),IFERROR(MATCH('Sprint Planning'!$C397,Roadmap!$A$4:$A$15,0),99)*100+'Sprint Planning'!$H397+397/100000,"")</f>
        <v/>
      </c>
    </row>
    <row r="398" ht="15" customHeight="1">
      <c r="T398">
        <f>IF(AND('Sprint Planning'!$H398&gt;=10,'Sprint Planning'!$H398&lt;=16),IFERROR(MATCH('Sprint Planning'!$C398,Roadmap!$A$4:$A$15,0),99)*100+'Sprint Planning'!$H398+398/100000,"")</f>
        <v/>
      </c>
    </row>
    <row r="399" ht="15" customHeight="1">
      <c r="T399">
        <f>IF(AND('Sprint Planning'!$H399&gt;=10,'Sprint Planning'!$H399&lt;=16),IFERROR(MATCH('Sprint Planning'!$C399,Roadmap!$A$4:$A$15,0),99)*100+'Sprint Planning'!$H399+399/100000,"")</f>
        <v/>
      </c>
    </row>
    <row r="400" ht="15" customHeight="1">
      <c r="T400">
        <f>IF(AND('Sprint Planning'!$H400&gt;=10,'Sprint Planning'!$H400&lt;=16),IFERROR(MATCH('Sprint Planning'!$C400,Roadmap!$A$4:$A$15,0),99)*100+'Sprint Planning'!$H400+400/100000,"")</f>
        <v/>
      </c>
    </row>
    <row r="401" ht="15" customHeight="1">
      <c r="T401">
        <f>IF(AND('Sprint Planning'!$H401&gt;=10,'Sprint Planning'!$H401&lt;=16),IFERROR(MATCH('Sprint Planning'!$C401,Roadmap!$A$4:$A$15,0),99)*100+'Sprint Planning'!$H401+401/100000,"")</f>
        <v/>
      </c>
    </row>
    <row r="402" ht="15" customHeight="1">
      <c r="T402">
        <f>IF(AND('Sprint Planning'!$H402&gt;=10,'Sprint Planning'!$H402&lt;=16),IFERROR(MATCH('Sprint Planning'!$C402,Roadmap!$A$4:$A$15,0),99)*100+'Sprint Planning'!$H402+402/100000,"")</f>
        <v/>
      </c>
    </row>
    <row r="403" ht="15" customHeight="1">
      <c r="T403">
        <f>IF(AND('Sprint Planning'!$H403&gt;=10,'Sprint Planning'!$H403&lt;=16),IFERROR(MATCH('Sprint Planning'!$C403,Roadmap!$A$4:$A$15,0),99)*100+'Sprint Planning'!$H403+403/100000,"")</f>
        <v/>
      </c>
    </row>
    <row r="404" ht="15" customHeight="1">
      <c r="T404">
        <f>IF(AND('Sprint Planning'!$H404&gt;=10,'Sprint Planning'!$H404&lt;=16),IFERROR(MATCH('Sprint Planning'!$C404,Roadmap!$A$4:$A$15,0),99)*100+'Sprint Planning'!$H404+404/100000,"")</f>
        <v/>
      </c>
    </row>
    <row r="405" ht="15" customHeight="1">
      <c r="T405">
        <f>IF(AND('Sprint Planning'!$H405&gt;=10,'Sprint Planning'!$H405&lt;=16),IFERROR(MATCH('Sprint Planning'!$C405,Roadmap!$A$4:$A$15,0),99)*100+'Sprint Planning'!$H405+405/100000,"")</f>
        <v/>
      </c>
    </row>
    <row r="406" ht="15" customHeight="1">
      <c r="T406">
        <f>IF(AND('Sprint Planning'!$H406&gt;=10,'Sprint Planning'!$H406&lt;=16),IFERROR(MATCH('Sprint Planning'!$C406,Roadmap!$A$4:$A$15,0),99)*100+'Sprint Planning'!$H406+406/100000,"")</f>
        <v/>
      </c>
    </row>
    <row r="407" ht="15" customHeight="1">
      <c r="T407">
        <f>IF(AND('Sprint Planning'!$H407&gt;=10,'Sprint Planning'!$H407&lt;=16),IFERROR(MATCH('Sprint Planning'!$C407,Roadmap!$A$4:$A$15,0),99)*100+'Sprint Planning'!$H407+407/100000,"")</f>
        <v/>
      </c>
    </row>
    <row r="408" ht="15" customHeight="1">
      <c r="T408">
        <f>IF(AND('Sprint Planning'!$H408&gt;=10,'Sprint Planning'!$H408&lt;=16),IFERROR(MATCH('Sprint Planning'!$C408,Roadmap!$A$4:$A$15,0),99)*100+'Sprint Planning'!$H408+408/100000,"")</f>
        <v/>
      </c>
    </row>
    <row r="409" ht="15" customHeight="1">
      <c r="T409">
        <f>IF(AND('Sprint Planning'!$H409&gt;=10,'Sprint Planning'!$H409&lt;=16),IFERROR(MATCH('Sprint Planning'!$C409,Roadmap!$A$4:$A$15,0),99)*100+'Sprint Planning'!$H409+409/100000,"")</f>
        <v/>
      </c>
    </row>
    <row r="410" ht="15" customHeight="1">
      <c r="T410">
        <f>IF(AND('Sprint Planning'!$H410&gt;=10,'Sprint Planning'!$H410&lt;=16),IFERROR(MATCH('Sprint Planning'!$C410,Roadmap!$A$4:$A$15,0),99)*100+'Sprint Planning'!$H410+410/100000,"")</f>
        <v/>
      </c>
    </row>
    <row r="411" ht="15" customHeight="1">
      <c r="T411">
        <f>IF(AND('Sprint Planning'!$H411&gt;=10,'Sprint Planning'!$H411&lt;=16),IFERROR(MATCH('Sprint Planning'!$C411,Roadmap!$A$4:$A$15,0),99)*100+'Sprint Planning'!$H411+411/100000,"")</f>
        <v/>
      </c>
    </row>
    <row r="412" ht="15" customHeight="1">
      <c r="T412">
        <f>IF(AND('Sprint Planning'!$H412&gt;=10,'Sprint Planning'!$H412&lt;=16),IFERROR(MATCH('Sprint Planning'!$C412,Roadmap!$A$4:$A$15,0),99)*100+'Sprint Planning'!$H412+412/100000,"")</f>
        <v/>
      </c>
    </row>
    <row r="413" ht="15" customHeight="1">
      <c r="T413">
        <f>IF(AND('Sprint Planning'!$H413&gt;=10,'Sprint Planning'!$H413&lt;=16),IFERROR(MATCH('Sprint Planning'!$C413,Roadmap!$A$4:$A$15,0),99)*100+'Sprint Planning'!$H413+413/100000,"")</f>
        <v/>
      </c>
    </row>
    <row r="414" ht="15" customHeight="1">
      <c r="T414">
        <f>IF(AND('Sprint Planning'!$H414&gt;=10,'Sprint Planning'!$H414&lt;=16),IFERROR(MATCH('Sprint Planning'!$C414,Roadmap!$A$4:$A$15,0),99)*100+'Sprint Planning'!$H414+414/100000,"")</f>
        <v/>
      </c>
    </row>
    <row r="415" ht="15" customHeight="1">
      <c r="T415">
        <f>IF(AND('Sprint Planning'!$H415&gt;=10,'Sprint Planning'!$H415&lt;=16),IFERROR(MATCH('Sprint Planning'!$C415,Roadmap!$A$4:$A$15,0),99)*100+'Sprint Planning'!$H415+415/100000,"")</f>
        <v/>
      </c>
    </row>
    <row r="416" ht="15" customHeight="1">
      <c r="T416">
        <f>IF(AND('Sprint Planning'!$H416&gt;=10,'Sprint Planning'!$H416&lt;=16),IFERROR(MATCH('Sprint Planning'!$C416,Roadmap!$A$4:$A$15,0),99)*100+'Sprint Planning'!$H416+416/100000,"")</f>
        <v/>
      </c>
    </row>
    <row r="417" ht="15" customHeight="1">
      <c r="T417">
        <f>IF(AND('Sprint Planning'!$H417&gt;=10,'Sprint Planning'!$H417&lt;=16),IFERROR(MATCH('Sprint Planning'!$C417,Roadmap!$A$4:$A$15,0),99)*100+'Sprint Planning'!$H417+417/100000,"")</f>
        <v/>
      </c>
    </row>
    <row r="418" ht="15" customHeight="1">
      <c r="T418">
        <f>IF(AND('Sprint Planning'!$H418&gt;=10,'Sprint Planning'!$H418&lt;=16),IFERROR(MATCH('Sprint Planning'!$C418,Roadmap!$A$4:$A$15,0),99)*100+'Sprint Planning'!$H418+418/100000,"")</f>
        <v/>
      </c>
    </row>
    <row r="419" ht="15" customHeight="1">
      <c r="T419">
        <f>IF(AND('Sprint Planning'!$H419&gt;=10,'Sprint Planning'!$H419&lt;=16),IFERROR(MATCH('Sprint Planning'!$C419,Roadmap!$A$4:$A$15,0),99)*100+'Sprint Planning'!$H419+419/100000,"")</f>
        <v/>
      </c>
    </row>
    <row r="420" ht="15" customHeight="1">
      <c r="T420">
        <f>IF(AND('Sprint Planning'!$H420&gt;=10,'Sprint Planning'!$H420&lt;=16),IFERROR(MATCH('Sprint Planning'!$C420,Roadmap!$A$4:$A$15,0),99)*100+'Sprint Planning'!$H420+420/100000,"")</f>
        <v/>
      </c>
    </row>
    <row r="421" ht="15" customHeight="1">
      <c r="T421">
        <f>IF(AND('Sprint Planning'!$H421&gt;=10,'Sprint Planning'!$H421&lt;=16),IFERROR(MATCH('Sprint Planning'!$C421,Roadmap!$A$4:$A$15,0),99)*100+'Sprint Planning'!$H421+421/100000,"")</f>
        <v/>
      </c>
    </row>
    <row r="422" ht="15" customHeight="1">
      <c r="T422">
        <f>IF(AND('Sprint Planning'!$H422&gt;=10,'Sprint Planning'!$H422&lt;=16),IFERROR(MATCH('Sprint Planning'!$C422,Roadmap!$A$4:$A$15,0),99)*100+'Sprint Planning'!$H422+422/100000,"")</f>
        <v/>
      </c>
    </row>
    <row r="423" ht="15" customHeight="1">
      <c r="T423">
        <f>IF(AND('Sprint Planning'!$H423&gt;=10,'Sprint Planning'!$H423&lt;=16),IFERROR(MATCH('Sprint Planning'!$C423,Roadmap!$A$4:$A$15,0),99)*100+'Sprint Planning'!$H423+423/100000,"")</f>
        <v/>
      </c>
    </row>
    <row r="424" ht="15" customHeight="1">
      <c r="T424">
        <f>IF(AND('Sprint Planning'!$H424&gt;=10,'Sprint Planning'!$H424&lt;=16),IFERROR(MATCH('Sprint Planning'!$C424,Roadmap!$A$4:$A$15,0),99)*100+'Sprint Planning'!$H424+424/100000,"")</f>
        <v/>
      </c>
    </row>
    <row r="425" ht="15" customHeight="1">
      <c r="T425">
        <f>IF(AND('Sprint Planning'!$H425&gt;=10,'Sprint Planning'!$H425&lt;=16),IFERROR(MATCH('Sprint Planning'!$C425,Roadmap!$A$4:$A$15,0),99)*100+'Sprint Planning'!$H425+425/100000,"")</f>
        <v/>
      </c>
    </row>
    <row r="426" ht="15" customHeight="1">
      <c r="T426">
        <f>IF(AND('Sprint Planning'!$H426&gt;=10,'Sprint Planning'!$H426&lt;=16),IFERROR(MATCH('Sprint Planning'!$C426,Roadmap!$A$4:$A$15,0),99)*100+'Sprint Planning'!$H426+426/100000,"")</f>
        <v/>
      </c>
    </row>
    <row r="427" ht="15" customHeight="1">
      <c r="T427">
        <f>IF(AND('Sprint Planning'!$H427&gt;=10,'Sprint Planning'!$H427&lt;=16),IFERROR(MATCH('Sprint Planning'!$C427,Roadmap!$A$4:$A$15,0),99)*100+'Sprint Planning'!$H427+427/100000,"")</f>
        <v/>
      </c>
    </row>
    <row r="428" ht="15" customHeight="1">
      <c r="T428">
        <f>IF(AND('Sprint Planning'!$H428&gt;=10,'Sprint Planning'!$H428&lt;=16),IFERROR(MATCH('Sprint Planning'!$C428,Roadmap!$A$4:$A$15,0),99)*100+'Sprint Planning'!$H428+428/100000,"")</f>
        <v/>
      </c>
    </row>
    <row r="429" ht="15" customHeight="1">
      <c r="T429">
        <f>IF(AND('Sprint Planning'!$H429&gt;=10,'Sprint Planning'!$H429&lt;=16),IFERROR(MATCH('Sprint Planning'!$C429,Roadmap!$A$4:$A$15,0),99)*100+'Sprint Planning'!$H429+429/100000,"")</f>
        <v/>
      </c>
    </row>
    <row r="430" ht="15" customHeight="1">
      <c r="T430">
        <f>IF(AND('Sprint Planning'!$H430&gt;=10,'Sprint Planning'!$H430&lt;=16),IFERROR(MATCH('Sprint Planning'!$C430,Roadmap!$A$4:$A$15,0),99)*100+'Sprint Planning'!$H430+430/100000,"")</f>
        <v/>
      </c>
    </row>
    <row r="431" ht="15" customHeight="1">
      <c r="T431">
        <f>IF(AND('Sprint Planning'!$H431&gt;=10,'Sprint Planning'!$H431&lt;=16),IFERROR(MATCH('Sprint Planning'!$C431,Roadmap!$A$4:$A$15,0),99)*100+'Sprint Planning'!$H431+431/100000,"")</f>
        <v/>
      </c>
    </row>
    <row r="432" ht="15" customHeight="1">
      <c r="T432">
        <f>IF(AND('Sprint Planning'!$H432&gt;=10,'Sprint Planning'!$H432&lt;=16),IFERROR(MATCH('Sprint Planning'!$C432,Roadmap!$A$4:$A$15,0),99)*100+'Sprint Planning'!$H432+432/100000,"")</f>
        <v/>
      </c>
    </row>
    <row r="433" ht="15" customHeight="1">
      <c r="T433">
        <f>IF(AND('Sprint Planning'!$H433&gt;=10,'Sprint Planning'!$H433&lt;=16),IFERROR(MATCH('Sprint Planning'!$C433,Roadmap!$A$4:$A$15,0),99)*100+'Sprint Planning'!$H433+433/100000,"")</f>
        <v/>
      </c>
    </row>
    <row r="434" ht="15" customHeight="1">
      <c r="T434">
        <f>IF(AND('Sprint Planning'!$H434&gt;=10,'Sprint Planning'!$H434&lt;=16),IFERROR(MATCH('Sprint Planning'!$C434,Roadmap!$A$4:$A$15,0),99)*100+'Sprint Planning'!$H434+434/100000,"")</f>
        <v/>
      </c>
    </row>
    <row r="435" ht="15" customHeight="1">
      <c r="T435">
        <f>IF(AND('Sprint Planning'!$H435&gt;=10,'Sprint Planning'!$H435&lt;=16),IFERROR(MATCH('Sprint Planning'!$C435,Roadmap!$A$4:$A$15,0),99)*100+'Sprint Planning'!$H435+435/100000,"")</f>
        <v/>
      </c>
    </row>
    <row r="436" ht="15" customHeight="1">
      <c r="T436">
        <f>IF(AND('Sprint Planning'!$H436&gt;=10,'Sprint Planning'!$H436&lt;=16),IFERROR(MATCH('Sprint Planning'!$C436,Roadmap!$A$4:$A$15,0),99)*100+'Sprint Planning'!$H436+436/100000,"")</f>
        <v/>
      </c>
    </row>
    <row r="437" ht="15" customHeight="1">
      <c r="T437">
        <f>IF(AND('Sprint Planning'!$H437&gt;=10,'Sprint Planning'!$H437&lt;=16),IFERROR(MATCH('Sprint Planning'!$C437,Roadmap!$A$4:$A$15,0),99)*100+'Sprint Planning'!$H437+437/100000,"")</f>
        <v/>
      </c>
    </row>
    <row r="438" ht="15" customHeight="1">
      <c r="T438">
        <f>IF(AND('Sprint Planning'!$H438&gt;=10,'Sprint Planning'!$H438&lt;=16),IFERROR(MATCH('Sprint Planning'!$C438,Roadmap!$A$4:$A$15,0),99)*100+'Sprint Planning'!$H438+438/100000,"")</f>
        <v/>
      </c>
    </row>
    <row r="439" ht="15" customHeight="1">
      <c r="T439">
        <f>IF(AND('Sprint Planning'!$H439&gt;=10,'Sprint Planning'!$H439&lt;=16),IFERROR(MATCH('Sprint Planning'!$C439,Roadmap!$A$4:$A$15,0),99)*100+'Sprint Planning'!$H439+439/100000,"")</f>
        <v/>
      </c>
    </row>
    <row r="440" ht="15" customHeight="1">
      <c r="T440">
        <f>IF(AND('Sprint Planning'!$H440&gt;=10,'Sprint Planning'!$H440&lt;=16),IFERROR(MATCH('Sprint Planning'!$C440,Roadmap!$A$4:$A$15,0),99)*100+'Sprint Planning'!$H440+440/100000,"")</f>
        <v/>
      </c>
    </row>
    <row r="441" ht="15" customHeight="1">
      <c r="T441">
        <f>IF(AND('Sprint Planning'!$H441&gt;=10,'Sprint Planning'!$H441&lt;=16),IFERROR(MATCH('Sprint Planning'!$C441,Roadmap!$A$4:$A$15,0),99)*100+'Sprint Planning'!$H441+441/100000,"")</f>
        <v/>
      </c>
    </row>
    <row r="442" ht="15" customHeight="1">
      <c r="T442">
        <f>IF(AND('Sprint Planning'!$H442&gt;=10,'Sprint Planning'!$H442&lt;=16),IFERROR(MATCH('Sprint Planning'!$C442,Roadmap!$A$4:$A$15,0),99)*100+'Sprint Planning'!$H442+442/100000,"")</f>
        <v/>
      </c>
    </row>
    <row r="443" ht="15" customHeight="1">
      <c r="T443">
        <f>IF(AND('Sprint Planning'!$H443&gt;=10,'Sprint Planning'!$H443&lt;=16),IFERROR(MATCH('Sprint Planning'!$C443,Roadmap!$A$4:$A$15,0),99)*100+'Sprint Planning'!$H443+443/100000,"")</f>
        <v/>
      </c>
    </row>
    <row r="444" ht="15" customHeight="1">
      <c r="T444">
        <f>IF(AND('Sprint Planning'!$H444&gt;=10,'Sprint Planning'!$H444&lt;=16),IFERROR(MATCH('Sprint Planning'!$C444,Roadmap!$A$4:$A$15,0),99)*100+'Sprint Planning'!$H444+444/100000,"")</f>
        <v/>
      </c>
    </row>
    <row r="445" ht="15" customHeight="1">
      <c r="T445">
        <f>IF(AND('Sprint Planning'!$H445&gt;=10,'Sprint Planning'!$H445&lt;=16),IFERROR(MATCH('Sprint Planning'!$C445,Roadmap!$A$4:$A$15,0),99)*100+'Sprint Planning'!$H445+445/100000,"")</f>
        <v/>
      </c>
    </row>
    <row r="446" ht="15" customHeight="1">
      <c r="T446">
        <f>IF(AND('Sprint Planning'!$H446&gt;=10,'Sprint Planning'!$H446&lt;=16),IFERROR(MATCH('Sprint Planning'!$C446,Roadmap!$A$4:$A$15,0),99)*100+'Sprint Planning'!$H446+446/100000,"")</f>
        <v/>
      </c>
    </row>
    <row r="447" ht="15" customHeight="1">
      <c r="T447">
        <f>IF(AND('Sprint Planning'!$H447&gt;=10,'Sprint Planning'!$H447&lt;=16),IFERROR(MATCH('Sprint Planning'!$C447,Roadmap!$A$4:$A$15,0),99)*100+'Sprint Planning'!$H447+447/100000,"")</f>
        <v/>
      </c>
    </row>
    <row r="448" ht="15" customHeight="1">
      <c r="T448">
        <f>IF(AND('Sprint Planning'!$H448&gt;=10,'Sprint Planning'!$H448&lt;=16),IFERROR(MATCH('Sprint Planning'!$C448,Roadmap!$A$4:$A$15,0),99)*100+'Sprint Planning'!$H448+448/100000,"")</f>
        <v/>
      </c>
    </row>
    <row r="449" ht="15" customHeight="1">
      <c r="T449">
        <f>IF(AND('Sprint Planning'!$H449&gt;=10,'Sprint Planning'!$H449&lt;=16),IFERROR(MATCH('Sprint Planning'!$C449,Roadmap!$A$4:$A$15,0),99)*100+'Sprint Planning'!$H449+449/100000,"")</f>
        <v/>
      </c>
    </row>
    <row r="450" ht="15" customHeight="1">
      <c r="T450">
        <f>IF(AND('Sprint Planning'!$H450&gt;=10,'Sprint Planning'!$H450&lt;=16),IFERROR(MATCH('Sprint Planning'!$C450,Roadmap!$A$4:$A$15,0),99)*100+'Sprint Planning'!$H450+450/100000,"")</f>
        <v/>
      </c>
    </row>
    <row r="451" ht="15" customHeight="1">
      <c r="T451">
        <f>IF(AND('Sprint Planning'!$H451&gt;=10,'Sprint Planning'!$H451&lt;=16),IFERROR(MATCH('Sprint Planning'!$C451,Roadmap!$A$4:$A$15,0),99)*100+'Sprint Planning'!$H451+451/100000,"")</f>
        <v/>
      </c>
    </row>
    <row r="452" ht="15" customHeight="1">
      <c r="T452">
        <f>IF(AND('Sprint Planning'!$H452&gt;=10,'Sprint Planning'!$H452&lt;=16),IFERROR(MATCH('Sprint Planning'!$C452,Roadmap!$A$4:$A$15,0),99)*100+'Sprint Planning'!$H452+452/100000,"")</f>
        <v/>
      </c>
    </row>
    <row r="453" ht="15" customHeight="1">
      <c r="T453">
        <f>IF(AND('Sprint Planning'!$H453&gt;=10,'Sprint Planning'!$H453&lt;=16),IFERROR(MATCH('Sprint Planning'!$C453,Roadmap!$A$4:$A$15,0),99)*100+'Sprint Planning'!$H453+453/100000,"")</f>
        <v/>
      </c>
    </row>
    <row r="454" ht="15" customHeight="1">
      <c r="T454">
        <f>IF(AND('Sprint Planning'!$H454&gt;=10,'Sprint Planning'!$H454&lt;=16),IFERROR(MATCH('Sprint Planning'!$C454,Roadmap!$A$4:$A$15,0),99)*100+'Sprint Planning'!$H454+454/100000,"")</f>
        <v/>
      </c>
    </row>
    <row r="455" ht="15" customHeight="1">
      <c r="T455">
        <f>IF(AND('Sprint Planning'!$H455&gt;=10,'Sprint Planning'!$H455&lt;=16),IFERROR(MATCH('Sprint Planning'!$C455,Roadmap!$A$4:$A$15,0),99)*100+'Sprint Planning'!$H455+455/100000,"")</f>
        <v/>
      </c>
    </row>
    <row r="456" ht="15" customHeight="1">
      <c r="T456">
        <f>IF(AND('Sprint Planning'!$H456&gt;=10,'Sprint Planning'!$H456&lt;=16),IFERROR(MATCH('Sprint Planning'!$C456,Roadmap!$A$4:$A$15,0),99)*100+'Sprint Planning'!$H456+456/100000,"")</f>
        <v/>
      </c>
    </row>
    <row r="457" ht="15" customHeight="1">
      <c r="T457">
        <f>IF(AND('Sprint Planning'!$H457&gt;=10,'Sprint Planning'!$H457&lt;=16),IFERROR(MATCH('Sprint Planning'!$C457,Roadmap!$A$4:$A$15,0),99)*100+'Sprint Planning'!$H457+457/100000,"")</f>
        <v/>
      </c>
    </row>
    <row r="458" ht="15" customHeight="1">
      <c r="T458">
        <f>IF(AND('Sprint Planning'!$H458&gt;=10,'Sprint Planning'!$H458&lt;=16),IFERROR(MATCH('Sprint Planning'!$C458,Roadmap!$A$4:$A$15,0),99)*100+'Sprint Planning'!$H458+458/100000,"")</f>
        <v/>
      </c>
    </row>
    <row r="459" ht="15" customHeight="1">
      <c r="T459">
        <f>IF(AND('Sprint Planning'!$H459&gt;=10,'Sprint Planning'!$H459&lt;=16),IFERROR(MATCH('Sprint Planning'!$C459,Roadmap!$A$4:$A$15,0),99)*100+'Sprint Planning'!$H459+459/100000,"")</f>
        <v/>
      </c>
    </row>
    <row r="460" ht="15" customHeight="1">
      <c r="T460">
        <f>IF(AND('Sprint Planning'!$H460&gt;=10,'Sprint Planning'!$H460&lt;=16),IFERROR(MATCH('Sprint Planning'!$C460,Roadmap!$A$4:$A$15,0),99)*100+'Sprint Planning'!$H460+460/100000,"")</f>
        <v/>
      </c>
    </row>
    <row r="461" ht="15" customHeight="1">
      <c r="T461">
        <f>IF(AND('Sprint Planning'!$H461&gt;=10,'Sprint Planning'!$H461&lt;=16),IFERROR(MATCH('Sprint Planning'!$C461,Roadmap!$A$4:$A$15,0),99)*100+'Sprint Planning'!$H461+461/100000,"")</f>
        <v/>
      </c>
    </row>
    <row r="462" ht="15" customHeight="1">
      <c r="T462">
        <f>IF(AND('Sprint Planning'!$H462&gt;=10,'Sprint Planning'!$H462&lt;=16),IFERROR(MATCH('Sprint Planning'!$C462,Roadmap!$A$4:$A$15,0),99)*100+'Sprint Planning'!$H462+462/100000,"")</f>
        <v/>
      </c>
    </row>
    <row r="463" ht="15" customHeight="1">
      <c r="T463">
        <f>IF(AND('Sprint Planning'!$H463&gt;=10,'Sprint Planning'!$H463&lt;=16),IFERROR(MATCH('Sprint Planning'!$C463,Roadmap!$A$4:$A$15,0),99)*100+'Sprint Planning'!$H463+463/100000,"")</f>
        <v/>
      </c>
    </row>
    <row r="464" ht="15" customHeight="1">
      <c r="T464">
        <f>IF(AND('Sprint Planning'!$H464&gt;=10,'Sprint Planning'!$H464&lt;=16),IFERROR(MATCH('Sprint Planning'!$C464,Roadmap!$A$4:$A$15,0),99)*100+'Sprint Planning'!$H464+464/100000,"")</f>
        <v/>
      </c>
    </row>
    <row r="465" ht="15" customHeight="1">
      <c r="T465">
        <f>IF(AND('Sprint Planning'!$H465&gt;=10,'Sprint Planning'!$H465&lt;=16),IFERROR(MATCH('Sprint Planning'!$C465,Roadmap!$A$4:$A$15,0),99)*100+'Sprint Planning'!$H465+465/100000,"")</f>
        <v/>
      </c>
    </row>
    <row r="466" ht="15" customHeight="1">
      <c r="T466">
        <f>IF(AND('Sprint Planning'!$H466&gt;=10,'Sprint Planning'!$H466&lt;=16),IFERROR(MATCH('Sprint Planning'!$C466,Roadmap!$A$4:$A$15,0),99)*100+'Sprint Planning'!$H466+466/100000,"")</f>
        <v/>
      </c>
    </row>
    <row r="467" ht="15" customHeight="1">
      <c r="T467">
        <f>IF(AND('Sprint Planning'!$H467&gt;=10,'Sprint Planning'!$H467&lt;=16),IFERROR(MATCH('Sprint Planning'!$C467,Roadmap!$A$4:$A$15,0),99)*100+'Sprint Planning'!$H467+467/100000,"")</f>
        <v/>
      </c>
    </row>
    <row r="468" ht="15" customHeight="1">
      <c r="T468">
        <f>IF(AND('Sprint Planning'!$H468&gt;=10,'Sprint Planning'!$H468&lt;=16),IFERROR(MATCH('Sprint Planning'!$C468,Roadmap!$A$4:$A$15,0),99)*100+'Sprint Planning'!$H468+468/100000,"")</f>
        <v/>
      </c>
    </row>
    <row r="469" ht="15" customHeight="1">
      <c r="T469">
        <f>IF(AND('Sprint Planning'!$H469&gt;=10,'Sprint Planning'!$H469&lt;=16),IFERROR(MATCH('Sprint Planning'!$C469,Roadmap!$A$4:$A$15,0),99)*100+'Sprint Planning'!$H469+469/100000,"")</f>
        <v/>
      </c>
    </row>
    <row r="470" ht="15" customHeight="1">
      <c r="T470">
        <f>IF(AND('Sprint Planning'!$H470&gt;=10,'Sprint Planning'!$H470&lt;=16),IFERROR(MATCH('Sprint Planning'!$C470,Roadmap!$A$4:$A$15,0),99)*100+'Sprint Planning'!$H470+470/100000,"")</f>
        <v/>
      </c>
    </row>
    <row r="471" ht="15" customHeight="1">
      <c r="T471">
        <f>IF(AND('Sprint Planning'!$H471&gt;=10,'Sprint Planning'!$H471&lt;=16),IFERROR(MATCH('Sprint Planning'!$C471,Roadmap!$A$4:$A$15,0),99)*100+'Sprint Planning'!$H471+471/100000,"")</f>
        <v/>
      </c>
    </row>
    <row r="472" ht="15" customHeight="1">
      <c r="T472">
        <f>IF(AND('Sprint Planning'!$H472&gt;=10,'Sprint Planning'!$H472&lt;=16),IFERROR(MATCH('Sprint Planning'!$C472,Roadmap!$A$4:$A$15,0),99)*100+'Sprint Planning'!$H472+472/100000,"")</f>
        <v/>
      </c>
    </row>
    <row r="473" ht="15" customHeight="1">
      <c r="T473">
        <f>IF(AND('Sprint Planning'!$H473&gt;=10,'Sprint Planning'!$H473&lt;=16),IFERROR(MATCH('Sprint Planning'!$C473,Roadmap!$A$4:$A$15,0),99)*100+'Sprint Planning'!$H473+473/100000,"")</f>
        <v/>
      </c>
    </row>
    <row r="474" ht="15" customHeight="1">
      <c r="T474">
        <f>IF(AND('Sprint Planning'!$H474&gt;=10,'Sprint Planning'!$H474&lt;=16),IFERROR(MATCH('Sprint Planning'!$C474,Roadmap!$A$4:$A$15,0),99)*100+'Sprint Planning'!$H474+474/100000,"")</f>
        <v/>
      </c>
    </row>
    <row r="475" ht="15" customHeight="1">
      <c r="T475">
        <f>IF(AND('Sprint Planning'!$H475&gt;=10,'Sprint Planning'!$H475&lt;=16),IFERROR(MATCH('Sprint Planning'!$C475,Roadmap!$A$4:$A$15,0),99)*100+'Sprint Planning'!$H475+475/100000,"")</f>
        <v/>
      </c>
    </row>
    <row r="476" ht="15" customHeight="1">
      <c r="T476">
        <f>IF(AND('Sprint Planning'!$H476&gt;=10,'Sprint Planning'!$H476&lt;=16),IFERROR(MATCH('Sprint Planning'!$C476,Roadmap!$A$4:$A$15,0),99)*100+'Sprint Planning'!$H476+476/100000,"")</f>
        <v/>
      </c>
    </row>
    <row r="477" ht="15" customHeight="1">
      <c r="T477">
        <f>IF(AND('Sprint Planning'!$H477&gt;=10,'Sprint Planning'!$H477&lt;=16),IFERROR(MATCH('Sprint Planning'!$C477,Roadmap!$A$4:$A$15,0),99)*100+'Sprint Planning'!$H477+477/100000,"")</f>
        <v/>
      </c>
    </row>
    <row r="478" ht="15" customHeight="1">
      <c r="T478">
        <f>IF(AND('Sprint Planning'!$H478&gt;=10,'Sprint Planning'!$H478&lt;=16),IFERROR(MATCH('Sprint Planning'!$C478,Roadmap!$A$4:$A$15,0),99)*100+'Sprint Planning'!$H478+478/100000,"")</f>
        <v/>
      </c>
    </row>
    <row r="479" ht="15" customHeight="1">
      <c r="T479">
        <f>IF(AND('Sprint Planning'!$H479&gt;=10,'Sprint Planning'!$H479&lt;=16),IFERROR(MATCH('Sprint Planning'!$C479,Roadmap!$A$4:$A$15,0),99)*100+'Sprint Planning'!$H479+479/100000,"")</f>
        <v/>
      </c>
    </row>
    <row r="480" ht="15" customHeight="1">
      <c r="T480">
        <f>IF(AND('Sprint Planning'!$H480&gt;=10,'Sprint Planning'!$H480&lt;=16),IFERROR(MATCH('Sprint Planning'!$C480,Roadmap!$A$4:$A$15,0),99)*100+'Sprint Planning'!$H480+480/100000,"")</f>
        <v/>
      </c>
    </row>
    <row r="481" ht="15" customHeight="1">
      <c r="T481">
        <f>IF(AND('Sprint Planning'!$H481&gt;=10,'Sprint Planning'!$H481&lt;=16),IFERROR(MATCH('Sprint Planning'!$C481,Roadmap!$A$4:$A$15,0),99)*100+'Sprint Planning'!$H481+481/100000,"")</f>
        <v/>
      </c>
    </row>
    <row r="482" ht="15" customHeight="1">
      <c r="T482">
        <f>IF(AND('Sprint Planning'!$H482&gt;=10,'Sprint Planning'!$H482&lt;=16),IFERROR(MATCH('Sprint Planning'!$C482,Roadmap!$A$4:$A$15,0),99)*100+'Sprint Planning'!$H482+482/100000,"")</f>
        <v/>
      </c>
    </row>
    <row r="483" ht="15" customHeight="1">
      <c r="T483">
        <f>IF(AND('Sprint Planning'!$H483&gt;=10,'Sprint Planning'!$H483&lt;=16),IFERROR(MATCH('Sprint Planning'!$C483,Roadmap!$A$4:$A$15,0),99)*100+'Sprint Planning'!$H483+483/100000,"")</f>
        <v/>
      </c>
    </row>
    <row r="484" ht="15" customHeight="1">
      <c r="T484">
        <f>IF(AND('Sprint Planning'!$H484&gt;=10,'Sprint Planning'!$H484&lt;=16),IFERROR(MATCH('Sprint Planning'!$C484,Roadmap!$A$4:$A$15,0),99)*100+'Sprint Planning'!$H484+484/100000,"")</f>
        <v/>
      </c>
    </row>
    <row r="485" ht="15" customHeight="1">
      <c r="T485">
        <f>IF(AND('Sprint Planning'!$H485&gt;=10,'Sprint Planning'!$H485&lt;=16),IFERROR(MATCH('Sprint Planning'!$C485,Roadmap!$A$4:$A$15,0),99)*100+'Sprint Planning'!$H485+485/100000,"")</f>
        <v/>
      </c>
    </row>
    <row r="486" ht="15" customHeight="1">
      <c r="T486">
        <f>IF(AND('Sprint Planning'!$H486&gt;=10,'Sprint Planning'!$H486&lt;=16),IFERROR(MATCH('Sprint Planning'!$C486,Roadmap!$A$4:$A$15,0),99)*100+'Sprint Planning'!$H486+486/100000,"")</f>
        <v/>
      </c>
    </row>
    <row r="487" ht="15" customHeight="1">
      <c r="T487">
        <f>IF(AND('Sprint Planning'!$H487&gt;=10,'Sprint Planning'!$H487&lt;=16),IFERROR(MATCH('Sprint Planning'!$C487,Roadmap!$A$4:$A$15,0),99)*100+'Sprint Planning'!$H487+487/100000,"")</f>
        <v/>
      </c>
    </row>
    <row r="488" ht="15" customHeight="1">
      <c r="T488">
        <f>IF(AND('Sprint Planning'!$H488&gt;=10,'Sprint Planning'!$H488&lt;=16),IFERROR(MATCH('Sprint Planning'!$C488,Roadmap!$A$4:$A$15,0),99)*100+'Sprint Planning'!$H488+488/100000,"")</f>
        <v/>
      </c>
    </row>
    <row r="489" ht="15" customHeight="1">
      <c r="T489">
        <f>IF(AND('Sprint Planning'!$H489&gt;=10,'Sprint Planning'!$H489&lt;=16),IFERROR(MATCH('Sprint Planning'!$C489,Roadmap!$A$4:$A$15,0),99)*100+'Sprint Planning'!$H489+489/100000,"")</f>
        <v/>
      </c>
    </row>
    <row r="490" ht="15" customHeight="1">
      <c r="T490">
        <f>IF(AND('Sprint Planning'!$H490&gt;=10,'Sprint Planning'!$H490&lt;=16),IFERROR(MATCH('Sprint Planning'!$C490,Roadmap!$A$4:$A$15,0),99)*100+'Sprint Planning'!$H490+490/100000,"")</f>
        <v/>
      </c>
    </row>
    <row r="491" ht="15" customHeight="1">
      <c r="T491">
        <f>IF(AND('Sprint Planning'!$H491&gt;=10,'Sprint Planning'!$H491&lt;=16),IFERROR(MATCH('Sprint Planning'!$C491,Roadmap!$A$4:$A$15,0),99)*100+'Sprint Planning'!$H491+491/100000,"")</f>
        <v/>
      </c>
    </row>
    <row r="492" ht="15" customHeight="1">
      <c r="T492">
        <f>IF(AND('Sprint Planning'!$H492&gt;=10,'Sprint Planning'!$H492&lt;=16),IFERROR(MATCH('Sprint Planning'!$C492,Roadmap!$A$4:$A$15,0),99)*100+'Sprint Planning'!$H492+492/100000,"")</f>
        <v/>
      </c>
    </row>
    <row r="493" ht="15" customHeight="1">
      <c r="T493">
        <f>IF(AND('Sprint Planning'!$H493&gt;=10,'Sprint Planning'!$H493&lt;=16),IFERROR(MATCH('Sprint Planning'!$C493,Roadmap!$A$4:$A$15,0),99)*100+'Sprint Planning'!$H493+493/100000,"")</f>
        <v/>
      </c>
    </row>
    <row r="494" ht="15" customHeight="1">
      <c r="T494">
        <f>IF(AND('Sprint Planning'!$H494&gt;=10,'Sprint Planning'!$H494&lt;=16),IFERROR(MATCH('Sprint Planning'!$C494,Roadmap!$A$4:$A$15,0),99)*100+'Sprint Planning'!$H494+494/100000,"")</f>
        <v/>
      </c>
    </row>
    <row r="495" ht="15" customHeight="1">
      <c r="T495">
        <f>IF(AND('Sprint Planning'!$H495&gt;=10,'Sprint Planning'!$H495&lt;=16),IFERROR(MATCH('Sprint Planning'!$C495,Roadmap!$A$4:$A$15,0),99)*100+'Sprint Planning'!$H495+495/100000,"")</f>
        <v/>
      </c>
    </row>
    <row r="496" ht="15" customHeight="1">
      <c r="T496">
        <f>IF(AND('Sprint Planning'!$H496&gt;=10,'Sprint Planning'!$H496&lt;=16),IFERROR(MATCH('Sprint Planning'!$C496,Roadmap!$A$4:$A$15,0),99)*100+'Sprint Planning'!$H496+496/100000,"")</f>
        <v/>
      </c>
    </row>
    <row r="497" ht="15" customHeight="1">
      <c r="T497">
        <f>IF(AND('Sprint Planning'!$H497&gt;=10,'Sprint Planning'!$H497&lt;=16),IFERROR(MATCH('Sprint Planning'!$C497,Roadmap!$A$4:$A$15,0),99)*100+'Sprint Planning'!$H497+497/100000,"")</f>
        <v/>
      </c>
    </row>
    <row r="498" ht="15" customHeight="1">
      <c r="T498">
        <f>IF(AND('Sprint Planning'!$H498&gt;=10,'Sprint Planning'!$H498&lt;=16),IFERROR(MATCH('Sprint Planning'!$C498,Roadmap!$A$4:$A$15,0),99)*100+'Sprint Planning'!$H498+498/100000,"")</f>
        <v/>
      </c>
    </row>
    <row r="499" ht="15" customHeight="1">
      <c r="T499">
        <f>IF(AND('Sprint Planning'!$H499&gt;=10,'Sprint Planning'!$H499&lt;=16),IFERROR(MATCH('Sprint Planning'!$C499,Roadmap!$A$4:$A$15,0),99)*100+'Sprint Planning'!$H499+499/100000,"")</f>
        <v/>
      </c>
    </row>
    <row r="500" ht="15" customHeight="1">
      <c r="T500">
        <f>IF(AND('Sprint Planning'!$H500&gt;=10,'Sprint Planning'!$H500&lt;=16),IFERROR(MATCH('Sprint Planning'!$C500,Roadmap!$A$4:$A$15,0),99)*100+'Sprint Planning'!$H500+500/100000,"")</f>
        <v/>
      </c>
    </row>
  </sheetData>
  <mergeCells count="1">
    <mergeCell ref="A1:R1"/>
  </mergeCells>
  <conditionalFormatting sqref="A21:J100">
    <cfRule type="expression" priority="10" dxfId="7">
      <formula>$A21="US"</formula>
    </cfRule>
    <cfRule type="expression" priority="11" dxfId="6">
      <formula>$A21="MyMSC"</formula>
    </cfRule>
    <cfRule type="expression" priority="12" dxfId="4">
      <formula>$A21="Rollout"</formula>
    </cfRule>
    <cfRule type="expression" priority="13" dxfId="4">
      <formula>$A21="MVP Rollout"</formula>
    </cfRule>
    <cfRule type="expression" priority="14" dxfId="2">
      <formula>$A21="Backlog"</formula>
    </cfRule>
    <cfRule type="expression" priority="15" dxfId="2">
      <formula>$A21="Growth"</formula>
    </cfRule>
    <cfRule type="expression" priority="16" dxfId="1">
      <formula>$A21="Tech Enhancements"</formula>
    </cfRule>
    <cfRule type="expression" priority="17" dxfId="0">
      <formula>LEFT($A21,2)="PI"</formula>
    </cfRule>
  </conditionalFormatting>
  <conditionalFormatting sqref="A4:R15">
    <cfRule type="expression" priority="2" dxfId="7">
      <formula>$A4="US"</formula>
    </cfRule>
    <cfRule type="expression" priority="3" dxfId="6">
      <formula>$A4="MyMSC"</formula>
    </cfRule>
    <cfRule type="expression" priority="4" dxfId="4">
      <formula>$A4="Rollout"</formula>
    </cfRule>
    <cfRule type="expression" priority="5" dxfId="4">
      <formula>$A4="MVP Rollout"</formula>
    </cfRule>
    <cfRule type="expression" priority="6" dxfId="2">
      <formula>$A4="Backlog"</formula>
    </cfRule>
    <cfRule type="expression" priority="7" dxfId="2">
      <formula>$A4="Growth"</formula>
    </cfRule>
    <cfRule type="expression" priority="8" dxfId="1">
      <formula>$A4="Tech Enhancements"</formula>
    </cfRule>
    <cfRule type="expression" priority="9" dxfId="0">
      <formula>LEFT($A4,2)="PI"</formula>
    </cfRule>
  </conditionalFormatting>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P186"/>
  <sheetViews>
    <sheetView zoomScaleNormal="100" workbookViewId="0">
      <pane ySplit="1" topLeftCell="A2" activePane="bottomLeft" state="frozen"/>
      <selection pane="bottomLeft" activeCell="G8" sqref="G8"/>
    </sheetView>
  </sheetViews>
  <sheetFormatPr baseColWidth="10" defaultColWidth="8.6640625" defaultRowHeight="15"/>
  <cols>
    <col width="16" customWidth="1" min="1" max="1"/>
    <col width="93" customWidth="1" min="2" max="2"/>
    <col width="12" customWidth="1" min="3" max="3"/>
    <col width="14" customWidth="1" min="4" max="5"/>
    <col width="12" customWidth="1" min="6" max="6"/>
    <col width="14" customWidth="1" min="7" max="7"/>
    <col width="8" customWidth="1" min="8" max="8"/>
    <col width="14" customWidth="1" min="10" max="10"/>
    <col width="12" customWidth="1" min="11" max="12"/>
    <col width="14" customWidth="1" min="13" max="15"/>
    <col width="16" customWidth="1" min="16" max="16"/>
  </cols>
  <sheetData>
    <row r="1" ht="30" customHeight="1">
      <c r="A1" s="19" t="inlineStr">
        <is>
          <t>Requirement ID</t>
        </is>
      </c>
      <c r="B1" s="20" t="inlineStr">
        <is>
          <t>Requirement Name</t>
        </is>
      </c>
      <c r="C1" s="20" t="inlineStr">
        <is>
          <t>Stream</t>
        </is>
      </c>
      <c r="D1" s="20" t="inlineStr">
        <is>
          <t>Sprint</t>
        </is>
      </c>
      <c r="E1" s="20" t="inlineStr">
        <is>
          <t>Status</t>
        </is>
      </c>
      <c r="F1" s="20" t="inlineStr">
        <is>
          <t>Priority</t>
        </is>
      </c>
      <c r="G1" s="19" t="inlineStr">
        <is>
          <t>Release</t>
        </is>
      </c>
      <c r="H1" s="20" t="inlineStr">
        <is>
          <t>HLE</t>
        </is>
      </c>
      <c r="I1" s="53" t="n"/>
      <c r="J1" s="1" t="inlineStr">
        <is>
          <t>Breakdown by Release</t>
        </is>
      </c>
    </row>
    <row r="2" ht="15" customHeight="1">
      <c r="A2" s="21" t="inlineStr">
        <is>
          <t>NEW-0090</t>
        </is>
      </c>
      <c r="B2" s="23">
        <f>IFERROR(IF(ISBLANK(INDEX(Backlog[Requirement Name],MATCH($A2,Backlog[Requirement ID],0))),"",INDEX(Backlog[Requirement Name],MATCH($A2,Backlog[Requirement ID],0))),"")</f>
        <v/>
      </c>
      <c r="C2" s="23">
        <f>IFERROR(IF(ISBLANK(INDEX(Backlog[Stream],MATCH($A2,Backlog[Requirement ID],0))),"",INDEX(Backlog[Stream],MATCH($A2,Backlog[Requirement ID],0))),"")</f>
        <v/>
      </c>
      <c r="D2" s="23">
        <f>IFERROR(IF(ISBLANK(INDEX(SprintPlanning[Sprint],MATCH($A2,SprintPlanning[Requirement ID],0))),"",INDEX(SprintPlanning[Sprint],MATCH($A2,SprintPlanning[Requirement ID],0))),"")</f>
        <v/>
      </c>
      <c r="E2" s="23">
        <f>IFERROR(IF(ISBLANK(INDEX(Backlog[Status],MATCH($A2,Backlog[Requirement ID],0))),"",INDEX(Backlog[Status],MATCH($A2,Backlog[Requirement ID],0))),"")</f>
        <v/>
      </c>
      <c r="F2" s="23">
        <f>IFERROR(IF(ISBLANK(INDEX(Backlog[Priority],MATCH($A2,Backlog[Requirement ID],0))),"",INDEX(Backlog[Priority],MATCH($A2,Backlog[Requirement ID],0))),"")</f>
        <v/>
      </c>
      <c r="G2" s="21" t="inlineStr">
        <is>
          <t>Release 18</t>
        </is>
      </c>
      <c r="H2" s="23">
        <f>IFERROR(IF(ISBLANK(INDEX(Backlog[HLE],MATCH($A2,Backlog[Requirement ID],0))),"",INDEX(Backlog[HLE],MATCH($A2,Backlog[Requirement ID],0))),"")</f>
        <v/>
      </c>
      <c r="I2" s="53" t="n"/>
      <c r="J2" s="54" t="inlineStr">
        <is>
          <t>Release</t>
        </is>
      </c>
      <c r="K2" s="49" t="inlineStr">
        <is>
          <t>Item Count</t>
        </is>
      </c>
      <c r="L2" s="49" t="inlineStr">
        <is>
          <t>Total HLE</t>
        </is>
      </c>
      <c r="M2" s="35" t="inlineStr">
        <is>
          <t>Production Date</t>
        </is>
      </c>
      <c r="N2" s="35" t="inlineStr">
        <is>
          <t>Cutoff Date</t>
        </is>
      </c>
      <c r="O2" s="35" t="inlineStr">
        <is>
          <t>Status</t>
        </is>
      </c>
      <c r="P2" s="35" t="inlineStr">
        <is>
          <t>Service Now CR ID</t>
        </is>
      </c>
    </row>
    <row r="3" ht="15" customHeight="1">
      <c r="A3" s="21" t="inlineStr">
        <is>
          <t>NEW-0235</t>
        </is>
      </c>
      <c r="B3" s="23">
        <f>IFERROR(IF(ISBLANK(INDEX(Backlog[Requirement Name],MATCH($A3,Backlog[Requirement ID],0))),"",INDEX(Backlog[Requirement Name],MATCH($A3,Backlog[Requirement ID],0))),"")</f>
        <v/>
      </c>
      <c r="C3" s="23">
        <f>IFERROR(IF(ISBLANK(INDEX(Backlog[Stream],MATCH($A3,Backlog[Requirement ID],0))),"",INDEX(Backlog[Stream],MATCH($A3,Backlog[Requirement ID],0))),"")</f>
        <v/>
      </c>
      <c r="D3" s="23">
        <f>IFERROR(IF(ISBLANK(INDEX(SprintPlanning[Sprint],MATCH($A3,SprintPlanning[Requirement ID],0))),"",INDEX(SprintPlanning[Sprint],MATCH($A3,SprintPlanning[Requirement ID],0))),"")</f>
        <v/>
      </c>
      <c r="E3" s="23">
        <f>IFERROR(IF(ISBLANK(INDEX(Backlog[Status],MATCH($A3,Backlog[Requirement ID],0))),"",INDEX(Backlog[Status],MATCH($A3,Backlog[Requirement ID],0))),"")</f>
        <v/>
      </c>
      <c r="F3" s="23">
        <f>IFERROR(IF(ISBLANK(INDEX(Backlog[Priority],MATCH($A3,Backlog[Requirement ID],0))),"",INDEX(Backlog[Priority],MATCH($A3,Backlog[Requirement ID],0))),"")</f>
        <v/>
      </c>
      <c r="G3" s="21" t="inlineStr">
        <is>
          <t>Release 5B</t>
        </is>
      </c>
      <c r="H3" s="23">
        <f>IFERROR(IF(ISBLANK(INDEX(Backlog[HLE],MATCH($A3,Backlog[Requirement ID],0))),"",INDEX(Backlog[HLE],MATCH($A3,Backlog[Requirement ID],0))),"")</f>
        <v/>
      </c>
      <c r="I3" s="53" t="n"/>
      <c r="J3" s="55" t="inlineStr">
        <is>
          <t>Release 5</t>
        </is>
      </c>
      <c r="K3" s="32">
        <f>COUNTIFS(Release[Release],J3)</f>
        <v/>
      </c>
      <c r="L3" s="32">
        <f>SUMIFS(Release[HLE],Release[Release],J3)</f>
        <v/>
      </c>
      <c r="M3" s="56" t="n"/>
      <c r="N3" s="56" t="n"/>
    </row>
    <row r="4" ht="15" customHeight="1">
      <c r="A4" s="21" t="inlineStr">
        <is>
          <t>NEW-0237</t>
        </is>
      </c>
      <c r="B4" s="23">
        <f>IFERROR(IF(ISBLANK(INDEX(Backlog[Requirement Name],MATCH($A4,Backlog[Requirement ID],0))),"",INDEX(Backlog[Requirement Name],MATCH($A4,Backlog[Requirement ID],0))),"")</f>
        <v/>
      </c>
      <c r="C4" s="23">
        <f>IFERROR(IF(ISBLANK(INDEX(Backlog[Stream],MATCH($A4,Backlog[Requirement ID],0))),"",INDEX(Backlog[Stream],MATCH($A4,Backlog[Requirement ID],0))),"")</f>
        <v/>
      </c>
      <c r="D4" s="23">
        <f>IFERROR(IF(ISBLANK(INDEX(SprintPlanning[Sprint],MATCH($A4,SprintPlanning[Requirement ID],0))),"",INDEX(SprintPlanning[Sprint],MATCH($A4,SprintPlanning[Requirement ID],0))),"")</f>
        <v/>
      </c>
      <c r="E4" s="23">
        <f>IFERROR(IF(ISBLANK(INDEX(Backlog[Status],MATCH($A4,Backlog[Requirement ID],0))),"",INDEX(Backlog[Status],MATCH($A4,Backlog[Requirement ID],0))),"")</f>
        <v/>
      </c>
      <c r="F4" s="23">
        <f>IFERROR(IF(ISBLANK(INDEX(Backlog[Priority],MATCH($A4,Backlog[Requirement ID],0))),"",INDEX(Backlog[Priority],MATCH($A4,Backlog[Requirement ID],0))),"")</f>
        <v/>
      </c>
      <c r="G4" s="21" t="inlineStr">
        <is>
          <t>Release 19</t>
        </is>
      </c>
      <c r="H4" s="23">
        <f>IFERROR(IF(ISBLANK(INDEX(Backlog[HLE],MATCH($A4,Backlog[Requirement ID],0))),"",INDEX(Backlog[HLE],MATCH($A4,Backlog[Requirement ID],0))),"")</f>
        <v/>
      </c>
      <c r="I4" s="53" t="n"/>
      <c r="J4" s="55" t="inlineStr">
        <is>
          <t>Release 5A</t>
        </is>
      </c>
      <c r="K4" s="32">
        <f>COUNTIFS(Release[Release],J4)</f>
        <v/>
      </c>
      <c r="L4" s="32">
        <f>SUMIFS(Release[HLE],Release[Release],J4)</f>
        <v/>
      </c>
      <c r="M4" s="56" t="n"/>
      <c r="N4" s="56" t="n"/>
    </row>
    <row r="5" ht="15" customHeight="1">
      <c r="A5" s="21" t="inlineStr">
        <is>
          <t>NEW-0238</t>
        </is>
      </c>
      <c r="B5" s="23">
        <f>IFERROR(IF(ISBLANK(INDEX(Backlog[Requirement Name],MATCH($A5,Backlog[Requirement ID],0))),"",INDEX(Backlog[Requirement Name],MATCH($A5,Backlog[Requirement ID],0))),"")</f>
        <v/>
      </c>
      <c r="C5" s="23">
        <f>IFERROR(IF(ISBLANK(INDEX(Backlog[Stream],MATCH($A5,Backlog[Requirement ID],0))),"",INDEX(Backlog[Stream],MATCH($A5,Backlog[Requirement ID],0))),"")</f>
        <v/>
      </c>
      <c r="D5" s="23">
        <f>IFERROR(IF(ISBLANK(INDEX(SprintPlanning[Sprint],MATCH($A5,SprintPlanning[Requirement ID],0))),"",INDEX(SprintPlanning[Sprint],MATCH($A5,SprintPlanning[Requirement ID],0))),"")</f>
        <v/>
      </c>
      <c r="E5" s="23">
        <f>IFERROR(IF(ISBLANK(INDEX(Backlog[Status],MATCH($A5,Backlog[Requirement ID],0))),"",INDEX(Backlog[Status],MATCH($A5,Backlog[Requirement ID],0))),"")</f>
        <v/>
      </c>
      <c r="F5" s="23">
        <f>IFERROR(IF(ISBLANK(INDEX(Backlog[Priority],MATCH($A5,Backlog[Requirement ID],0))),"",INDEX(Backlog[Priority],MATCH($A5,Backlog[Requirement ID],0))),"")</f>
        <v/>
      </c>
      <c r="G5" s="21" t="inlineStr">
        <is>
          <t>Release 19</t>
        </is>
      </c>
      <c r="H5" s="23">
        <f>IFERROR(IF(ISBLANK(INDEX(Backlog[HLE],MATCH($A5,Backlog[Requirement ID],0))),"",INDEX(Backlog[HLE],MATCH($A5,Backlog[Requirement ID],0))),"")</f>
        <v/>
      </c>
      <c r="I5" s="53" t="n"/>
      <c r="J5" s="55" t="inlineStr">
        <is>
          <t>Release 5B</t>
        </is>
      </c>
      <c r="K5" s="32">
        <f>COUNTIFS(Release[Release],J5)</f>
        <v/>
      </c>
      <c r="L5" s="32">
        <f>SUMIFS(Release[HLE],Release[Release],J5)</f>
        <v/>
      </c>
      <c r="M5" s="56" t="n"/>
      <c r="N5" s="56" t="n"/>
    </row>
    <row r="6" ht="15" customHeight="1">
      <c r="A6" s="21" t="inlineStr">
        <is>
          <t>NEW-0329</t>
        </is>
      </c>
      <c r="B6" s="23">
        <f>IFERROR(IF(ISBLANK(INDEX(Backlog[Requirement Name],MATCH($A6,Backlog[Requirement ID],0))),"",INDEX(Backlog[Requirement Name],MATCH($A6,Backlog[Requirement ID],0))),"")</f>
        <v/>
      </c>
      <c r="C6" s="23">
        <f>IFERROR(IF(ISBLANK(INDEX(Backlog[Stream],MATCH($A6,Backlog[Requirement ID],0))),"",INDEX(Backlog[Stream],MATCH($A6,Backlog[Requirement ID],0))),"")</f>
        <v/>
      </c>
      <c r="D6" s="23">
        <f>IFERROR(IF(ISBLANK(INDEX(SprintPlanning[Sprint],MATCH($A6,SprintPlanning[Requirement ID],0))),"",INDEX(SprintPlanning[Sprint],MATCH($A6,SprintPlanning[Requirement ID],0))),"")</f>
        <v/>
      </c>
      <c r="E6" s="23">
        <f>IFERROR(IF(ISBLANK(INDEX(Backlog[Status],MATCH($A6,Backlog[Requirement ID],0))),"",INDEX(Backlog[Status],MATCH($A6,Backlog[Requirement ID],0))),"")</f>
        <v/>
      </c>
      <c r="F6" s="23">
        <f>IFERROR(IF(ISBLANK(INDEX(Backlog[Priority],MATCH($A6,Backlog[Requirement ID],0))),"",INDEX(Backlog[Priority],MATCH($A6,Backlog[Requirement ID],0))),"")</f>
        <v/>
      </c>
      <c r="G6" s="21" t="inlineStr">
        <is>
          <t>Release 5A</t>
        </is>
      </c>
      <c r="H6" s="23">
        <f>IFERROR(IF(ISBLANK(INDEX(Backlog[HLE],MATCH($A6,Backlog[Requirement ID],0))),"",INDEX(Backlog[HLE],MATCH($A6,Backlog[Requirement ID],0))),"")</f>
        <v/>
      </c>
      <c r="I6" s="53" t="n"/>
      <c r="J6" s="55" t="inlineStr">
        <is>
          <t>Release 5B (Hotfix)</t>
        </is>
      </c>
      <c r="K6" s="32">
        <f>COUNTIFS(Release[Release],J6)</f>
        <v/>
      </c>
      <c r="L6" s="32">
        <f>SUMIFS(Release[HLE],Release[Release],J6)</f>
        <v/>
      </c>
      <c r="M6" s="56" t="n"/>
      <c r="N6" s="56" t="n"/>
    </row>
    <row r="7" ht="15" customHeight="1">
      <c r="A7" s="21" t="inlineStr">
        <is>
          <t>NEW-0336</t>
        </is>
      </c>
      <c r="B7" s="23">
        <f>IFERROR(IF(ISBLANK(INDEX(Backlog[Requirement Name],MATCH($A7,Backlog[Requirement ID],0))),"",INDEX(Backlog[Requirement Name],MATCH($A7,Backlog[Requirement ID],0))),"")</f>
        <v/>
      </c>
      <c r="C7" s="23">
        <f>IFERROR(IF(ISBLANK(INDEX(Backlog[Stream],MATCH($A7,Backlog[Requirement ID],0))),"",INDEX(Backlog[Stream],MATCH($A7,Backlog[Requirement ID],0))),"")</f>
        <v/>
      </c>
      <c r="D7" s="23">
        <f>IFERROR(IF(ISBLANK(INDEX(SprintPlanning[Sprint],MATCH($A7,SprintPlanning[Requirement ID],0))),"",INDEX(SprintPlanning[Sprint],MATCH($A7,SprintPlanning[Requirement ID],0))),"")</f>
        <v/>
      </c>
      <c r="E7" s="23">
        <f>IFERROR(IF(ISBLANK(INDEX(Backlog[Status],MATCH($A7,Backlog[Requirement ID],0))),"",INDEX(Backlog[Status],MATCH($A7,Backlog[Requirement ID],0))),"")</f>
        <v/>
      </c>
      <c r="F7" s="23">
        <f>IFERROR(IF(ISBLANK(INDEX(Backlog[Priority],MATCH($A7,Backlog[Requirement ID],0))),"",INDEX(Backlog[Priority],MATCH($A7,Backlog[Requirement ID],0))),"")</f>
        <v/>
      </c>
      <c r="G7" s="21" t="inlineStr">
        <is>
          <t>Release 7</t>
        </is>
      </c>
      <c r="H7" s="23">
        <f>IFERROR(IF(ISBLANK(INDEX(Backlog[HLE],MATCH($A7,Backlog[Requirement ID],0))),"",INDEX(Backlog[HLE],MATCH($A7,Backlog[Requirement ID],0))),"")</f>
        <v/>
      </c>
      <c r="I7" s="53" t="n"/>
      <c r="J7" s="55" t="inlineStr">
        <is>
          <t>Release 5C</t>
        </is>
      </c>
      <c r="K7" s="32">
        <f>COUNTIFS(Release[Release],J7)</f>
        <v/>
      </c>
      <c r="L7" s="32">
        <f>SUMIFS(Release[HLE],Release[Release],J7)</f>
        <v/>
      </c>
      <c r="M7" s="56" t="n"/>
      <c r="N7" s="56" t="n"/>
    </row>
    <row r="8" ht="15" customHeight="1">
      <c r="A8" s="21" t="inlineStr">
        <is>
          <t>NEW-0372</t>
        </is>
      </c>
      <c r="B8" s="23">
        <f>IFERROR(IF(ISBLANK(INDEX(Backlog[Requirement Name],MATCH($A8,Backlog[Requirement ID],0))),"",INDEX(Backlog[Requirement Name],MATCH($A8,Backlog[Requirement ID],0))),"")</f>
        <v/>
      </c>
      <c r="C8" s="23">
        <f>IFERROR(IF(ISBLANK(INDEX(Backlog[Stream],MATCH($A8,Backlog[Requirement ID],0))),"",INDEX(Backlog[Stream],MATCH($A8,Backlog[Requirement ID],0))),"")</f>
        <v/>
      </c>
      <c r="D8" s="23">
        <f>IFERROR(IF(ISBLANK(INDEX(SprintPlanning[Sprint],MATCH($A8,SprintPlanning[Requirement ID],0))),"",INDEX(SprintPlanning[Sprint],MATCH($A8,SprintPlanning[Requirement ID],0))),"")</f>
        <v/>
      </c>
      <c r="E8" s="23">
        <f>IFERROR(IF(ISBLANK(INDEX(Backlog[Status],MATCH($A8,Backlog[Requirement ID],0))),"",INDEX(Backlog[Status],MATCH($A8,Backlog[Requirement ID],0))),"")</f>
        <v/>
      </c>
      <c r="F8" s="23">
        <f>IFERROR(IF(ISBLANK(INDEX(Backlog[Priority],MATCH($A8,Backlog[Requirement ID],0))),"",INDEX(Backlog[Priority],MATCH($A8,Backlog[Requirement ID],0))),"")</f>
        <v/>
      </c>
      <c r="G8" s="21" t="n"/>
      <c r="H8" s="23">
        <f>IFERROR(IF(ISBLANK(INDEX(Backlog[HLE],MATCH($A8,Backlog[Requirement ID],0))),"",INDEX(Backlog[HLE],MATCH($A8,Backlog[Requirement ID],0))),"")</f>
        <v/>
      </c>
      <c r="I8" s="53" t="n"/>
      <c r="J8" s="55" t="inlineStr">
        <is>
          <t>Release 6</t>
        </is>
      </c>
      <c r="K8" s="32">
        <f>COUNTIFS(Release[Release],J8)</f>
        <v/>
      </c>
      <c r="L8" s="32">
        <f>SUMIFS(Release[HLE],Release[Release],J8)</f>
        <v/>
      </c>
      <c r="M8" s="56" t="n"/>
      <c r="N8" s="56" t="n"/>
    </row>
    <row r="9" ht="15" customHeight="1">
      <c r="A9" s="21" t="inlineStr">
        <is>
          <t>NEW-0379</t>
        </is>
      </c>
      <c r="B9" s="23">
        <f>IFERROR(IF(ISBLANK(INDEX(Backlog[Requirement Name],MATCH($A9,Backlog[Requirement ID],0))),"",INDEX(Backlog[Requirement Name],MATCH($A9,Backlog[Requirement ID],0))),"")</f>
        <v/>
      </c>
      <c r="C9" s="23">
        <f>IFERROR(IF(ISBLANK(INDEX(Backlog[Stream],MATCH($A9,Backlog[Requirement ID],0))),"",INDEX(Backlog[Stream],MATCH($A9,Backlog[Requirement ID],0))),"")</f>
        <v/>
      </c>
      <c r="D9" s="23">
        <f>IFERROR(IF(ISBLANK(INDEX(SprintPlanning[Sprint],MATCH($A9,SprintPlanning[Requirement ID],0))),"",INDEX(SprintPlanning[Sprint],MATCH($A9,SprintPlanning[Requirement ID],0))),"")</f>
        <v/>
      </c>
      <c r="E9" s="23">
        <f>IFERROR(IF(ISBLANK(INDEX(Backlog[Status],MATCH($A9,Backlog[Requirement ID],0))),"",INDEX(Backlog[Status],MATCH($A9,Backlog[Requirement ID],0))),"")</f>
        <v/>
      </c>
      <c r="F9" s="23">
        <f>IFERROR(IF(ISBLANK(INDEX(Backlog[Priority],MATCH($A9,Backlog[Requirement ID],0))),"",INDEX(Backlog[Priority],MATCH($A9,Backlog[Requirement ID],0))),"")</f>
        <v/>
      </c>
      <c r="G9" s="21" t="n"/>
      <c r="H9" s="23">
        <f>IFERROR(IF(ISBLANK(INDEX(Backlog[HLE],MATCH($A9,Backlog[Requirement ID],0))),"",INDEX(Backlog[HLE],MATCH($A9,Backlog[Requirement ID],0))),"")</f>
        <v/>
      </c>
      <c r="I9" s="53" t="n"/>
      <c r="J9" s="55" t="inlineStr">
        <is>
          <t>Release 7</t>
        </is>
      </c>
      <c r="K9" s="32">
        <f>COUNTIFS(Release[Release],J9)</f>
        <v/>
      </c>
      <c r="L9" s="32">
        <f>SUMIFS(Release[HLE],Release[Release],J9)</f>
        <v/>
      </c>
      <c r="M9" s="56" t="n"/>
      <c r="N9" s="56" t="n"/>
    </row>
    <row r="10" ht="15" customHeight="1">
      <c r="A10" s="21" t="inlineStr">
        <is>
          <t>NEW-0381</t>
        </is>
      </c>
      <c r="B10" s="23">
        <f>IFERROR(IF(ISBLANK(INDEX(Backlog[Requirement Name],MATCH($A10,Backlog[Requirement ID],0))),"",INDEX(Backlog[Requirement Name],MATCH($A10,Backlog[Requirement ID],0))),"")</f>
        <v/>
      </c>
      <c r="C10" s="23">
        <f>IFERROR(IF(ISBLANK(INDEX(Backlog[Stream],MATCH($A10,Backlog[Requirement ID],0))),"",INDEX(Backlog[Stream],MATCH($A10,Backlog[Requirement ID],0))),"")</f>
        <v/>
      </c>
      <c r="D10" s="23">
        <f>IFERROR(IF(ISBLANK(INDEX(SprintPlanning[Sprint],MATCH($A10,SprintPlanning[Requirement ID],0))),"",INDEX(SprintPlanning[Sprint],MATCH($A10,SprintPlanning[Requirement ID],0))),"")</f>
        <v/>
      </c>
      <c r="E10" s="23">
        <f>IFERROR(IF(ISBLANK(INDEX(Backlog[Status],MATCH($A10,Backlog[Requirement ID],0))),"",INDEX(Backlog[Status],MATCH($A10,Backlog[Requirement ID],0))),"")</f>
        <v/>
      </c>
      <c r="F10" s="23">
        <f>IFERROR(IF(ISBLANK(INDEX(Backlog[Priority],MATCH($A10,Backlog[Requirement ID],0))),"",INDEX(Backlog[Priority],MATCH($A10,Backlog[Requirement ID],0))),"")</f>
        <v/>
      </c>
      <c r="G10" s="21" t="n"/>
      <c r="H10" s="23">
        <f>IFERROR(IF(ISBLANK(INDEX(Backlog[HLE],MATCH($A10,Backlog[Requirement ID],0))),"",INDEX(Backlog[HLE],MATCH($A10,Backlog[Requirement ID],0))),"")</f>
        <v/>
      </c>
      <c r="I10" s="53" t="n"/>
      <c r="J10" s="55" t="inlineStr">
        <is>
          <t>Release 7A (Hotfix)</t>
        </is>
      </c>
      <c r="K10" s="32">
        <f>COUNTIFS(Release[Release],J10)</f>
        <v/>
      </c>
      <c r="L10" s="32">
        <f>SUMIFS(Release[HLE],Release[Release],J10)</f>
        <v/>
      </c>
      <c r="M10" s="56" t="n"/>
      <c r="N10" s="56" t="n"/>
    </row>
    <row r="11" ht="15" customHeight="1">
      <c r="A11" s="21" t="inlineStr">
        <is>
          <t>NEW-0391</t>
        </is>
      </c>
      <c r="B11" s="23">
        <f>IFERROR(IF(ISBLANK(INDEX(Backlog[Requirement Name],MATCH($A11,Backlog[Requirement ID],0))),"",INDEX(Backlog[Requirement Name],MATCH($A11,Backlog[Requirement ID],0))),"")</f>
        <v/>
      </c>
      <c r="C11" s="23">
        <f>IFERROR(IF(ISBLANK(INDEX(Backlog[Stream],MATCH($A11,Backlog[Requirement ID],0))),"",INDEX(Backlog[Stream],MATCH($A11,Backlog[Requirement ID],0))),"")</f>
        <v/>
      </c>
      <c r="D11" s="23">
        <f>IFERROR(IF(ISBLANK(INDEX(SprintPlanning[Sprint],MATCH($A11,SprintPlanning[Requirement ID],0))),"",INDEX(SprintPlanning[Sprint],MATCH($A11,SprintPlanning[Requirement ID],0))),"")</f>
        <v/>
      </c>
      <c r="E11" s="23">
        <f>IFERROR(IF(ISBLANK(INDEX(Backlog[Status],MATCH($A11,Backlog[Requirement ID],0))),"",INDEX(Backlog[Status],MATCH($A11,Backlog[Requirement ID],0))),"")</f>
        <v/>
      </c>
      <c r="F11" s="23">
        <f>IFERROR(IF(ISBLANK(INDEX(Backlog[Priority],MATCH($A11,Backlog[Requirement ID],0))),"",INDEX(Backlog[Priority],MATCH($A11,Backlog[Requirement ID],0))),"")</f>
        <v/>
      </c>
      <c r="G11" s="21" t="n"/>
      <c r="H11" s="23">
        <f>IFERROR(IF(ISBLANK(INDEX(Backlog[HLE],MATCH($A11,Backlog[Requirement ID],0))),"",INDEX(Backlog[HLE],MATCH($A11,Backlog[Requirement ID],0))),"")</f>
        <v/>
      </c>
      <c r="I11" s="53" t="n"/>
      <c r="J11" s="55" t="inlineStr">
        <is>
          <t>Release 7B (Hotfix)</t>
        </is>
      </c>
      <c r="K11" s="32">
        <f>COUNTIFS(Release[Release],J11)</f>
        <v/>
      </c>
      <c r="L11" s="32">
        <f>SUMIFS(Release[HLE],Release[Release],J11)</f>
        <v/>
      </c>
      <c r="M11" s="56" t="n"/>
      <c r="N11" s="56" t="n"/>
    </row>
    <row r="12" ht="15" customHeight="1">
      <c r="A12" s="21" t="inlineStr">
        <is>
          <t>NEW-0093</t>
        </is>
      </c>
      <c r="B12" s="23">
        <f>IFERROR(IF(ISBLANK(INDEX(Backlog[Requirement Name],MATCH($A12,Backlog[Requirement ID],0))),"",INDEX(Backlog[Requirement Name],MATCH($A12,Backlog[Requirement ID],0))),"")</f>
        <v/>
      </c>
      <c r="C12" s="23">
        <f>IFERROR(IF(ISBLANK(INDEX(Backlog[Stream],MATCH($A12,Backlog[Requirement ID],0))),"",INDEX(Backlog[Stream],MATCH($A12,Backlog[Requirement ID],0))),"")</f>
        <v/>
      </c>
      <c r="D12" s="23">
        <f>IFERROR(IF(ISBLANK(INDEX(SprintPlanning[Sprint],MATCH($A12,SprintPlanning[Requirement ID],0))),"",INDEX(SprintPlanning[Sprint],MATCH($A12,SprintPlanning[Requirement ID],0))),"")</f>
        <v/>
      </c>
      <c r="E12" s="23">
        <f>IFERROR(IF(ISBLANK(INDEX(Backlog[Status],MATCH($A12,Backlog[Requirement ID],0))),"",INDEX(Backlog[Status],MATCH($A12,Backlog[Requirement ID],0))),"")</f>
        <v/>
      </c>
      <c r="F12" s="23">
        <f>IFERROR(IF(ISBLANK(INDEX(Backlog[Priority],MATCH($A12,Backlog[Requirement ID],0))),"",INDEX(Backlog[Priority],MATCH($A12,Backlog[Requirement ID],0))),"")</f>
        <v/>
      </c>
      <c r="G12" s="21" t="inlineStr">
        <is>
          <t>Release 19</t>
        </is>
      </c>
      <c r="H12" s="23">
        <f>IFERROR(IF(ISBLANK(INDEX(Backlog[HLE],MATCH($A12,Backlog[Requirement ID],0))),"",INDEX(Backlog[HLE],MATCH($A12,Backlog[Requirement ID],0))),"")</f>
        <v/>
      </c>
      <c r="I12" s="53" t="n"/>
      <c r="J12" s="55" t="inlineStr">
        <is>
          <t>Release 8</t>
        </is>
      </c>
      <c r="K12" s="32">
        <f>COUNTIFS(Release[Release],J12)</f>
        <v/>
      </c>
      <c r="L12" s="32">
        <f>SUMIFS(Release[HLE],Release[Release],J12)</f>
        <v/>
      </c>
      <c r="M12" s="56" t="n"/>
      <c r="N12" s="56" t="n"/>
    </row>
    <row r="13" ht="15" customHeight="1">
      <c r="A13" s="21" t="inlineStr">
        <is>
          <t>NEW-0094</t>
        </is>
      </c>
      <c r="B13" s="23">
        <f>IFERROR(IF(ISBLANK(INDEX(Backlog[Requirement Name],MATCH($A13,Backlog[Requirement ID],0))),"",INDEX(Backlog[Requirement Name],MATCH($A13,Backlog[Requirement ID],0))),"")</f>
        <v/>
      </c>
      <c r="C13" s="23">
        <f>IFERROR(IF(ISBLANK(INDEX(Backlog[Stream],MATCH($A13,Backlog[Requirement ID],0))),"",INDEX(Backlog[Stream],MATCH($A13,Backlog[Requirement ID],0))),"")</f>
        <v/>
      </c>
      <c r="D13" s="23">
        <f>IFERROR(IF(ISBLANK(INDEX(SprintPlanning[Sprint],MATCH($A13,SprintPlanning[Requirement ID],0))),"",INDEX(SprintPlanning[Sprint],MATCH($A13,SprintPlanning[Requirement ID],0))),"")</f>
        <v/>
      </c>
      <c r="E13" s="23">
        <f>IFERROR(IF(ISBLANK(INDEX(Backlog[Status],MATCH($A13,Backlog[Requirement ID],0))),"",INDEX(Backlog[Status],MATCH($A13,Backlog[Requirement ID],0))),"")</f>
        <v/>
      </c>
      <c r="F13" s="23">
        <f>IFERROR(IF(ISBLANK(INDEX(Backlog[Priority],MATCH($A13,Backlog[Requirement ID],0))),"",INDEX(Backlog[Priority],MATCH($A13,Backlog[Requirement ID],0))),"")</f>
        <v/>
      </c>
      <c r="G13" s="21" t="inlineStr">
        <is>
          <t>Release 19</t>
        </is>
      </c>
      <c r="H13" s="23">
        <f>IFERROR(IF(ISBLANK(INDEX(Backlog[HLE],MATCH($A13,Backlog[Requirement ID],0))),"",INDEX(Backlog[HLE],MATCH($A13,Backlog[Requirement ID],0))),"")</f>
        <v/>
      </c>
      <c r="I13" s="53" t="n"/>
      <c r="J13" s="55" t="inlineStr">
        <is>
          <t>Release 9</t>
        </is>
      </c>
      <c r="K13" s="32">
        <f>COUNTIFS(Release[Release],J13)</f>
        <v/>
      </c>
      <c r="L13" s="32">
        <f>SUMIFS(Release[HLE],Release[Release],J13)</f>
        <v/>
      </c>
      <c r="M13" s="56" t="n">
        <v>46119</v>
      </c>
      <c r="N13" s="56" t="n"/>
      <c r="O13" t="inlineStr">
        <is>
          <t>Completed</t>
        </is>
      </c>
    </row>
    <row r="14" ht="15" customHeight="1">
      <c r="A14" s="21" t="inlineStr">
        <is>
          <t>NEW-0236</t>
        </is>
      </c>
      <c r="B14" s="23">
        <f>IFERROR(IF(ISBLANK(INDEX(Backlog[Requirement Name],MATCH($A14,Backlog[Requirement ID],0))),"",INDEX(Backlog[Requirement Name],MATCH($A14,Backlog[Requirement ID],0))),"")</f>
        <v/>
      </c>
      <c r="C14" s="23">
        <f>IFERROR(IF(ISBLANK(INDEX(Backlog[Stream],MATCH($A14,Backlog[Requirement ID],0))),"",INDEX(Backlog[Stream],MATCH($A14,Backlog[Requirement ID],0))),"")</f>
        <v/>
      </c>
      <c r="D14" s="23">
        <f>IFERROR(IF(ISBLANK(INDEX(SprintPlanning[Sprint],MATCH($A14,SprintPlanning[Requirement ID],0))),"",INDEX(SprintPlanning[Sprint],MATCH($A14,SprintPlanning[Requirement ID],0))),"")</f>
        <v/>
      </c>
      <c r="E14" s="23">
        <f>IFERROR(IF(ISBLANK(INDEX(Backlog[Status],MATCH($A14,Backlog[Requirement ID],0))),"",INDEX(Backlog[Status],MATCH($A14,Backlog[Requirement ID],0))),"")</f>
        <v/>
      </c>
      <c r="F14" s="23">
        <f>IFERROR(IF(ISBLANK(INDEX(Backlog[Priority],MATCH($A14,Backlog[Requirement ID],0))),"",INDEX(Backlog[Priority],MATCH($A14,Backlog[Requirement ID],0))),"")</f>
        <v/>
      </c>
      <c r="G14" s="21" t="n"/>
      <c r="H14" s="23">
        <f>IFERROR(IF(ISBLANK(INDEX(Backlog[HLE],MATCH($A14,Backlog[Requirement ID],0))),"",INDEX(Backlog[HLE],MATCH($A14,Backlog[Requirement ID],0))),"")</f>
        <v/>
      </c>
      <c r="I14" s="53" t="n"/>
      <c r="J14" s="55" t="inlineStr">
        <is>
          <t>Release 10</t>
        </is>
      </c>
      <c r="K14" s="32">
        <f>COUNTIFS(Release[Release],J14)</f>
        <v/>
      </c>
      <c r="L14" s="32">
        <f>SUMIFS(Release[HLE],Release[Release],J14)</f>
        <v/>
      </c>
      <c r="M14" s="56" t="n">
        <v>46128</v>
      </c>
      <c r="N14" s="56" t="n"/>
      <c r="O14" t="inlineStr">
        <is>
          <t>Completed</t>
        </is>
      </c>
    </row>
    <row r="15" ht="15" customHeight="1">
      <c r="A15" s="21" t="inlineStr">
        <is>
          <t>NEW-0241</t>
        </is>
      </c>
      <c r="B15" s="23">
        <f>IFERROR(IF(ISBLANK(INDEX(Backlog[Requirement Name],MATCH($A15,Backlog[Requirement ID],0))),"",INDEX(Backlog[Requirement Name],MATCH($A15,Backlog[Requirement ID],0))),"")</f>
        <v/>
      </c>
      <c r="C15" s="23">
        <f>IFERROR(IF(ISBLANK(INDEX(Backlog[Stream],MATCH($A15,Backlog[Requirement ID],0))),"",INDEX(Backlog[Stream],MATCH($A15,Backlog[Requirement ID],0))),"")</f>
        <v/>
      </c>
      <c r="D15" s="23">
        <f>IFERROR(IF(ISBLANK(INDEX(SprintPlanning[Sprint],MATCH($A15,SprintPlanning[Requirement ID],0))),"",INDEX(SprintPlanning[Sprint],MATCH($A15,SprintPlanning[Requirement ID],0))),"")</f>
        <v/>
      </c>
      <c r="E15" s="23">
        <f>IFERROR(IF(ISBLANK(INDEX(Backlog[Status],MATCH($A15,Backlog[Requirement ID],0))),"",INDEX(Backlog[Status],MATCH($A15,Backlog[Requirement ID],0))),"")</f>
        <v/>
      </c>
      <c r="F15" s="23">
        <f>IFERROR(IF(ISBLANK(INDEX(Backlog[Priority],MATCH($A15,Backlog[Requirement ID],0))),"",INDEX(Backlog[Priority],MATCH($A15,Backlog[Requirement ID],0))),"")</f>
        <v/>
      </c>
      <c r="G15" s="21" t="inlineStr">
        <is>
          <t>Release 19</t>
        </is>
      </c>
      <c r="H15" s="23">
        <f>IFERROR(IF(ISBLANK(INDEX(Backlog[HLE],MATCH($A15,Backlog[Requirement ID],0))),"",INDEX(Backlog[HLE],MATCH($A15,Backlog[Requirement ID],0))),"")</f>
        <v/>
      </c>
      <c r="I15" s="53" t="n"/>
      <c r="J15" s="55" t="inlineStr">
        <is>
          <t>Release 10A</t>
        </is>
      </c>
      <c r="K15" s="32">
        <f>COUNTIFS(Release[Release],J15)</f>
        <v/>
      </c>
      <c r="L15" s="32">
        <f>SUMIFS(Release[HLE],Release[Release],J15)</f>
        <v/>
      </c>
      <c r="M15" s="56" t="n"/>
      <c r="N15" s="56" t="n"/>
    </row>
    <row r="16" ht="15" customHeight="1">
      <c r="A16" s="21" t="inlineStr">
        <is>
          <t>NEW-0245</t>
        </is>
      </c>
      <c r="B16" s="39">
        <f>IFERROR(IF(ISBLANK(INDEX(Backlog[Requirement Name],MATCH($A16,Backlog[Requirement ID],0))),"",INDEX(Backlog[Requirement Name],MATCH($A16,Backlog[Requirement ID],0))),"")</f>
        <v/>
      </c>
      <c r="C16" s="23">
        <f>IFERROR(IF(ISBLANK(INDEX(Backlog[Stream],MATCH($A16,Backlog[Requirement ID],0))),"",INDEX(Backlog[Stream],MATCH($A16,Backlog[Requirement ID],0))),"")</f>
        <v/>
      </c>
      <c r="D16" s="23">
        <f>IFERROR(IF(ISBLANK(INDEX(SprintPlanning[Sprint],MATCH($A16,SprintPlanning[Requirement ID],0))),"",INDEX(SprintPlanning[Sprint],MATCH($A16,SprintPlanning[Requirement ID],0))),"")</f>
        <v/>
      </c>
      <c r="E16" s="23">
        <f>IFERROR(IF(ISBLANK(INDEX(Backlog[Status],MATCH($A16,Backlog[Requirement ID],0))),"",INDEX(Backlog[Status],MATCH($A16,Backlog[Requirement ID],0))),"")</f>
        <v/>
      </c>
      <c r="F16" s="23">
        <f>IFERROR(IF(ISBLANK(INDEX(Backlog[Priority],MATCH($A16,Backlog[Requirement ID],0))),"",INDEX(Backlog[Priority],MATCH($A16,Backlog[Requirement ID],0))),"")</f>
        <v/>
      </c>
      <c r="G16" s="21" t="inlineStr">
        <is>
          <t>Release 19</t>
        </is>
      </c>
      <c r="H16" s="23">
        <f>IFERROR(IF(ISBLANK(INDEX(Backlog[HLE],MATCH($A16,Backlog[Requirement ID],0))),"",INDEX(Backlog[HLE],MATCH($A16,Backlog[Requirement ID],0))),"")</f>
        <v/>
      </c>
      <c r="I16" s="53" t="n"/>
      <c r="J16" s="55" t="inlineStr">
        <is>
          <t>Release 10B (Hotfix)</t>
        </is>
      </c>
      <c r="K16" s="32">
        <f>COUNTIFS(Release[Release],J16)</f>
        <v/>
      </c>
      <c r="L16" s="32">
        <f>SUMIFS(Release[HLE],Release[Release],J16)</f>
        <v/>
      </c>
      <c r="M16" s="56" t="n"/>
      <c r="N16" s="56" t="n"/>
    </row>
    <row r="17" ht="23.25" customHeight="1">
      <c r="A17" s="21" t="inlineStr">
        <is>
          <t>NEW-0285</t>
        </is>
      </c>
      <c r="B17" s="23">
        <f>IFERROR(IF(ISBLANK(INDEX(Backlog[Requirement Name],MATCH($A17,Backlog[Requirement ID],0))),"",INDEX(Backlog[Requirement Name],MATCH($A17,Backlog[Requirement ID],0))),"")</f>
        <v/>
      </c>
      <c r="C17" s="23">
        <f>IFERROR(IF(ISBLANK(INDEX(Backlog[Stream],MATCH($A17,Backlog[Requirement ID],0))),"",INDEX(Backlog[Stream],MATCH($A17,Backlog[Requirement ID],0))),"")</f>
        <v/>
      </c>
      <c r="D17" s="23">
        <f>IFERROR(IF(ISBLANK(INDEX(SprintPlanning[Sprint],MATCH($A17,SprintPlanning[Requirement ID],0))),"",INDEX(SprintPlanning[Sprint],MATCH($A17,SprintPlanning[Requirement ID],0))),"")</f>
        <v/>
      </c>
      <c r="E17" s="23">
        <f>IFERROR(IF(ISBLANK(INDEX(Backlog[Status],MATCH($A17,Backlog[Requirement ID],0))),"",INDEX(Backlog[Status],MATCH($A17,Backlog[Requirement ID],0))),"")</f>
        <v/>
      </c>
      <c r="F17" s="23">
        <f>IFERROR(IF(ISBLANK(INDEX(Backlog[Priority],MATCH($A17,Backlog[Requirement ID],0))),"",INDEX(Backlog[Priority],MATCH($A17,Backlog[Requirement ID],0))),"")</f>
        <v/>
      </c>
      <c r="G17" s="21" t="inlineStr">
        <is>
          <t>Release 12</t>
        </is>
      </c>
      <c r="H17" s="23">
        <f>IFERROR(IF(ISBLANK(INDEX(Backlog[HLE],MATCH($A17,Backlog[Requirement ID],0))),"",INDEX(Backlog[HLE],MATCH($A17,Backlog[Requirement ID],0))),"")</f>
        <v/>
      </c>
      <c r="I17" s="53" t="n"/>
      <c r="J17" s="55" t="inlineStr">
        <is>
          <t>Release 10C (Hotfix)</t>
        </is>
      </c>
      <c r="K17" s="32">
        <f>COUNTIFS(Release[Release],J17)</f>
        <v/>
      </c>
      <c r="L17" s="32">
        <f>SUMIFS(Release[HLE],Release[Release],J17)</f>
        <v/>
      </c>
      <c r="M17" s="56" t="n"/>
      <c r="N17" s="56" t="n"/>
    </row>
    <row r="18" ht="15" customHeight="1">
      <c r="A18" s="21" t="inlineStr">
        <is>
          <t>NEW-0330</t>
        </is>
      </c>
      <c r="B18" s="23">
        <f>IFERROR(IF(ISBLANK(INDEX(Backlog[Requirement Name],MATCH($A18,Backlog[Requirement ID],0))),"",INDEX(Backlog[Requirement Name],MATCH($A18,Backlog[Requirement ID],0))),"")</f>
        <v/>
      </c>
      <c r="C18" s="23">
        <f>IFERROR(IF(ISBLANK(INDEX(Backlog[Stream],MATCH($A18,Backlog[Requirement ID],0))),"",INDEX(Backlog[Stream],MATCH($A18,Backlog[Requirement ID],0))),"")</f>
        <v/>
      </c>
      <c r="D18" s="23">
        <f>IFERROR(IF(ISBLANK(INDEX(SprintPlanning[Sprint],MATCH($A18,SprintPlanning[Requirement ID],0))),"",INDEX(SprintPlanning[Sprint],MATCH($A18,SprintPlanning[Requirement ID],0))),"")</f>
        <v/>
      </c>
      <c r="E18" s="23">
        <f>IFERROR(IF(ISBLANK(INDEX(Backlog[Status],MATCH($A18,Backlog[Requirement ID],0))),"",INDEX(Backlog[Status],MATCH($A18,Backlog[Requirement ID],0))),"")</f>
        <v/>
      </c>
      <c r="F18" s="23">
        <f>IFERROR(IF(ISBLANK(INDEX(Backlog[Priority],MATCH($A18,Backlog[Requirement ID],0))),"",INDEX(Backlog[Priority],MATCH($A18,Backlog[Requirement ID],0))),"")</f>
        <v/>
      </c>
      <c r="G18" s="21" t="n"/>
      <c r="H18" s="23">
        <f>IFERROR(IF(ISBLANK(INDEX(Backlog[HLE],MATCH($A18,Backlog[Requirement ID],0))),"",INDEX(Backlog[HLE],MATCH($A18,Backlog[Requirement ID],0))),"")</f>
        <v/>
      </c>
      <c r="I18" s="53" t="n"/>
      <c r="J18" s="55" t="inlineStr">
        <is>
          <t>Release 11</t>
        </is>
      </c>
      <c r="K18" s="32">
        <f>COUNTIFS(Release[Release],J18)</f>
        <v/>
      </c>
      <c r="L18" s="32">
        <f>SUMIFS(Release[HLE],Release[Release],J18)</f>
        <v/>
      </c>
      <c r="M18" s="56" t="n">
        <v>46156</v>
      </c>
      <c r="N18" s="56" t="n"/>
      <c r="O18" t="inlineStr">
        <is>
          <t>Completed</t>
        </is>
      </c>
      <c r="P18" t="inlineStr">
        <is>
          <t>CHG0068937</t>
        </is>
      </c>
    </row>
    <row r="19" ht="15" customHeight="1">
      <c r="A19" s="21" t="inlineStr">
        <is>
          <t>NEW-0331</t>
        </is>
      </c>
      <c r="B19" s="23">
        <f>IFERROR(IF(ISBLANK(INDEX(Backlog[Requirement Name],MATCH($A19,Backlog[Requirement ID],0))),"",INDEX(Backlog[Requirement Name],MATCH($A19,Backlog[Requirement ID],0))),"")</f>
        <v/>
      </c>
      <c r="C19" s="23">
        <f>IFERROR(IF(ISBLANK(INDEX(Backlog[Stream],MATCH($A19,Backlog[Requirement ID],0))),"",INDEX(Backlog[Stream],MATCH($A19,Backlog[Requirement ID],0))),"")</f>
        <v/>
      </c>
      <c r="D19" s="23">
        <f>IFERROR(IF(ISBLANK(INDEX(SprintPlanning[Sprint],MATCH($A19,SprintPlanning[Requirement ID],0))),"",INDEX(SprintPlanning[Sprint],MATCH($A19,SprintPlanning[Requirement ID],0))),"")</f>
        <v/>
      </c>
      <c r="E19" s="23">
        <f>IFERROR(IF(ISBLANK(INDEX(Backlog[Status],MATCH($A19,Backlog[Requirement ID],0))),"",INDEX(Backlog[Status],MATCH($A19,Backlog[Requirement ID],0))),"")</f>
        <v/>
      </c>
      <c r="F19" s="23">
        <f>IFERROR(IF(ISBLANK(INDEX(Backlog[Priority],MATCH($A19,Backlog[Requirement ID],0))),"",INDEX(Backlog[Priority],MATCH($A19,Backlog[Requirement ID],0))),"")</f>
        <v/>
      </c>
      <c r="G19" s="21" t="n"/>
      <c r="H19" s="23">
        <f>IFERROR(IF(ISBLANK(INDEX(Backlog[HLE],MATCH($A19,Backlog[Requirement ID],0))),"",INDEX(Backlog[HLE],MATCH($A19,Backlog[Requirement ID],0))),"")</f>
        <v/>
      </c>
      <c r="I19" s="53" t="n"/>
      <c r="J19" s="55" t="inlineStr">
        <is>
          <t>Release 11A</t>
        </is>
      </c>
      <c r="K19" s="32">
        <f>COUNTIFS(Release[Release],J19)</f>
        <v/>
      </c>
      <c r="L19" s="32">
        <f>SUMIFS(Release[HLE],Release[Release],J19)</f>
        <v/>
      </c>
      <c r="M19" s="56" t="n"/>
      <c r="N19" s="56" t="n"/>
    </row>
    <row r="20" ht="15" customHeight="1">
      <c r="A20" s="21" t="inlineStr">
        <is>
          <t>NEW-0337</t>
        </is>
      </c>
      <c r="B20" s="23">
        <f>IFERROR(IF(ISBLANK(INDEX(Backlog[Requirement Name],MATCH($A20,Backlog[Requirement ID],0))),"",INDEX(Backlog[Requirement Name],MATCH($A20,Backlog[Requirement ID],0))),"")</f>
        <v/>
      </c>
      <c r="C20" s="23">
        <f>IFERROR(IF(ISBLANK(INDEX(Backlog[Stream],MATCH($A20,Backlog[Requirement ID],0))),"",INDEX(Backlog[Stream],MATCH($A20,Backlog[Requirement ID],0))),"")</f>
        <v/>
      </c>
      <c r="D20" s="23">
        <f>IFERROR(IF(ISBLANK(INDEX(SprintPlanning[Sprint],MATCH($A20,SprintPlanning[Requirement ID],0))),"",INDEX(SprintPlanning[Sprint],MATCH($A20,SprintPlanning[Requirement ID],0))),"")</f>
        <v/>
      </c>
      <c r="E20" s="23">
        <f>IFERROR(IF(ISBLANK(INDEX(Backlog[Status],MATCH($A20,Backlog[Requirement ID],0))),"",INDEX(Backlog[Status],MATCH($A20,Backlog[Requirement ID],0))),"")</f>
        <v/>
      </c>
      <c r="F20" s="23">
        <f>IFERROR(IF(ISBLANK(INDEX(Backlog[Priority],MATCH($A20,Backlog[Requirement ID],0))),"",INDEX(Backlog[Priority],MATCH($A20,Backlog[Requirement ID],0))),"")</f>
        <v/>
      </c>
      <c r="G20" s="21" t="n"/>
      <c r="H20" s="23">
        <f>IFERROR(IF(ISBLANK(INDEX(Backlog[HLE],MATCH($A20,Backlog[Requirement ID],0))),"",INDEX(Backlog[HLE],MATCH($A20,Backlog[Requirement ID],0))),"")</f>
        <v/>
      </c>
      <c r="I20" s="53" t="n"/>
      <c r="J20" s="55" t="inlineStr">
        <is>
          <t>Release 12</t>
        </is>
      </c>
      <c r="K20" s="32">
        <f>COUNTIFS(Release[Release],J20)</f>
        <v/>
      </c>
      <c r="L20" s="32">
        <f>SUMIFS(Release[HLE],Release[Release],J20)</f>
        <v/>
      </c>
      <c r="M20" s="56" t="n">
        <v>46177</v>
      </c>
      <c r="N20" s="56" t="n"/>
      <c r="O20" t="inlineStr">
        <is>
          <t>Completed</t>
        </is>
      </c>
      <c r="P20" t="inlineStr">
        <is>
          <t>CHG0069184</t>
        </is>
      </c>
    </row>
    <row r="21" ht="15" customHeight="1">
      <c r="A21" s="21" t="inlineStr">
        <is>
          <t>NEW-0374</t>
        </is>
      </c>
      <c r="B21" s="23">
        <f>IFERROR(IF(ISBLANK(INDEX(Backlog[Requirement Name],MATCH($A21,Backlog[Requirement ID],0))),"",INDEX(Backlog[Requirement Name],MATCH($A21,Backlog[Requirement ID],0))),"")</f>
        <v/>
      </c>
      <c r="C21" s="23">
        <f>IFERROR(IF(ISBLANK(INDEX(Backlog[Stream],MATCH($A21,Backlog[Requirement ID],0))),"",INDEX(Backlog[Stream],MATCH($A21,Backlog[Requirement ID],0))),"")</f>
        <v/>
      </c>
      <c r="D21" s="23">
        <f>IFERROR(IF(ISBLANK(INDEX(SprintPlanning[Sprint],MATCH($A21,SprintPlanning[Requirement ID],0))),"",INDEX(SprintPlanning[Sprint],MATCH($A21,SprintPlanning[Requirement ID],0))),"")</f>
        <v/>
      </c>
      <c r="E21" s="23">
        <f>IFERROR(IF(ISBLANK(INDEX(Backlog[Status],MATCH($A21,Backlog[Requirement ID],0))),"",INDEX(Backlog[Status],MATCH($A21,Backlog[Requirement ID],0))),"")</f>
        <v/>
      </c>
      <c r="F21" s="23">
        <f>IFERROR(IF(ISBLANK(INDEX(Backlog[Priority],MATCH($A21,Backlog[Requirement ID],0))),"",INDEX(Backlog[Priority],MATCH($A21,Backlog[Requirement ID],0))),"")</f>
        <v/>
      </c>
      <c r="G21" s="21" t="n"/>
      <c r="H21" s="23">
        <f>IFERROR(IF(ISBLANK(INDEX(Backlog[HLE],MATCH($A21,Backlog[Requirement ID],0))),"",INDEX(Backlog[HLE],MATCH($A21,Backlog[Requirement ID],0))),"")</f>
        <v/>
      </c>
      <c r="I21" s="53" t="n"/>
      <c r="J21" s="55" t="inlineStr">
        <is>
          <t>Release 13</t>
        </is>
      </c>
      <c r="K21" s="32">
        <f>COUNTIFS(Release[Release],J21)</f>
        <v/>
      </c>
      <c r="L21" s="32">
        <f>SUMIFS(Release[HLE],Release[Release],J21)</f>
        <v/>
      </c>
      <c r="M21" s="56" t="n"/>
      <c r="N21" s="56" t="n"/>
      <c r="O21" t="inlineStr">
        <is>
          <t>Completed</t>
        </is>
      </c>
      <c r="P21" t="inlineStr">
        <is>
          <t>CHG0069187</t>
        </is>
      </c>
    </row>
    <row r="22" ht="15" customHeight="1">
      <c r="A22" s="21" t="inlineStr">
        <is>
          <t>NEW-0380</t>
        </is>
      </c>
      <c r="B22" s="23">
        <f>IFERROR(IF(ISBLANK(INDEX(Backlog[Requirement Name],MATCH($A22,Backlog[Requirement ID],0))),"",INDEX(Backlog[Requirement Name],MATCH($A22,Backlog[Requirement ID],0))),"")</f>
        <v/>
      </c>
      <c r="C22" s="23">
        <f>IFERROR(IF(ISBLANK(INDEX(Backlog[Stream],MATCH($A22,Backlog[Requirement ID],0))),"",INDEX(Backlog[Stream],MATCH($A22,Backlog[Requirement ID],0))),"")</f>
        <v/>
      </c>
      <c r="D22" s="23">
        <f>IFERROR(IF(ISBLANK(INDEX(SprintPlanning[Sprint],MATCH($A22,SprintPlanning[Requirement ID],0))),"",INDEX(SprintPlanning[Sprint],MATCH($A22,SprintPlanning[Requirement ID],0))),"")</f>
        <v/>
      </c>
      <c r="E22" s="23">
        <f>IFERROR(IF(ISBLANK(INDEX(Backlog[Status],MATCH($A22,Backlog[Requirement ID],0))),"",INDEX(Backlog[Status],MATCH($A22,Backlog[Requirement ID],0))),"")</f>
        <v/>
      </c>
      <c r="F22" s="23">
        <f>IFERROR(IF(ISBLANK(INDEX(Backlog[Priority],MATCH($A22,Backlog[Requirement ID],0))),"",INDEX(Backlog[Priority],MATCH($A22,Backlog[Requirement ID],0))),"")</f>
        <v/>
      </c>
      <c r="G22" s="21" t="inlineStr">
        <is>
          <t>Release 17</t>
        </is>
      </c>
      <c r="H22" s="23">
        <f>IFERROR(IF(ISBLANK(INDEX(Backlog[HLE],MATCH($A22,Backlog[Requirement ID],0))),"",INDEX(Backlog[HLE],MATCH($A22,Backlog[Requirement ID],0))),"")</f>
        <v/>
      </c>
      <c r="I22" s="53" t="n"/>
      <c r="J22" s="55" t="inlineStr">
        <is>
          <t>Release 13A (Hotfix)</t>
        </is>
      </c>
      <c r="K22" s="32">
        <f>COUNTIFS(Release[Release],J22)</f>
        <v/>
      </c>
      <c r="L22" s="32">
        <f>SUMIFS(Release[HLE],Release[Release],J22)</f>
        <v/>
      </c>
      <c r="M22" s="56" t="n"/>
      <c r="N22" s="56" t="n"/>
    </row>
    <row r="23" ht="15" customHeight="1">
      <c r="A23" s="21" t="inlineStr">
        <is>
          <t>NEW-0383</t>
        </is>
      </c>
      <c r="B23" s="23">
        <f>IFERROR(IF(ISBLANK(INDEX(Backlog[Requirement Name],MATCH($A23,Backlog[Requirement ID],0))),"",INDEX(Backlog[Requirement Name],MATCH($A23,Backlog[Requirement ID],0))),"")</f>
        <v/>
      </c>
      <c r="C23" s="23">
        <f>IFERROR(IF(ISBLANK(INDEX(Backlog[Stream],MATCH($A23,Backlog[Requirement ID],0))),"",INDEX(Backlog[Stream],MATCH($A23,Backlog[Requirement ID],0))),"")</f>
        <v/>
      </c>
      <c r="D23" s="23">
        <f>IFERROR(IF(ISBLANK(INDEX(SprintPlanning[Sprint],MATCH($A23,SprintPlanning[Requirement ID],0))),"",INDEX(SprintPlanning[Sprint],MATCH($A23,SprintPlanning[Requirement ID],0))),"")</f>
        <v/>
      </c>
      <c r="E23" s="23">
        <f>IFERROR(IF(ISBLANK(INDEX(Backlog[Status],MATCH($A23,Backlog[Requirement ID],0))),"",INDEX(Backlog[Status],MATCH($A23,Backlog[Requirement ID],0))),"")</f>
        <v/>
      </c>
      <c r="F23" s="23">
        <f>IFERROR(IF(ISBLANK(INDEX(Backlog[Priority],MATCH($A23,Backlog[Requirement ID],0))),"",INDEX(Backlog[Priority],MATCH($A23,Backlog[Requirement ID],0))),"")</f>
        <v/>
      </c>
      <c r="G23" s="21" t="inlineStr">
        <is>
          <t>Release 15</t>
        </is>
      </c>
      <c r="H23" s="23">
        <f>IFERROR(IF(ISBLANK(INDEX(Backlog[HLE],MATCH($A23,Backlog[Requirement ID],0))),"",INDEX(Backlog[HLE],MATCH($A23,Backlog[Requirement ID],0))),"")</f>
        <v/>
      </c>
      <c r="I23" s="53" t="n"/>
      <c r="J23" s="55" t="inlineStr">
        <is>
          <t>Release 13B (Hotfix)</t>
        </is>
      </c>
      <c r="K23" s="32">
        <f>COUNTIFS(Release[Release],J23)</f>
        <v/>
      </c>
      <c r="L23" s="32">
        <f>SUMIFS(Release[HLE],Release[Release],J23)</f>
        <v/>
      </c>
      <c r="M23" s="56" t="n"/>
      <c r="N23" s="56" t="n"/>
    </row>
    <row r="24" ht="15" customHeight="1">
      <c r="A24" s="21" t="inlineStr">
        <is>
          <t>NEW-0099</t>
        </is>
      </c>
      <c r="B24" s="23">
        <f>IFERROR(IF(ISBLANK(INDEX(Backlog[Requirement Name],MATCH($A24,Backlog[Requirement ID],0))),"",INDEX(Backlog[Requirement Name],MATCH($A24,Backlog[Requirement ID],0))),"")</f>
        <v/>
      </c>
      <c r="C24" s="23">
        <f>IFERROR(IF(ISBLANK(INDEX(Backlog[Stream],MATCH($A24,Backlog[Requirement ID],0))),"",INDEX(Backlog[Stream],MATCH($A24,Backlog[Requirement ID],0))),"")</f>
        <v/>
      </c>
      <c r="D24" s="23">
        <f>IFERROR(IF(ISBLANK(INDEX(SprintPlanning[Sprint],MATCH($A24,SprintPlanning[Requirement ID],0))),"",INDEX(SprintPlanning[Sprint],MATCH($A24,SprintPlanning[Requirement ID],0))),"")</f>
        <v/>
      </c>
      <c r="E24" s="23">
        <f>IFERROR(IF(ISBLANK(INDEX(Backlog[Status],MATCH($A24,Backlog[Requirement ID],0))),"",INDEX(Backlog[Status],MATCH($A24,Backlog[Requirement ID],0))),"")</f>
        <v/>
      </c>
      <c r="F24" s="23">
        <f>IFERROR(IF(ISBLANK(INDEX(Backlog[Priority],MATCH($A24,Backlog[Requirement ID],0))),"",INDEX(Backlog[Priority],MATCH($A24,Backlog[Requirement ID],0))),"")</f>
        <v/>
      </c>
      <c r="G24" s="21" t="inlineStr">
        <is>
          <t>Release 18</t>
        </is>
      </c>
      <c r="H24" s="23">
        <f>IFERROR(IF(ISBLANK(INDEX(Backlog[HLE],MATCH($A24,Backlog[Requirement ID],0))),"",INDEX(Backlog[HLE],MATCH($A24,Backlog[Requirement ID],0))),"")</f>
        <v/>
      </c>
      <c r="I24" s="53" t="n"/>
      <c r="J24" s="55" t="inlineStr">
        <is>
          <t>Release 13C (Hotfix)</t>
        </is>
      </c>
      <c r="K24" s="32">
        <f>COUNTIFS(Release[Release],J24)</f>
        <v/>
      </c>
      <c r="L24" s="32">
        <f>SUMIFS(Release[HLE],Release[Release],J24)</f>
        <v/>
      </c>
      <c r="M24" s="56" t="n"/>
      <c r="N24" s="56" t="n"/>
    </row>
    <row r="25" ht="15" customHeight="1">
      <c r="A25" s="21" t="inlineStr">
        <is>
          <t>NEW-0133</t>
        </is>
      </c>
      <c r="B25" s="23">
        <f>IFERROR(IF(ISBLANK(INDEX(Backlog[Requirement Name],MATCH($A25,Backlog[Requirement ID],0))),"",INDEX(Backlog[Requirement Name],MATCH($A25,Backlog[Requirement ID],0))),"")</f>
        <v/>
      </c>
      <c r="C25" s="23">
        <f>IFERROR(IF(ISBLANK(INDEX(Backlog[Stream],MATCH($A25,Backlog[Requirement ID],0))),"",INDEX(Backlog[Stream],MATCH($A25,Backlog[Requirement ID],0))),"")</f>
        <v/>
      </c>
      <c r="D25" s="23">
        <f>IFERROR(IF(ISBLANK(INDEX(SprintPlanning[Sprint],MATCH($A25,SprintPlanning[Requirement ID],0))),"",INDEX(SprintPlanning[Sprint],MATCH($A25,SprintPlanning[Requirement ID],0))),"")</f>
        <v/>
      </c>
      <c r="E25" s="23">
        <f>IFERROR(IF(ISBLANK(INDEX(Backlog[Status],MATCH($A25,Backlog[Requirement ID],0))),"",INDEX(Backlog[Status],MATCH($A25,Backlog[Requirement ID],0))),"")</f>
        <v/>
      </c>
      <c r="F25" s="23">
        <f>IFERROR(IF(ISBLANK(INDEX(Backlog[Priority],MATCH($A25,Backlog[Requirement ID],0))),"",INDEX(Backlog[Priority],MATCH($A25,Backlog[Requirement ID],0))),"")</f>
        <v/>
      </c>
      <c r="G25" s="21" t="inlineStr">
        <is>
          <t>Release 12</t>
        </is>
      </c>
      <c r="H25" s="23">
        <f>IFERROR(IF(ISBLANK(INDEX(Backlog[HLE],MATCH($A25,Backlog[Requirement ID],0))),"",INDEX(Backlog[HLE],MATCH($A25,Backlog[Requirement ID],0))),"")</f>
        <v/>
      </c>
      <c r="I25" s="53" t="n"/>
      <c r="J25" s="55" t="inlineStr">
        <is>
          <t>Release 14</t>
        </is>
      </c>
      <c r="K25" s="32">
        <f>COUNTIFS(Release[Release],J25)</f>
        <v/>
      </c>
      <c r="L25" s="32">
        <f>SUMIFS(Release[HLE],Release[Release],J25)</f>
        <v/>
      </c>
      <c r="M25" s="56" t="n"/>
      <c r="N25" s="56" t="n"/>
    </row>
    <row r="26" ht="15" customHeight="1">
      <c r="A26" s="21" t="inlineStr">
        <is>
          <t>NEW-0239</t>
        </is>
      </c>
      <c r="B26" s="23">
        <f>IFERROR(IF(ISBLANK(INDEX(Backlog[Requirement Name],MATCH($A26,Backlog[Requirement ID],0))),"",INDEX(Backlog[Requirement Name],MATCH($A26,Backlog[Requirement ID],0))),"")</f>
        <v/>
      </c>
      <c r="C26" s="23">
        <f>IFERROR(IF(ISBLANK(INDEX(Backlog[Stream],MATCH($A26,Backlog[Requirement ID],0))),"",INDEX(Backlog[Stream],MATCH($A26,Backlog[Requirement ID],0))),"")</f>
        <v/>
      </c>
      <c r="D26" s="23">
        <f>IFERROR(IF(ISBLANK(INDEX(SprintPlanning[Sprint],MATCH($A26,SprintPlanning[Requirement ID],0))),"",INDEX(SprintPlanning[Sprint],MATCH($A26,SprintPlanning[Requirement ID],0))),"")</f>
        <v/>
      </c>
      <c r="E26" s="23">
        <f>IFERROR(IF(ISBLANK(INDEX(Backlog[Status],MATCH($A26,Backlog[Requirement ID],0))),"",INDEX(Backlog[Status],MATCH($A26,Backlog[Requirement ID],0))),"")</f>
        <v/>
      </c>
      <c r="F26" s="23">
        <f>IFERROR(IF(ISBLANK(INDEX(Backlog[Priority],MATCH($A26,Backlog[Requirement ID],0))),"",INDEX(Backlog[Priority],MATCH($A26,Backlog[Requirement ID],0))),"")</f>
        <v/>
      </c>
      <c r="G26" s="21" t="inlineStr">
        <is>
          <t>Release 18</t>
        </is>
      </c>
      <c r="H26" s="23">
        <f>IFERROR(IF(ISBLANK(INDEX(Backlog[HLE],MATCH($A26,Backlog[Requirement ID],0))),"",INDEX(Backlog[HLE],MATCH($A26,Backlog[Requirement ID],0))),"")</f>
        <v/>
      </c>
      <c r="I26" s="53" t="n"/>
      <c r="J26" s="55" t="inlineStr">
        <is>
          <t>Release 14A</t>
        </is>
      </c>
      <c r="K26" s="32">
        <f>COUNTIFS(Release[Release],J26)</f>
        <v/>
      </c>
      <c r="L26" s="32">
        <f>SUMIFS(Release[HLE],Release[Release],J26)</f>
        <v/>
      </c>
      <c r="M26" s="56" t="n"/>
      <c r="N26" s="56" t="n"/>
    </row>
    <row r="27" ht="15" customHeight="1">
      <c r="A27" s="21" t="inlineStr">
        <is>
          <t>NEW-0282</t>
        </is>
      </c>
      <c r="B27" s="23">
        <f>IFERROR(IF(ISBLANK(INDEX(Backlog[Requirement Name],MATCH($A27,Backlog[Requirement ID],0))),"",INDEX(Backlog[Requirement Name],MATCH($A27,Backlog[Requirement ID],0))),"")</f>
        <v/>
      </c>
      <c r="C27" s="23">
        <f>IFERROR(IF(ISBLANK(INDEX(Backlog[Stream],MATCH($A27,Backlog[Requirement ID],0))),"",INDEX(Backlog[Stream],MATCH($A27,Backlog[Requirement ID],0))),"")</f>
        <v/>
      </c>
      <c r="D27" s="23">
        <f>IFERROR(IF(ISBLANK(INDEX(SprintPlanning[Sprint],MATCH($A27,SprintPlanning[Requirement ID],0))),"",INDEX(SprintPlanning[Sprint],MATCH($A27,SprintPlanning[Requirement ID],0))),"")</f>
        <v/>
      </c>
      <c r="E27" s="23">
        <f>IFERROR(IF(ISBLANK(INDEX(Backlog[Status],MATCH($A27,Backlog[Requirement ID],0))),"",INDEX(Backlog[Status],MATCH($A27,Backlog[Requirement ID],0))),"")</f>
        <v/>
      </c>
      <c r="F27" s="23">
        <f>IFERROR(IF(ISBLANK(INDEX(Backlog[Priority],MATCH($A27,Backlog[Requirement ID],0))),"",INDEX(Backlog[Priority],MATCH($A27,Backlog[Requirement ID],0))),"")</f>
        <v/>
      </c>
      <c r="G27" s="21" t="n"/>
      <c r="H27" s="23">
        <f>IFERROR(IF(ISBLANK(INDEX(Backlog[HLE],MATCH($A27,Backlog[Requirement ID],0))),"",INDEX(Backlog[HLE],MATCH($A27,Backlog[Requirement ID],0))),"")</f>
        <v/>
      </c>
      <c r="I27" s="53" t="n"/>
      <c r="J27" s="55" t="inlineStr">
        <is>
          <t>Release 15</t>
        </is>
      </c>
      <c r="K27" s="32">
        <f>COUNTIFS(Release[Release],J27)</f>
        <v/>
      </c>
      <c r="L27" s="32">
        <f>SUMIFS(Release[HLE],Release[Release],J27)</f>
        <v/>
      </c>
      <c r="M27" s="56" t="n">
        <v>46217</v>
      </c>
      <c r="N27" s="56" t="n"/>
      <c r="O27" t="inlineStr">
        <is>
          <t>Completed</t>
        </is>
      </c>
      <c r="P27" t="inlineStr">
        <is>
          <t>CHG0070359</t>
        </is>
      </c>
    </row>
    <row r="28" ht="15" customHeight="1">
      <c r="A28" s="21" t="inlineStr">
        <is>
          <t>NEW-0286</t>
        </is>
      </c>
      <c r="B28" s="23">
        <f>IFERROR(IF(ISBLANK(INDEX(Backlog[Requirement Name],MATCH($A28,Backlog[Requirement ID],0))),"",INDEX(Backlog[Requirement Name],MATCH($A28,Backlog[Requirement ID],0))),"")</f>
        <v/>
      </c>
      <c r="C28" s="23">
        <f>IFERROR(IF(ISBLANK(INDEX(Backlog[Stream],MATCH($A28,Backlog[Requirement ID],0))),"",INDEX(Backlog[Stream],MATCH($A28,Backlog[Requirement ID],0))),"")</f>
        <v/>
      </c>
      <c r="D28" s="23">
        <f>IFERROR(IF(ISBLANK(INDEX(SprintPlanning[Sprint],MATCH($A28,SprintPlanning[Requirement ID],0))),"",INDEX(SprintPlanning[Sprint],MATCH($A28,SprintPlanning[Requirement ID],0))),"")</f>
        <v/>
      </c>
      <c r="E28" s="23">
        <f>IFERROR(IF(ISBLANK(INDEX(Backlog[Status],MATCH($A28,Backlog[Requirement ID],0))),"",INDEX(Backlog[Status],MATCH($A28,Backlog[Requirement ID],0))),"")</f>
        <v/>
      </c>
      <c r="F28" s="23">
        <f>IFERROR(IF(ISBLANK(INDEX(Backlog[Priority],MATCH($A28,Backlog[Requirement ID],0))),"",INDEX(Backlog[Priority],MATCH($A28,Backlog[Requirement ID],0))),"")</f>
        <v/>
      </c>
      <c r="G28" s="21" t="n"/>
      <c r="H28" s="23">
        <f>IFERROR(IF(ISBLANK(INDEX(Backlog[HLE],MATCH($A28,Backlog[Requirement ID],0))),"",INDEX(Backlog[HLE],MATCH($A28,Backlog[Requirement ID],0))),"")</f>
        <v/>
      </c>
      <c r="I28" s="53" t="n"/>
      <c r="J28" s="55" t="inlineStr">
        <is>
          <t>Release 15A</t>
        </is>
      </c>
      <c r="K28" s="32">
        <f>COUNTIFS(Release[Release],J28)</f>
        <v/>
      </c>
      <c r="L28" s="32">
        <f>SUMIFS(Release[HLE],Release[Release],J28)</f>
        <v/>
      </c>
      <c r="M28" s="56" t="n"/>
      <c r="N28" s="56" t="n"/>
    </row>
    <row r="29" ht="15" customHeight="1">
      <c r="A29" s="21" t="inlineStr">
        <is>
          <t>NEW-0338</t>
        </is>
      </c>
      <c r="B29" s="39">
        <f>IFERROR(IF(ISBLANK(INDEX(Backlog[Requirement Name],MATCH($A29,Backlog[Requirement ID],0))),"",INDEX(Backlog[Requirement Name],MATCH($A29,Backlog[Requirement ID],0))),"")</f>
        <v/>
      </c>
      <c r="C29" s="23">
        <f>IFERROR(IF(ISBLANK(INDEX(Backlog[Stream],MATCH($A29,Backlog[Requirement ID],0))),"",INDEX(Backlog[Stream],MATCH($A29,Backlog[Requirement ID],0))),"")</f>
        <v/>
      </c>
      <c r="D29" s="23">
        <f>IFERROR(IF(ISBLANK(INDEX(SprintPlanning[Sprint],MATCH($A29,SprintPlanning[Requirement ID],0))),"",INDEX(SprintPlanning[Sprint],MATCH($A29,SprintPlanning[Requirement ID],0))),"")</f>
        <v/>
      </c>
      <c r="E29" s="23">
        <f>IFERROR(IF(ISBLANK(INDEX(Backlog[Status],MATCH($A29,Backlog[Requirement ID],0))),"",INDEX(Backlog[Status],MATCH($A29,Backlog[Requirement ID],0))),"")</f>
        <v/>
      </c>
      <c r="F29" s="23">
        <f>IFERROR(IF(ISBLANK(INDEX(Backlog[Priority],MATCH($A29,Backlog[Requirement ID],0))),"",INDEX(Backlog[Priority],MATCH($A29,Backlog[Requirement ID],0))),"")</f>
        <v/>
      </c>
      <c r="G29" s="21" t="n"/>
      <c r="H29" s="23">
        <f>IFERROR(IF(ISBLANK(INDEX(Backlog[HLE],MATCH($A29,Backlog[Requirement ID],0))),"",INDEX(Backlog[HLE],MATCH($A29,Backlog[Requirement ID],0))),"")</f>
        <v/>
      </c>
      <c r="I29" s="53" t="n"/>
      <c r="J29" s="55" t="inlineStr">
        <is>
          <t>Release 15B</t>
        </is>
      </c>
      <c r="K29" s="32">
        <f>COUNTIFS(Release[Release],J29)</f>
        <v/>
      </c>
      <c r="L29" s="32">
        <f>SUMIFS(Release[HLE],Release[Release],J29)</f>
        <v/>
      </c>
      <c r="M29" s="56" t="n"/>
      <c r="N29" s="56" t="n"/>
    </row>
    <row r="30" ht="15" customHeight="1">
      <c r="A30" s="21" t="inlineStr">
        <is>
          <t>NEW-0350</t>
        </is>
      </c>
      <c r="B30" s="23">
        <f>IFERROR(IF(ISBLANK(INDEX(Backlog[Requirement Name],MATCH($A30,Backlog[Requirement ID],0))),"",INDEX(Backlog[Requirement Name],MATCH($A30,Backlog[Requirement ID],0))),"")</f>
        <v/>
      </c>
      <c r="C30" s="23">
        <f>IFERROR(IF(ISBLANK(INDEX(Backlog[Stream],MATCH($A30,Backlog[Requirement ID],0))),"",INDEX(Backlog[Stream],MATCH($A30,Backlog[Requirement ID],0))),"")</f>
        <v/>
      </c>
      <c r="D30" s="23">
        <f>IFERROR(IF(ISBLANK(INDEX(SprintPlanning[Sprint],MATCH($A30,SprintPlanning[Requirement ID],0))),"",INDEX(SprintPlanning[Sprint],MATCH($A30,SprintPlanning[Requirement ID],0))),"")</f>
        <v/>
      </c>
      <c r="E30" s="23">
        <f>IFERROR(IF(ISBLANK(INDEX(Backlog[Status],MATCH($A30,Backlog[Requirement ID],0))),"",INDEX(Backlog[Status],MATCH($A30,Backlog[Requirement ID],0))),"")</f>
        <v/>
      </c>
      <c r="F30" s="23">
        <f>IFERROR(IF(ISBLANK(INDEX(Backlog[Priority],MATCH($A30,Backlog[Requirement ID],0))),"",INDEX(Backlog[Priority],MATCH($A30,Backlog[Requirement ID],0))),"")</f>
        <v/>
      </c>
      <c r="G30" s="21" t="inlineStr">
        <is>
          <t>Release 9</t>
        </is>
      </c>
      <c r="H30" s="23">
        <f>IFERROR(IF(ISBLANK(INDEX(Backlog[HLE],MATCH($A30,Backlog[Requirement ID],0))),"",INDEX(Backlog[HLE],MATCH($A30,Backlog[Requirement ID],0))),"")</f>
        <v/>
      </c>
      <c r="I30" s="53" t="n"/>
      <c r="J30" s="55" t="inlineStr">
        <is>
          <t>Release 15C</t>
        </is>
      </c>
      <c r="K30" s="32">
        <f>COUNTIFS(Release[Release],J30)</f>
        <v/>
      </c>
      <c r="L30" s="32">
        <f>SUMIFS(Release[HLE],Release[Release],J30)</f>
        <v/>
      </c>
      <c r="M30" s="56" t="n">
        <v>46219</v>
      </c>
      <c r="N30" s="56" t="n"/>
      <c r="O30" t="inlineStr">
        <is>
          <t>Completed</t>
        </is>
      </c>
      <c r="P30" t="inlineStr">
        <is>
          <t>CHG0070881</t>
        </is>
      </c>
    </row>
    <row r="31" ht="15" customHeight="1">
      <c r="A31" s="21" t="inlineStr">
        <is>
          <t>NEW-0351</t>
        </is>
      </c>
      <c r="B31" s="23">
        <f>IFERROR(IF(ISBLANK(INDEX(Backlog[Requirement Name],MATCH($A31,Backlog[Requirement ID],0))),"",INDEX(Backlog[Requirement Name],MATCH($A31,Backlog[Requirement ID],0))),"")</f>
        <v/>
      </c>
      <c r="C31" s="23">
        <f>IFERROR(IF(ISBLANK(INDEX(Backlog[Stream],MATCH($A31,Backlog[Requirement ID],0))),"",INDEX(Backlog[Stream],MATCH($A31,Backlog[Requirement ID],0))),"")</f>
        <v/>
      </c>
      <c r="D31" s="23">
        <f>IFERROR(IF(ISBLANK(INDEX(SprintPlanning[Sprint],MATCH($A31,SprintPlanning[Requirement ID],0))),"",INDEX(SprintPlanning[Sprint],MATCH($A31,SprintPlanning[Requirement ID],0))),"")</f>
        <v/>
      </c>
      <c r="E31" s="23">
        <f>IFERROR(IF(ISBLANK(INDEX(Backlog[Status],MATCH($A31,Backlog[Requirement ID],0))),"",INDEX(Backlog[Status],MATCH($A31,Backlog[Requirement ID],0))),"")</f>
        <v/>
      </c>
      <c r="F31" s="23">
        <f>IFERROR(IF(ISBLANK(INDEX(Backlog[Priority],MATCH($A31,Backlog[Requirement ID],0))),"",INDEX(Backlog[Priority],MATCH($A31,Backlog[Requirement ID],0))),"")</f>
        <v/>
      </c>
      <c r="G31" s="21" t="n"/>
      <c r="H31" s="23">
        <f>IFERROR(IF(ISBLANK(INDEX(Backlog[HLE],MATCH($A31,Backlog[Requirement ID],0))),"",INDEX(Backlog[HLE],MATCH($A31,Backlog[Requirement ID],0))),"")</f>
        <v/>
      </c>
      <c r="I31" s="53" t="n"/>
      <c r="J31" s="55" t="inlineStr">
        <is>
          <t>Release 16</t>
        </is>
      </c>
      <c r="K31" s="32">
        <f>COUNTIFS(Release[Release],J31)</f>
        <v/>
      </c>
      <c r="L31" s="32">
        <f>SUMIFS(Release[HLE],Release[Release],J31)</f>
        <v/>
      </c>
      <c r="M31" s="56" t="n">
        <v>45861</v>
      </c>
      <c r="N31" s="56" t="n"/>
      <c r="O31" t="inlineStr">
        <is>
          <t>Completed</t>
        </is>
      </c>
      <c r="P31" t="inlineStr">
        <is>
          <t>CHG0070954</t>
        </is>
      </c>
    </row>
    <row r="32" ht="15" customHeight="1">
      <c r="A32" s="21" t="inlineStr">
        <is>
          <t>NEW-0123</t>
        </is>
      </c>
      <c r="B32" s="23">
        <f>IFERROR(IF(ISBLANK(INDEX(Backlog[Requirement Name],MATCH($A32,Backlog[Requirement ID],0))),"",INDEX(Backlog[Requirement Name],MATCH($A32,Backlog[Requirement ID],0))),"")</f>
        <v/>
      </c>
      <c r="C32" s="23">
        <f>IFERROR(IF(ISBLANK(INDEX(Backlog[Stream],MATCH($A32,Backlog[Requirement ID],0))),"",INDEX(Backlog[Stream],MATCH($A32,Backlog[Requirement ID],0))),"")</f>
        <v/>
      </c>
      <c r="D32" s="23">
        <f>IFERROR(IF(ISBLANK(INDEX(SprintPlanning[Sprint],MATCH($A32,SprintPlanning[Requirement ID],0))),"",INDEX(SprintPlanning[Sprint],MATCH($A32,SprintPlanning[Requirement ID],0))),"")</f>
        <v/>
      </c>
      <c r="E32" s="23">
        <f>IFERROR(IF(ISBLANK(INDEX(Backlog[Status],MATCH($A32,Backlog[Requirement ID],0))),"",INDEX(Backlog[Status],MATCH($A32,Backlog[Requirement ID],0))),"")</f>
        <v/>
      </c>
      <c r="F32" s="23">
        <f>IFERROR(IF(ISBLANK(INDEX(Backlog[Priority],MATCH($A32,Backlog[Requirement ID],0))),"",INDEX(Backlog[Priority],MATCH($A32,Backlog[Requirement ID],0))),"")</f>
        <v/>
      </c>
      <c r="G32" s="21" t="inlineStr">
        <is>
          <t>Release 19</t>
        </is>
      </c>
      <c r="H32" s="23">
        <f>IFERROR(IF(ISBLANK(INDEX(Backlog[HLE],MATCH($A32,Backlog[Requirement ID],0))),"",INDEX(Backlog[HLE],MATCH($A32,Backlog[Requirement ID],0))),"")</f>
        <v/>
      </c>
      <c r="I32" s="53" t="n"/>
      <c r="J32" s="55" t="inlineStr">
        <is>
          <t>Release 17</t>
        </is>
      </c>
      <c r="K32" s="32">
        <f>COUNTIFS(Release[Release],J32)</f>
        <v/>
      </c>
      <c r="L32" s="32">
        <f>SUMIFS(Release[HLE],Release[Release],J32)</f>
        <v/>
      </c>
      <c r="M32" s="56" t="n"/>
      <c r="N32" s="56" t="n"/>
      <c r="O32" t="inlineStr">
        <is>
          <t>Planned</t>
        </is>
      </c>
      <c r="P32" t="inlineStr">
        <is>
          <t>CHG0071104</t>
        </is>
      </c>
    </row>
    <row r="33" ht="15" customHeight="1">
      <c r="A33" s="21" t="inlineStr">
        <is>
          <t>NEW-0249</t>
        </is>
      </c>
      <c r="B33" s="23">
        <f>IFERROR(IF(ISBLANK(INDEX(Backlog[Requirement Name],MATCH($A33,Backlog[Requirement ID],0))),"",INDEX(Backlog[Requirement Name],MATCH($A33,Backlog[Requirement ID],0))),"")</f>
        <v/>
      </c>
      <c r="C33" s="23">
        <f>IFERROR(IF(ISBLANK(INDEX(Backlog[Stream],MATCH($A33,Backlog[Requirement ID],0))),"",INDEX(Backlog[Stream],MATCH($A33,Backlog[Requirement ID],0))),"")</f>
        <v/>
      </c>
      <c r="D33" s="23">
        <f>IFERROR(IF(ISBLANK(INDEX(SprintPlanning[Sprint],MATCH($A33,SprintPlanning[Requirement ID],0))),"",INDEX(SprintPlanning[Sprint],MATCH($A33,SprintPlanning[Requirement ID],0))),"")</f>
        <v/>
      </c>
      <c r="E33" s="23">
        <f>IFERROR(IF(ISBLANK(INDEX(Backlog[Status],MATCH($A33,Backlog[Requirement ID],0))),"",INDEX(Backlog[Status],MATCH($A33,Backlog[Requirement ID],0))),"")</f>
        <v/>
      </c>
      <c r="F33" s="23">
        <f>IFERROR(IF(ISBLANK(INDEX(Backlog[Priority],MATCH($A33,Backlog[Requirement ID],0))),"",INDEX(Backlog[Priority],MATCH($A33,Backlog[Requirement ID],0))),"")</f>
        <v/>
      </c>
      <c r="G33" s="21" t="inlineStr">
        <is>
          <t>Release 19</t>
        </is>
      </c>
      <c r="H33" s="23">
        <f>IFERROR(IF(ISBLANK(INDEX(Backlog[HLE],MATCH($A33,Backlog[Requirement ID],0))),"",INDEX(Backlog[HLE],MATCH($A33,Backlog[Requirement ID],0))),"")</f>
        <v/>
      </c>
      <c r="I33" s="53" t="n"/>
      <c r="J33" s="55" t="inlineStr">
        <is>
          <t>Release 19</t>
        </is>
      </c>
      <c r="K33" s="32">
        <f>COUNTIFS(Release[Release],J34)</f>
        <v/>
      </c>
      <c r="L33" s="32">
        <f>SUMIFS(Release[HLE],Release[Release],J34)</f>
        <v/>
      </c>
      <c r="M33" s="56" t="n">
        <v>46266</v>
      </c>
      <c r="N33" s="56" t="n"/>
      <c r="O33" t="inlineStr">
        <is>
          <t>Planned</t>
        </is>
      </c>
      <c r="P33" t="inlineStr">
        <is>
          <t>CHG0071296</t>
        </is>
      </c>
    </row>
    <row r="34" ht="15" customHeight="1">
      <c r="A34" s="21" t="inlineStr">
        <is>
          <t>NEW-0250</t>
        </is>
      </c>
      <c r="B34" s="23">
        <f>IFERROR(IF(ISBLANK(INDEX(Backlog[Requirement Name],MATCH($A34,Backlog[Requirement ID],0))),"",INDEX(Backlog[Requirement Name],MATCH($A34,Backlog[Requirement ID],0))),"")</f>
        <v/>
      </c>
      <c r="C34" s="23">
        <f>IFERROR(IF(ISBLANK(INDEX(Backlog[Stream],MATCH($A34,Backlog[Requirement ID],0))),"",INDEX(Backlog[Stream],MATCH($A34,Backlog[Requirement ID],0))),"")</f>
        <v/>
      </c>
      <c r="D34" s="23">
        <f>IFERROR(IF(ISBLANK(INDEX(SprintPlanning[Sprint],MATCH($A34,SprintPlanning[Requirement ID],0))),"",INDEX(SprintPlanning[Sprint],MATCH($A34,SprintPlanning[Requirement ID],0))),"")</f>
        <v/>
      </c>
      <c r="E34" s="23">
        <f>IFERROR(IF(ISBLANK(INDEX(Backlog[Status],MATCH($A34,Backlog[Requirement ID],0))),"",INDEX(Backlog[Status],MATCH($A34,Backlog[Requirement ID],0))),"")</f>
        <v/>
      </c>
      <c r="F34" s="23">
        <f>IFERROR(IF(ISBLANK(INDEX(Backlog[Priority],MATCH($A34,Backlog[Requirement ID],0))),"",INDEX(Backlog[Priority],MATCH($A34,Backlog[Requirement ID],0))),"")</f>
        <v/>
      </c>
      <c r="G34" s="21" t="inlineStr">
        <is>
          <t>Release 19</t>
        </is>
      </c>
      <c r="H34" s="23">
        <f>IFERROR(IF(ISBLANK(INDEX(Backlog[HLE],MATCH($A34,Backlog[Requirement ID],0))),"",INDEX(Backlog[HLE],MATCH($A34,Backlog[Requirement ID],0))),"")</f>
        <v/>
      </c>
      <c r="I34" s="53" t="n"/>
      <c r="J34" s="55" t="inlineStr">
        <is>
          <t>(Unassigned)</t>
        </is>
      </c>
      <c r="K34" s="32">
        <f>COUNTBLANK(Release[Release])-COUNTIF(Release[Requirement ID],"")</f>
        <v/>
      </c>
      <c r="L34" s="32">
        <f>SUMIFS(Release[HLE],Release[Release],"")</f>
        <v/>
      </c>
    </row>
    <row r="35" ht="23.25" customHeight="1">
      <c r="A35" s="21" t="inlineStr">
        <is>
          <t>NEW-0251</t>
        </is>
      </c>
      <c r="B35" s="23">
        <f>IFERROR(IF(ISBLANK(INDEX(Backlog[Requirement Name],MATCH($A35,Backlog[Requirement ID],0))),"",INDEX(Backlog[Requirement Name],MATCH($A35,Backlog[Requirement ID],0))),"")</f>
        <v/>
      </c>
      <c r="C35" s="23">
        <f>IFERROR(IF(ISBLANK(INDEX(Backlog[Stream],MATCH($A35,Backlog[Requirement ID],0))),"",INDEX(Backlog[Stream],MATCH($A35,Backlog[Requirement ID],0))),"")</f>
        <v/>
      </c>
      <c r="D35" s="23">
        <f>IFERROR(IF(ISBLANK(INDEX(SprintPlanning[Sprint],MATCH($A35,SprintPlanning[Requirement ID],0))),"",INDEX(SprintPlanning[Sprint],MATCH($A35,SprintPlanning[Requirement ID],0))),"")</f>
        <v/>
      </c>
      <c r="E35" s="23">
        <f>IFERROR(IF(ISBLANK(INDEX(Backlog[Status],MATCH($A35,Backlog[Requirement ID],0))),"",INDEX(Backlog[Status],MATCH($A35,Backlog[Requirement ID],0))),"")</f>
        <v/>
      </c>
      <c r="F35" s="23">
        <f>IFERROR(IF(ISBLANK(INDEX(Backlog[Priority],MATCH($A35,Backlog[Requirement ID],0))),"",INDEX(Backlog[Priority],MATCH($A35,Backlog[Requirement ID],0))),"")</f>
        <v/>
      </c>
      <c r="G35" s="21" t="inlineStr">
        <is>
          <t>Release 19</t>
        </is>
      </c>
      <c r="H35" s="23">
        <f>IFERROR(IF(ISBLANK(INDEX(Backlog[HLE],MATCH($A35,Backlog[Requirement ID],0))),"",INDEX(Backlog[HLE],MATCH($A35,Backlog[Requirement ID],0))),"")</f>
        <v/>
      </c>
      <c r="I35" s="53" t="n"/>
      <c r="J35" s="57" t="n"/>
    </row>
    <row r="36" ht="15" customHeight="1">
      <c r="A36" s="21" t="inlineStr">
        <is>
          <t>NEW-0252</t>
        </is>
      </c>
      <c r="B36" s="23">
        <f>IFERROR(IF(ISBLANK(INDEX(Backlog[Requirement Name],MATCH($A36,Backlog[Requirement ID],0))),"",INDEX(Backlog[Requirement Name],MATCH($A36,Backlog[Requirement ID],0))),"")</f>
        <v/>
      </c>
      <c r="C36" s="23">
        <f>IFERROR(IF(ISBLANK(INDEX(Backlog[Stream],MATCH($A36,Backlog[Requirement ID],0))),"",INDEX(Backlog[Stream],MATCH($A36,Backlog[Requirement ID],0))),"")</f>
        <v/>
      </c>
      <c r="D36" s="23">
        <f>IFERROR(IF(ISBLANK(INDEX(SprintPlanning[Sprint],MATCH($A36,SprintPlanning[Requirement ID],0))),"",INDEX(SprintPlanning[Sprint],MATCH($A36,SprintPlanning[Requirement ID],0))),"")</f>
        <v/>
      </c>
      <c r="E36" s="23">
        <f>IFERROR(IF(ISBLANK(INDEX(Backlog[Status],MATCH($A36,Backlog[Requirement ID],0))),"",INDEX(Backlog[Status],MATCH($A36,Backlog[Requirement ID],0))),"")</f>
        <v/>
      </c>
      <c r="F36" s="23">
        <f>IFERROR(IF(ISBLANK(INDEX(Backlog[Priority],MATCH($A36,Backlog[Requirement ID],0))),"",INDEX(Backlog[Priority],MATCH($A36,Backlog[Requirement ID],0))),"")</f>
        <v/>
      </c>
      <c r="G36" s="21" t="inlineStr">
        <is>
          <t>Release 19</t>
        </is>
      </c>
      <c r="H36" s="23">
        <f>IFERROR(IF(ISBLANK(INDEX(Backlog[HLE],MATCH($A36,Backlog[Requirement ID],0))),"",INDEX(Backlog[HLE],MATCH($A36,Backlog[Requirement ID],0))),"")</f>
        <v/>
      </c>
      <c r="I36" s="53" t="n"/>
      <c r="J36" s="57" t="n"/>
    </row>
    <row r="37" ht="15" customHeight="1">
      <c r="A37" s="21" t="inlineStr">
        <is>
          <t>NEW-0260</t>
        </is>
      </c>
      <c r="B37" s="23">
        <f>IFERROR(IF(ISBLANK(INDEX(Backlog[Requirement Name],MATCH($A37,Backlog[Requirement ID],0))),"",INDEX(Backlog[Requirement Name],MATCH($A37,Backlog[Requirement ID],0))),"")</f>
        <v/>
      </c>
      <c r="C37" s="23">
        <f>IFERROR(IF(ISBLANK(INDEX(Backlog[Stream],MATCH($A37,Backlog[Requirement ID],0))),"",INDEX(Backlog[Stream],MATCH($A37,Backlog[Requirement ID],0))),"")</f>
        <v/>
      </c>
      <c r="D37" s="23">
        <f>IFERROR(IF(ISBLANK(INDEX(SprintPlanning[Sprint],MATCH($A37,SprintPlanning[Requirement ID],0))),"",INDEX(SprintPlanning[Sprint],MATCH($A37,SprintPlanning[Requirement ID],0))),"")</f>
        <v/>
      </c>
      <c r="E37" s="23">
        <f>IFERROR(IF(ISBLANK(INDEX(Backlog[Status],MATCH($A37,Backlog[Requirement ID],0))),"",INDEX(Backlog[Status],MATCH($A37,Backlog[Requirement ID],0))),"")</f>
        <v/>
      </c>
      <c r="F37" s="23">
        <f>IFERROR(IF(ISBLANK(INDEX(Backlog[Priority],MATCH($A37,Backlog[Requirement ID],0))),"",INDEX(Backlog[Priority],MATCH($A37,Backlog[Requirement ID],0))),"")</f>
        <v/>
      </c>
      <c r="G37" s="21" t="inlineStr">
        <is>
          <t>Release 19</t>
        </is>
      </c>
      <c r="H37" s="23">
        <f>IFERROR(IF(ISBLANK(INDEX(Backlog[HLE],MATCH($A37,Backlog[Requirement ID],0))),"",INDEX(Backlog[HLE],MATCH($A37,Backlog[Requirement ID],0))),"")</f>
        <v/>
      </c>
      <c r="I37" s="53" t="n"/>
      <c r="J37" s="57" t="n"/>
    </row>
    <row r="38" ht="15" customHeight="1">
      <c r="A38" s="21" t="inlineStr">
        <is>
          <t>NEW-0261</t>
        </is>
      </c>
      <c r="B38" s="23">
        <f>IFERROR(IF(ISBLANK(INDEX(Backlog[Requirement Name],MATCH($A38,Backlog[Requirement ID],0))),"",INDEX(Backlog[Requirement Name],MATCH($A38,Backlog[Requirement ID],0))),"")</f>
        <v/>
      </c>
      <c r="C38" s="23">
        <f>IFERROR(IF(ISBLANK(INDEX(Backlog[Stream],MATCH($A38,Backlog[Requirement ID],0))),"",INDEX(Backlog[Stream],MATCH($A38,Backlog[Requirement ID],0))),"")</f>
        <v/>
      </c>
      <c r="D38" s="23">
        <f>IFERROR(IF(ISBLANK(INDEX(SprintPlanning[Sprint],MATCH($A38,SprintPlanning[Requirement ID],0))),"",INDEX(SprintPlanning[Sprint],MATCH($A38,SprintPlanning[Requirement ID],0))),"")</f>
        <v/>
      </c>
      <c r="E38" s="23">
        <f>IFERROR(IF(ISBLANK(INDEX(Backlog[Status],MATCH($A38,Backlog[Requirement ID],0))),"",INDEX(Backlog[Status],MATCH($A38,Backlog[Requirement ID],0))),"")</f>
        <v/>
      </c>
      <c r="F38" s="23">
        <f>IFERROR(IF(ISBLANK(INDEX(Backlog[Priority],MATCH($A38,Backlog[Requirement ID],0))),"",INDEX(Backlog[Priority],MATCH($A38,Backlog[Requirement ID],0))),"")</f>
        <v/>
      </c>
      <c r="G38" s="21" t="inlineStr">
        <is>
          <t>Release 19</t>
        </is>
      </c>
      <c r="H38" s="23">
        <f>IFERROR(IF(ISBLANK(INDEX(Backlog[HLE],MATCH($A38,Backlog[Requirement ID],0))),"",INDEX(Backlog[HLE],MATCH($A38,Backlog[Requirement ID],0))),"")</f>
        <v/>
      </c>
      <c r="I38" s="53" t="n"/>
      <c r="J38" s="57" t="n"/>
    </row>
    <row r="39" ht="15" customHeight="1">
      <c r="A39" s="21" t="inlineStr">
        <is>
          <t>NEW-0262</t>
        </is>
      </c>
      <c r="B39" s="23">
        <f>IFERROR(IF(ISBLANK(INDEX(Backlog[Requirement Name],MATCH($A39,Backlog[Requirement ID],0))),"",INDEX(Backlog[Requirement Name],MATCH($A39,Backlog[Requirement ID],0))),"")</f>
        <v/>
      </c>
      <c r="C39" s="23">
        <f>IFERROR(IF(ISBLANK(INDEX(Backlog[Stream],MATCH($A39,Backlog[Requirement ID],0))),"",INDEX(Backlog[Stream],MATCH($A39,Backlog[Requirement ID],0))),"")</f>
        <v/>
      </c>
      <c r="D39" s="23">
        <f>IFERROR(IF(ISBLANK(INDEX(SprintPlanning[Sprint],MATCH($A39,SprintPlanning[Requirement ID],0))),"",INDEX(SprintPlanning[Sprint],MATCH($A39,SprintPlanning[Requirement ID],0))),"")</f>
        <v/>
      </c>
      <c r="E39" s="23">
        <f>IFERROR(IF(ISBLANK(INDEX(Backlog[Status],MATCH($A39,Backlog[Requirement ID],0))),"",INDEX(Backlog[Status],MATCH($A39,Backlog[Requirement ID],0))),"")</f>
        <v/>
      </c>
      <c r="F39" s="23">
        <f>IFERROR(IF(ISBLANK(INDEX(Backlog[Priority],MATCH($A39,Backlog[Requirement ID],0))),"",INDEX(Backlog[Priority],MATCH($A39,Backlog[Requirement ID],0))),"")</f>
        <v/>
      </c>
      <c r="G39" s="21" t="inlineStr">
        <is>
          <t>Release 18</t>
        </is>
      </c>
      <c r="H39" s="23">
        <f>IFERROR(IF(ISBLANK(INDEX(Backlog[HLE],MATCH($A39,Backlog[Requirement ID],0))),"",INDEX(Backlog[HLE],MATCH($A39,Backlog[Requirement ID],0))),"")</f>
        <v/>
      </c>
      <c r="I39" s="53" t="n"/>
      <c r="J39" s="57" t="n"/>
    </row>
    <row r="40" ht="15" customHeight="1">
      <c r="A40" s="21" t="inlineStr">
        <is>
          <t>NEW-0306</t>
        </is>
      </c>
      <c r="B40" s="23">
        <f>IFERROR(IF(ISBLANK(INDEX(Backlog[Requirement Name],MATCH($A40,Backlog[Requirement ID],0))),"",INDEX(Backlog[Requirement Name],MATCH($A40,Backlog[Requirement ID],0))),"")</f>
        <v/>
      </c>
      <c r="C40" s="23">
        <f>IFERROR(IF(ISBLANK(INDEX(Backlog[Stream],MATCH($A40,Backlog[Requirement ID],0))),"",INDEX(Backlog[Stream],MATCH($A40,Backlog[Requirement ID],0))),"")</f>
        <v/>
      </c>
      <c r="D40" s="23">
        <f>IFERROR(IF(ISBLANK(INDEX(SprintPlanning[Sprint],MATCH($A40,SprintPlanning[Requirement ID],0))),"",INDEX(SprintPlanning[Sprint],MATCH($A40,SprintPlanning[Requirement ID],0))),"")</f>
        <v/>
      </c>
      <c r="E40" s="23">
        <f>IFERROR(IF(ISBLANK(INDEX(Backlog[Status],MATCH($A40,Backlog[Requirement ID],0))),"",INDEX(Backlog[Status],MATCH($A40,Backlog[Requirement ID],0))),"")</f>
        <v/>
      </c>
      <c r="F40" s="23">
        <f>IFERROR(IF(ISBLANK(INDEX(Backlog[Priority],MATCH($A40,Backlog[Requirement ID],0))),"",INDEX(Backlog[Priority],MATCH($A40,Backlog[Requirement ID],0))),"")</f>
        <v/>
      </c>
      <c r="G40" s="21" t="n"/>
      <c r="H40" s="23">
        <f>IFERROR(IF(ISBLANK(INDEX(Backlog[HLE],MATCH($A40,Backlog[Requirement ID],0))),"",INDEX(Backlog[HLE],MATCH($A40,Backlog[Requirement ID],0))),"")</f>
        <v/>
      </c>
      <c r="I40" s="53" t="n"/>
      <c r="J40" s="57" t="n"/>
    </row>
    <row r="41" ht="15" customHeight="1">
      <c r="A41" s="21" t="inlineStr">
        <is>
          <t>NEW-0308</t>
        </is>
      </c>
      <c r="B41" s="23">
        <f>IFERROR(IF(ISBLANK(INDEX(Backlog[Requirement Name],MATCH($A41,Backlog[Requirement ID],0))),"",INDEX(Backlog[Requirement Name],MATCH($A41,Backlog[Requirement ID],0))),"")</f>
        <v/>
      </c>
      <c r="C41" s="23">
        <f>IFERROR(IF(ISBLANK(INDEX(Backlog[Stream],MATCH($A41,Backlog[Requirement ID],0))),"",INDEX(Backlog[Stream],MATCH($A41,Backlog[Requirement ID],0))),"")</f>
        <v/>
      </c>
      <c r="D41" s="23">
        <f>IFERROR(IF(ISBLANK(INDEX(SprintPlanning[Sprint],MATCH($A41,SprintPlanning[Requirement ID],0))),"",INDEX(SprintPlanning[Sprint],MATCH($A41,SprintPlanning[Requirement ID],0))),"")</f>
        <v/>
      </c>
      <c r="E41" s="23">
        <f>IFERROR(IF(ISBLANK(INDEX(Backlog[Status],MATCH($A41,Backlog[Requirement ID],0))),"",INDEX(Backlog[Status],MATCH($A41,Backlog[Requirement ID],0))),"")</f>
        <v/>
      </c>
      <c r="F41" s="23">
        <f>IFERROR(IF(ISBLANK(INDEX(Backlog[Priority],MATCH($A41,Backlog[Requirement ID],0))),"",INDEX(Backlog[Priority],MATCH($A41,Backlog[Requirement ID],0))),"")</f>
        <v/>
      </c>
      <c r="G41" s="21" t="inlineStr">
        <is>
          <t>Release 12</t>
        </is>
      </c>
      <c r="H41" s="23">
        <f>IFERROR(IF(ISBLANK(INDEX(Backlog[HLE],MATCH($A41,Backlog[Requirement ID],0))),"",INDEX(Backlog[HLE],MATCH($A41,Backlog[Requirement ID],0))),"")</f>
        <v/>
      </c>
      <c r="I41" s="53" t="n"/>
      <c r="J41" s="57" t="n"/>
    </row>
    <row r="42" ht="15" customHeight="1">
      <c r="A42" s="21" t="inlineStr">
        <is>
          <t>NEW-0309</t>
        </is>
      </c>
      <c r="B42" s="23">
        <f>IFERROR(IF(ISBLANK(INDEX(Backlog[Requirement Name],MATCH($A42,Backlog[Requirement ID],0))),"",INDEX(Backlog[Requirement Name],MATCH($A42,Backlog[Requirement ID],0))),"")</f>
        <v/>
      </c>
      <c r="C42" s="23">
        <f>IFERROR(IF(ISBLANK(INDEX(Backlog[Stream],MATCH($A42,Backlog[Requirement ID],0))),"",INDEX(Backlog[Stream],MATCH($A42,Backlog[Requirement ID],0))),"")</f>
        <v/>
      </c>
      <c r="D42" s="23">
        <f>IFERROR(IF(ISBLANK(INDEX(SprintPlanning[Sprint],MATCH($A42,SprintPlanning[Requirement ID],0))),"",INDEX(SprintPlanning[Sprint],MATCH($A42,SprintPlanning[Requirement ID],0))),"")</f>
        <v/>
      </c>
      <c r="E42" s="23">
        <f>IFERROR(IF(ISBLANK(INDEX(Backlog[Status],MATCH($A42,Backlog[Requirement ID],0))),"",INDEX(Backlog[Status],MATCH($A42,Backlog[Requirement ID],0))),"")</f>
        <v/>
      </c>
      <c r="F42" s="23">
        <f>IFERROR(IF(ISBLANK(INDEX(Backlog[Priority],MATCH($A42,Backlog[Requirement ID],0))),"",INDEX(Backlog[Priority],MATCH($A42,Backlog[Requirement ID],0))),"")</f>
        <v/>
      </c>
      <c r="G42" s="21" t="n"/>
      <c r="H42" s="23">
        <f>IFERROR(IF(ISBLANK(INDEX(Backlog[HLE],MATCH($A42,Backlog[Requirement ID],0))),"",INDEX(Backlog[HLE],MATCH($A42,Backlog[Requirement ID],0))),"")</f>
        <v/>
      </c>
      <c r="I42" s="53" t="n"/>
      <c r="J42" s="57" t="n"/>
    </row>
    <row r="43" ht="15" customHeight="1">
      <c r="A43" s="21" t="inlineStr">
        <is>
          <t>NEW-0339</t>
        </is>
      </c>
      <c r="B43" s="23">
        <f>IFERROR(IF(ISBLANK(INDEX(Backlog[Requirement Name],MATCH($A43,Backlog[Requirement ID],0))),"",INDEX(Backlog[Requirement Name],MATCH($A43,Backlog[Requirement ID],0))),"")</f>
        <v/>
      </c>
      <c r="C43" s="23">
        <f>IFERROR(IF(ISBLANK(INDEX(Backlog[Stream],MATCH($A43,Backlog[Requirement ID],0))),"",INDEX(Backlog[Stream],MATCH($A43,Backlog[Requirement ID],0))),"")</f>
        <v/>
      </c>
      <c r="D43" s="23">
        <f>IFERROR(IF(ISBLANK(INDEX(SprintPlanning[Sprint],MATCH($A43,SprintPlanning[Requirement ID],0))),"",INDEX(SprintPlanning[Sprint],MATCH($A43,SprintPlanning[Requirement ID],0))),"")</f>
        <v/>
      </c>
      <c r="E43" s="23">
        <f>IFERROR(IF(ISBLANK(INDEX(Backlog[Status],MATCH($A43,Backlog[Requirement ID],0))),"",INDEX(Backlog[Status],MATCH($A43,Backlog[Requirement ID],0))),"")</f>
        <v/>
      </c>
      <c r="F43" s="23">
        <f>IFERROR(IF(ISBLANK(INDEX(Backlog[Priority],MATCH($A43,Backlog[Requirement ID],0))),"",INDEX(Backlog[Priority],MATCH($A43,Backlog[Requirement ID],0))),"")</f>
        <v/>
      </c>
      <c r="G43" s="21" t="inlineStr">
        <is>
          <t>Release 10</t>
        </is>
      </c>
      <c r="H43" s="23">
        <f>IFERROR(IF(ISBLANK(INDEX(Backlog[HLE],MATCH($A43,Backlog[Requirement ID],0))),"",INDEX(Backlog[HLE],MATCH($A43,Backlog[Requirement ID],0))),"")</f>
        <v/>
      </c>
      <c r="I43" s="53" t="n"/>
      <c r="J43" s="57" t="n"/>
    </row>
    <row r="44" ht="15" customHeight="1">
      <c r="A44" s="21" t="inlineStr">
        <is>
          <t>NEW-0382</t>
        </is>
      </c>
      <c r="B44" s="23">
        <f>IFERROR(IF(ISBLANK(INDEX(Backlog[Requirement Name],MATCH($A44,Backlog[Requirement ID],0))),"",INDEX(Backlog[Requirement Name],MATCH($A44,Backlog[Requirement ID],0))),"")</f>
        <v/>
      </c>
      <c r="C44" s="23">
        <f>IFERROR(IF(ISBLANK(INDEX(Backlog[Stream],MATCH($A44,Backlog[Requirement ID],0))),"",INDEX(Backlog[Stream],MATCH($A44,Backlog[Requirement ID],0))),"")</f>
        <v/>
      </c>
      <c r="D44" s="23">
        <f>IFERROR(IF(ISBLANK(INDEX(SprintPlanning[Sprint],MATCH($A44,SprintPlanning[Requirement ID],0))),"",INDEX(SprintPlanning[Sprint],MATCH($A44,SprintPlanning[Requirement ID],0))),"")</f>
        <v/>
      </c>
      <c r="E44" s="23">
        <f>IFERROR(IF(ISBLANK(INDEX(Backlog[Status],MATCH($A44,Backlog[Requirement ID],0))),"",INDEX(Backlog[Status],MATCH($A44,Backlog[Requirement ID],0))),"")</f>
        <v/>
      </c>
      <c r="F44" s="23">
        <f>IFERROR(IF(ISBLANK(INDEX(Backlog[Priority],MATCH($A44,Backlog[Requirement ID],0))),"",INDEX(Backlog[Priority],MATCH($A44,Backlog[Requirement ID],0))),"")</f>
        <v/>
      </c>
      <c r="G44" s="21" t="n"/>
      <c r="H44" s="23">
        <f>IFERROR(IF(ISBLANK(INDEX(Backlog[HLE],MATCH($A44,Backlog[Requirement ID],0))),"",INDEX(Backlog[HLE],MATCH($A44,Backlog[Requirement ID],0))),"")</f>
        <v/>
      </c>
      <c r="I44" s="53" t="n"/>
      <c r="J44" s="57" t="n"/>
    </row>
    <row r="45" ht="15" customHeight="1">
      <c r="A45" s="21" t="inlineStr">
        <is>
          <t>NEW-0108</t>
        </is>
      </c>
      <c r="B45" s="23">
        <f>IFERROR(IF(ISBLANK(INDEX(Backlog[Requirement Name],MATCH($A45,Backlog[Requirement ID],0))),"",INDEX(Backlog[Requirement Name],MATCH($A45,Backlog[Requirement ID],0))),"")</f>
        <v/>
      </c>
      <c r="C45" s="23">
        <f>IFERROR(IF(ISBLANK(INDEX(Backlog[Stream],MATCH($A45,Backlog[Requirement ID],0))),"",INDEX(Backlog[Stream],MATCH($A45,Backlog[Requirement ID],0))),"")</f>
        <v/>
      </c>
      <c r="D45" s="23">
        <f>IFERROR(IF(ISBLANK(INDEX(SprintPlanning[Sprint],MATCH($A45,SprintPlanning[Requirement ID],0))),"",INDEX(SprintPlanning[Sprint],MATCH($A45,SprintPlanning[Requirement ID],0))),"")</f>
        <v/>
      </c>
      <c r="E45" s="23">
        <f>IFERROR(IF(ISBLANK(INDEX(Backlog[Status],MATCH($A45,Backlog[Requirement ID],0))),"",INDEX(Backlog[Status],MATCH($A45,Backlog[Requirement ID],0))),"")</f>
        <v/>
      </c>
      <c r="F45" s="23">
        <f>IFERROR(IF(ISBLANK(INDEX(Backlog[Priority],MATCH($A45,Backlog[Requirement ID],0))),"",INDEX(Backlog[Priority],MATCH($A45,Backlog[Requirement ID],0))),"")</f>
        <v/>
      </c>
      <c r="G45" s="21" t="inlineStr">
        <is>
          <t>Release 18</t>
        </is>
      </c>
      <c r="H45" s="23">
        <f>IFERROR(IF(ISBLANK(INDEX(Backlog[HLE],MATCH($A45,Backlog[Requirement ID],0))),"",INDEX(Backlog[HLE],MATCH($A45,Backlog[Requirement ID],0))),"")</f>
        <v/>
      </c>
      <c r="I45" s="53" t="n"/>
      <c r="J45" s="57" t="n"/>
    </row>
    <row r="46" ht="15" customHeight="1">
      <c r="A46" s="21" t="inlineStr">
        <is>
          <t>NEW-0109</t>
        </is>
      </c>
      <c r="B46" s="23">
        <f>IFERROR(IF(ISBLANK(INDEX(Backlog[Requirement Name],MATCH($A46,Backlog[Requirement ID],0))),"",INDEX(Backlog[Requirement Name],MATCH($A46,Backlog[Requirement ID],0))),"")</f>
        <v/>
      </c>
      <c r="C46" s="23">
        <f>IFERROR(IF(ISBLANK(INDEX(Backlog[Stream],MATCH($A46,Backlog[Requirement ID],0))),"",INDEX(Backlog[Stream],MATCH($A46,Backlog[Requirement ID],0))),"")</f>
        <v/>
      </c>
      <c r="D46" s="23">
        <f>IFERROR(IF(ISBLANK(INDEX(SprintPlanning[Sprint],MATCH($A46,SprintPlanning[Requirement ID],0))),"",INDEX(SprintPlanning[Sprint],MATCH($A46,SprintPlanning[Requirement ID],0))),"")</f>
        <v/>
      </c>
      <c r="E46" s="23">
        <f>IFERROR(IF(ISBLANK(INDEX(Backlog[Status],MATCH($A46,Backlog[Requirement ID],0))),"",INDEX(Backlog[Status],MATCH($A46,Backlog[Requirement ID],0))),"")</f>
        <v/>
      </c>
      <c r="F46" s="23">
        <f>IFERROR(IF(ISBLANK(INDEX(Backlog[Priority],MATCH($A46,Backlog[Requirement ID],0))),"",INDEX(Backlog[Priority],MATCH($A46,Backlog[Requirement ID],0))),"")</f>
        <v/>
      </c>
      <c r="G46" s="21" t="inlineStr">
        <is>
          <t>Release 19</t>
        </is>
      </c>
      <c r="H46" s="23">
        <f>IFERROR(IF(ISBLANK(INDEX(Backlog[HLE],MATCH($A46,Backlog[Requirement ID],0))),"",INDEX(Backlog[HLE],MATCH($A46,Backlog[Requirement ID],0))),"")</f>
        <v/>
      </c>
      <c r="I46" s="53" t="n"/>
      <c r="J46" s="57" t="n"/>
    </row>
    <row r="47" ht="15" customHeight="1">
      <c r="A47" s="21" t="inlineStr">
        <is>
          <t>NEW-0135</t>
        </is>
      </c>
      <c r="B47" s="23">
        <f>IFERROR(IF(ISBLANK(INDEX(Backlog[Requirement Name],MATCH($A47,Backlog[Requirement ID],0))),"",INDEX(Backlog[Requirement Name],MATCH($A47,Backlog[Requirement ID],0))),"")</f>
        <v/>
      </c>
      <c r="C47" s="23">
        <f>IFERROR(IF(ISBLANK(INDEX(Backlog[Stream],MATCH($A47,Backlog[Requirement ID],0))),"",INDEX(Backlog[Stream],MATCH($A47,Backlog[Requirement ID],0))),"")</f>
        <v/>
      </c>
      <c r="D47" s="23">
        <f>IFERROR(IF(ISBLANK(INDEX(SprintPlanning[Sprint],MATCH($A47,SprintPlanning[Requirement ID],0))),"",INDEX(SprintPlanning[Sprint],MATCH($A47,SprintPlanning[Requirement ID],0))),"")</f>
        <v/>
      </c>
      <c r="E47" s="23">
        <f>IFERROR(IF(ISBLANK(INDEX(Backlog[Status],MATCH($A47,Backlog[Requirement ID],0))),"",INDEX(Backlog[Status],MATCH($A47,Backlog[Requirement ID],0))),"")</f>
        <v/>
      </c>
      <c r="F47" s="23">
        <f>IFERROR(IF(ISBLANK(INDEX(Backlog[Priority],MATCH($A47,Backlog[Requirement ID],0))),"",INDEX(Backlog[Priority],MATCH($A47,Backlog[Requirement ID],0))),"")</f>
        <v/>
      </c>
      <c r="G47" s="21" t="inlineStr">
        <is>
          <t>Release 12</t>
        </is>
      </c>
      <c r="H47" s="23">
        <f>IFERROR(IF(ISBLANK(INDEX(Backlog[HLE],MATCH($A47,Backlog[Requirement ID],0))),"",INDEX(Backlog[HLE],MATCH($A47,Backlog[Requirement ID],0))),"")</f>
        <v/>
      </c>
      <c r="I47" s="53" t="n"/>
      <c r="J47" s="57" t="n"/>
    </row>
    <row r="48" ht="15" customHeight="1">
      <c r="A48" s="21" t="inlineStr">
        <is>
          <t>NEW-0136</t>
        </is>
      </c>
      <c r="B48" s="23">
        <f>IFERROR(IF(ISBLANK(INDEX(Backlog[Requirement Name],MATCH($A48,Backlog[Requirement ID],0))),"",INDEX(Backlog[Requirement Name],MATCH($A48,Backlog[Requirement ID],0))),"")</f>
        <v/>
      </c>
      <c r="C48" s="23">
        <f>IFERROR(IF(ISBLANK(INDEX(Backlog[Stream],MATCH($A48,Backlog[Requirement ID],0))),"",INDEX(Backlog[Stream],MATCH($A48,Backlog[Requirement ID],0))),"")</f>
        <v/>
      </c>
      <c r="D48" s="23">
        <f>IFERROR(IF(ISBLANK(INDEX(SprintPlanning[Sprint],MATCH($A48,SprintPlanning[Requirement ID],0))),"",INDEX(SprintPlanning[Sprint],MATCH($A48,SprintPlanning[Requirement ID],0))),"")</f>
        <v/>
      </c>
      <c r="E48" s="23">
        <f>IFERROR(IF(ISBLANK(INDEX(Backlog[Status],MATCH($A48,Backlog[Requirement ID],0))),"",INDEX(Backlog[Status],MATCH($A48,Backlog[Requirement ID],0))),"")</f>
        <v/>
      </c>
      <c r="F48" s="23">
        <f>IFERROR(IF(ISBLANK(INDEX(Backlog[Priority],MATCH($A48,Backlog[Requirement ID],0))),"",INDEX(Backlog[Priority],MATCH($A48,Backlog[Requirement ID],0))),"")</f>
        <v/>
      </c>
      <c r="G48" s="21" t="inlineStr">
        <is>
          <t>Release 12</t>
        </is>
      </c>
      <c r="H48" s="23">
        <f>IFERROR(IF(ISBLANK(INDEX(Backlog[HLE],MATCH($A48,Backlog[Requirement ID],0))),"",INDEX(Backlog[HLE],MATCH($A48,Backlog[Requirement ID],0))),"")</f>
        <v/>
      </c>
      <c r="I48" s="53" t="n"/>
      <c r="J48" s="57" t="n"/>
    </row>
    <row r="49" ht="15" customHeight="1">
      <c r="A49" s="21" t="inlineStr">
        <is>
          <t>NEW-0137</t>
        </is>
      </c>
      <c r="B49" s="23">
        <f>IFERROR(IF(ISBLANK(INDEX(Backlog[Requirement Name],MATCH($A49,Backlog[Requirement ID],0))),"",INDEX(Backlog[Requirement Name],MATCH($A49,Backlog[Requirement ID],0))),"")</f>
        <v/>
      </c>
      <c r="C49" s="23">
        <f>IFERROR(IF(ISBLANK(INDEX(Backlog[Stream],MATCH($A49,Backlog[Requirement ID],0))),"",INDEX(Backlog[Stream],MATCH($A49,Backlog[Requirement ID],0))),"")</f>
        <v/>
      </c>
      <c r="D49" s="23">
        <f>IFERROR(IF(ISBLANK(INDEX(SprintPlanning[Sprint],MATCH($A49,SprintPlanning[Requirement ID],0))),"",INDEX(SprintPlanning[Sprint],MATCH($A49,SprintPlanning[Requirement ID],0))),"")</f>
        <v/>
      </c>
      <c r="E49" s="23">
        <f>IFERROR(IF(ISBLANK(INDEX(Backlog[Status],MATCH($A49,Backlog[Requirement ID],0))),"",INDEX(Backlog[Status],MATCH($A49,Backlog[Requirement ID],0))),"")</f>
        <v/>
      </c>
      <c r="F49" s="23">
        <f>IFERROR(IF(ISBLANK(INDEX(Backlog[Priority],MATCH($A49,Backlog[Requirement ID],0))),"",INDEX(Backlog[Priority],MATCH($A49,Backlog[Requirement ID],0))),"")</f>
        <v/>
      </c>
      <c r="G49" s="21" t="inlineStr">
        <is>
          <t>Release 12</t>
        </is>
      </c>
      <c r="H49" s="23">
        <f>IFERROR(IF(ISBLANK(INDEX(Backlog[HLE],MATCH($A49,Backlog[Requirement ID],0))),"",INDEX(Backlog[HLE],MATCH($A49,Backlog[Requirement ID],0))),"")</f>
        <v/>
      </c>
      <c r="I49" s="53" t="n"/>
      <c r="J49" s="57" t="n"/>
    </row>
    <row r="50" ht="15" customHeight="1">
      <c r="A50" s="21" t="inlineStr">
        <is>
          <t>NEW-0138</t>
        </is>
      </c>
      <c r="B50" s="23">
        <f>IFERROR(IF(ISBLANK(INDEX(Backlog[Requirement Name],MATCH($A50,Backlog[Requirement ID],0))),"",INDEX(Backlog[Requirement Name],MATCH($A50,Backlog[Requirement ID],0))),"")</f>
        <v/>
      </c>
      <c r="C50" s="23">
        <f>IFERROR(IF(ISBLANK(INDEX(Backlog[Stream],MATCH($A50,Backlog[Requirement ID],0))),"",INDEX(Backlog[Stream],MATCH($A50,Backlog[Requirement ID],0))),"")</f>
        <v/>
      </c>
      <c r="D50" s="23">
        <f>IFERROR(IF(ISBLANK(INDEX(SprintPlanning[Sprint],MATCH($A50,SprintPlanning[Requirement ID],0))),"",INDEX(SprintPlanning[Sprint],MATCH($A50,SprintPlanning[Requirement ID],0))),"")</f>
        <v/>
      </c>
      <c r="E50" s="23">
        <f>IFERROR(IF(ISBLANK(INDEX(Backlog[Status],MATCH($A50,Backlog[Requirement ID],0))),"",INDEX(Backlog[Status],MATCH($A50,Backlog[Requirement ID],0))),"")</f>
        <v/>
      </c>
      <c r="F50" s="23">
        <f>IFERROR(IF(ISBLANK(INDEX(Backlog[Priority],MATCH($A50,Backlog[Requirement ID],0))),"",INDEX(Backlog[Priority],MATCH($A50,Backlog[Requirement ID],0))),"")</f>
        <v/>
      </c>
      <c r="G50" s="21" t="inlineStr">
        <is>
          <t>Release 12</t>
        </is>
      </c>
      <c r="H50" s="23">
        <f>IFERROR(IF(ISBLANK(INDEX(Backlog[HLE],MATCH($A50,Backlog[Requirement ID],0))),"",INDEX(Backlog[HLE],MATCH($A50,Backlog[Requirement ID],0))),"")</f>
        <v/>
      </c>
      <c r="I50" s="53" t="n"/>
      <c r="J50" s="57" t="n"/>
    </row>
    <row r="51" ht="15" customHeight="1">
      <c r="A51" s="21" t="inlineStr">
        <is>
          <t>NEW-0139</t>
        </is>
      </c>
      <c r="B51" s="23">
        <f>IFERROR(IF(ISBLANK(INDEX(Backlog[Requirement Name],MATCH($A51,Backlog[Requirement ID],0))),"",INDEX(Backlog[Requirement Name],MATCH($A51,Backlog[Requirement ID],0))),"")</f>
        <v/>
      </c>
      <c r="C51" s="23">
        <f>IFERROR(IF(ISBLANK(INDEX(Backlog[Stream],MATCH($A51,Backlog[Requirement ID],0))),"",INDEX(Backlog[Stream],MATCH($A51,Backlog[Requirement ID],0))),"")</f>
        <v/>
      </c>
      <c r="D51" s="23">
        <f>IFERROR(IF(ISBLANK(INDEX(SprintPlanning[Sprint],MATCH($A51,SprintPlanning[Requirement ID],0))),"",INDEX(SprintPlanning[Sprint],MATCH($A51,SprintPlanning[Requirement ID],0))),"")</f>
        <v/>
      </c>
      <c r="E51" s="23">
        <f>IFERROR(IF(ISBLANK(INDEX(Backlog[Status],MATCH($A51,Backlog[Requirement ID],0))),"",INDEX(Backlog[Status],MATCH($A51,Backlog[Requirement ID],0))),"")</f>
        <v/>
      </c>
      <c r="F51" s="23">
        <f>IFERROR(IF(ISBLANK(INDEX(Backlog[Priority],MATCH($A51,Backlog[Requirement ID],0))),"",INDEX(Backlog[Priority],MATCH($A51,Backlog[Requirement ID],0))),"")</f>
        <v/>
      </c>
      <c r="G51" s="21" t="inlineStr">
        <is>
          <t>Release 12</t>
        </is>
      </c>
      <c r="H51" s="23">
        <f>IFERROR(IF(ISBLANK(INDEX(Backlog[HLE],MATCH($A51,Backlog[Requirement ID],0))),"",INDEX(Backlog[HLE],MATCH($A51,Backlog[Requirement ID],0))),"")</f>
        <v/>
      </c>
      <c r="I51" s="53" t="n"/>
      <c r="J51" s="57" t="n"/>
    </row>
    <row r="52" ht="15" customHeight="1">
      <c r="A52" s="21" t="inlineStr">
        <is>
          <t>NEW-0142</t>
        </is>
      </c>
      <c r="B52" s="23">
        <f>IFERROR(IF(ISBLANK(INDEX(Backlog[Requirement Name],MATCH($A52,Backlog[Requirement ID],0))),"",INDEX(Backlog[Requirement Name],MATCH($A52,Backlog[Requirement ID],0))),"")</f>
        <v/>
      </c>
      <c r="C52" s="23">
        <f>IFERROR(IF(ISBLANK(INDEX(Backlog[Stream],MATCH($A52,Backlog[Requirement ID],0))),"",INDEX(Backlog[Stream],MATCH($A52,Backlog[Requirement ID],0))),"")</f>
        <v/>
      </c>
      <c r="D52" s="23">
        <f>IFERROR(IF(ISBLANK(INDEX(SprintPlanning[Sprint],MATCH($A52,SprintPlanning[Requirement ID],0))),"",INDEX(SprintPlanning[Sprint],MATCH($A52,SprintPlanning[Requirement ID],0))),"")</f>
        <v/>
      </c>
      <c r="E52" s="23">
        <f>IFERROR(IF(ISBLANK(INDEX(Backlog[Status],MATCH($A52,Backlog[Requirement ID],0))),"",INDEX(Backlog[Status],MATCH($A52,Backlog[Requirement ID],0))),"")</f>
        <v/>
      </c>
      <c r="F52" s="23">
        <f>IFERROR(IF(ISBLANK(INDEX(Backlog[Priority],MATCH($A52,Backlog[Requirement ID],0))),"",INDEX(Backlog[Priority],MATCH($A52,Backlog[Requirement ID],0))),"")</f>
        <v/>
      </c>
      <c r="G52" s="21" t="inlineStr">
        <is>
          <t>Release 12</t>
        </is>
      </c>
      <c r="H52" s="23">
        <f>IFERROR(IF(ISBLANK(INDEX(Backlog[HLE],MATCH($A52,Backlog[Requirement ID],0))),"",INDEX(Backlog[HLE],MATCH($A52,Backlog[Requirement ID],0))),"")</f>
        <v/>
      </c>
      <c r="I52" s="53" t="n"/>
      <c r="J52" s="57" t="n"/>
    </row>
    <row r="53" ht="15" customHeight="1">
      <c r="A53" s="21" t="inlineStr">
        <is>
          <t>NEW-0153</t>
        </is>
      </c>
      <c r="B53" s="23">
        <f>IFERROR(IF(ISBLANK(INDEX(Backlog[Requirement Name],MATCH($A53,Backlog[Requirement ID],0))),"",INDEX(Backlog[Requirement Name],MATCH($A53,Backlog[Requirement ID],0))),"")</f>
        <v/>
      </c>
      <c r="C53" s="23">
        <f>IFERROR(IF(ISBLANK(INDEX(Backlog[Stream],MATCH($A53,Backlog[Requirement ID],0))),"",INDEX(Backlog[Stream],MATCH($A53,Backlog[Requirement ID],0))),"")</f>
        <v/>
      </c>
      <c r="D53" s="23">
        <f>IFERROR(IF(ISBLANK(INDEX(SprintPlanning[Sprint],MATCH($A53,SprintPlanning[Requirement ID],0))),"",INDEX(SprintPlanning[Sprint],MATCH($A53,SprintPlanning[Requirement ID],0))),"")</f>
        <v/>
      </c>
      <c r="E53" s="23">
        <f>IFERROR(IF(ISBLANK(INDEX(Backlog[Status],MATCH($A53,Backlog[Requirement ID],0))),"",INDEX(Backlog[Status],MATCH($A53,Backlog[Requirement ID],0))),"")</f>
        <v/>
      </c>
      <c r="F53" s="23">
        <f>IFERROR(IF(ISBLANK(INDEX(Backlog[Priority],MATCH($A53,Backlog[Requirement ID],0))),"",INDEX(Backlog[Priority],MATCH($A53,Backlog[Requirement ID],0))),"")</f>
        <v/>
      </c>
      <c r="G53" s="21" t="inlineStr">
        <is>
          <t>Release 19</t>
        </is>
      </c>
      <c r="H53" s="23">
        <f>IFERROR(IF(ISBLANK(INDEX(Backlog[HLE],MATCH($A53,Backlog[Requirement ID],0))),"",INDEX(Backlog[HLE],MATCH($A53,Backlog[Requirement ID],0))),"")</f>
        <v/>
      </c>
      <c r="I53" s="53" t="n"/>
      <c r="J53" s="57" t="n"/>
    </row>
    <row r="54" ht="15" customHeight="1">
      <c r="A54" s="21" t="inlineStr">
        <is>
          <t>NEW-0187</t>
        </is>
      </c>
      <c r="B54" s="23">
        <f>IFERROR(IF(ISBLANK(INDEX(Backlog[Requirement Name],MATCH($A54,Backlog[Requirement ID],0))),"",INDEX(Backlog[Requirement Name],MATCH($A54,Backlog[Requirement ID],0))),"")</f>
        <v/>
      </c>
      <c r="C54" s="23">
        <f>IFERROR(IF(ISBLANK(INDEX(Backlog[Stream],MATCH($A54,Backlog[Requirement ID],0))),"",INDEX(Backlog[Stream],MATCH($A54,Backlog[Requirement ID],0))),"")</f>
        <v/>
      </c>
      <c r="D54" s="23">
        <f>IFERROR(IF(ISBLANK(INDEX(SprintPlanning[Sprint],MATCH($A54,SprintPlanning[Requirement ID],0))),"",INDEX(SprintPlanning[Sprint],MATCH($A54,SprintPlanning[Requirement ID],0))),"")</f>
        <v/>
      </c>
      <c r="E54" s="23">
        <f>IFERROR(IF(ISBLANK(INDEX(Backlog[Status],MATCH($A54,Backlog[Requirement ID],0))),"",INDEX(Backlog[Status],MATCH($A54,Backlog[Requirement ID],0))),"")</f>
        <v/>
      </c>
      <c r="F54" s="23">
        <f>IFERROR(IF(ISBLANK(INDEX(Backlog[Priority],MATCH($A54,Backlog[Requirement ID],0))),"",INDEX(Backlog[Priority],MATCH($A54,Backlog[Requirement ID],0))),"")</f>
        <v/>
      </c>
      <c r="G54" s="21" t="inlineStr">
        <is>
          <t>Release 11</t>
        </is>
      </c>
      <c r="H54" s="23">
        <f>IFERROR(IF(ISBLANK(INDEX(Backlog[HLE],MATCH($A54,Backlog[Requirement ID],0))),"",INDEX(Backlog[HLE],MATCH($A54,Backlog[Requirement ID],0))),"")</f>
        <v/>
      </c>
      <c r="I54" s="53" t="n"/>
      <c r="J54" s="57" t="n"/>
    </row>
    <row r="55" ht="15" customHeight="1">
      <c r="A55" s="21" t="inlineStr">
        <is>
          <t>NEW-0188</t>
        </is>
      </c>
      <c r="B55" s="23">
        <f>IFERROR(IF(ISBLANK(INDEX(Backlog[Requirement Name],MATCH($A55,Backlog[Requirement ID],0))),"",INDEX(Backlog[Requirement Name],MATCH($A55,Backlog[Requirement ID],0))),"")</f>
        <v/>
      </c>
      <c r="C55" s="23">
        <f>IFERROR(IF(ISBLANK(INDEX(Backlog[Stream],MATCH($A55,Backlog[Requirement ID],0))),"",INDEX(Backlog[Stream],MATCH($A55,Backlog[Requirement ID],0))),"")</f>
        <v/>
      </c>
      <c r="D55" s="23">
        <f>IFERROR(IF(ISBLANK(INDEX(SprintPlanning[Sprint],MATCH($A55,SprintPlanning[Requirement ID],0))),"",INDEX(SprintPlanning[Sprint],MATCH($A55,SprintPlanning[Requirement ID],0))),"")</f>
        <v/>
      </c>
      <c r="E55" s="23">
        <f>IFERROR(IF(ISBLANK(INDEX(Backlog[Status],MATCH($A55,Backlog[Requirement ID],0))),"",INDEX(Backlog[Status],MATCH($A55,Backlog[Requirement ID],0))),"")</f>
        <v/>
      </c>
      <c r="F55" s="23">
        <f>IFERROR(IF(ISBLANK(INDEX(Backlog[Priority],MATCH($A55,Backlog[Requirement ID],0))),"",INDEX(Backlog[Priority],MATCH($A55,Backlog[Requirement ID],0))),"")</f>
        <v/>
      </c>
      <c r="G55" s="21" t="n"/>
      <c r="H55" s="23">
        <f>IFERROR(IF(ISBLANK(INDEX(Backlog[HLE],MATCH($A55,Backlog[Requirement ID],0))),"",INDEX(Backlog[HLE],MATCH($A55,Backlog[Requirement ID],0))),"")</f>
        <v/>
      </c>
      <c r="I55" s="53" t="n"/>
      <c r="J55" s="57" t="n"/>
    </row>
    <row r="56" ht="15" customHeight="1">
      <c r="A56" s="21" t="inlineStr">
        <is>
          <t>NEW-0190</t>
        </is>
      </c>
      <c r="B56" s="23">
        <f>IFERROR(IF(ISBLANK(INDEX(Backlog[Requirement Name],MATCH($A56,Backlog[Requirement ID],0))),"",INDEX(Backlog[Requirement Name],MATCH($A56,Backlog[Requirement ID],0))),"")</f>
        <v/>
      </c>
      <c r="C56" s="23">
        <f>IFERROR(IF(ISBLANK(INDEX(Backlog[Stream],MATCH($A56,Backlog[Requirement ID],0))),"",INDEX(Backlog[Stream],MATCH($A56,Backlog[Requirement ID],0))),"")</f>
        <v/>
      </c>
      <c r="D56" s="23">
        <f>IFERROR(IF(ISBLANK(INDEX(SprintPlanning[Sprint],MATCH($A56,SprintPlanning[Requirement ID],0))),"",INDEX(SprintPlanning[Sprint],MATCH($A56,SprintPlanning[Requirement ID],0))),"")</f>
        <v/>
      </c>
      <c r="E56" s="23">
        <f>IFERROR(IF(ISBLANK(INDEX(Backlog[Status],MATCH($A56,Backlog[Requirement ID],0))),"",INDEX(Backlog[Status],MATCH($A56,Backlog[Requirement ID],0))),"")</f>
        <v/>
      </c>
      <c r="F56" s="23">
        <f>IFERROR(IF(ISBLANK(INDEX(Backlog[Priority],MATCH($A56,Backlog[Requirement ID],0))),"",INDEX(Backlog[Priority],MATCH($A56,Backlog[Requirement ID],0))),"")</f>
        <v/>
      </c>
      <c r="G56" s="21" t="inlineStr">
        <is>
          <t>Release 19</t>
        </is>
      </c>
      <c r="H56" s="23">
        <f>IFERROR(IF(ISBLANK(INDEX(Backlog[HLE],MATCH($A56,Backlog[Requirement ID],0))),"",INDEX(Backlog[HLE],MATCH($A56,Backlog[Requirement ID],0))),"")</f>
        <v/>
      </c>
      <c r="I56" s="53" t="n"/>
      <c r="J56" s="57" t="n"/>
    </row>
    <row r="57" ht="15" customHeight="1">
      <c r="A57" s="21" t="inlineStr">
        <is>
          <t>NEW-0192</t>
        </is>
      </c>
      <c r="B57" s="23">
        <f>IFERROR(IF(ISBLANK(INDEX(Backlog[Requirement Name],MATCH($A57,Backlog[Requirement ID],0))),"",INDEX(Backlog[Requirement Name],MATCH($A57,Backlog[Requirement ID],0))),"")</f>
        <v/>
      </c>
      <c r="C57" s="23">
        <f>IFERROR(IF(ISBLANK(INDEX(Backlog[Stream],MATCH($A57,Backlog[Requirement ID],0))),"",INDEX(Backlog[Stream],MATCH($A57,Backlog[Requirement ID],0))),"")</f>
        <v/>
      </c>
      <c r="D57" s="23">
        <f>IFERROR(IF(ISBLANK(INDEX(SprintPlanning[Sprint],MATCH($A57,SprintPlanning[Requirement ID],0))),"",INDEX(SprintPlanning[Sprint],MATCH($A57,SprintPlanning[Requirement ID],0))),"")</f>
        <v/>
      </c>
      <c r="E57" s="23">
        <f>IFERROR(IF(ISBLANK(INDEX(Backlog[Status],MATCH($A57,Backlog[Requirement ID],0))),"",INDEX(Backlog[Status],MATCH($A57,Backlog[Requirement ID],0))),"")</f>
        <v/>
      </c>
      <c r="F57" s="23">
        <f>IFERROR(IF(ISBLANK(INDEX(Backlog[Priority],MATCH($A57,Backlog[Requirement ID],0))),"",INDEX(Backlog[Priority],MATCH($A57,Backlog[Requirement ID],0))),"")</f>
        <v/>
      </c>
      <c r="G57" s="21" t="n"/>
      <c r="H57" s="23">
        <f>IFERROR(IF(ISBLANK(INDEX(Backlog[HLE],MATCH($A57,Backlog[Requirement ID],0))),"",INDEX(Backlog[HLE],MATCH($A57,Backlog[Requirement ID],0))),"")</f>
        <v/>
      </c>
      <c r="I57" s="53" t="n"/>
      <c r="J57" s="57" t="n"/>
    </row>
    <row r="58" ht="15" customHeight="1">
      <c r="A58" s="21" t="inlineStr">
        <is>
          <t>NEW-0256</t>
        </is>
      </c>
      <c r="B58" s="23">
        <f>IFERROR(IF(ISBLANK(INDEX(Backlog[Requirement Name],MATCH($A58,Backlog[Requirement ID],0))),"",INDEX(Backlog[Requirement Name],MATCH($A58,Backlog[Requirement ID],0))),"")</f>
        <v/>
      </c>
      <c r="C58" s="23">
        <f>IFERROR(IF(ISBLANK(INDEX(Backlog[Stream],MATCH($A58,Backlog[Requirement ID],0))),"",INDEX(Backlog[Stream],MATCH($A58,Backlog[Requirement ID],0))),"")</f>
        <v/>
      </c>
      <c r="D58" s="23">
        <f>IFERROR(IF(ISBLANK(INDEX(SprintPlanning[Sprint],MATCH($A58,SprintPlanning[Requirement ID],0))),"",INDEX(SprintPlanning[Sprint],MATCH($A58,SprintPlanning[Requirement ID],0))),"")</f>
        <v/>
      </c>
      <c r="E58" s="23">
        <f>IFERROR(IF(ISBLANK(INDEX(Backlog[Status],MATCH($A58,Backlog[Requirement ID],0))),"",INDEX(Backlog[Status],MATCH($A58,Backlog[Requirement ID],0))),"")</f>
        <v/>
      </c>
      <c r="F58" s="23">
        <f>IFERROR(IF(ISBLANK(INDEX(Backlog[Priority],MATCH($A58,Backlog[Requirement ID],0))),"",INDEX(Backlog[Priority],MATCH($A58,Backlog[Requirement ID],0))),"")</f>
        <v/>
      </c>
      <c r="G58" s="21" t="inlineStr">
        <is>
          <t>Release 19</t>
        </is>
      </c>
      <c r="H58" s="23">
        <f>IFERROR(IF(ISBLANK(INDEX(Backlog[HLE],MATCH($A58,Backlog[Requirement ID],0))),"",INDEX(Backlog[HLE],MATCH($A58,Backlog[Requirement ID],0))),"")</f>
        <v/>
      </c>
      <c r="I58" s="53" t="n"/>
      <c r="J58" s="57" t="n"/>
    </row>
    <row r="59" ht="15" customHeight="1">
      <c r="A59" s="21" t="inlineStr">
        <is>
          <t>NEW-0283</t>
        </is>
      </c>
      <c r="B59" s="23">
        <f>IFERROR(IF(ISBLANK(INDEX(Backlog[Requirement Name],MATCH($A59,Backlog[Requirement ID],0))),"",INDEX(Backlog[Requirement Name],MATCH($A59,Backlog[Requirement ID],0))),"")</f>
        <v/>
      </c>
      <c r="C59" s="23">
        <f>IFERROR(IF(ISBLANK(INDEX(Backlog[Stream],MATCH($A59,Backlog[Requirement ID],0))),"",INDEX(Backlog[Stream],MATCH($A59,Backlog[Requirement ID],0))),"")</f>
        <v/>
      </c>
      <c r="D59" s="23">
        <f>IFERROR(IF(ISBLANK(INDEX(SprintPlanning[Sprint],MATCH($A59,SprintPlanning[Requirement ID],0))),"",INDEX(SprintPlanning[Sprint],MATCH($A59,SprintPlanning[Requirement ID],0))),"")</f>
        <v/>
      </c>
      <c r="E59" s="23">
        <f>IFERROR(IF(ISBLANK(INDEX(Backlog[Status],MATCH($A59,Backlog[Requirement ID],0))),"",INDEX(Backlog[Status],MATCH($A59,Backlog[Requirement ID],0))),"")</f>
        <v/>
      </c>
      <c r="F59" s="23">
        <f>IFERROR(IF(ISBLANK(INDEX(Backlog[Priority],MATCH($A59,Backlog[Requirement ID],0))),"",INDEX(Backlog[Priority],MATCH($A59,Backlog[Requirement ID],0))),"")</f>
        <v/>
      </c>
      <c r="G59" s="21" t="n"/>
      <c r="H59" s="23">
        <f>IFERROR(IF(ISBLANK(INDEX(Backlog[HLE],MATCH($A59,Backlog[Requirement ID],0))),"",INDEX(Backlog[HLE],MATCH($A59,Backlog[Requirement ID],0))),"")</f>
        <v/>
      </c>
      <c r="I59" s="53" t="n"/>
      <c r="J59" s="57" t="n"/>
    </row>
    <row r="60" ht="15" customHeight="1">
      <c r="A60" s="21" t="inlineStr">
        <is>
          <t>NEW-0287</t>
        </is>
      </c>
      <c r="B60" s="23">
        <f>IFERROR(IF(ISBLANK(INDEX(Backlog[Requirement Name],MATCH($A60,Backlog[Requirement ID],0))),"",INDEX(Backlog[Requirement Name],MATCH($A60,Backlog[Requirement ID],0))),"")</f>
        <v/>
      </c>
      <c r="C60" s="23">
        <f>IFERROR(IF(ISBLANK(INDEX(Backlog[Stream],MATCH($A60,Backlog[Requirement ID],0))),"",INDEX(Backlog[Stream],MATCH($A60,Backlog[Requirement ID],0))),"")</f>
        <v/>
      </c>
      <c r="D60" s="23">
        <f>IFERROR(IF(ISBLANK(INDEX(SprintPlanning[Sprint],MATCH($A60,SprintPlanning[Requirement ID],0))),"",INDEX(SprintPlanning[Sprint],MATCH($A60,SprintPlanning[Requirement ID],0))),"")</f>
        <v/>
      </c>
      <c r="E60" s="23">
        <f>IFERROR(IF(ISBLANK(INDEX(Backlog[Status],MATCH($A60,Backlog[Requirement ID],0))),"",INDEX(Backlog[Status],MATCH($A60,Backlog[Requirement ID],0))),"")</f>
        <v/>
      </c>
      <c r="F60" s="23">
        <f>IFERROR(IF(ISBLANK(INDEX(Backlog[Priority],MATCH($A60,Backlog[Requirement ID],0))),"",INDEX(Backlog[Priority],MATCH($A60,Backlog[Requirement ID],0))),"")</f>
        <v/>
      </c>
      <c r="G60" s="21" t="n"/>
      <c r="H60" s="23">
        <f>IFERROR(IF(ISBLANK(INDEX(Backlog[HLE],MATCH($A60,Backlog[Requirement ID],0))),"",INDEX(Backlog[HLE],MATCH($A60,Backlog[Requirement ID],0))),"")</f>
        <v/>
      </c>
      <c r="I60" s="53" t="n"/>
      <c r="J60" s="57" t="n"/>
    </row>
    <row r="61" ht="15" customHeight="1">
      <c r="A61" s="21" t="inlineStr">
        <is>
          <t>NEW-0289</t>
        </is>
      </c>
      <c r="B61" s="23">
        <f>IFERROR(IF(ISBLANK(INDEX(Backlog[Requirement Name],MATCH($A61,Backlog[Requirement ID],0))),"",INDEX(Backlog[Requirement Name],MATCH($A61,Backlog[Requirement ID],0))),"")</f>
        <v/>
      </c>
      <c r="C61" s="23">
        <f>IFERROR(IF(ISBLANK(INDEX(Backlog[Stream],MATCH($A61,Backlog[Requirement ID],0))),"",INDEX(Backlog[Stream],MATCH($A61,Backlog[Requirement ID],0))),"")</f>
        <v/>
      </c>
      <c r="D61" s="23">
        <f>IFERROR(IF(ISBLANK(INDEX(SprintPlanning[Sprint],MATCH($A61,SprintPlanning[Requirement ID],0))),"",INDEX(SprintPlanning[Sprint],MATCH($A61,SprintPlanning[Requirement ID],0))),"")</f>
        <v/>
      </c>
      <c r="E61" s="23">
        <f>IFERROR(IF(ISBLANK(INDEX(Backlog[Status],MATCH($A61,Backlog[Requirement ID],0))),"",INDEX(Backlog[Status],MATCH($A61,Backlog[Requirement ID],0))),"")</f>
        <v/>
      </c>
      <c r="F61" s="23">
        <f>IFERROR(IF(ISBLANK(INDEX(Backlog[Priority],MATCH($A61,Backlog[Requirement ID],0))),"",INDEX(Backlog[Priority],MATCH($A61,Backlog[Requirement ID],0))),"")</f>
        <v/>
      </c>
      <c r="G61" s="21" t="n"/>
      <c r="H61" s="23">
        <f>IFERROR(IF(ISBLANK(INDEX(Backlog[HLE],MATCH($A61,Backlog[Requirement ID],0))),"",INDEX(Backlog[HLE],MATCH($A61,Backlog[Requirement ID],0))),"")</f>
        <v/>
      </c>
      <c r="I61" s="53" t="n"/>
      <c r="J61" s="57" t="n"/>
    </row>
    <row r="62" ht="15" customHeight="1">
      <c r="A62" s="21" t="inlineStr">
        <is>
          <t>NEW-0295</t>
        </is>
      </c>
      <c r="B62" s="23">
        <f>IFERROR(IF(ISBLANK(INDEX(Backlog[Requirement Name],MATCH($A62,Backlog[Requirement ID],0))),"",INDEX(Backlog[Requirement Name],MATCH($A62,Backlog[Requirement ID],0))),"")</f>
        <v/>
      </c>
      <c r="C62" s="23">
        <f>IFERROR(IF(ISBLANK(INDEX(Backlog[Stream],MATCH($A62,Backlog[Requirement ID],0))),"",INDEX(Backlog[Stream],MATCH($A62,Backlog[Requirement ID],0))),"")</f>
        <v/>
      </c>
      <c r="D62" s="23">
        <f>IFERROR(IF(ISBLANK(INDEX(SprintPlanning[Sprint],MATCH($A62,SprintPlanning[Requirement ID],0))),"",INDEX(SprintPlanning[Sprint],MATCH($A62,SprintPlanning[Requirement ID],0))),"")</f>
        <v/>
      </c>
      <c r="E62" s="23">
        <f>IFERROR(IF(ISBLANK(INDEX(Backlog[Status],MATCH($A62,Backlog[Requirement ID],0))),"",INDEX(Backlog[Status],MATCH($A62,Backlog[Requirement ID],0))),"")</f>
        <v/>
      </c>
      <c r="F62" s="23">
        <f>IFERROR(IF(ISBLANK(INDEX(Backlog[Priority],MATCH($A62,Backlog[Requirement ID],0))),"",INDEX(Backlog[Priority],MATCH($A62,Backlog[Requirement ID],0))),"")</f>
        <v/>
      </c>
      <c r="G62" s="21" t="n"/>
      <c r="H62" s="23">
        <f>IFERROR(IF(ISBLANK(INDEX(Backlog[HLE],MATCH($A62,Backlog[Requirement ID],0))),"",INDEX(Backlog[HLE],MATCH($A62,Backlog[Requirement ID],0))),"")</f>
        <v/>
      </c>
      <c r="I62" s="53" t="n"/>
      <c r="J62" s="57" t="n"/>
    </row>
    <row r="63" ht="15" customHeight="1">
      <c r="A63" s="21" t="inlineStr">
        <is>
          <t>NEW-0296</t>
        </is>
      </c>
      <c r="B63" s="23">
        <f>IFERROR(IF(ISBLANK(INDEX(Backlog[Requirement Name],MATCH($A63,Backlog[Requirement ID],0))),"",INDEX(Backlog[Requirement Name],MATCH($A63,Backlog[Requirement ID],0))),"")</f>
        <v/>
      </c>
      <c r="C63" s="23">
        <f>IFERROR(IF(ISBLANK(INDEX(Backlog[Stream],MATCH($A63,Backlog[Requirement ID],0))),"",INDEX(Backlog[Stream],MATCH($A63,Backlog[Requirement ID],0))),"")</f>
        <v/>
      </c>
      <c r="D63" s="23">
        <f>IFERROR(IF(ISBLANK(INDEX(SprintPlanning[Sprint],MATCH($A63,SprintPlanning[Requirement ID],0))),"",INDEX(SprintPlanning[Sprint],MATCH($A63,SprintPlanning[Requirement ID],0))),"")</f>
        <v/>
      </c>
      <c r="E63" s="23">
        <f>IFERROR(IF(ISBLANK(INDEX(Backlog[Status],MATCH($A63,Backlog[Requirement ID],0))),"",INDEX(Backlog[Status],MATCH($A63,Backlog[Requirement ID],0))),"")</f>
        <v/>
      </c>
      <c r="F63" s="23">
        <f>IFERROR(IF(ISBLANK(INDEX(Backlog[Priority],MATCH($A63,Backlog[Requirement ID],0))),"",INDEX(Backlog[Priority],MATCH($A63,Backlog[Requirement ID],0))),"")</f>
        <v/>
      </c>
      <c r="G63" s="21" t="n"/>
      <c r="H63" s="23">
        <f>IFERROR(IF(ISBLANK(INDEX(Backlog[HLE],MATCH($A63,Backlog[Requirement ID],0))),"",INDEX(Backlog[HLE],MATCH($A63,Backlog[Requirement ID],0))),"")</f>
        <v/>
      </c>
      <c r="I63" s="53" t="n"/>
      <c r="J63" s="57" t="n"/>
    </row>
    <row r="64" ht="15" customHeight="1">
      <c r="A64" s="21" t="inlineStr">
        <is>
          <t>NEW-0298</t>
        </is>
      </c>
      <c r="B64" s="23">
        <f>IFERROR(IF(ISBLANK(INDEX(Backlog[Requirement Name],MATCH($A64,Backlog[Requirement ID],0))),"",INDEX(Backlog[Requirement Name],MATCH($A64,Backlog[Requirement ID],0))),"")</f>
        <v/>
      </c>
      <c r="C64" s="23">
        <f>IFERROR(IF(ISBLANK(INDEX(Backlog[Stream],MATCH($A64,Backlog[Requirement ID],0))),"",INDEX(Backlog[Stream],MATCH($A64,Backlog[Requirement ID],0))),"")</f>
        <v/>
      </c>
      <c r="D64" s="23">
        <f>IFERROR(IF(ISBLANK(INDEX(SprintPlanning[Sprint],MATCH($A64,SprintPlanning[Requirement ID],0))),"",INDEX(SprintPlanning[Sprint],MATCH($A64,SprintPlanning[Requirement ID],0))),"")</f>
        <v/>
      </c>
      <c r="E64" s="23">
        <f>IFERROR(IF(ISBLANK(INDEX(Backlog[Status],MATCH($A64,Backlog[Requirement ID],0))),"",INDEX(Backlog[Status],MATCH($A64,Backlog[Requirement ID],0))),"")</f>
        <v/>
      </c>
      <c r="F64" s="23">
        <f>IFERROR(IF(ISBLANK(INDEX(Backlog[Priority],MATCH($A64,Backlog[Requirement ID],0))),"",INDEX(Backlog[Priority],MATCH($A64,Backlog[Requirement ID],0))),"")</f>
        <v/>
      </c>
      <c r="G64" s="21" t="n"/>
      <c r="H64" s="23">
        <f>IFERROR(IF(ISBLANK(INDEX(Backlog[HLE],MATCH($A64,Backlog[Requirement ID],0))),"",INDEX(Backlog[HLE],MATCH($A64,Backlog[Requirement ID],0))),"")</f>
        <v/>
      </c>
      <c r="I64" s="53" t="n"/>
      <c r="J64" s="57" t="n"/>
    </row>
    <row r="65" ht="15" customHeight="1">
      <c r="A65" s="21" t="inlineStr">
        <is>
          <t>NEW-0300</t>
        </is>
      </c>
      <c r="B65" s="23">
        <f>IFERROR(IF(ISBLANK(INDEX(Backlog[Requirement Name],MATCH($A65,Backlog[Requirement ID],0))),"",INDEX(Backlog[Requirement Name],MATCH($A65,Backlog[Requirement ID],0))),"")</f>
        <v/>
      </c>
      <c r="C65" s="23">
        <f>IFERROR(IF(ISBLANK(INDEX(Backlog[Stream],MATCH($A65,Backlog[Requirement ID],0))),"",INDEX(Backlog[Stream],MATCH($A65,Backlog[Requirement ID],0))),"")</f>
        <v/>
      </c>
      <c r="D65" s="23">
        <f>IFERROR(IF(ISBLANK(INDEX(SprintPlanning[Sprint],MATCH($A65,SprintPlanning[Requirement ID],0))),"",INDEX(SprintPlanning[Sprint],MATCH($A65,SprintPlanning[Requirement ID],0))),"")</f>
        <v/>
      </c>
      <c r="E65" s="23">
        <f>IFERROR(IF(ISBLANK(INDEX(Backlog[Status],MATCH($A65,Backlog[Requirement ID],0))),"",INDEX(Backlog[Status],MATCH($A65,Backlog[Requirement ID],0))),"")</f>
        <v/>
      </c>
      <c r="F65" s="23">
        <f>IFERROR(IF(ISBLANK(INDEX(Backlog[Priority],MATCH($A65,Backlog[Requirement ID],0))),"",INDEX(Backlog[Priority],MATCH($A65,Backlog[Requirement ID],0))),"")</f>
        <v/>
      </c>
      <c r="G65" s="21" t="inlineStr">
        <is>
          <t>Release 12</t>
        </is>
      </c>
      <c r="H65" s="23">
        <f>IFERROR(IF(ISBLANK(INDEX(Backlog[HLE],MATCH($A65,Backlog[Requirement ID],0))),"",INDEX(Backlog[HLE],MATCH($A65,Backlog[Requirement ID],0))),"")</f>
        <v/>
      </c>
      <c r="I65" s="53" t="n"/>
      <c r="J65" s="57" t="n"/>
    </row>
    <row r="66" ht="15" customHeight="1">
      <c r="A66" s="21" t="inlineStr">
        <is>
          <t>NEW-0386</t>
        </is>
      </c>
      <c r="B66" s="23">
        <f>IFERROR(IF(ISBLANK(INDEX(Backlog[Requirement Name],MATCH($A66,Backlog[Requirement ID],0))),"",INDEX(Backlog[Requirement Name],MATCH($A66,Backlog[Requirement ID],0))),"")</f>
        <v/>
      </c>
      <c r="C66" s="23">
        <f>IFERROR(IF(ISBLANK(INDEX(Backlog[Stream],MATCH($A66,Backlog[Requirement ID],0))),"",INDEX(Backlog[Stream],MATCH($A66,Backlog[Requirement ID],0))),"")</f>
        <v/>
      </c>
      <c r="D66" s="23">
        <f>IFERROR(IF(ISBLANK(INDEX(SprintPlanning[Sprint],MATCH($A66,SprintPlanning[Requirement ID],0))),"",INDEX(SprintPlanning[Sprint],MATCH($A66,SprintPlanning[Requirement ID],0))),"")</f>
        <v/>
      </c>
      <c r="E66" s="23">
        <f>IFERROR(IF(ISBLANK(INDEX(Backlog[Status],MATCH($A66,Backlog[Requirement ID],0))),"",INDEX(Backlog[Status],MATCH($A66,Backlog[Requirement ID],0))),"")</f>
        <v/>
      </c>
      <c r="F66" s="23">
        <f>IFERROR(IF(ISBLANK(INDEX(Backlog[Priority],MATCH($A66,Backlog[Requirement ID],0))),"",INDEX(Backlog[Priority],MATCH($A66,Backlog[Requirement ID],0))),"")</f>
        <v/>
      </c>
      <c r="G66" s="21" t="n"/>
      <c r="H66" s="23">
        <f>IFERROR(IF(ISBLANK(INDEX(Backlog[HLE],MATCH($A66,Backlog[Requirement ID],0))),"",INDEX(Backlog[HLE],MATCH($A66,Backlog[Requirement ID],0))),"")</f>
        <v/>
      </c>
      <c r="I66" s="53" t="n"/>
      <c r="J66" s="57" t="n"/>
    </row>
    <row r="67" ht="15" customHeight="1">
      <c r="A67" s="21" t="inlineStr">
        <is>
          <t>NEW-0100</t>
        </is>
      </c>
      <c r="B67" s="23">
        <f>IFERROR(IF(ISBLANK(INDEX(Backlog[Requirement Name],MATCH($A67,Backlog[Requirement ID],0))),"",INDEX(Backlog[Requirement Name],MATCH($A67,Backlog[Requirement ID],0))),"")</f>
        <v/>
      </c>
      <c r="C67" s="23">
        <f>IFERROR(IF(ISBLANK(INDEX(Backlog[Stream],MATCH($A67,Backlog[Requirement ID],0))),"",INDEX(Backlog[Stream],MATCH($A67,Backlog[Requirement ID],0))),"")</f>
        <v/>
      </c>
      <c r="D67" s="23">
        <f>IFERROR(IF(ISBLANK(INDEX(SprintPlanning[Sprint],MATCH($A67,SprintPlanning[Requirement ID],0))),"",INDEX(SprintPlanning[Sprint],MATCH($A67,SprintPlanning[Requirement ID],0))),"")</f>
        <v/>
      </c>
      <c r="E67" s="23">
        <f>IFERROR(IF(ISBLANK(INDEX(Backlog[Status],MATCH($A67,Backlog[Requirement ID],0))),"",INDEX(Backlog[Status],MATCH($A67,Backlog[Requirement ID],0))),"")</f>
        <v/>
      </c>
      <c r="F67" s="23">
        <f>IFERROR(IF(ISBLANK(INDEX(Backlog[Priority],MATCH($A67,Backlog[Requirement ID],0))),"",INDEX(Backlog[Priority],MATCH($A67,Backlog[Requirement ID],0))),"")</f>
        <v/>
      </c>
      <c r="G67" s="21" t="inlineStr">
        <is>
          <t>Release 19</t>
        </is>
      </c>
      <c r="H67" s="23">
        <f>IFERROR(IF(ISBLANK(INDEX(Backlog[HLE],MATCH($A67,Backlog[Requirement ID],0))),"",INDEX(Backlog[HLE],MATCH($A67,Backlog[Requirement ID],0))),"")</f>
        <v/>
      </c>
      <c r="I67" s="53" t="n"/>
      <c r="J67" s="57" t="n"/>
    </row>
    <row r="68" ht="15" customHeight="1">
      <c r="A68" s="21" t="inlineStr">
        <is>
          <t>NEW-0103</t>
        </is>
      </c>
      <c r="B68" s="23">
        <f>IFERROR(IF(ISBLANK(INDEX(Backlog[Requirement Name],MATCH($A68,Backlog[Requirement ID],0))),"",INDEX(Backlog[Requirement Name],MATCH($A68,Backlog[Requirement ID],0))),"")</f>
        <v/>
      </c>
      <c r="C68" s="23">
        <f>IFERROR(IF(ISBLANK(INDEX(Backlog[Stream],MATCH($A68,Backlog[Requirement ID],0))),"",INDEX(Backlog[Stream],MATCH($A68,Backlog[Requirement ID],0))),"")</f>
        <v/>
      </c>
      <c r="D68" s="23">
        <f>IFERROR(IF(ISBLANK(INDEX(SprintPlanning[Sprint],MATCH($A68,SprintPlanning[Requirement ID],0))),"",INDEX(SprintPlanning[Sprint],MATCH($A68,SprintPlanning[Requirement ID],0))),"")</f>
        <v/>
      </c>
      <c r="E68" s="23">
        <f>IFERROR(IF(ISBLANK(INDEX(Backlog[Status],MATCH($A68,Backlog[Requirement ID],0))),"",INDEX(Backlog[Status],MATCH($A68,Backlog[Requirement ID],0))),"")</f>
        <v/>
      </c>
      <c r="F68" s="23">
        <f>IFERROR(IF(ISBLANK(INDEX(Backlog[Priority],MATCH($A68,Backlog[Requirement ID],0))),"",INDEX(Backlog[Priority],MATCH($A68,Backlog[Requirement ID],0))),"")</f>
        <v/>
      </c>
      <c r="G68" s="21" t="inlineStr">
        <is>
          <t>Release 19</t>
        </is>
      </c>
      <c r="H68" s="23">
        <f>IFERROR(IF(ISBLANK(INDEX(Backlog[HLE],MATCH($A68,Backlog[Requirement ID],0))),"",INDEX(Backlog[HLE],MATCH($A68,Backlog[Requirement ID],0))),"")</f>
        <v/>
      </c>
      <c r="I68" s="53" t="n"/>
      <c r="J68" s="57" t="n"/>
    </row>
    <row r="69" ht="15" customHeight="1">
      <c r="A69" s="21" t="inlineStr">
        <is>
          <t>NEW-0104</t>
        </is>
      </c>
      <c r="B69" s="23">
        <f>IFERROR(IF(ISBLANK(INDEX(Backlog[Requirement Name],MATCH($A69,Backlog[Requirement ID],0))),"",INDEX(Backlog[Requirement Name],MATCH($A69,Backlog[Requirement ID],0))),"")</f>
        <v/>
      </c>
      <c r="C69" s="23">
        <f>IFERROR(IF(ISBLANK(INDEX(Backlog[Stream],MATCH($A69,Backlog[Requirement ID],0))),"",INDEX(Backlog[Stream],MATCH($A69,Backlog[Requirement ID],0))),"")</f>
        <v/>
      </c>
      <c r="D69" s="23">
        <f>IFERROR(IF(ISBLANK(INDEX(SprintPlanning[Sprint],MATCH($A69,SprintPlanning[Requirement ID],0))),"",INDEX(SprintPlanning[Sprint],MATCH($A69,SprintPlanning[Requirement ID],0))),"")</f>
        <v/>
      </c>
      <c r="E69" s="23">
        <f>IFERROR(IF(ISBLANK(INDEX(Backlog[Status],MATCH($A69,Backlog[Requirement ID],0))),"",INDEX(Backlog[Status],MATCH($A69,Backlog[Requirement ID],0))),"")</f>
        <v/>
      </c>
      <c r="F69" s="23">
        <f>IFERROR(IF(ISBLANK(INDEX(Backlog[Priority],MATCH($A69,Backlog[Requirement ID],0))),"",INDEX(Backlog[Priority],MATCH($A69,Backlog[Requirement ID],0))),"")</f>
        <v/>
      </c>
      <c r="G69" s="21" t="inlineStr">
        <is>
          <t>Release 18</t>
        </is>
      </c>
      <c r="H69" s="23">
        <f>IFERROR(IF(ISBLANK(INDEX(Backlog[HLE],MATCH($A69,Backlog[Requirement ID],0))),"",INDEX(Backlog[HLE],MATCH($A69,Backlog[Requirement ID],0))),"")</f>
        <v/>
      </c>
      <c r="I69" s="53" t="n"/>
      <c r="J69" s="57" t="n"/>
    </row>
    <row r="70" ht="15" customHeight="1">
      <c r="A70" s="21" t="inlineStr">
        <is>
          <t>NEW-0105</t>
        </is>
      </c>
      <c r="B70" s="23">
        <f>IFERROR(IF(ISBLANK(INDEX(Backlog[Requirement Name],MATCH($A70,Backlog[Requirement ID],0))),"",INDEX(Backlog[Requirement Name],MATCH($A70,Backlog[Requirement ID],0))),"")</f>
        <v/>
      </c>
      <c r="C70" s="23">
        <f>IFERROR(IF(ISBLANK(INDEX(Backlog[Stream],MATCH($A70,Backlog[Requirement ID],0))),"",INDEX(Backlog[Stream],MATCH($A70,Backlog[Requirement ID],0))),"")</f>
        <v/>
      </c>
      <c r="D70" s="23">
        <f>IFERROR(IF(ISBLANK(INDEX(SprintPlanning[Sprint],MATCH($A70,SprintPlanning[Requirement ID],0))),"",INDEX(SprintPlanning[Sprint],MATCH($A70,SprintPlanning[Requirement ID],0))),"")</f>
        <v/>
      </c>
      <c r="E70" s="23">
        <f>IFERROR(IF(ISBLANK(INDEX(Backlog[Status],MATCH($A70,Backlog[Requirement ID],0))),"",INDEX(Backlog[Status],MATCH($A70,Backlog[Requirement ID],0))),"")</f>
        <v/>
      </c>
      <c r="F70" s="23">
        <f>IFERROR(IF(ISBLANK(INDEX(Backlog[Priority],MATCH($A70,Backlog[Requirement ID],0))),"",INDEX(Backlog[Priority],MATCH($A70,Backlog[Requirement ID],0))),"")</f>
        <v/>
      </c>
      <c r="G70" s="21" t="inlineStr">
        <is>
          <t>Release 18</t>
        </is>
      </c>
      <c r="H70" s="23">
        <f>IFERROR(IF(ISBLANK(INDEX(Backlog[HLE],MATCH($A70,Backlog[Requirement ID],0))),"",INDEX(Backlog[HLE],MATCH($A70,Backlog[Requirement ID],0))),"")</f>
        <v/>
      </c>
      <c r="I70" s="53" t="n"/>
      <c r="J70" s="57" t="n"/>
    </row>
    <row r="71" ht="15" customHeight="1">
      <c r="A71" s="21" t="inlineStr">
        <is>
          <t>NEW-0111</t>
        </is>
      </c>
      <c r="B71" s="23">
        <f>IFERROR(IF(ISBLANK(INDEX(Backlog[Requirement Name],MATCH($A71,Backlog[Requirement ID],0))),"",INDEX(Backlog[Requirement Name],MATCH($A71,Backlog[Requirement ID],0))),"")</f>
        <v/>
      </c>
      <c r="C71" s="23">
        <f>IFERROR(IF(ISBLANK(INDEX(Backlog[Stream],MATCH($A71,Backlog[Requirement ID],0))),"",INDEX(Backlog[Stream],MATCH($A71,Backlog[Requirement ID],0))),"")</f>
        <v/>
      </c>
      <c r="D71" s="23">
        <f>IFERROR(IF(ISBLANK(INDEX(SprintPlanning[Sprint],MATCH($A71,SprintPlanning[Requirement ID],0))),"",INDEX(SprintPlanning[Sprint],MATCH($A71,SprintPlanning[Requirement ID],0))),"")</f>
        <v/>
      </c>
      <c r="E71" s="23">
        <f>IFERROR(IF(ISBLANK(INDEX(Backlog[Status],MATCH($A71,Backlog[Requirement ID],0))),"",INDEX(Backlog[Status],MATCH($A71,Backlog[Requirement ID],0))),"")</f>
        <v/>
      </c>
      <c r="F71" s="23">
        <f>IFERROR(IF(ISBLANK(INDEX(Backlog[Priority],MATCH($A71,Backlog[Requirement ID],0))),"",INDEX(Backlog[Priority],MATCH($A71,Backlog[Requirement ID],0))),"")</f>
        <v/>
      </c>
      <c r="G71" s="21" t="inlineStr">
        <is>
          <t>Release 18</t>
        </is>
      </c>
      <c r="H71" s="23">
        <f>IFERROR(IF(ISBLANK(INDEX(Backlog[HLE],MATCH($A71,Backlog[Requirement ID],0))),"",INDEX(Backlog[HLE],MATCH($A71,Backlog[Requirement ID],0))),"")</f>
        <v/>
      </c>
      <c r="I71" s="53" t="n"/>
      <c r="J71" s="57" t="n"/>
    </row>
    <row r="72" ht="15" customHeight="1">
      <c r="A72" s="21" t="inlineStr">
        <is>
          <t>NEW-0127</t>
        </is>
      </c>
      <c r="B72" s="23">
        <f>IFERROR(IF(ISBLANK(INDEX(Backlog[Requirement Name],MATCH($A72,Backlog[Requirement ID],0))),"",INDEX(Backlog[Requirement Name],MATCH($A72,Backlog[Requirement ID],0))),"")</f>
        <v/>
      </c>
      <c r="C72" s="23">
        <f>IFERROR(IF(ISBLANK(INDEX(Backlog[Stream],MATCH($A72,Backlog[Requirement ID],0))),"",INDEX(Backlog[Stream],MATCH($A72,Backlog[Requirement ID],0))),"")</f>
        <v/>
      </c>
      <c r="D72" s="23">
        <f>IFERROR(IF(ISBLANK(INDEX(SprintPlanning[Sprint],MATCH($A72,SprintPlanning[Requirement ID],0))),"",INDEX(SprintPlanning[Sprint],MATCH($A72,SprintPlanning[Requirement ID],0))),"")</f>
        <v/>
      </c>
      <c r="E72" s="23">
        <f>IFERROR(IF(ISBLANK(INDEX(Backlog[Status],MATCH($A72,Backlog[Requirement ID],0))),"",INDEX(Backlog[Status],MATCH($A72,Backlog[Requirement ID],0))),"")</f>
        <v/>
      </c>
      <c r="F72" s="23">
        <f>IFERROR(IF(ISBLANK(INDEX(Backlog[Priority],MATCH($A72,Backlog[Requirement ID],0))),"",INDEX(Backlog[Priority],MATCH($A72,Backlog[Requirement ID],0))),"")</f>
        <v/>
      </c>
      <c r="G72" s="21" t="inlineStr">
        <is>
          <t>Release 13</t>
        </is>
      </c>
      <c r="H72" s="23">
        <f>IFERROR(IF(ISBLANK(INDEX(Backlog[HLE],MATCH($A72,Backlog[Requirement ID],0))),"",INDEX(Backlog[HLE],MATCH($A72,Backlog[Requirement ID],0))),"")</f>
        <v/>
      </c>
      <c r="I72" s="53" t="n"/>
      <c r="J72" s="57" t="n"/>
    </row>
    <row r="73" ht="15" customHeight="1">
      <c r="A73" s="21" t="inlineStr">
        <is>
          <t>NEW-0131</t>
        </is>
      </c>
      <c r="B73" s="23">
        <f>IFERROR(IF(ISBLANK(INDEX(Backlog[Requirement Name],MATCH($A73,Backlog[Requirement ID],0))),"",INDEX(Backlog[Requirement Name],MATCH($A73,Backlog[Requirement ID],0))),"")</f>
        <v/>
      </c>
      <c r="C73" s="23">
        <f>IFERROR(IF(ISBLANK(INDEX(Backlog[Stream],MATCH($A73,Backlog[Requirement ID],0))),"",INDEX(Backlog[Stream],MATCH($A73,Backlog[Requirement ID],0))),"")</f>
        <v/>
      </c>
      <c r="D73" s="23">
        <f>IFERROR(IF(ISBLANK(INDEX(SprintPlanning[Sprint],MATCH($A73,SprintPlanning[Requirement ID],0))),"",INDEX(SprintPlanning[Sprint],MATCH($A73,SprintPlanning[Requirement ID],0))),"")</f>
        <v/>
      </c>
      <c r="E73" s="23">
        <f>IFERROR(IF(ISBLANK(INDEX(Backlog[Status],MATCH($A73,Backlog[Requirement ID],0))),"",INDEX(Backlog[Status],MATCH($A73,Backlog[Requirement ID],0))),"")</f>
        <v/>
      </c>
      <c r="F73" s="23">
        <f>IFERROR(IF(ISBLANK(INDEX(Backlog[Priority],MATCH($A73,Backlog[Requirement ID],0))),"",INDEX(Backlog[Priority],MATCH($A73,Backlog[Requirement ID],0))),"")</f>
        <v/>
      </c>
      <c r="G73" s="21" t="inlineStr">
        <is>
          <t>Release 15</t>
        </is>
      </c>
      <c r="H73" s="23">
        <f>IFERROR(IF(ISBLANK(INDEX(Backlog[HLE],MATCH($A73,Backlog[Requirement ID],0))),"",INDEX(Backlog[HLE],MATCH($A73,Backlog[Requirement ID],0))),"")</f>
        <v/>
      </c>
      <c r="I73" s="53" t="n"/>
      <c r="J73" s="57" t="n"/>
    </row>
    <row r="74" ht="15" customHeight="1">
      <c r="A74" s="21" t="inlineStr">
        <is>
          <t>NEW-0143</t>
        </is>
      </c>
      <c r="B74" s="23">
        <f>IFERROR(IF(ISBLANK(INDEX(Backlog[Requirement Name],MATCH($A74,Backlog[Requirement ID],0))),"",INDEX(Backlog[Requirement Name],MATCH($A74,Backlog[Requirement ID],0))),"")</f>
        <v/>
      </c>
      <c r="C74" s="23">
        <f>IFERROR(IF(ISBLANK(INDEX(Backlog[Stream],MATCH($A74,Backlog[Requirement ID],0))),"",INDEX(Backlog[Stream],MATCH($A74,Backlog[Requirement ID],0))),"")</f>
        <v/>
      </c>
      <c r="D74" s="23">
        <f>IFERROR(IF(ISBLANK(INDEX(SprintPlanning[Sprint],MATCH($A74,SprintPlanning[Requirement ID],0))),"",INDEX(SprintPlanning[Sprint],MATCH($A74,SprintPlanning[Requirement ID],0))),"")</f>
        <v/>
      </c>
      <c r="E74" s="23">
        <f>IFERROR(IF(ISBLANK(INDEX(Backlog[Status],MATCH($A74,Backlog[Requirement ID],0))),"",INDEX(Backlog[Status],MATCH($A74,Backlog[Requirement ID],0))),"")</f>
        <v/>
      </c>
      <c r="F74" s="23">
        <f>IFERROR(IF(ISBLANK(INDEX(Backlog[Priority],MATCH($A74,Backlog[Requirement ID],0))),"",INDEX(Backlog[Priority],MATCH($A74,Backlog[Requirement ID],0))),"")</f>
        <v/>
      </c>
      <c r="G74" s="21" t="inlineStr">
        <is>
          <t>Release 13</t>
        </is>
      </c>
      <c r="H74" s="23">
        <f>IFERROR(IF(ISBLANK(INDEX(Backlog[HLE],MATCH($A74,Backlog[Requirement ID],0))),"",INDEX(Backlog[HLE],MATCH($A74,Backlog[Requirement ID],0))),"")</f>
        <v/>
      </c>
      <c r="I74" s="53" t="n"/>
      <c r="J74" s="57" t="n"/>
    </row>
    <row r="75" ht="15" customHeight="1">
      <c r="A75" s="21" t="inlineStr">
        <is>
          <t>NEW-0146</t>
        </is>
      </c>
      <c r="B75" s="23">
        <f>IFERROR(IF(ISBLANK(INDEX(Backlog[Requirement Name],MATCH($A75,Backlog[Requirement ID],0))),"",INDEX(Backlog[Requirement Name],MATCH($A75,Backlog[Requirement ID],0))),"")</f>
        <v/>
      </c>
      <c r="C75" s="23">
        <f>IFERROR(IF(ISBLANK(INDEX(Backlog[Stream],MATCH($A75,Backlog[Requirement ID],0))),"",INDEX(Backlog[Stream],MATCH($A75,Backlog[Requirement ID],0))),"")</f>
        <v/>
      </c>
      <c r="D75" s="23">
        <f>IFERROR(IF(ISBLANK(INDEX(SprintPlanning[Sprint],MATCH($A75,SprintPlanning[Requirement ID],0))),"",INDEX(SprintPlanning[Sprint],MATCH($A75,SprintPlanning[Requirement ID],0))),"")</f>
        <v/>
      </c>
      <c r="E75" s="23">
        <f>IFERROR(IF(ISBLANK(INDEX(Backlog[Status],MATCH($A75,Backlog[Requirement ID],0))),"",INDEX(Backlog[Status],MATCH($A75,Backlog[Requirement ID],0))),"")</f>
        <v/>
      </c>
      <c r="F75" s="23">
        <f>IFERROR(IF(ISBLANK(INDEX(Backlog[Priority],MATCH($A75,Backlog[Requirement ID],0))),"",INDEX(Backlog[Priority],MATCH($A75,Backlog[Requirement ID],0))),"")</f>
        <v/>
      </c>
      <c r="G75" s="21" t="inlineStr">
        <is>
          <t>Release 13</t>
        </is>
      </c>
      <c r="H75" s="23">
        <f>IFERROR(IF(ISBLANK(INDEX(Backlog[HLE],MATCH($A75,Backlog[Requirement ID],0))),"",INDEX(Backlog[HLE],MATCH($A75,Backlog[Requirement ID],0))),"")</f>
        <v/>
      </c>
      <c r="I75" s="53" t="n"/>
      <c r="J75" s="57" t="n"/>
    </row>
    <row r="76" ht="15" customHeight="1">
      <c r="A76" s="21" t="inlineStr">
        <is>
          <t>NEW-0148</t>
        </is>
      </c>
      <c r="B76" s="23">
        <f>IFERROR(IF(ISBLANK(INDEX(Backlog[Requirement Name],MATCH($A76,Backlog[Requirement ID],0))),"",INDEX(Backlog[Requirement Name],MATCH($A76,Backlog[Requirement ID],0))),"")</f>
        <v/>
      </c>
      <c r="C76" s="23">
        <f>IFERROR(IF(ISBLANK(INDEX(Backlog[Stream],MATCH($A76,Backlog[Requirement ID],0))),"",INDEX(Backlog[Stream],MATCH($A76,Backlog[Requirement ID],0))),"")</f>
        <v/>
      </c>
      <c r="D76" s="23">
        <f>IFERROR(IF(ISBLANK(INDEX(SprintPlanning[Sprint],MATCH($A76,SprintPlanning[Requirement ID],0))),"",INDEX(SprintPlanning[Sprint],MATCH($A76,SprintPlanning[Requirement ID],0))),"")</f>
        <v/>
      </c>
      <c r="E76" s="23">
        <f>IFERROR(IF(ISBLANK(INDEX(Backlog[Status],MATCH($A76,Backlog[Requirement ID],0))),"",INDEX(Backlog[Status],MATCH($A76,Backlog[Requirement ID],0))),"")</f>
        <v/>
      </c>
      <c r="F76" s="23">
        <f>IFERROR(IF(ISBLANK(INDEX(Backlog[Priority],MATCH($A76,Backlog[Requirement ID],0))),"",INDEX(Backlog[Priority],MATCH($A76,Backlog[Requirement ID],0))),"")</f>
        <v/>
      </c>
      <c r="G76" s="21" t="inlineStr">
        <is>
          <t>Release 13</t>
        </is>
      </c>
      <c r="H76" s="23">
        <f>IFERROR(IF(ISBLANK(INDEX(Backlog[HLE],MATCH($A76,Backlog[Requirement ID],0))),"",INDEX(Backlog[HLE],MATCH($A76,Backlog[Requirement ID],0))),"")</f>
        <v/>
      </c>
      <c r="I76" s="53" t="n"/>
      <c r="J76" s="57" t="n"/>
    </row>
    <row r="77" ht="15" customHeight="1">
      <c r="A77" s="21" t="inlineStr">
        <is>
          <t>NEW-0150</t>
        </is>
      </c>
      <c r="B77" s="23">
        <f>IFERROR(IF(ISBLANK(INDEX(Backlog[Requirement Name],MATCH($A77,Backlog[Requirement ID],0))),"",INDEX(Backlog[Requirement Name],MATCH($A77,Backlog[Requirement ID],0))),"")</f>
        <v/>
      </c>
      <c r="C77" s="23">
        <f>IFERROR(IF(ISBLANK(INDEX(Backlog[Stream],MATCH($A77,Backlog[Requirement ID],0))),"",INDEX(Backlog[Stream],MATCH($A77,Backlog[Requirement ID],0))),"")</f>
        <v/>
      </c>
      <c r="D77" s="23">
        <f>IFERROR(IF(ISBLANK(INDEX(SprintPlanning[Sprint],MATCH($A77,SprintPlanning[Requirement ID],0))),"",INDEX(SprintPlanning[Sprint],MATCH($A77,SprintPlanning[Requirement ID],0))),"")</f>
        <v/>
      </c>
      <c r="E77" s="23">
        <f>IFERROR(IF(ISBLANK(INDEX(Backlog[Status],MATCH($A77,Backlog[Requirement ID],0))),"",INDEX(Backlog[Status],MATCH($A77,Backlog[Requirement ID],0))),"")</f>
        <v/>
      </c>
      <c r="F77" s="23">
        <f>IFERROR(IF(ISBLANK(INDEX(Backlog[Priority],MATCH($A77,Backlog[Requirement ID],0))),"",INDEX(Backlog[Priority],MATCH($A77,Backlog[Requirement ID],0))),"")</f>
        <v/>
      </c>
      <c r="G77" s="21" t="n"/>
      <c r="H77" s="23">
        <f>IFERROR(IF(ISBLANK(INDEX(Backlog[HLE],MATCH($A77,Backlog[Requirement ID],0))),"",INDEX(Backlog[HLE],MATCH($A77,Backlog[Requirement ID],0))),"")</f>
        <v/>
      </c>
      <c r="I77" s="53" t="n"/>
      <c r="J77" s="57" t="n"/>
    </row>
    <row r="78" ht="15" customHeight="1">
      <c r="A78" s="21" t="inlineStr">
        <is>
          <t>NEW-0240</t>
        </is>
      </c>
      <c r="B78" s="23">
        <f>IFERROR(IF(ISBLANK(INDEX(Backlog[Requirement Name],MATCH($A78,Backlog[Requirement ID],0))),"",INDEX(Backlog[Requirement Name],MATCH($A78,Backlog[Requirement ID],0))),"")</f>
        <v/>
      </c>
      <c r="C78" s="23">
        <f>IFERROR(IF(ISBLANK(INDEX(Backlog[Stream],MATCH($A78,Backlog[Requirement ID],0))),"",INDEX(Backlog[Stream],MATCH($A78,Backlog[Requirement ID],0))),"")</f>
        <v/>
      </c>
      <c r="D78" s="23">
        <f>IFERROR(IF(ISBLANK(INDEX(SprintPlanning[Sprint],MATCH($A78,SprintPlanning[Requirement ID],0))),"",INDEX(SprintPlanning[Sprint],MATCH($A78,SprintPlanning[Requirement ID],0))),"")</f>
        <v/>
      </c>
      <c r="E78" s="23">
        <f>IFERROR(IF(ISBLANK(INDEX(Backlog[Status],MATCH($A78,Backlog[Requirement ID],0))),"",INDEX(Backlog[Status],MATCH($A78,Backlog[Requirement ID],0))),"")</f>
        <v/>
      </c>
      <c r="F78" s="23">
        <f>IFERROR(IF(ISBLANK(INDEX(Backlog[Priority],MATCH($A78,Backlog[Requirement ID],0))),"",INDEX(Backlog[Priority],MATCH($A78,Backlog[Requirement ID],0))),"")</f>
        <v/>
      </c>
      <c r="G78" s="21" t="inlineStr">
        <is>
          <t>Release 19</t>
        </is>
      </c>
      <c r="H78" s="23">
        <f>IFERROR(IF(ISBLANK(INDEX(Backlog[HLE],MATCH($A78,Backlog[Requirement ID],0))),"",INDEX(Backlog[HLE],MATCH($A78,Backlog[Requirement ID],0))),"")</f>
        <v/>
      </c>
      <c r="I78" s="53" t="n"/>
      <c r="J78" s="57" t="n"/>
    </row>
    <row r="79" ht="15" customHeight="1">
      <c r="A79" s="21" t="inlineStr">
        <is>
          <t>NEW-0243</t>
        </is>
      </c>
      <c r="B79" s="23">
        <f>IFERROR(IF(ISBLANK(INDEX(Backlog[Requirement Name],MATCH($A79,Backlog[Requirement ID],0))),"",INDEX(Backlog[Requirement Name],MATCH($A79,Backlog[Requirement ID],0))),"")</f>
        <v/>
      </c>
      <c r="C79" s="23">
        <f>IFERROR(IF(ISBLANK(INDEX(Backlog[Stream],MATCH($A79,Backlog[Requirement ID],0))),"",INDEX(Backlog[Stream],MATCH($A79,Backlog[Requirement ID],0))),"")</f>
        <v/>
      </c>
      <c r="D79" s="23">
        <f>IFERROR(IF(ISBLANK(INDEX(SprintPlanning[Sprint],MATCH($A79,SprintPlanning[Requirement ID],0))),"",INDEX(SprintPlanning[Sprint],MATCH($A79,SprintPlanning[Requirement ID],0))),"")</f>
        <v/>
      </c>
      <c r="E79" s="23">
        <f>IFERROR(IF(ISBLANK(INDEX(Backlog[Status],MATCH($A79,Backlog[Requirement ID],0))),"",INDEX(Backlog[Status],MATCH($A79,Backlog[Requirement ID],0))),"")</f>
        <v/>
      </c>
      <c r="F79" s="23">
        <f>IFERROR(IF(ISBLANK(INDEX(Backlog[Priority],MATCH($A79,Backlog[Requirement ID],0))),"",INDEX(Backlog[Priority],MATCH($A79,Backlog[Requirement ID],0))),"")</f>
        <v/>
      </c>
      <c r="G79" s="21" t="inlineStr">
        <is>
          <t>Release 18</t>
        </is>
      </c>
      <c r="H79" s="23">
        <f>IFERROR(IF(ISBLANK(INDEX(Backlog[HLE],MATCH($A79,Backlog[Requirement ID],0))),"",INDEX(Backlog[HLE],MATCH($A79,Backlog[Requirement ID],0))),"")</f>
        <v/>
      </c>
      <c r="I79" s="53" t="n"/>
      <c r="J79" s="57" t="n"/>
    </row>
    <row r="80" ht="15" customHeight="1">
      <c r="A80" s="21" t="inlineStr">
        <is>
          <t>NEW-0246</t>
        </is>
      </c>
      <c r="B80" s="23">
        <f>IFERROR(IF(ISBLANK(INDEX(Backlog[Requirement Name],MATCH($A80,Backlog[Requirement ID],0))),"",INDEX(Backlog[Requirement Name],MATCH($A80,Backlog[Requirement ID],0))),"")</f>
        <v/>
      </c>
      <c r="C80" s="23">
        <f>IFERROR(IF(ISBLANK(INDEX(Backlog[Stream],MATCH($A80,Backlog[Requirement ID],0))),"",INDEX(Backlog[Stream],MATCH($A80,Backlog[Requirement ID],0))),"")</f>
        <v/>
      </c>
      <c r="D80" s="23">
        <f>IFERROR(IF(ISBLANK(INDEX(SprintPlanning[Sprint],MATCH($A80,SprintPlanning[Requirement ID],0))),"",INDEX(SprintPlanning[Sprint],MATCH($A80,SprintPlanning[Requirement ID],0))),"")</f>
        <v/>
      </c>
      <c r="E80" s="23">
        <f>IFERROR(IF(ISBLANK(INDEX(Backlog[Status],MATCH($A80,Backlog[Requirement ID],0))),"",INDEX(Backlog[Status],MATCH($A80,Backlog[Requirement ID],0))),"")</f>
        <v/>
      </c>
      <c r="F80" s="23">
        <f>IFERROR(IF(ISBLANK(INDEX(Backlog[Priority],MATCH($A80,Backlog[Requirement ID],0))),"",INDEX(Backlog[Priority],MATCH($A80,Backlog[Requirement ID],0))),"")</f>
        <v/>
      </c>
      <c r="G80" s="21" t="inlineStr">
        <is>
          <t>Release 18</t>
        </is>
      </c>
      <c r="H80" s="23">
        <f>IFERROR(IF(ISBLANK(INDEX(Backlog[HLE],MATCH($A80,Backlog[Requirement ID],0))),"",INDEX(Backlog[HLE],MATCH($A80,Backlog[Requirement ID],0))),"")</f>
        <v/>
      </c>
      <c r="I80" s="53" t="n"/>
      <c r="J80" s="57" t="n"/>
    </row>
    <row r="81" ht="15" customHeight="1">
      <c r="A81" s="21" t="inlineStr">
        <is>
          <t>NEW-0253</t>
        </is>
      </c>
      <c r="B81" s="23">
        <f>IFERROR(IF(ISBLANK(INDEX(Backlog[Requirement Name],MATCH($A81,Backlog[Requirement ID],0))),"",INDEX(Backlog[Requirement Name],MATCH($A81,Backlog[Requirement ID],0))),"")</f>
        <v/>
      </c>
      <c r="C81" s="23">
        <f>IFERROR(IF(ISBLANK(INDEX(Backlog[Stream],MATCH($A81,Backlog[Requirement ID],0))),"",INDEX(Backlog[Stream],MATCH($A81,Backlog[Requirement ID],0))),"")</f>
        <v/>
      </c>
      <c r="D81" s="23">
        <f>IFERROR(IF(ISBLANK(INDEX(SprintPlanning[Sprint],MATCH($A81,SprintPlanning[Requirement ID],0))),"",INDEX(SprintPlanning[Sprint],MATCH($A81,SprintPlanning[Requirement ID],0))),"")</f>
        <v/>
      </c>
      <c r="E81" s="23">
        <f>IFERROR(IF(ISBLANK(INDEX(Backlog[Status],MATCH($A81,Backlog[Requirement ID],0))),"",INDEX(Backlog[Status],MATCH($A81,Backlog[Requirement ID],0))),"")</f>
        <v/>
      </c>
      <c r="F81" s="23">
        <f>IFERROR(IF(ISBLANK(INDEX(Backlog[Priority],MATCH($A81,Backlog[Requirement ID],0))),"",INDEX(Backlog[Priority],MATCH($A81,Backlog[Requirement ID],0))),"")</f>
        <v/>
      </c>
      <c r="G81" s="21" t="inlineStr">
        <is>
          <t>Release 18</t>
        </is>
      </c>
      <c r="H81" s="23">
        <f>IFERROR(IF(ISBLANK(INDEX(Backlog[HLE],MATCH($A81,Backlog[Requirement ID],0))),"",INDEX(Backlog[HLE],MATCH($A81,Backlog[Requirement ID],0))),"")</f>
        <v/>
      </c>
      <c r="I81" s="53" t="n"/>
      <c r="J81" s="57" t="n"/>
    </row>
    <row r="82" ht="15" customHeight="1">
      <c r="A82" s="21" t="inlineStr">
        <is>
          <t>NEW-0257</t>
        </is>
      </c>
      <c r="B82" s="23">
        <f>IFERROR(IF(ISBLANK(INDEX(Backlog[Requirement Name],MATCH($A82,Backlog[Requirement ID],0))),"",INDEX(Backlog[Requirement Name],MATCH($A82,Backlog[Requirement ID],0))),"")</f>
        <v/>
      </c>
      <c r="C82" s="23">
        <f>IFERROR(IF(ISBLANK(INDEX(Backlog[Stream],MATCH($A82,Backlog[Requirement ID],0))),"",INDEX(Backlog[Stream],MATCH($A82,Backlog[Requirement ID],0))),"")</f>
        <v/>
      </c>
      <c r="D82" s="23">
        <f>IFERROR(IF(ISBLANK(INDEX(SprintPlanning[Sprint],MATCH($A82,SprintPlanning[Requirement ID],0))),"",INDEX(SprintPlanning[Sprint],MATCH($A82,SprintPlanning[Requirement ID],0))),"")</f>
        <v/>
      </c>
      <c r="E82" s="23">
        <f>IFERROR(IF(ISBLANK(INDEX(Backlog[Status],MATCH($A82,Backlog[Requirement ID],0))),"",INDEX(Backlog[Status],MATCH($A82,Backlog[Requirement ID],0))),"")</f>
        <v/>
      </c>
      <c r="F82" s="23">
        <f>IFERROR(IF(ISBLANK(INDEX(Backlog[Priority],MATCH($A82,Backlog[Requirement ID],0))),"",INDEX(Backlog[Priority],MATCH($A82,Backlog[Requirement ID],0))),"")</f>
        <v/>
      </c>
      <c r="G82" s="21" t="inlineStr">
        <is>
          <t>Release 18</t>
        </is>
      </c>
      <c r="H82" s="23">
        <f>IFERROR(IF(ISBLANK(INDEX(Backlog[HLE],MATCH($A82,Backlog[Requirement ID],0))),"",INDEX(Backlog[HLE],MATCH($A82,Backlog[Requirement ID],0))),"")</f>
        <v/>
      </c>
      <c r="I82" s="53" t="n"/>
      <c r="J82" s="57" t="n"/>
    </row>
    <row r="83" ht="15" customHeight="1">
      <c r="A83" s="21" t="inlineStr">
        <is>
          <t>NEW-0268</t>
        </is>
      </c>
      <c r="B83" s="23">
        <f>IFERROR(IF(ISBLANK(INDEX(Backlog[Requirement Name],MATCH($A83,Backlog[Requirement ID],0))),"",INDEX(Backlog[Requirement Name],MATCH($A83,Backlog[Requirement ID],0))),"")</f>
        <v/>
      </c>
      <c r="C83" s="23">
        <f>IFERROR(IF(ISBLANK(INDEX(Backlog[Stream],MATCH($A83,Backlog[Requirement ID],0))),"",INDEX(Backlog[Stream],MATCH($A83,Backlog[Requirement ID],0))),"")</f>
        <v/>
      </c>
      <c r="D83" s="23">
        <f>IFERROR(IF(ISBLANK(INDEX(SprintPlanning[Sprint],MATCH($A83,SprintPlanning[Requirement ID],0))),"",INDEX(SprintPlanning[Sprint],MATCH($A83,SprintPlanning[Requirement ID],0))),"")</f>
        <v/>
      </c>
      <c r="E83" s="23">
        <f>IFERROR(IF(ISBLANK(INDEX(Backlog[Status],MATCH($A83,Backlog[Requirement ID],0))),"",INDEX(Backlog[Status],MATCH($A83,Backlog[Requirement ID],0))),"")</f>
        <v/>
      </c>
      <c r="F83" s="23">
        <f>IFERROR(IF(ISBLANK(INDEX(Backlog[Priority],MATCH($A83,Backlog[Requirement ID],0))),"",INDEX(Backlog[Priority],MATCH($A83,Backlog[Requirement ID],0))),"")</f>
        <v/>
      </c>
      <c r="G83" s="21" t="inlineStr">
        <is>
          <t>Release 19</t>
        </is>
      </c>
      <c r="H83" s="23">
        <f>IFERROR(IF(ISBLANK(INDEX(Backlog[HLE],MATCH($A83,Backlog[Requirement ID],0))),"",INDEX(Backlog[HLE],MATCH($A83,Backlog[Requirement ID],0))),"")</f>
        <v/>
      </c>
      <c r="I83" s="53" t="n"/>
      <c r="J83" s="57" t="n"/>
    </row>
    <row r="84" ht="15" customHeight="1">
      <c r="A84" s="21" t="inlineStr">
        <is>
          <t>NEW-0291</t>
        </is>
      </c>
      <c r="B84" s="23">
        <f>IFERROR(IF(ISBLANK(INDEX(Backlog[Requirement Name],MATCH($A84,Backlog[Requirement ID],0))),"",INDEX(Backlog[Requirement Name],MATCH($A84,Backlog[Requirement ID],0))),"")</f>
        <v/>
      </c>
      <c r="C84" s="23">
        <f>IFERROR(IF(ISBLANK(INDEX(Backlog[Stream],MATCH($A84,Backlog[Requirement ID],0))),"",INDEX(Backlog[Stream],MATCH($A84,Backlog[Requirement ID],0))),"")</f>
        <v/>
      </c>
      <c r="D84" s="23">
        <f>IFERROR(IF(ISBLANK(INDEX(SprintPlanning[Sprint],MATCH($A84,SprintPlanning[Requirement ID],0))),"",INDEX(SprintPlanning[Sprint],MATCH($A84,SprintPlanning[Requirement ID],0))),"")</f>
        <v/>
      </c>
      <c r="E84" s="23">
        <f>IFERROR(IF(ISBLANK(INDEX(Backlog[Status],MATCH($A84,Backlog[Requirement ID],0))),"",INDEX(Backlog[Status],MATCH($A84,Backlog[Requirement ID],0))),"")</f>
        <v/>
      </c>
      <c r="F84" s="23">
        <f>IFERROR(IF(ISBLANK(INDEX(Backlog[Priority],MATCH($A84,Backlog[Requirement ID],0))),"",INDEX(Backlog[Priority],MATCH($A84,Backlog[Requirement ID],0))),"")</f>
        <v/>
      </c>
      <c r="G84" s="21" t="inlineStr">
        <is>
          <t>Release 13</t>
        </is>
      </c>
      <c r="H84" s="23">
        <f>IFERROR(IF(ISBLANK(INDEX(Backlog[HLE],MATCH($A84,Backlog[Requirement ID],0))),"",INDEX(Backlog[HLE],MATCH($A84,Backlog[Requirement ID],0))),"")</f>
        <v/>
      </c>
      <c r="I84" s="53" t="n"/>
      <c r="J84" s="57" t="n"/>
    </row>
    <row r="85" ht="15" customHeight="1">
      <c r="A85" s="21" t="inlineStr">
        <is>
          <t>NEW-0294</t>
        </is>
      </c>
      <c r="B85" s="23">
        <f>IFERROR(IF(ISBLANK(INDEX(Backlog[Requirement Name],MATCH($A85,Backlog[Requirement ID],0))),"",INDEX(Backlog[Requirement Name],MATCH($A85,Backlog[Requirement ID],0))),"")</f>
        <v/>
      </c>
      <c r="C85" s="23">
        <f>IFERROR(IF(ISBLANK(INDEX(Backlog[Stream],MATCH($A85,Backlog[Requirement ID],0))),"",INDEX(Backlog[Stream],MATCH($A85,Backlog[Requirement ID],0))),"")</f>
        <v/>
      </c>
      <c r="D85" s="23">
        <f>IFERROR(IF(ISBLANK(INDEX(SprintPlanning[Sprint],MATCH($A85,SprintPlanning[Requirement ID],0))),"",INDEX(SprintPlanning[Sprint],MATCH($A85,SprintPlanning[Requirement ID],0))),"")</f>
        <v/>
      </c>
      <c r="E85" s="23">
        <f>IFERROR(IF(ISBLANK(INDEX(Backlog[Status],MATCH($A85,Backlog[Requirement ID],0))),"",INDEX(Backlog[Status],MATCH($A85,Backlog[Requirement ID],0))),"")</f>
        <v/>
      </c>
      <c r="F85" s="23">
        <f>IFERROR(IF(ISBLANK(INDEX(Backlog[Priority],MATCH($A85,Backlog[Requirement ID],0))),"",INDEX(Backlog[Priority],MATCH($A85,Backlog[Requirement ID],0))),"")</f>
        <v/>
      </c>
      <c r="G85" s="21" t="n"/>
      <c r="H85" s="23">
        <f>IFERROR(IF(ISBLANK(INDEX(Backlog[HLE],MATCH($A85,Backlog[Requirement ID],0))),"",INDEX(Backlog[HLE],MATCH($A85,Backlog[Requirement ID],0))),"")</f>
        <v/>
      </c>
      <c r="I85" s="53" t="n"/>
      <c r="J85" s="57" t="n"/>
    </row>
    <row r="86" ht="15" customHeight="1">
      <c r="A86" s="21" t="inlineStr">
        <is>
          <t>NEW-0303</t>
        </is>
      </c>
      <c r="B86" s="23">
        <f>IFERROR(IF(ISBLANK(INDEX(Backlog[Requirement Name],MATCH($A86,Backlog[Requirement ID],0))),"",INDEX(Backlog[Requirement Name],MATCH($A86,Backlog[Requirement ID],0))),"")</f>
        <v/>
      </c>
      <c r="C86" s="23">
        <f>IFERROR(IF(ISBLANK(INDEX(Backlog[Stream],MATCH($A86,Backlog[Requirement ID],0))),"",INDEX(Backlog[Stream],MATCH($A86,Backlog[Requirement ID],0))),"")</f>
        <v/>
      </c>
      <c r="D86" s="23">
        <f>IFERROR(IF(ISBLANK(INDEX(SprintPlanning[Sprint],MATCH($A86,SprintPlanning[Requirement ID],0))),"",INDEX(SprintPlanning[Sprint],MATCH($A86,SprintPlanning[Requirement ID],0))),"")</f>
        <v/>
      </c>
      <c r="E86" s="23">
        <f>IFERROR(IF(ISBLANK(INDEX(Backlog[Status],MATCH($A86,Backlog[Requirement ID],0))),"",INDEX(Backlog[Status],MATCH($A86,Backlog[Requirement ID],0))),"")</f>
        <v/>
      </c>
      <c r="F86" s="23">
        <f>IFERROR(IF(ISBLANK(INDEX(Backlog[Priority],MATCH($A86,Backlog[Requirement ID],0))),"",INDEX(Backlog[Priority],MATCH($A86,Backlog[Requirement ID],0))),"")</f>
        <v/>
      </c>
      <c r="G86" s="21" t="n"/>
      <c r="H86" s="23">
        <f>IFERROR(IF(ISBLANK(INDEX(Backlog[HLE],MATCH($A86,Backlog[Requirement ID],0))),"",INDEX(Backlog[HLE],MATCH($A86,Backlog[Requirement ID],0))),"")</f>
        <v/>
      </c>
      <c r="I86" s="53" t="n"/>
      <c r="J86" s="57" t="n"/>
    </row>
    <row r="87" ht="15" customHeight="1">
      <c r="A87" s="21" t="inlineStr">
        <is>
          <t>NEW-0305</t>
        </is>
      </c>
      <c r="B87" s="23">
        <f>IFERROR(IF(ISBLANK(INDEX(Backlog[Requirement Name],MATCH($A87,Backlog[Requirement ID],0))),"",INDEX(Backlog[Requirement Name],MATCH($A87,Backlog[Requirement ID],0))),"")</f>
        <v/>
      </c>
      <c r="C87" s="23">
        <f>IFERROR(IF(ISBLANK(INDEX(Backlog[Stream],MATCH($A87,Backlog[Requirement ID],0))),"",INDEX(Backlog[Stream],MATCH($A87,Backlog[Requirement ID],0))),"")</f>
        <v/>
      </c>
      <c r="D87" s="23">
        <f>IFERROR(IF(ISBLANK(INDEX(SprintPlanning[Sprint],MATCH($A87,SprintPlanning[Requirement ID],0))),"",INDEX(SprintPlanning[Sprint],MATCH($A87,SprintPlanning[Requirement ID],0))),"")</f>
        <v/>
      </c>
      <c r="E87" s="23">
        <f>IFERROR(IF(ISBLANK(INDEX(Backlog[Status],MATCH($A87,Backlog[Requirement ID],0))),"",INDEX(Backlog[Status],MATCH($A87,Backlog[Requirement ID],0))),"")</f>
        <v/>
      </c>
      <c r="F87" s="23">
        <f>IFERROR(IF(ISBLANK(INDEX(Backlog[Priority],MATCH($A87,Backlog[Requirement ID],0))),"",INDEX(Backlog[Priority],MATCH($A87,Backlog[Requirement ID],0))),"")</f>
        <v/>
      </c>
      <c r="G87" s="21" t="inlineStr">
        <is>
          <t>Release 13</t>
        </is>
      </c>
      <c r="H87" s="23">
        <f>IFERROR(IF(ISBLANK(INDEX(Backlog[HLE],MATCH($A87,Backlog[Requirement ID],0))),"",INDEX(Backlog[HLE],MATCH($A87,Backlog[Requirement ID],0))),"")</f>
        <v/>
      </c>
      <c r="I87" s="53" t="n"/>
      <c r="J87" s="57" t="n"/>
    </row>
    <row r="88" ht="15" customHeight="1">
      <c r="A88" s="21" t="inlineStr">
        <is>
          <t>NEW-0307</t>
        </is>
      </c>
      <c r="B88" s="23">
        <f>IFERROR(IF(ISBLANK(INDEX(Backlog[Requirement Name],MATCH($A88,Backlog[Requirement ID],0))),"",INDEX(Backlog[Requirement Name],MATCH($A88,Backlog[Requirement ID],0))),"")</f>
        <v/>
      </c>
      <c r="C88" s="23">
        <f>IFERROR(IF(ISBLANK(INDEX(Backlog[Stream],MATCH($A88,Backlog[Requirement ID],0))),"",INDEX(Backlog[Stream],MATCH($A88,Backlog[Requirement ID],0))),"")</f>
        <v/>
      </c>
      <c r="D88" s="23">
        <f>IFERROR(IF(ISBLANK(INDEX(SprintPlanning[Sprint],MATCH($A88,SprintPlanning[Requirement ID],0))),"",INDEX(SprintPlanning[Sprint],MATCH($A88,SprintPlanning[Requirement ID],0))),"")</f>
        <v/>
      </c>
      <c r="E88" s="23">
        <f>IFERROR(IF(ISBLANK(INDEX(Backlog[Status],MATCH($A88,Backlog[Requirement ID],0))),"",INDEX(Backlog[Status],MATCH($A88,Backlog[Requirement ID],0))),"")</f>
        <v/>
      </c>
      <c r="F88" s="23">
        <f>IFERROR(IF(ISBLANK(INDEX(Backlog[Priority],MATCH($A88,Backlog[Requirement ID],0))),"",INDEX(Backlog[Priority],MATCH($A88,Backlog[Requirement ID],0))),"")</f>
        <v/>
      </c>
      <c r="G88" s="21" t="inlineStr">
        <is>
          <t>Release 13</t>
        </is>
      </c>
      <c r="H88" s="23">
        <f>IFERROR(IF(ISBLANK(INDEX(Backlog[HLE],MATCH($A88,Backlog[Requirement ID],0))),"",INDEX(Backlog[HLE],MATCH($A88,Backlog[Requirement ID],0))),"")</f>
        <v/>
      </c>
      <c r="I88" s="53" t="n"/>
      <c r="J88" s="57" t="n"/>
    </row>
    <row r="89" ht="15" customHeight="1">
      <c r="A89" s="21" t="inlineStr">
        <is>
          <t>NEW-0319</t>
        </is>
      </c>
      <c r="B89" s="23">
        <f>IFERROR(IF(ISBLANK(INDEX(Backlog[Requirement Name],MATCH($A89,Backlog[Requirement ID],0))),"",INDEX(Backlog[Requirement Name],MATCH($A89,Backlog[Requirement ID],0))),"")</f>
        <v/>
      </c>
      <c r="C89" s="23">
        <f>IFERROR(IF(ISBLANK(INDEX(Backlog[Stream],MATCH($A89,Backlog[Requirement ID],0))),"",INDEX(Backlog[Stream],MATCH($A89,Backlog[Requirement ID],0))),"")</f>
        <v/>
      </c>
      <c r="D89" s="23">
        <f>IFERROR(IF(ISBLANK(INDEX(SprintPlanning[Sprint],MATCH($A89,SprintPlanning[Requirement ID],0))),"",INDEX(SprintPlanning[Sprint],MATCH($A89,SprintPlanning[Requirement ID],0))),"")</f>
        <v/>
      </c>
      <c r="E89" s="23">
        <f>IFERROR(IF(ISBLANK(INDEX(Backlog[Status],MATCH($A89,Backlog[Requirement ID],0))),"",INDEX(Backlog[Status],MATCH($A89,Backlog[Requirement ID],0))),"")</f>
        <v/>
      </c>
      <c r="F89" s="23">
        <f>IFERROR(IF(ISBLANK(INDEX(Backlog[Priority],MATCH($A89,Backlog[Requirement ID],0))),"",INDEX(Backlog[Priority],MATCH($A89,Backlog[Requirement ID],0))),"")</f>
        <v/>
      </c>
      <c r="G89" s="21" t="inlineStr">
        <is>
          <t>Release 13</t>
        </is>
      </c>
      <c r="H89" s="23">
        <f>IFERROR(IF(ISBLANK(INDEX(Backlog[HLE],MATCH($A89,Backlog[Requirement ID],0))),"",INDEX(Backlog[HLE],MATCH($A89,Backlog[Requirement ID],0))),"")</f>
        <v/>
      </c>
      <c r="I89" s="53" t="n"/>
      <c r="J89" s="57" t="n"/>
    </row>
    <row r="90" ht="15" customHeight="1">
      <c r="A90" s="21" t="inlineStr">
        <is>
          <t>NEW-0352</t>
        </is>
      </c>
      <c r="B90" s="23">
        <f>IFERROR(IF(ISBLANK(INDEX(Backlog[Requirement Name],MATCH($A90,Backlog[Requirement ID],0))),"",INDEX(Backlog[Requirement Name],MATCH($A90,Backlog[Requirement ID],0))),"")</f>
        <v/>
      </c>
      <c r="C90" s="23">
        <f>IFERROR(IF(ISBLANK(INDEX(Backlog[Stream],MATCH($A90,Backlog[Requirement ID],0))),"",INDEX(Backlog[Stream],MATCH($A90,Backlog[Requirement ID],0))),"")</f>
        <v/>
      </c>
      <c r="D90" s="23">
        <f>IFERROR(IF(ISBLANK(INDEX(SprintPlanning[Sprint],MATCH($A90,SprintPlanning[Requirement ID],0))),"",INDEX(SprintPlanning[Sprint],MATCH($A90,SprintPlanning[Requirement ID],0))),"")</f>
        <v/>
      </c>
      <c r="E90" s="23">
        <f>IFERROR(IF(ISBLANK(INDEX(Backlog[Status],MATCH($A90,Backlog[Requirement ID],0))),"",INDEX(Backlog[Status],MATCH($A90,Backlog[Requirement ID],0))),"")</f>
        <v/>
      </c>
      <c r="F90" s="23">
        <f>IFERROR(IF(ISBLANK(INDEX(Backlog[Priority],MATCH($A90,Backlog[Requirement ID],0))),"",INDEX(Backlog[Priority],MATCH($A90,Backlog[Requirement ID],0))),"")</f>
        <v/>
      </c>
      <c r="G90" s="21" t="inlineStr">
        <is>
          <t>Release 15</t>
        </is>
      </c>
      <c r="H90" s="23">
        <f>IFERROR(IF(ISBLANK(INDEX(Backlog[HLE],MATCH($A90,Backlog[Requirement ID],0))),"",INDEX(Backlog[HLE],MATCH($A90,Backlog[Requirement ID],0))),"")</f>
        <v/>
      </c>
      <c r="I90" s="53" t="n"/>
      <c r="J90" s="57" t="n"/>
    </row>
    <row r="91" ht="15" customHeight="1">
      <c r="A91" s="21" t="inlineStr">
        <is>
          <t>NEW-0357</t>
        </is>
      </c>
      <c r="B91" s="23">
        <f>IFERROR(IF(ISBLANK(INDEX(Backlog[Requirement Name],MATCH($A91,Backlog[Requirement ID],0))),"",INDEX(Backlog[Requirement Name],MATCH($A91,Backlog[Requirement ID],0))),"")</f>
        <v/>
      </c>
      <c r="C91" s="23">
        <f>IFERROR(IF(ISBLANK(INDEX(Backlog[Stream],MATCH($A91,Backlog[Requirement ID],0))),"",INDEX(Backlog[Stream],MATCH($A91,Backlog[Requirement ID],0))),"")</f>
        <v/>
      </c>
      <c r="D91" s="23">
        <f>IFERROR(IF(ISBLANK(INDEX(SprintPlanning[Sprint],MATCH($A91,SprintPlanning[Requirement ID],0))),"",INDEX(SprintPlanning[Sprint],MATCH($A91,SprintPlanning[Requirement ID],0))),"")</f>
        <v/>
      </c>
      <c r="E91" s="23">
        <f>IFERROR(IF(ISBLANK(INDEX(Backlog[Status],MATCH($A91,Backlog[Requirement ID],0))),"",INDEX(Backlog[Status],MATCH($A91,Backlog[Requirement ID],0))),"")</f>
        <v/>
      </c>
      <c r="F91" s="23">
        <f>IFERROR(IF(ISBLANK(INDEX(Backlog[Priority],MATCH($A91,Backlog[Requirement ID],0))),"",INDEX(Backlog[Priority],MATCH($A91,Backlog[Requirement ID],0))),"")</f>
        <v/>
      </c>
      <c r="G91" s="21" t="inlineStr">
        <is>
          <t>Release 13</t>
        </is>
      </c>
      <c r="H91" s="23">
        <f>IFERROR(IF(ISBLANK(INDEX(Backlog[HLE],MATCH($A91,Backlog[Requirement ID],0))),"",INDEX(Backlog[HLE],MATCH($A91,Backlog[Requirement ID],0))),"")</f>
        <v/>
      </c>
      <c r="I91" s="53" t="n"/>
      <c r="J91" s="57" t="n"/>
    </row>
    <row r="92" ht="15" customHeight="1">
      <c r="A92" s="21" t="inlineStr">
        <is>
          <t>NEW-0387</t>
        </is>
      </c>
      <c r="B92" s="23">
        <f>IFERROR(IF(ISBLANK(INDEX(Backlog[Requirement Name],MATCH($A92,Backlog[Requirement ID],0))),"",INDEX(Backlog[Requirement Name],MATCH($A92,Backlog[Requirement ID],0))),"")</f>
        <v/>
      </c>
      <c r="C92" s="23">
        <f>IFERROR(IF(ISBLANK(INDEX(Backlog[Stream],MATCH($A92,Backlog[Requirement ID],0))),"",INDEX(Backlog[Stream],MATCH($A92,Backlog[Requirement ID],0))),"")</f>
        <v/>
      </c>
      <c r="D92" s="23">
        <f>IFERROR(IF(ISBLANK(INDEX(SprintPlanning[Sprint],MATCH($A92,SprintPlanning[Requirement ID],0))),"",INDEX(SprintPlanning[Sprint],MATCH($A92,SprintPlanning[Requirement ID],0))),"")</f>
        <v/>
      </c>
      <c r="E92" s="23">
        <f>IFERROR(IF(ISBLANK(INDEX(Backlog[Status],MATCH($A92,Backlog[Requirement ID],0))),"",INDEX(Backlog[Status],MATCH($A92,Backlog[Requirement ID],0))),"")</f>
        <v/>
      </c>
      <c r="F92" s="23">
        <f>IFERROR(IF(ISBLANK(INDEX(Backlog[Priority],MATCH($A92,Backlog[Requirement ID],0))),"",INDEX(Backlog[Priority],MATCH($A92,Backlog[Requirement ID],0))),"")</f>
        <v/>
      </c>
      <c r="G92" s="21" t="inlineStr">
        <is>
          <t>Release 13</t>
        </is>
      </c>
      <c r="H92" s="23">
        <f>IFERROR(IF(ISBLANK(INDEX(Backlog[HLE],MATCH($A92,Backlog[Requirement ID],0))),"",INDEX(Backlog[HLE],MATCH($A92,Backlog[Requirement ID],0))),"")</f>
        <v/>
      </c>
      <c r="I92" s="53" t="n"/>
      <c r="J92" s="57" t="n"/>
    </row>
    <row r="93" ht="15" customHeight="1">
      <c r="A93" s="21" t="inlineStr">
        <is>
          <t>NEW-0112</t>
        </is>
      </c>
      <c r="B93" s="23">
        <f>IFERROR(IF(ISBLANK(INDEX(Backlog[Requirement Name],MATCH($A93,Backlog[Requirement ID],0))),"",INDEX(Backlog[Requirement Name],MATCH($A93,Backlog[Requirement ID],0))),"")</f>
        <v/>
      </c>
      <c r="C93" s="23">
        <f>IFERROR(IF(ISBLANK(INDEX(Backlog[Stream],MATCH($A93,Backlog[Requirement ID],0))),"",INDEX(Backlog[Stream],MATCH($A93,Backlog[Requirement ID],0))),"")</f>
        <v/>
      </c>
      <c r="D93" s="23">
        <f>IFERROR(IF(ISBLANK(INDEX(SprintPlanning[Sprint],MATCH($A93,SprintPlanning[Requirement ID],0))),"",INDEX(SprintPlanning[Sprint],MATCH($A93,SprintPlanning[Requirement ID],0))),"")</f>
        <v/>
      </c>
      <c r="E93" s="23">
        <f>IFERROR(IF(ISBLANK(INDEX(Backlog[Status],MATCH($A93,Backlog[Requirement ID],0))),"",INDEX(Backlog[Status],MATCH($A93,Backlog[Requirement ID],0))),"")</f>
        <v/>
      </c>
      <c r="F93" s="23">
        <f>IFERROR(IF(ISBLANK(INDEX(Backlog[Priority],MATCH($A93,Backlog[Requirement ID],0))),"",INDEX(Backlog[Priority],MATCH($A93,Backlog[Requirement ID],0))),"")</f>
        <v/>
      </c>
      <c r="G93" s="21" t="inlineStr">
        <is>
          <t>Release 18</t>
        </is>
      </c>
      <c r="H93" s="23">
        <f>IFERROR(IF(ISBLANK(INDEX(Backlog[HLE],MATCH($A93,Backlog[Requirement ID],0))),"",INDEX(Backlog[HLE],MATCH($A93,Backlog[Requirement ID],0))),"")</f>
        <v/>
      </c>
      <c r="I93" s="53" t="n"/>
      <c r="J93" s="57" t="n"/>
    </row>
    <row r="94" ht="15" customHeight="1">
      <c r="A94" s="21" t="inlineStr">
        <is>
          <t>NEW-0113</t>
        </is>
      </c>
      <c r="B94" s="23">
        <f>IFERROR(IF(ISBLANK(INDEX(Backlog[Requirement Name],MATCH($A94,Backlog[Requirement ID],0))),"",INDEX(Backlog[Requirement Name],MATCH($A94,Backlog[Requirement ID],0))),"")</f>
        <v/>
      </c>
      <c r="C94" s="23">
        <f>IFERROR(IF(ISBLANK(INDEX(Backlog[Stream],MATCH($A94,Backlog[Requirement ID],0))),"",INDEX(Backlog[Stream],MATCH($A94,Backlog[Requirement ID],0))),"")</f>
        <v/>
      </c>
      <c r="D94" s="23">
        <f>IFERROR(IF(ISBLANK(INDEX(SprintPlanning[Sprint],MATCH($A94,SprintPlanning[Requirement ID],0))),"",INDEX(SprintPlanning[Sprint],MATCH($A94,SprintPlanning[Requirement ID],0))),"")</f>
        <v/>
      </c>
      <c r="E94" s="23">
        <f>IFERROR(IF(ISBLANK(INDEX(Backlog[Status],MATCH($A94,Backlog[Requirement ID],0))),"",INDEX(Backlog[Status],MATCH($A94,Backlog[Requirement ID],0))),"")</f>
        <v/>
      </c>
      <c r="F94" s="23">
        <f>IFERROR(IF(ISBLANK(INDEX(Backlog[Priority],MATCH($A94,Backlog[Requirement ID],0))),"",INDEX(Backlog[Priority],MATCH($A94,Backlog[Requirement ID],0))),"")</f>
        <v/>
      </c>
      <c r="G94" s="21" t="inlineStr">
        <is>
          <t>Release 18</t>
        </is>
      </c>
      <c r="H94" s="23">
        <f>IFERROR(IF(ISBLANK(INDEX(Backlog[HLE],MATCH($A94,Backlog[Requirement ID],0))),"",INDEX(Backlog[HLE],MATCH($A94,Backlog[Requirement ID],0))),"")</f>
        <v/>
      </c>
      <c r="I94" s="53" t="n"/>
      <c r="J94" s="57" t="n"/>
    </row>
    <row r="95" ht="15" customHeight="1">
      <c r="A95" s="21" t="inlineStr">
        <is>
          <t>NEW-0120</t>
        </is>
      </c>
      <c r="B95" s="23">
        <f>IFERROR(IF(ISBLANK(INDEX(Backlog[Requirement Name],MATCH($A95,Backlog[Requirement ID],0))),"",INDEX(Backlog[Requirement Name],MATCH($A95,Backlog[Requirement ID],0))),"")</f>
        <v/>
      </c>
      <c r="C95" s="23">
        <f>IFERROR(IF(ISBLANK(INDEX(Backlog[Stream],MATCH($A95,Backlog[Requirement ID],0))),"",INDEX(Backlog[Stream],MATCH($A95,Backlog[Requirement ID],0))),"")</f>
        <v/>
      </c>
      <c r="D95" s="23">
        <f>IFERROR(IF(ISBLANK(INDEX(SprintPlanning[Sprint],MATCH($A95,SprintPlanning[Requirement ID],0))),"",INDEX(SprintPlanning[Sprint],MATCH($A95,SprintPlanning[Requirement ID],0))),"")</f>
        <v/>
      </c>
      <c r="E95" s="23">
        <f>IFERROR(IF(ISBLANK(INDEX(Backlog[Status],MATCH($A95,Backlog[Requirement ID],0))),"",INDEX(Backlog[Status],MATCH($A95,Backlog[Requirement ID],0))),"")</f>
        <v/>
      </c>
      <c r="F95" s="23">
        <f>IFERROR(IF(ISBLANK(INDEX(Backlog[Priority],MATCH($A95,Backlog[Requirement ID],0))),"",INDEX(Backlog[Priority],MATCH($A95,Backlog[Requirement ID],0))),"")</f>
        <v/>
      </c>
      <c r="G95" s="21" t="inlineStr">
        <is>
          <t>Release 18</t>
        </is>
      </c>
      <c r="H95" s="23">
        <f>IFERROR(IF(ISBLANK(INDEX(Backlog[HLE],MATCH($A95,Backlog[Requirement ID],0))),"",INDEX(Backlog[HLE],MATCH($A95,Backlog[Requirement ID],0))),"")</f>
        <v/>
      </c>
      <c r="I95" s="53" t="n"/>
      <c r="J95" s="57" t="n"/>
    </row>
    <row r="96" ht="15" customHeight="1">
      <c r="A96" s="21" t="inlineStr">
        <is>
          <t>NEW-0121</t>
        </is>
      </c>
      <c r="B96" s="23">
        <f>IFERROR(IF(ISBLANK(INDEX(Backlog[Requirement Name],MATCH($A96,Backlog[Requirement ID],0))),"",INDEX(Backlog[Requirement Name],MATCH($A96,Backlog[Requirement ID],0))),"")</f>
        <v/>
      </c>
      <c r="C96" s="23">
        <f>IFERROR(IF(ISBLANK(INDEX(Backlog[Stream],MATCH($A96,Backlog[Requirement ID],0))),"",INDEX(Backlog[Stream],MATCH($A96,Backlog[Requirement ID],0))),"")</f>
        <v/>
      </c>
      <c r="D96" s="23">
        <f>IFERROR(IF(ISBLANK(INDEX(SprintPlanning[Sprint],MATCH($A96,SprintPlanning[Requirement ID],0))),"",INDEX(SprintPlanning[Sprint],MATCH($A96,SprintPlanning[Requirement ID],0))),"")</f>
        <v/>
      </c>
      <c r="E96" s="23">
        <f>IFERROR(IF(ISBLANK(INDEX(Backlog[Status],MATCH($A96,Backlog[Requirement ID],0))),"",INDEX(Backlog[Status],MATCH($A96,Backlog[Requirement ID],0))),"")</f>
        <v/>
      </c>
      <c r="F96" s="23">
        <f>IFERROR(IF(ISBLANK(INDEX(Backlog[Priority],MATCH($A96,Backlog[Requirement ID],0))),"",INDEX(Backlog[Priority],MATCH($A96,Backlog[Requirement ID],0))),"")</f>
        <v/>
      </c>
      <c r="G96" s="21" t="inlineStr">
        <is>
          <t>Release 18</t>
        </is>
      </c>
      <c r="H96" s="23">
        <f>IFERROR(IF(ISBLANK(INDEX(Backlog[HLE],MATCH($A96,Backlog[Requirement ID],0))),"",INDEX(Backlog[HLE],MATCH($A96,Backlog[Requirement ID],0))),"")</f>
        <v/>
      </c>
      <c r="I96" s="53" t="n"/>
      <c r="J96" s="57" t="n"/>
    </row>
    <row r="97" ht="15" customHeight="1">
      <c r="A97" s="21" t="inlineStr">
        <is>
          <t>NEW-0122</t>
        </is>
      </c>
      <c r="B97" s="23">
        <f>IFERROR(IF(ISBLANK(INDEX(Backlog[Requirement Name],MATCH($A97,Backlog[Requirement ID],0))),"",INDEX(Backlog[Requirement Name],MATCH($A97,Backlog[Requirement ID],0))),"")</f>
        <v/>
      </c>
      <c r="C97" s="23">
        <f>IFERROR(IF(ISBLANK(INDEX(Backlog[Stream],MATCH($A97,Backlog[Requirement ID],0))),"",INDEX(Backlog[Stream],MATCH($A97,Backlog[Requirement ID],0))),"")</f>
        <v/>
      </c>
      <c r="D97" s="23">
        <f>IFERROR(IF(ISBLANK(INDEX(SprintPlanning[Sprint],MATCH($A97,SprintPlanning[Requirement ID],0))),"",INDEX(SprintPlanning[Sprint],MATCH($A97,SprintPlanning[Requirement ID],0))),"")</f>
        <v/>
      </c>
      <c r="E97" s="23">
        <f>IFERROR(IF(ISBLANK(INDEX(Backlog[Status],MATCH($A97,Backlog[Requirement ID],0))),"",INDEX(Backlog[Status],MATCH($A97,Backlog[Requirement ID],0))),"")</f>
        <v/>
      </c>
      <c r="F97" s="23">
        <f>IFERROR(IF(ISBLANK(INDEX(Backlog[Priority],MATCH($A97,Backlog[Requirement ID],0))),"",INDEX(Backlog[Priority],MATCH($A97,Backlog[Requirement ID],0))),"")</f>
        <v/>
      </c>
      <c r="G97" s="21" t="inlineStr">
        <is>
          <t>Release 19</t>
        </is>
      </c>
      <c r="H97" s="23">
        <f>IFERROR(IF(ISBLANK(INDEX(Backlog[HLE],MATCH($A97,Backlog[Requirement ID],0))),"",INDEX(Backlog[HLE],MATCH($A97,Backlog[Requirement ID],0))),"")</f>
        <v/>
      </c>
      <c r="I97" s="53" t="n"/>
      <c r="J97" s="57" t="n"/>
    </row>
    <row r="98" ht="15" customHeight="1">
      <c r="A98" s="21" t="inlineStr">
        <is>
          <t>NEW-0151</t>
        </is>
      </c>
      <c r="B98" s="23">
        <f>IFERROR(IF(ISBLANK(INDEX(Backlog[Requirement Name],MATCH($A98,Backlog[Requirement ID],0))),"",INDEX(Backlog[Requirement Name],MATCH($A98,Backlog[Requirement ID],0))),"")</f>
        <v/>
      </c>
      <c r="C98" s="23">
        <f>IFERROR(IF(ISBLANK(INDEX(Backlog[Stream],MATCH($A98,Backlog[Requirement ID],0))),"",INDEX(Backlog[Stream],MATCH($A98,Backlog[Requirement ID],0))),"")</f>
        <v/>
      </c>
      <c r="D98" s="23">
        <f>IFERROR(IF(ISBLANK(INDEX(SprintPlanning[Sprint],MATCH($A98,SprintPlanning[Requirement ID],0))),"",INDEX(SprintPlanning[Sprint],MATCH($A98,SprintPlanning[Requirement ID],0))),"")</f>
        <v/>
      </c>
      <c r="E98" s="23">
        <f>IFERROR(IF(ISBLANK(INDEX(Backlog[Status],MATCH($A98,Backlog[Requirement ID],0))),"",INDEX(Backlog[Status],MATCH($A98,Backlog[Requirement ID],0))),"")</f>
        <v/>
      </c>
      <c r="F98" s="23">
        <f>IFERROR(IF(ISBLANK(INDEX(Backlog[Priority],MATCH($A98,Backlog[Requirement ID],0))),"",INDEX(Backlog[Priority],MATCH($A98,Backlog[Requirement ID],0))),"")</f>
        <v/>
      </c>
      <c r="G98" s="21" t="n"/>
      <c r="H98" s="23">
        <f>IFERROR(IF(ISBLANK(INDEX(Backlog[HLE],MATCH($A98,Backlog[Requirement ID],0))),"",INDEX(Backlog[HLE],MATCH($A98,Backlog[Requirement ID],0))),"")</f>
        <v/>
      </c>
      <c r="I98" s="53" t="n"/>
      <c r="J98" s="57" t="n"/>
    </row>
    <row r="99" ht="15" customHeight="1">
      <c r="A99" s="21" t="inlineStr">
        <is>
          <t>NEW-0219</t>
        </is>
      </c>
      <c r="B99" s="23">
        <f>IFERROR(IF(ISBLANK(INDEX(Backlog[Requirement Name],MATCH($A99,Backlog[Requirement ID],0))),"",INDEX(Backlog[Requirement Name],MATCH($A99,Backlog[Requirement ID],0))),"")</f>
        <v/>
      </c>
      <c r="C99" s="23">
        <f>IFERROR(IF(ISBLANK(INDEX(Backlog[Stream],MATCH($A99,Backlog[Requirement ID],0))),"",INDEX(Backlog[Stream],MATCH($A99,Backlog[Requirement ID],0))),"")</f>
        <v/>
      </c>
      <c r="D99" s="23">
        <f>IFERROR(IF(ISBLANK(INDEX(SprintPlanning[Sprint],MATCH($A99,SprintPlanning[Requirement ID],0))),"",INDEX(SprintPlanning[Sprint],MATCH($A99,SprintPlanning[Requirement ID],0))),"")</f>
        <v/>
      </c>
      <c r="E99" s="23">
        <f>IFERROR(IF(ISBLANK(INDEX(Backlog[Status],MATCH($A99,Backlog[Requirement ID],0))),"",INDEX(Backlog[Status],MATCH($A99,Backlog[Requirement ID],0))),"")</f>
        <v/>
      </c>
      <c r="F99" s="23">
        <f>IFERROR(IF(ISBLANK(INDEX(Backlog[Priority],MATCH($A99,Backlog[Requirement ID],0))),"",INDEX(Backlog[Priority],MATCH($A99,Backlog[Requirement ID],0))),"")</f>
        <v/>
      </c>
      <c r="G99" s="21" t="inlineStr">
        <is>
          <t>Release 18</t>
        </is>
      </c>
      <c r="H99" s="23">
        <f>IFERROR(IF(ISBLANK(INDEX(Backlog[HLE],MATCH($A99,Backlog[Requirement ID],0))),"",INDEX(Backlog[HLE],MATCH($A99,Backlog[Requirement ID],0))),"")</f>
        <v/>
      </c>
      <c r="I99" s="53" t="n"/>
      <c r="J99" s="57" t="n"/>
    </row>
    <row r="100" ht="15" customHeight="1">
      <c r="A100" s="21" t="inlineStr">
        <is>
          <t>NEW-0228</t>
        </is>
      </c>
      <c r="B100" s="23">
        <f>IFERROR(IF(ISBLANK(INDEX(Backlog[Requirement Name],MATCH($A100,Backlog[Requirement ID],0))),"",INDEX(Backlog[Requirement Name],MATCH($A100,Backlog[Requirement ID],0))),"")</f>
        <v/>
      </c>
      <c r="C100" s="23">
        <f>IFERROR(IF(ISBLANK(INDEX(Backlog[Stream],MATCH($A100,Backlog[Requirement ID],0))),"",INDEX(Backlog[Stream],MATCH($A100,Backlog[Requirement ID],0))),"")</f>
        <v/>
      </c>
      <c r="D100" s="23">
        <f>IFERROR(IF(ISBLANK(INDEX(SprintPlanning[Sprint],MATCH($A100,SprintPlanning[Requirement ID],0))),"",INDEX(SprintPlanning[Sprint],MATCH($A100,SprintPlanning[Requirement ID],0))),"")</f>
        <v/>
      </c>
      <c r="E100" s="23">
        <f>IFERROR(IF(ISBLANK(INDEX(Backlog[Status],MATCH($A100,Backlog[Requirement ID],0))),"",INDEX(Backlog[Status],MATCH($A100,Backlog[Requirement ID],0))),"")</f>
        <v/>
      </c>
      <c r="F100" s="23">
        <f>IFERROR(IF(ISBLANK(INDEX(Backlog[Priority],MATCH($A100,Backlog[Requirement ID],0))),"",INDEX(Backlog[Priority],MATCH($A100,Backlog[Requirement ID],0))),"")</f>
        <v/>
      </c>
      <c r="G100" s="21" t="inlineStr">
        <is>
          <t>Release 13</t>
        </is>
      </c>
      <c r="H100" s="23">
        <f>IFERROR(IF(ISBLANK(INDEX(Backlog[HLE],MATCH($A100,Backlog[Requirement ID],0))),"",INDEX(Backlog[HLE],MATCH($A100,Backlog[Requirement ID],0))),"")</f>
        <v/>
      </c>
      <c r="I100" s="53" t="n"/>
      <c r="J100" s="57" t="n"/>
    </row>
    <row r="101" ht="15" customHeight="1">
      <c r="A101" s="21" t="inlineStr">
        <is>
          <t>NEW-0233</t>
        </is>
      </c>
      <c r="B101" s="23">
        <f>IFERROR(IF(ISBLANK(INDEX(Backlog[Requirement Name],MATCH($A101,Backlog[Requirement ID],0))),"",INDEX(Backlog[Requirement Name],MATCH($A101,Backlog[Requirement ID],0))),"")</f>
        <v/>
      </c>
      <c r="C101" s="23">
        <f>IFERROR(IF(ISBLANK(INDEX(Backlog[Stream],MATCH($A101,Backlog[Requirement ID],0))),"",INDEX(Backlog[Stream],MATCH($A101,Backlog[Requirement ID],0))),"")</f>
        <v/>
      </c>
      <c r="D101" s="23">
        <f>IFERROR(IF(ISBLANK(INDEX(SprintPlanning[Sprint],MATCH($A101,SprintPlanning[Requirement ID],0))),"",INDEX(SprintPlanning[Sprint],MATCH($A101,SprintPlanning[Requirement ID],0))),"")</f>
        <v/>
      </c>
      <c r="E101" s="23">
        <f>IFERROR(IF(ISBLANK(INDEX(Backlog[Status],MATCH($A101,Backlog[Requirement ID],0))),"",INDEX(Backlog[Status],MATCH($A101,Backlog[Requirement ID],0))),"")</f>
        <v/>
      </c>
      <c r="F101" s="23">
        <f>IFERROR(IF(ISBLANK(INDEX(Backlog[Priority],MATCH($A101,Backlog[Requirement ID],0))),"",INDEX(Backlog[Priority],MATCH($A101,Backlog[Requirement ID],0))),"")</f>
        <v/>
      </c>
      <c r="G101" s="21" t="inlineStr">
        <is>
          <t>Release 15</t>
        </is>
      </c>
      <c r="H101" s="23">
        <f>IFERROR(IF(ISBLANK(INDEX(Backlog[HLE],MATCH($A101,Backlog[Requirement ID],0))),"",INDEX(Backlog[HLE],MATCH($A101,Backlog[Requirement ID],0))),"")</f>
        <v/>
      </c>
      <c r="I101" s="53" t="n"/>
      <c r="J101" s="57" t="n"/>
    </row>
    <row r="102" ht="15" customHeight="1">
      <c r="A102" s="21" t="inlineStr">
        <is>
          <t>NEW-0234</t>
        </is>
      </c>
      <c r="B102" s="23">
        <f>IFERROR(IF(ISBLANK(INDEX(Backlog[Requirement Name],MATCH($A102,Backlog[Requirement ID],0))),"",INDEX(Backlog[Requirement Name],MATCH($A102,Backlog[Requirement ID],0))),"")</f>
        <v/>
      </c>
      <c r="C102" s="23">
        <f>IFERROR(IF(ISBLANK(INDEX(Backlog[Stream],MATCH($A102,Backlog[Requirement ID],0))),"",INDEX(Backlog[Stream],MATCH($A102,Backlog[Requirement ID],0))),"")</f>
        <v/>
      </c>
      <c r="D102" s="23">
        <f>IFERROR(IF(ISBLANK(INDEX(SprintPlanning[Sprint],MATCH($A102,SprintPlanning[Requirement ID],0))),"",INDEX(SprintPlanning[Sprint],MATCH($A102,SprintPlanning[Requirement ID],0))),"")</f>
        <v/>
      </c>
      <c r="E102" s="23">
        <f>IFERROR(IF(ISBLANK(INDEX(Backlog[Status],MATCH($A102,Backlog[Requirement ID],0))),"",INDEX(Backlog[Status],MATCH($A102,Backlog[Requirement ID],0))),"")</f>
        <v/>
      </c>
      <c r="F102" s="23">
        <f>IFERROR(IF(ISBLANK(INDEX(Backlog[Priority],MATCH($A102,Backlog[Requirement ID],0))),"",INDEX(Backlog[Priority],MATCH($A102,Backlog[Requirement ID],0))),"")</f>
        <v/>
      </c>
      <c r="G102" s="21" t="n"/>
      <c r="H102" s="23">
        <f>IFERROR(IF(ISBLANK(INDEX(Backlog[HLE],MATCH($A102,Backlog[Requirement ID],0))),"",INDEX(Backlog[HLE],MATCH($A102,Backlog[Requirement ID],0))),"")</f>
        <v/>
      </c>
      <c r="I102" s="53" t="n"/>
      <c r="J102" s="57" t="n"/>
    </row>
    <row r="103" ht="15" customHeight="1">
      <c r="A103" s="21" t="inlineStr">
        <is>
          <t>NEW-0242</t>
        </is>
      </c>
      <c r="B103" s="23">
        <f>IFERROR(IF(ISBLANK(INDEX(Backlog[Requirement Name],MATCH($A103,Backlog[Requirement ID],0))),"",INDEX(Backlog[Requirement Name],MATCH($A103,Backlog[Requirement ID],0))),"")</f>
        <v/>
      </c>
      <c r="C103" s="23">
        <f>IFERROR(IF(ISBLANK(INDEX(Backlog[Stream],MATCH($A103,Backlog[Requirement ID],0))),"",INDEX(Backlog[Stream],MATCH($A103,Backlog[Requirement ID],0))),"")</f>
        <v/>
      </c>
      <c r="D103" s="23">
        <f>IFERROR(IF(ISBLANK(INDEX(SprintPlanning[Sprint],MATCH($A103,SprintPlanning[Requirement ID],0))),"",INDEX(SprintPlanning[Sprint],MATCH($A103,SprintPlanning[Requirement ID],0))),"")</f>
        <v/>
      </c>
      <c r="E103" s="23">
        <f>IFERROR(IF(ISBLANK(INDEX(Backlog[Status],MATCH($A103,Backlog[Requirement ID],0))),"",INDEX(Backlog[Status],MATCH($A103,Backlog[Requirement ID],0))),"")</f>
        <v/>
      </c>
      <c r="F103" s="23">
        <f>IFERROR(IF(ISBLANK(INDEX(Backlog[Priority],MATCH($A103,Backlog[Requirement ID],0))),"",INDEX(Backlog[Priority],MATCH($A103,Backlog[Requirement ID],0))),"")</f>
        <v/>
      </c>
      <c r="G103" s="21" t="inlineStr">
        <is>
          <t>Release 18</t>
        </is>
      </c>
      <c r="H103" s="23">
        <f>IFERROR(IF(ISBLANK(INDEX(Backlog[HLE],MATCH($A103,Backlog[Requirement ID],0))),"",INDEX(Backlog[HLE],MATCH($A103,Backlog[Requirement ID],0))),"")</f>
        <v/>
      </c>
      <c r="I103" s="53" t="n"/>
      <c r="J103" s="57" t="n"/>
    </row>
    <row r="104" ht="15" customHeight="1">
      <c r="A104" s="21" t="inlineStr">
        <is>
          <t>NEW-0247</t>
        </is>
      </c>
      <c r="B104" s="23">
        <f>IFERROR(IF(ISBLANK(INDEX(Backlog[Requirement Name],MATCH($A104,Backlog[Requirement ID],0))),"",INDEX(Backlog[Requirement Name],MATCH($A104,Backlog[Requirement ID],0))),"")</f>
        <v/>
      </c>
      <c r="C104" s="23">
        <f>IFERROR(IF(ISBLANK(INDEX(Backlog[Stream],MATCH($A104,Backlog[Requirement ID],0))),"",INDEX(Backlog[Stream],MATCH($A104,Backlog[Requirement ID],0))),"")</f>
        <v/>
      </c>
      <c r="D104" s="23">
        <f>IFERROR(IF(ISBLANK(INDEX(SprintPlanning[Sprint],MATCH($A104,SprintPlanning[Requirement ID],0))),"",INDEX(SprintPlanning[Sprint],MATCH($A104,SprintPlanning[Requirement ID],0))),"")</f>
        <v/>
      </c>
      <c r="E104" s="23">
        <f>IFERROR(IF(ISBLANK(INDEX(Backlog[Status],MATCH($A104,Backlog[Requirement ID],0))),"",INDEX(Backlog[Status],MATCH($A104,Backlog[Requirement ID],0))),"")</f>
        <v/>
      </c>
      <c r="F104" s="23">
        <f>IFERROR(IF(ISBLANK(INDEX(Backlog[Priority],MATCH($A104,Backlog[Requirement ID],0))),"",INDEX(Backlog[Priority],MATCH($A104,Backlog[Requirement ID],0))),"")</f>
        <v/>
      </c>
      <c r="G104" s="21" t="inlineStr">
        <is>
          <t>Release 18</t>
        </is>
      </c>
      <c r="H104" s="23">
        <f>IFERROR(IF(ISBLANK(INDEX(Backlog[HLE],MATCH($A104,Backlog[Requirement ID],0))),"",INDEX(Backlog[HLE],MATCH($A104,Backlog[Requirement ID],0))),"")</f>
        <v/>
      </c>
      <c r="I104" s="53" t="n"/>
      <c r="J104" s="57" t="n"/>
    </row>
    <row r="105" ht="15" customHeight="1">
      <c r="A105" s="21" t="inlineStr">
        <is>
          <t>NEW-0248</t>
        </is>
      </c>
      <c r="B105" s="23">
        <f>IFERROR(IF(ISBLANK(INDEX(Backlog[Requirement Name],MATCH($A105,Backlog[Requirement ID],0))),"",INDEX(Backlog[Requirement Name],MATCH($A105,Backlog[Requirement ID],0))),"")</f>
        <v/>
      </c>
      <c r="C105" s="23">
        <f>IFERROR(IF(ISBLANK(INDEX(Backlog[Stream],MATCH($A105,Backlog[Requirement ID],0))),"",INDEX(Backlog[Stream],MATCH($A105,Backlog[Requirement ID],0))),"")</f>
        <v/>
      </c>
      <c r="D105" s="23">
        <f>IFERROR(IF(ISBLANK(INDEX(SprintPlanning[Sprint],MATCH($A105,SprintPlanning[Requirement ID],0))),"",INDEX(SprintPlanning[Sprint],MATCH($A105,SprintPlanning[Requirement ID],0))),"")</f>
        <v/>
      </c>
      <c r="E105" s="23">
        <f>IFERROR(IF(ISBLANK(INDEX(Backlog[Status],MATCH($A105,Backlog[Requirement ID],0))),"",INDEX(Backlog[Status],MATCH($A105,Backlog[Requirement ID],0))),"")</f>
        <v/>
      </c>
      <c r="F105" s="23">
        <f>IFERROR(IF(ISBLANK(INDEX(Backlog[Priority],MATCH($A105,Backlog[Requirement ID],0))),"",INDEX(Backlog[Priority],MATCH($A105,Backlog[Requirement ID],0))),"")</f>
        <v/>
      </c>
      <c r="G105" s="21" t="inlineStr">
        <is>
          <t>Release 18</t>
        </is>
      </c>
      <c r="H105" s="23">
        <f>IFERROR(IF(ISBLANK(INDEX(Backlog[HLE],MATCH($A105,Backlog[Requirement ID],0))),"",INDEX(Backlog[HLE],MATCH($A105,Backlog[Requirement ID],0))),"")</f>
        <v/>
      </c>
      <c r="I105" s="53" t="n"/>
      <c r="J105" s="57" t="n"/>
    </row>
    <row r="106" ht="15" customHeight="1">
      <c r="A106" s="21" t="inlineStr">
        <is>
          <t>NEW-0267</t>
        </is>
      </c>
      <c r="B106" s="23">
        <f>IFERROR(IF(ISBLANK(INDEX(Backlog[Requirement Name],MATCH($A106,Backlog[Requirement ID],0))),"",INDEX(Backlog[Requirement Name],MATCH($A106,Backlog[Requirement ID],0))),"")</f>
        <v/>
      </c>
      <c r="C106" s="23">
        <f>IFERROR(IF(ISBLANK(INDEX(Backlog[Stream],MATCH($A106,Backlog[Requirement ID],0))),"",INDEX(Backlog[Stream],MATCH($A106,Backlog[Requirement ID],0))),"")</f>
        <v/>
      </c>
      <c r="D106" s="23">
        <f>IFERROR(IF(ISBLANK(INDEX(SprintPlanning[Sprint],MATCH($A106,SprintPlanning[Requirement ID],0))),"",INDEX(SprintPlanning[Sprint],MATCH($A106,SprintPlanning[Requirement ID],0))),"")</f>
        <v/>
      </c>
      <c r="E106" s="23">
        <f>IFERROR(IF(ISBLANK(INDEX(Backlog[Status],MATCH($A106,Backlog[Requirement ID],0))),"",INDEX(Backlog[Status],MATCH($A106,Backlog[Requirement ID],0))),"")</f>
        <v/>
      </c>
      <c r="F106" s="23">
        <f>IFERROR(IF(ISBLANK(INDEX(Backlog[Priority],MATCH($A106,Backlog[Requirement ID],0))),"",INDEX(Backlog[Priority],MATCH($A106,Backlog[Requirement ID],0))),"")</f>
        <v/>
      </c>
      <c r="G106" s="21" t="n"/>
      <c r="H106" s="23">
        <f>IFERROR(IF(ISBLANK(INDEX(Backlog[HLE],MATCH($A106,Backlog[Requirement ID],0))),"",INDEX(Backlog[HLE],MATCH($A106,Backlog[Requirement ID],0))),"")</f>
        <v/>
      </c>
      <c r="I106" s="53" t="n"/>
      <c r="J106" s="57" t="n"/>
    </row>
    <row r="107" ht="15" customHeight="1">
      <c r="A107" s="21" t="inlineStr">
        <is>
          <t>NEW-0269</t>
        </is>
      </c>
      <c r="B107" s="23">
        <f>IFERROR(IF(ISBLANK(INDEX(Backlog[Requirement Name],MATCH($A107,Backlog[Requirement ID],0))),"",INDEX(Backlog[Requirement Name],MATCH($A107,Backlog[Requirement ID],0))),"")</f>
        <v/>
      </c>
      <c r="C107" s="23">
        <f>IFERROR(IF(ISBLANK(INDEX(Backlog[Stream],MATCH($A107,Backlog[Requirement ID],0))),"",INDEX(Backlog[Stream],MATCH($A107,Backlog[Requirement ID],0))),"")</f>
        <v/>
      </c>
      <c r="D107" s="23">
        <f>IFERROR(IF(ISBLANK(INDEX(SprintPlanning[Sprint],MATCH($A107,SprintPlanning[Requirement ID],0))),"",INDEX(SprintPlanning[Sprint],MATCH($A107,SprintPlanning[Requirement ID],0))),"")</f>
        <v/>
      </c>
      <c r="E107" s="23">
        <f>IFERROR(IF(ISBLANK(INDEX(Backlog[Status],MATCH($A107,Backlog[Requirement ID],0))),"",INDEX(Backlog[Status],MATCH($A107,Backlog[Requirement ID],0))),"")</f>
        <v/>
      </c>
      <c r="F107" s="23">
        <f>IFERROR(IF(ISBLANK(INDEX(Backlog[Priority],MATCH($A107,Backlog[Requirement ID],0))),"",INDEX(Backlog[Priority],MATCH($A107,Backlog[Requirement ID],0))),"")</f>
        <v/>
      </c>
      <c r="G107" s="21" t="inlineStr">
        <is>
          <t>Release 18</t>
        </is>
      </c>
      <c r="H107" s="23">
        <f>IFERROR(IF(ISBLANK(INDEX(Backlog[HLE],MATCH($A107,Backlog[Requirement ID],0))),"",INDEX(Backlog[HLE],MATCH($A107,Backlog[Requirement ID],0))),"")</f>
        <v/>
      </c>
      <c r="I107" s="53" t="n"/>
      <c r="J107" s="57" t="n"/>
    </row>
    <row r="108" ht="15" customHeight="1">
      <c r="A108" s="21" t="inlineStr">
        <is>
          <t>NEW-0271</t>
        </is>
      </c>
      <c r="B108" s="23">
        <f>IFERROR(IF(ISBLANK(INDEX(Backlog[Requirement Name],MATCH($A108,Backlog[Requirement ID],0))),"",INDEX(Backlog[Requirement Name],MATCH($A108,Backlog[Requirement ID],0))),"")</f>
        <v/>
      </c>
      <c r="C108" s="23">
        <f>IFERROR(IF(ISBLANK(INDEX(Backlog[Stream],MATCH($A108,Backlog[Requirement ID],0))),"",INDEX(Backlog[Stream],MATCH($A108,Backlog[Requirement ID],0))),"")</f>
        <v/>
      </c>
      <c r="D108" s="23">
        <f>IFERROR(IF(ISBLANK(INDEX(SprintPlanning[Sprint],MATCH($A108,SprintPlanning[Requirement ID],0))),"",INDEX(SprintPlanning[Sprint],MATCH($A108,SprintPlanning[Requirement ID],0))),"")</f>
        <v/>
      </c>
      <c r="E108" s="23">
        <f>IFERROR(IF(ISBLANK(INDEX(Backlog[Status],MATCH($A108,Backlog[Requirement ID],0))),"",INDEX(Backlog[Status],MATCH($A108,Backlog[Requirement ID],0))),"")</f>
        <v/>
      </c>
      <c r="F108" s="23">
        <f>IFERROR(IF(ISBLANK(INDEX(Backlog[Priority],MATCH($A108,Backlog[Requirement ID],0))),"",INDEX(Backlog[Priority],MATCH($A108,Backlog[Requirement ID],0))),"")</f>
        <v/>
      </c>
      <c r="G108" s="21" t="inlineStr">
        <is>
          <t>Release 18</t>
        </is>
      </c>
      <c r="H108" s="23">
        <f>IFERROR(IF(ISBLANK(INDEX(Backlog[HLE],MATCH($A108,Backlog[Requirement ID],0))),"",INDEX(Backlog[HLE],MATCH($A108,Backlog[Requirement ID],0))),"")</f>
        <v/>
      </c>
      <c r="I108" s="53" t="n"/>
      <c r="J108" s="57" t="n"/>
    </row>
    <row r="109" ht="15" customHeight="1">
      <c r="A109" s="21" t="inlineStr">
        <is>
          <t>NEW-0304</t>
        </is>
      </c>
      <c r="B109" s="23">
        <f>IFERROR(IF(ISBLANK(INDEX(Backlog[Requirement Name],MATCH($A109,Backlog[Requirement ID],0))),"",INDEX(Backlog[Requirement Name],MATCH($A109,Backlog[Requirement ID],0))),"")</f>
        <v/>
      </c>
      <c r="C109" s="23">
        <f>IFERROR(IF(ISBLANK(INDEX(Backlog[Stream],MATCH($A109,Backlog[Requirement ID],0))),"",INDEX(Backlog[Stream],MATCH($A109,Backlog[Requirement ID],0))),"")</f>
        <v/>
      </c>
      <c r="D109" s="23">
        <f>IFERROR(IF(ISBLANK(INDEX(SprintPlanning[Sprint],MATCH($A109,SprintPlanning[Requirement ID],0))),"",INDEX(SprintPlanning[Sprint],MATCH($A109,SprintPlanning[Requirement ID],0))),"")</f>
        <v/>
      </c>
      <c r="E109" s="23">
        <f>IFERROR(IF(ISBLANK(INDEX(Backlog[Status],MATCH($A109,Backlog[Requirement ID],0))),"",INDEX(Backlog[Status],MATCH($A109,Backlog[Requirement ID],0))),"")</f>
        <v/>
      </c>
      <c r="F109" s="23">
        <f>IFERROR(IF(ISBLANK(INDEX(Backlog[Priority],MATCH($A109,Backlog[Requirement ID],0))),"",INDEX(Backlog[Priority],MATCH($A109,Backlog[Requirement ID],0))),"")</f>
        <v/>
      </c>
      <c r="G109" s="21" t="inlineStr">
        <is>
          <t>Release 13</t>
        </is>
      </c>
      <c r="H109" s="23">
        <f>IFERROR(IF(ISBLANK(INDEX(Backlog[HLE],MATCH($A109,Backlog[Requirement ID],0))),"",INDEX(Backlog[HLE],MATCH($A109,Backlog[Requirement ID],0))),"")</f>
        <v/>
      </c>
      <c r="I109" s="53" t="n"/>
      <c r="J109" s="57" t="n"/>
    </row>
    <row r="110" ht="15" customHeight="1">
      <c r="A110" s="21" t="inlineStr">
        <is>
          <t>NEW-0310</t>
        </is>
      </c>
      <c r="B110" s="23">
        <f>IFERROR(IF(ISBLANK(INDEX(Backlog[Requirement Name],MATCH($A110,Backlog[Requirement ID],0))),"",INDEX(Backlog[Requirement Name],MATCH($A110,Backlog[Requirement ID],0))),"")</f>
        <v/>
      </c>
      <c r="C110" s="23">
        <f>IFERROR(IF(ISBLANK(INDEX(Backlog[Stream],MATCH($A110,Backlog[Requirement ID],0))),"",INDEX(Backlog[Stream],MATCH($A110,Backlog[Requirement ID],0))),"")</f>
        <v/>
      </c>
      <c r="D110" s="23">
        <f>IFERROR(IF(ISBLANK(INDEX(SprintPlanning[Sprint],MATCH($A110,SprintPlanning[Requirement ID],0))),"",INDEX(SprintPlanning[Sprint],MATCH($A110,SprintPlanning[Requirement ID],0))),"")</f>
        <v/>
      </c>
      <c r="E110" s="23">
        <f>IFERROR(IF(ISBLANK(INDEX(Backlog[Status],MATCH($A110,Backlog[Requirement ID],0))),"",INDEX(Backlog[Status],MATCH($A110,Backlog[Requirement ID],0))),"")</f>
        <v/>
      </c>
      <c r="F110" s="23">
        <f>IFERROR(IF(ISBLANK(INDEX(Backlog[Priority],MATCH($A110,Backlog[Requirement ID],0))),"",INDEX(Backlog[Priority],MATCH($A110,Backlog[Requirement ID],0))),"")</f>
        <v/>
      </c>
      <c r="G110" s="21" t="n"/>
      <c r="H110" s="23">
        <f>IFERROR(IF(ISBLANK(INDEX(Backlog[HLE],MATCH($A110,Backlog[Requirement ID],0))),"",INDEX(Backlog[HLE],MATCH($A110,Backlog[Requirement ID],0))),"")</f>
        <v/>
      </c>
      <c r="I110" s="53" t="n"/>
      <c r="J110" s="57" t="n"/>
    </row>
    <row r="111" ht="15" customHeight="1">
      <c r="A111" s="21" t="inlineStr">
        <is>
          <t>NEW-0312</t>
        </is>
      </c>
      <c r="B111" s="23">
        <f>IFERROR(IF(ISBLANK(INDEX(Backlog[Requirement Name],MATCH($A111,Backlog[Requirement ID],0))),"",INDEX(Backlog[Requirement Name],MATCH($A111,Backlog[Requirement ID],0))),"")</f>
        <v/>
      </c>
      <c r="C111" s="23">
        <f>IFERROR(IF(ISBLANK(INDEX(Backlog[Stream],MATCH($A111,Backlog[Requirement ID],0))),"",INDEX(Backlog[Stream],MATCH($A111,Backlog[Requirement ID],0))),"")</f>
        <v/>
      </c>
      <c r="D111" s="23">
        <f>IFERROR(IF(ISBLANK(INDEX(SprintPlanning[Sprint],MATCH($A111,SprintPlanning[Requirement ID],0))),"",INDEX(SprintPlanning[Sprint],MATCH($A111,SprintPlanning[Requirement ID],0))),"")</f>
        <v/>
      </c>
      <c r="E111" s="23">
        <f>IFERROR(IF(ISBLANK(INDEX(Backlog[Status],MATCH($A111,Backlog[Requirement ID],0))),"",INDEX(Backlog[Status],MATCH($A111,Backlog[Requirement ID],0))),"")</f>
        <v/>
      </c>
      <c r="F111" s="23">
        <f>IFERROR(IF(ISBLANK(INDEX(Backlog[Priority],MATCH($A111,Backlog[Requirement ID],0))),"",INDEX(Backlog[Priority],MATCH($A111,Backlog[Requirement ID],0))),"")</f>
        <v/>
      </c>
      <c r="G111" s="21" t="inlineStr">
        <is>
          <t>Release 15</t>
        </is>
      </c>
      <c r="H111" s="23">
        <f>IFERROR(IF(ISBLANK(INDEX(Backlog[HLE],MATCH($A111,Backlog[Requirement ID],0))),"",INDEX(Backlog[HLE],MATCH($A111,Backlog[Requirement ID],0))),"")</f>
        <v/>
      </c>
      <c r="I111" s="53" t="n"/>
      <c r="J111" s="57" t="n"/>
    </row>
    <row r="112" ht="15" customHeight="1">
      <c r="A112" s="21" t="inlineStr">
        <is>
          <t>NEW-0388</t>
        </is>
      </c>
      <c r="B112" s="23">
        <f>IFERROR(IF(ISBLANK(INDEX(Backlog[Requirement Name],MATCH($A112,Backlog[Requirement ID],0))),"",INDEX(Backlog[Requirement Name],MATCH($A112,Backlog[Requirement ID],0))),"")</f>
        <v/>
      </c>
      <c r="C112" s="23">
        <f>IFERROR(IF(ISBLANK(INDEX(Backlog[Stream],MATCH($A112,Backlog[Requirement ID],0))),"",INDEX(Backlog[Stream],MATCH($A112,Backlog[Requirement ID],0))),"")</f>
        <v/>
      </c>
      <c r="D112" s="23">
        <f>IFERROR(IF(ISBLANK(INDEX(SprintPlanning[Sprint],MATCH($A112,SprintPlanning[Requirement ID],0))),"",INDEX(SprintPlanning[Sprint],MATCH($A112,SprintPlanning[Requirement ID],0))),"")</f>
        <v/>
      </c>
      <c r="E112" s="23">
        <f>IFERROR(IF(ISBLANK(INDEX(Backlog[Status],MATCH($A112,Backlog[Requirement ID],0))),"",INDEX(Backlog[Status],MATCH($A112,Backlog[Requirement ID],0))),"")</f>
        <v/>
      </c>
      <c r="F112" s="23">
        <f>IFERROR(IF(ISBLANK(INDEX(Backlog[Priority],MATCH($A112,Backlog[Requirement ID],0))),"",INDEX(Backlog[Priority],MATCH($A112,Backlog[Requirement ID],0))),"")</f>
        <v/>
      </c>
      <c r="G112" s="21" t="inlineStr">
        <is>
          <t>Release 15C</t>
        </is>
      </c>
      <c r="H112" s="23">
        <f>IFERROR(IF(ISBLANK(INDEX(Backlog[HLE],MATCH($A112,Backlog[Requirement ID],0))),"",INDEX(Backlog[HLE],MATCH($A112,Backlog[Requirement ID],0))),"")</f>
        <v/>
      </c>
      <c r="I112" s="53" t="n"/>
      <c r="J112" s="57" t="n"/>
    </row>
    <row r="113" ht="15" customHeight="1">
      <c r="A113" s="21" t="inlineStr">
        <is>
          <t>NEW-0390</t>
        </is>
      </c>
      <c r="B113" s="23">
        <f>IFERROR(IF(ISBLANK(INDEX(Backlog[Requirement Name],MATCH($A113,Backlog[Requirement ID],0))),"",INDEX(Backlog[Requirement Name],MATCH($A113,Backlog[Requirement ID],0))),"")</f>
        <v/>
      </c>
      <c r="C113" s="23">
        <f>IFERROR(IF(ISBLANK(INDEX(Backlog[Stream],MATCH($A113,Backlog[Requirement ID],0))),"",INDEX(Backlog[Stream],MATCH($A113,Backlog[Requirement ID],0))),"")</f>
        <v/>
      </c>
      <c r="D113" s="23">
        <f>IFERROR(IF(ISBLANK(INDEX(SprintPlanning[Sprint],MATCH($A113,SprintPlanning[Requirement ID],0))),"",INDEX(SprintPlanning[Sprint],MATCH($A113,SprintPlanning[Requirement ID],0))),"")</f>
        <v/>
      </c>
      <c r="E113" s="23">
        <f>IFERROR(IF(ISBLANK(INDEX(Backlog[Status],MATCH($A113,Backlog[Requirement ID],0))),"",INDEX(Backlog[Status],MATCH($A113,Backlog[Requirement ID],0))),"")</f>
        <v/>
      </c>
      <c r="F113" s="23">
        <f>IFERROR(IF(ISBLANK(INDEX(Backlog[Priority],MATCH($A113,Backlog[Requirement ID],0))),"",INDEX(Backlog[Priority],MATCH($A113,Backlog[Requirement ID],0))),"")</f>
        <v/>
      </c>
      <c r="G113" s="21" t="inlineStr">
        <is>
          <t>Release 15C</t>
        </is>
      </c>
      <c r="H113" s="23">
        <f>IFERROR(IF(ISBLANK(INDEX(Backlog[HLE],MATCH($A113,Backlog[Requirement ID],0))),"",INDEX(Backlog[HLE],MATCH($A113,Backlog[Requirement ID],0))),"")</f>
        <v/>
      </c>
      <c r="I113" s="53" t="n"/>
      <c r="J113" s="57" t="n"/>
    </row>
    <row r="114" ht="15" customHeight="1">
      <c r="A114" s="21" t="inlineStr">
        <is>
          <t>NEW-0012</t>
        </is>
      </c>
      <c r="B114" s="23">
        <f>IFERROR(IF(ISBLANK(INDEX(Backlog[Requirement Name],MATCH($A114,Backlog[Requirement ID],0))),"",INDEX(Backlog[Requirement Name],MATCH($A114,Backlog[Requirement ID],0))),"")</f>
        <v/>
      </c>
      <c r="C114" s="23">
        <f>IFERROR(IF(ISBLANK(INDEX(Backlog[Stream],MATCH($A114,Backlog[Requirement ID],0))),"",INDEX(Backlog[Stream],MATCH($A114,Backlog[Requirement ID],0))),"")</f>
        <v/>
      </c>
      <c r="D114" s="23">
        <f>IFERROR(IF(ISBLANK(INDEX(SprintPlanning[Sprint],MATCH($A114,SprintPlanning[Requirement ID],0))),"",INDEX(SprintPlanning[Sprint],MATCH($A114,SprintPlanning[Requirement ID],0))),"")</f>
        <v/>
      </c>
      <c r="E114" s="23">
        <f>IFERROR(IF(ISBLANK(INDEX(Backlog[Status],MATCH($A114,Backlog[Requirement ID],0))),"",INDEX(Backlog[Status],MATCH($A114,Backlog[Requirement ID],0))),"")</f>
        <v/>
      </c>
      <c r="F114" s="23">
        <f>IFERROR(IF(ISBLANK(INDEX(Backlog[Priority],MATCH($A114,Backlog[Requirement ID],0))),"",INDEX(Backlog[Priority],MATCH($A114,Backlog[Requirement ID],0))),"")</f>
        <v/>
      </c>
      <c r="G114" s="21" t="inlineStr">
        <is>
          <t>Release 18</t>
        </is>
      </c>
      <c r="H114" s="23">
        <f>IFERROR(IF(ISBLANK(INDEX(Backlog[HLE],MATCH($A114,Backlog[Requirement ID],0))),"",INDEX(Backlog[HLE],MATCH($A114,Backlog[Requirement ID],0))),"")</f>
        <v/>
      </c>
      <c r="I114" s="53" t="n"/>
      <c r="J114" s="57" t="n"/>
    </row>
    <row r="115" ht="15" customHeight="1">
      <c r="A115" s="21" t="inlineStr">
        <is>
          <t>NEW-0015</t>
        </is>
      </c>
      <c r="B115" s="23">
        <f>IFERROR(IF(ISBLANK(INDEX(Backlog[Requirement Name],MATCH($A115,Backlog[Requirement ID],0))),"",INDEX(Backlog[Requirement Name],MATCH($A115,Backlog[Requirement ID],0))),"")</f>
        <v/>
      </c>
      <c r="C115" s="23">
        <f>IFERROR(IF(ISBLANK(INDEX(Backlog[Stream],MATCH($A115,Backlog[Requirement ID],0))),"",INDEX(Backlog[Stream],MATCH($A115,Backlog[Requirement ID],0))),"")</f>
        <v/>
      </c>
      <c r="D115" s="23">
        <f>IFERROR(IF(ISBLANK(INDEX(SprintPlanning[Sprint],MATCH($A115,SprintPlanning[Requirement ID],0))),"",INDEX(SprintPlanning[Sprint],MATCH($A115,SprintPlanning[Requirement ID],0))),"")</f>
        <v/>
      </c>
      <c r="E115" s="23">
        <f>IFERROR(IF(ISBLANK(INDEX(Backlog[Status],MATCH($A115,Backlog[Requirement ID],0))),"",INDEX(Backlog[Status],MATCH($A115,Backlog[Requirement ID],0))),"")</f>
        <v/>
      </c>
      <c r="F115" s="23">
        <f>IFERROR(IF(ISBLANK(INDEX(Backlog[Priority],MATCH($A115,Backlog[Requirement ID],0))),"",INDEX(Backlog[Priority],MATCH($A115,Backlog[Requirement ID],0))),"")</f>
        <v/>
      </c>
      <c r="G115" s="21" t="inlineStr">
        <is>
          <t>Release 18</t>
        </is>
      </c>
      <c r="H115" s="23">
        <f>IFERROR(IF(ISBLANK(INDEX(Backlog[HLE],MATCH($A115,Backlog[Requirement ID],0))),"",INDEX(Backlog[HLE],MATCH($A115,Backlog[Requirement ID],0))),"")</f>
        <v/>
      </c>
      <c r="I115" s="53" t="n"/>
      <c r="J115" s="57" t="n"/>
    </row>
    <row r="116" ht="15" customHeight="1">
      <c r="A116" s="21" t="inlineStr">
        <is>
          <t>NEW-0042</t>
        </is>
      </c>
      <c r="B116" s="23">
        <f>IFERROR(IF(ISBLANK(INDEX(Backlog[Requirement Name],MATCH($A116,Backlog[Requirement ID],0))),"",INDEX(Backlog[Requirement Name],MATCH($A116,Backlog[Requirement ID],0))),"")</f>
        <v/>
      </c>
      <c r="C116" s="23">
        <f>IFERROR(IF(ISBLANK(INDEX(Backlog[Stream],MATCH($A116,Backlog[Requirement ID],0))),"",INDEX(Backlog[Stream],MATCH($A116,Backlog[Requirement ID],0))),"")</f>
        <v/>
      </c>
      <c r="D116" s="23">
        <f>IFERROR(IF(ISBLANK(INDEX(SprintPlanning[Sprint],MATCH($A116,SprintPlanning[Requirement ID],0))),"",INDEX(SprintPlanning[Sprint],MATCH($A116,SprintPlanning[Requirement ID],0))),"")</f>
        <v/>
      </c>
      <c r="E116" s="23">
        <f>IFERROR(IF(ISBLANK(INDEX(Backlog[Status],MATCH($A116,Backlog[Requirement ID],0))),"",INDEX(Backlog[Status],MATCH($A116,Backlog[Requirement ID],0))),"")</f>
        <v/>
      </c>
      <c r="F116" s="23">
        <f>IFERROR(IF(ISBLANK(INDEX(Backlog[Priority],MATCH($A116,Backlog[Requirement ID],0))),"",INDEX(Backlog[Priority],MATCH($A116,Backlog[Requirement ID],0))),"")</f>
        <v/>
      </c>
      <c r="G116" s="21" t="inlineStr">
        <is>
          <t>Release 15</t>
        </is>
      </c>
      <c r="H116" s="23">
        <f>IFERROR(IF(ISBLANK(INDEX(Backlog[HLE],MATCH($A116,Backlog[Requirement ID],0))),"",INDEX(Backlog[HLE],MATCH($A116,Backlog[Requirement ID],0))),"")</f>
        <v/>
      </c>
      <c r="I116" s="53" t="n"/>
      <c r="J116" s="57" t="n"/>
    </row>
    <row r="117" ht="15" customHeight="1">
      <c r="A117" s="21" t="inlineStr">
        <is>
          <t>NEW-0043</t>
        </is>
      </c>
      <c r="B117" s="23">
        <f>IFERROR(IF(ISBLANK(INDEX(Backlog[Requirement Name],MATCH($A117,Backlog[Requirement ID],0))),"",INDEX(Backlog[Requirement Name],MATCH($A117,Backlog[Requirement ID],0))),"")</f>
        <v/>
      </c>
      <c r="C117" s="23">
        <f>IFERROR(IF(ISBLANK(INDEX(Backlog[Stream],MATCH($A117,Backlog[Requirement ID],0))),"",INDEX(Backlog[Stream],MATCH($A117,Backlog[Requirement ID],0))),"")</f>
        <v/>
      </c>
      <c r="D117" s="23">
        <f>IFERROR(IF(ISBLANK(INDEX(SprintPlanning[Sprint],MATCH($A117,SprintPlanning[Requirement ID],0))),"",INDEX(SprintPlanning[Sprint],MATCH($A117,SprintPlanning[Requirement ID],0))),"")</f>
        <v/>
      </c>
      <c r="E117" s="23">
        <f>IFERROR(IF(ISBLANK(INDEX(Backlog[Status],MATCH($A117,Backlog[Requirement ID],0))),"",INDEX(Backlog[Status],MATCH($A117,Backlog[Requirement ID],0))),"")</f>
        <v/>
      </c>
      <c r="F117" s="23">
        <f>IFERROR(IF(ISBLANK(INDEX(Backlog[Priority],MATCH($A117,Backlog[Requirement ID],0))),"",INDEX(Backlog[Priority],MATCH($A117,Backlog[Requirement ID],0))),"")</f>
        <v/>
      </c>
      <c r="G117" s="21" t="n"/>
      <c r="H117" s="23">
        <f>IFERROR(IF(ISBLANK(INDEX(Backlog[HLE],MATCH($A117,Backlog[Requirement ID],0))),"",INDEX(Backlog[HLE],MATCH($A117,Backlog[Requirement ID],0))),"")</f>
        <v/>
      </c>
      <c r="I117" s="53" t="n"/>
      <c r="J117" s="57" t="n"/>
    </row>
    <row r="118" ht="15" customHeight="1">
      <c r="A118" s="21" t="inlineStr">
        <is>
          <t>NEW-0044</t>
        </is>
      </c>
      <c r="B118" s="23">
        <f>IFERROR(IF(ISBLANK(INDEX(Backlog[Requirement Name],MATCH($A118,Backlog[Requirement ID],0))),"",INDEX(Backlog[Requirement Name],MATCH($A118,Backlog[Requirement ID],0))),"")</f>
        <v/>
      </c>
      <c r="C118" s="23">
        <f>IFERROR(IF(ISBLANK(INDEX(Backlog[Stream],MATCH($A118,Backlog[Requirement ID],0))),"",INDEX(Backlog[Stream],MATCH($A118,Backlog[Requirement ID],0))),"")</f>
        <v/>
      </c>
      <c r="D118" s="23">
        <f>IFERROR(IF(ISBLANK(INDEX(SprintPlanning[Sprint],MATCH($A118,SprintPlanning[Requirement ID],0))),"",INDEX(SprintPlanning[Sprint],MATCH($A118,SprintPlanning[Requirement ID],0))),"")</f>
        <v/>
      </c>
      <c r="E118" s="23">
        <f>IFERROR(IF(ISBLANK(INDEX(Backlog[Status],MATCH($A118,Backlog[Requirement ID],0))),"",INDEX(Backlog[Status],MATCH($A118,Backlog[Requirement ID],0))),"")</f>
        <v/>
      </c>
      <c r="F118" s="23">
        <f>IFERROR(IF(ISBLANK(INDEX(Backlog[Priority],MATCH($A118,Backlog[Requirement ID],0))),"",INDEX(Backlog[Priority],MATCH($A118,Backlog[Requirement ID],0))),"")</f>
        <v/>
      </c>
      <c r="G118" s="21" t="n"/>
      <c r="H118" s="23">
        <f>IFERROR(IF(ISBLANK(INDEX(Backlog[HLE],MATCH($A118,Backlog[Requirement ID],0))),"",INDEX(Backlog[HLE],MATCH($A118,Backlog[Requirement ID],0))),"")</f>
        <v/>
      </c>
      <c r="I118" s="53" t="n"/>
      <c r="J118" s="57" t="n"/>
    </row>
    <row r="119" ht="15" customHeight="1">
      <c r="A119" s="21" t="inlineStr">
        <is>
          <t>NEW-0263</t>
        </is>
      </c>
      <c r="B119" s="23">
        <f>IFERROR(IF(ISBLANK(INDEX(Backlog[Requirement Name],MATCH($A119,Backlog[Requirement ID],0))),"",INDEX(Backlog[Requirement Name],MATCH($A119,Backlog[Requirement ID],0))),"")</f>
        <v/>
      </c>
      <c r="C119" s="23">
        <f>IFERROR(IF(ISBLANK(INDEX(Backlog[Stream],MATCH($A119,Backlog[Requirement ID],0))),"",INDEX(Backlog[Stream],MATCH($A119,Backlog[Requirement ID],0))),"")</f>
        <v/>
      </c>
      <c r="D119" s="23">
        <f>IFERROR(IF(ISBLANK(INDEX(SprintPlanning[Sprint],MATCH($A119,SprintPlanning[Requirement ID],0))),"",INDEX(SprintPlanning[Sprint],MATCH($A119,SprintPlanning[Requirement ID],0))),"")</f>
        <v/>
      </c>
      <c r="E119" s="23">
        <f>IFERROR(IF(ISBLANK(INDEX(Backlog[Status],MATCH($A119,Backlog[Requirement ID],0))),"",INDEX(Backlog[Status],MATCH($A119,Backlog[Requirement ID],0))),"")</f>
        <v/>
      </c>
      <c r="F119" s="23">
        <f>IFERROR(IF(ISBLANK(INDEX(Backlog[Priority],MATCH($A119,Backlog[Requirement ID],0))),"",INDEX(Backlog[Priority],MATCH($A119,Backlog[Requirement ID],0))),"")</f>
        <v/>
      </c>
      <c r="G119" s="21" t="inlineStr">
        <is>
          <t>Release 18</t>
        </is>
      </c>
      <c r="H119" s="23">
        <f>IFERROR(IF(ISBLANK(INDEX(Backlog[HLE],MATCH($A119,Backlog[Requirement ID],0))),"",INDEX(Backlog[HLE],MATCH($A119,Backlog[Requirement ID],0))),"")</f>
        <v/>
      </c>
      <c r="I119" s="53" t="n"/>
      <c r="J119" s="57" t="n"/>
    </row>
    <row r="120" ht="15" customHeight="1">
      <c r="A120" s="21" t="inlineStr">
        <is>
          <t>NEW-0264</t>
        </is>
      </c>
      <c r="B120" s="23">
        <f>IFERROR(IF(ISBLANK(INDEX(Backlog[Requirement Name],MATCH($A120,Backlog[Requirement ID],0))),"",INDEX(Backlog[Requirement Name],MATCH($A120,Backlog[Requirement ID],0))),"")</f>
        <v/>
      </c>
      <c r="C120" s="23">
        <f>IFERROR(IF(ISBLANK(INDEX(Backlog[Stream],MATCH($A120,Backlog[Requirement ID],0))),"",INDEX(Backlog[Stream],MATCH($A120,Backlog[Requirement ID],0))),"")</f>
        <v/>
      </c>
      <c r="D120" s="23">
        <f>IFERROR(IF(ISBLANK(INDEX(SprintPlanning[Sprint],MATCH($A120,SprintPlanning[Requirement ID],0))),"",INDEX(SprintPlanning[Sprint],MATCH($A120,SprintPlanning[Requirement ID],0))),"")</f>
        <v/>
      </c>
      <c r="E120" s="23">
        <f>IFERROR(IF(ISBLANK(INDEX(Backlog[Status],MATCH($A120,Backlog[Requirement ID],0))),"",INDEX(Backlog[Status],MATCH($A120,Backlog[Requirement ID],0))),"")</f>
        <v/>
      </c>
      <c r="F120" s="23">
        <f>IFERROR(IF(ISBLANK(INDEX(Backlog[Priority],MATCH($A120,Backlog[Requirement ID],0))),"",INDEX(Backlog[Priority],MATCH($A120,Backlog[Requirement ID],0))),"")</f>
        <v/>
      </c>
      <c r="G120" s="21" t="inlineStr">
        <is>
          <t>Release 18</t>
        </is>
      </c>
      <c r="H120" s="23">
        <f>IFERROR(IF(ISBLANK(INDEX(Backlog[HLE],MATCH($A120,Backlog[Requirement ID],0))),"",INDEX(Backlog[HLE],MATCH($A120,Backlog[Requirement ID],0))),"")</f>
        <v/>
      </c>
      <c r="I120" s="53" t="n"/>
      <c r="J120" s="57" t="n"/>
    </row>
    <row r="121" ht="15" customHeight="1">
      <c r="A121" s="21" t="inlineStr">
        <is>
          <t>NEW-0272</t>
        </is>
      </c>
      <c r="B121" s="23">
        <f>IFERROR(IF(ISBLANK(INDEX(Backlog[Requirement Name],MATCH($A121,Backlog[Requirement ID],0))),"",INDEX(Backlog[Requirement Name],MATCH($A121,Backlog[Requirement ID],0))),"")</f>
        <v/>
      </c>
      <c r="C121" s="23">
        <f>IFERROR(IF(ISBLANK(INDEX(Backlog[Stream],MATCH($A121,Backlog[Requirement ID],0))),"",INDEX(Backlog[Stream],MATCH($A121,Backlog[Requirement ID],0))),"")</f>
        <v/>
      </c>
      <c r="D121" s="23">
        <f>IFERROR(IF(ISBLANK(INDEX(SprintPlanning[Sprint],MATCH($A121,SprintPlanning[Requirement ID],0))),"",INDEX(SprintPlanning[Sprint],MATCH($A121,SprintPlanning[Requirement ID],0))),"")</f>
        <v/>
      </c>
      <c r="E121" s="23">
        <f>IFERROR(IF(ISBLANK(INDEX(Backlog[Status],MATCH($A121,Backlog[Requirement ID],0))),"",INDEX(Backlog[Status],MATCH($A121,Backlog[Requirement ID],0))),"")</f>
        <v/>
      </c>
      <c r="F121" s="23">
        <f>IFERROR(IF(ISBLANK(INDEX(Backlog[Priority],MATCH($A121,Backlog[Requirement ID],0))),"",INDEX(Backlog[Priority],MATCH($A121,Backlog[Requirement ID],0))),"")</f>
        <v/>
      </c>
      <c r="G121" s="21" t="inlineStr">
        <is>
          <t>Release 18</t>
        </is>
      </c>
      <c r="H121" s="23">
        <f>IFERROR(IF(ISBLANK(INDEX(Backlog[HLE],MATCH($A121,Backlog[Requirement ID],0))),"",INDEX(Backlog[HLE],MATCH($A121,Backlog[Requirement ID],0))),"")</f>
        <v/>
      </c>
      <c r="I121" s="53" t="n"/>
      <c r="J121" s="57" t="n"/>
    </row>
    <row r="122" ht="15" customHeight="1">
      <c r="A122" s="21" t="inlineStr">
        <is>
          <t>NEW-0292</t>
        </is>
      </c>
      <c r="B122" s="23">
        <f>IFERROR(IF(ISBLANK(INDEX(Backlog[Requirement Name],MATCH($A122,Backlog[Requirement ID],0))),"",INDEX(Backlog[Requirement Name],MATCH($A122,Backlog[Requirement ID],0))),"")</f>
        <v/>
      </c>
      <c r="C122" s="23">
        <f>IFERROR(IF(ISBLANK(INDEX(Backlog[Stream],MATCH($A122,Backlog[Requirement ID],0))),"",INDEX(Backlog[Stream],MATCH($A122,Backlog[Requirement ID],0))),"")</f>
        <v/>
      </c>
      <c r="D122" s="23">
        <f>IFERROR(IF(ISBLANK(INDEX(SprintPlanning[Sprint],MATCH($A122,SprintPlanning[Requirement ID],0))),"",INDEX(SprintPlanning[Sprint],MATCH($A122,SprintPlanning[Requirement ID],0))),"")</f>
        <v/>
      </c>
      <c r="E122" s="23">
        <f>IFERROR(IF(ISBLANK(INDEX(Backlog[Status],MATCH($A122,Backlog[Requirement ID],0))),"",INDEX(Backlog[Status],MATCH($A122,Backlog[Requirement ID],0))),"")</f>
        <v/>
      </c>
      <c r="F122" s="23">
        <f>IFERROR(IF(ISBLANK(INDEX(Backlog[Priority],MATCH($A122,Backlog[Requirement ID],0))),"",INDEX(Backlog[Priority],MATCH($A122,Backlog[Requirement ID],0))),"")</f>
        <v/>
      </c>
      <c r="G122" s="21" t="n"/>
      <c r="H122" s="23">
        <f>IFERROR(IF(ISBLANK(INDEX(Backlog[HLE],MATCH($A122,Backlog[Requirement ID],0))),"",INDEX(Backlog[HLE],MATCH($A122,Backlog[Requirement ID],0))),"")</f>
        <v/>
      </c>
      <c r="I122" s="53" t="n"/>
      <c r="J122" s="57" t="n"/>
    </row>
    <row r="123" ht="15" customHeight="1">
      <c r="A123" s="21" t="inlineStr">
        <is>
          <t>NEW-0293</t>
        </is>
      </c>
      <c r="B123" s="23">
        <f>IFERROR(IF(ISBLANK(INDEX(Backlog[Requirement Name],MATCH($A123,Backlog[Requirement ID],0))),"",INDEX(Backlog[Requirement Name],MATCH($A123,Backlog[Requirement ID],0))),"")</f>
        <v/>
      </c>
      <c r="C123" s="23">
        <f>IFERROR(IF(ISBLANK(INDEX(Backlog[Stream],MATCH($A123,Backlog[Requirement ID],0))),"",INDEX(Backlog[Stream],MATCH($A123,Backlog[Requirement ID],0))),"")</f>
        <v/>
      </c>
      <c r="D123" s="23">
        <f>IFERROR(IF(ISBLANK(INDEX(SprintPlanning[Sprint],MATCH($A123,SprintPlanning[Requirement ID],0))),"",INDEX(SprintPlanning[Sprint],MATCH($A123,SprintPlanning[Requirement ID],0))),"")</f>
        <v/>
      </c>
      <c r="E123" s="23">
        <f>IFERROR(IF(ISBLANK(INDEX(Backlog[Status],MATCH($A123,Backlog[Requirement ID],0))),"",INDEX(Backlog[Status],MATCH($A123,Backlog[Requirement ID],0))),"")</f>
        <v/>
      </c>
      <c r="F123" s="23">
        <f>IFERROR(IF(ISBLANK(INDEX(Backlog[Priority],MATCH($A123,Backlog[Requirement ID],0))),"",INDEX(Backlog[Priority],MATCH($A123,Backlog[Requirement ID],0))),"")</f>
        <v/>
      </c>
      <c r="G123" s="21" t="inlineStr">
        <is>
          <t>Release 16</t>
        </is>
      </c>
      <c r="H123" s="23">
        <f>IFERROR(IF(ISBLANK(INDEX(Backlog[HLE],MATCH($A123,Backlog[Requirement ID],0))),"",INDEX(Backlog[HLE],MATCH($A123,Backlog[Requirement ID],0))),"")</f>
        <v/>
      </c>
      <c r="I123" s="53" t="n"/>
      <c r="J123" s="57" t="n"/>
    </row>
    <row r="124" ht="15" customHeight="1">
      <c r="A124" s="21" t="inlineStr">
        <is>
          <t>NEW-0313</t>
        </is>
      </c>
      <c r="B124" s="23">
        <f>IFERROR(IF(ISBLANK(INDEX(Backlog[Requirement Name],MATCH($A124,Backlog[Requirement ID],0))),"",INDEX(Backlog[Requirement Name],MATCH($A124,Backlog[Requirement ID],0))),"")</f>
        <v/>
      </c>
      <c r="C124" s="23">
        <f>IFERROR(IF(ISBLANK(INDEX(Backlog[Stream],MATCH($A124,Backlog[Requirement ID],0))),"",INDEX(Backlog[Stream],MATCH($A124,Backlog[Requirement ID],0))),"")</f>
        <v/>
      </c>
      <c r="D124" s="23">
        <f>IFERROR(IF(ISBLANK(INDEX(SprintPlanning[Sprint],MATCH($A124,SprintPlanning[Requirement ID],0))),"",INDEX(SprintPlanning[Sprint],MATCH($A124,SprintPlanning[Requirement ID],0))),"")</f>
        <v/>
      </c>
      <c r="E124" s="23">
        <f>IFERROR(IF(ISBLANK(INDEX(Backlog[Status],MATCH($A124,Backlog[Requirement ID],0))),"",INDEX(Backlog[Status],MATCH($A124,Backlog[Requirement ID],0))),"")</f>
        <v/>
      </c>
      <c r="F124" s="23">
        <f>IFERROR(IF(ISBLANK(INDEX(Backlog[Priority],MATCH($A124,Backlog[Requirement ID],0))),"",INDEX(Backlog[Priority],MATCH($A124,Backlog[Requirement ID],0))),"")</f>
        <v/>
      </c>
      <c r="G124" s="21" t="inlineStr">
        <is>
          <t>Release 15</t>
        </is>
      </c>
      <c r="H124" s="23">
        <f>IFERROR(IF(ISBLANK(INDEX(Backlog[HLE],MATCH($A124,Backlog[Requirement ID],0))),"",INDEX(Backlog[HLE],MATCH($A124,Backlog[Requirement ID],0))),"")</f>
        <v/>
      </c>
      <c r="I124" s="53" t="n"/>
      <c r="J124" s="57" t="n"/>
    </row>
    <row r="125" ht="15" customHeight="1">
      <c r="A125" s="21" t="inlineStr">
        <is>
          <t>NEW-0341</t>
        </is>
      </c>
      <c r="B125" s="23">
        <f>IFERROR(IF(ISBLANK(INDEX(Backlog[Requirement Name],MATCH($A125,Backlog[Requirement ID],0))),"",INDEX(Backlog[Requirement Name],MATCH($A125,Backlog[Requirement ID],0))),"")</f>
        <v/>
      </c>
      <c r="C125" s="23">
        <f>IFERROR(IF(ISBLANK(INDEX(Backlog[Stream],MATCH($A125,Backlog[Requirement ID],0))),"",INDEX(Backlog[Stream],MATCH($A125,Backlog[Requirement ID],0))),"")</f>
        <v/>
      </c>
      <c r="D125" s="23">
        <f>IFERROR(IF(ISBLANK(INDEX(SprintPlanning[Sprint],MATCH($A125,SprintPlanning[Requirement ID],0))),"",INDEX(SprintPlanning[Sprint],MATCH($A125,SprintPlanning[Requirement ID],0))),"")</f>
        <v/>
      </c>
      <c r="E125" s="23">
        <f>IFERROR(IF(ISBLANK(INDEX(Backlog[Status],MATCH($A125,Backlog[Requirement ID],0))),"",INDEX(Backlog[Status],MATCH($A125,Backlog[Requirement ID],0))),"")</f>
        <v/>
      </c>
      <c r="F125" s="23">
        <f>IFERROR(IF(ISBLANK(INDEX(Backlog[Priority],MATCH($A125,Backlog[Requirement ID],0))),"",INDEX(Backlog[Priority],MATCH($A125,Backlog[Requirement ID],0))),"")</f>
        <v/>
      </c>
      <c r="G125" s="21" t="inlineStr">
        <is>
          <t>Release 15C</t>
        </is>
      </c>
      <c r="H125" s="23">
        <f>IFERROR(IF(ISBLANK(INDEX(Backlog[HLE],MATCH($A125,Backlog[Requirement ID],0))),"",INDEX(Backlog[HLE],MATCH($A125,Backlog[Requirement ID],0))),"")</f>
        <v/>
      </c>
      <c r="I125" s="53" t="n"/>
      <c r="J125" s="57" t="n"/>
    </row>
    <row r="126" ht="15" customHeight="1">
      <c r="A126" s="21" t="inlineStr">
        <is>
          <t>NEW-0342</t>
        </is>
      </c>
      <c r="B126" s="23">
        <f>IFERROR(IF(ISBLANK(INDEX(Backlog[Requirement Name],MATCH($A126,Backlog[Requirement ID],0))),"",INDEX(Backlog[Requirement Name],MATCH($A126,Backlog[Requirement ID],0))),"")</f>
        <v/>
      </c>
      <c r="C126" s="23">
        <f>IFERROR(IF(ISBLANK(INDEX(Backlog[Stream],MATCH($A126,Backlog[Requirement ID],0))),"",INDEX(Backlog[Stream],MATCH($A126,Backlog[Requirement ID],0))),"")</f>
        <v/>
      </c>
      <c r="D126" s="23">
        <f>IFERROR(IF(ISBLANK(INDEX(SprintPlanning[Sprint],MATCH($A126,SprintPlanning[Requirement ID],0))),"",INDEX(SprintPlanning[Sprint],MATCH($A126,SprintPlanning[Requirement ID],0))),"")</f>
        <v/>
      </c>
      <c r="E126" s="23">
        <f>IFERROR(IF(ISBLANK(INDEX(Backlog[Status],MATCH($A126,Backlog[Requirement ID],0))),"",INDEX(Backlog[Status],MATCH($A126,Backlog[Requirement ID],0))),"")</f>
        <v/>
      </c>
      <c r="F126" s="23">
        <f>IFERROR(IF(ISBLANK(INDEX(Backlog[Priority],MATCH($A126,Backlog[Requirement ID],0))),"",INDEX(Backlog[Priority],MATCH($A126,Backlog[Requirement ID],0))),"")</f>
        <v/>
      </c>
      <c r="G126" s="21" t="n"/>
      <c r="H126" s="23">
        <f>IFERROR(IF(ISBLANK(INDEX(Backlog[HLE],MATCH($A126,Backlog[Requirement ID],0))),"",INDEX(Backlog[HLE],MATCH($A126,Backlog[Requirement ID],0))),"")</f>
        <v/>
      </c>
      <c r="I126" s="53" t="n"/>
      <c r="J126" s="57" t="n"/>
    </row>
    <row r="127" ht="15" customHeight="1">
      <c r="A127" s="21" t="inlineStr">
        <is>
          <t>NEW-0047</t>
        </is>
      </c>
      <c r="B127" s="23">
        <f>IFERROR(IF(ISBLANK(INDEX(Backlog[Requirement Name],MATCH($A127,Backlog[Requirement ID],0))),"",INDEX(Backlog[Requirement Name],MATCH($A127,Backlog[Requirement ID],0))),"")</f>
        <v/>
      </c>
      <c r="C127" s="23">
        <f>IFERROR(IF(ISBLANK(INDEX(Backlog[Stream],MATCH($A127,Backlog[Requirement ID],0))),"",INDEX(Backlog[Stream],MATCH($A127,Backlog[Requirement ID],0))),"")</f>
        <v/>
      </c>
      <c r="D127" s="23">
        <f>IFERROR(IF(ISBLANK(INDEX(SprintPlanning[Sprint],MATCH($A127,SprintPlanning[Requirement ID],0))),"",INDEX(SprintPlanning[Sprint],MATCH($A127,SprintPlanning[Requirement ID],0))),"")</f>
        <v/>
      </c>
      <c r="E127" s="23">
        <f>IFERROR(IF(ISBLANK(INDEX(Backlog[Status],MATCH($A127,Backlog[Requirement ID],0))),"",INDEX(Backlog[Status],MATCH($A127,Backlog[Requirement ID],0))),"")</f>
        <v/>
      </c>
      <c r="F127" s="23">
        <f>IFERROR(IF(ISBLANK(INDEX(Backlog[Priority],MATCH($A127,Backlog[Requirement ID],0))),"",INDEX(Backlog[Priority],MATCH($A127,Backlog[Requirement ID],0))),"")</f>
        <v/>
      </c>
      <c r="G127" s="21" t="inlineStr">
        <is>
          <t>Release 18</t>
        </is>
      </c>
      <c r="H127" s="23">
        <f>IFERROR(IF(ISBLANK(INDEX(Backlog[HLE],MATCH($A127,Backlog[Requirement ID],0))),"",INDEX(Backlog[HLE],MATCH($A127,Backlog[Requirement ID],0))),"")</f>
        <v/>
      </c>
      <c r="I127" s="53" t="n"/>
      <c r="J127" s="57" t="n"/>
    </row>
    <row r="128" ht="15" customHeight="1">
      <c r="A128" s="21" t="inlineStr">
        <is>
          <t>NEW-0048</t>
        </is>
      </c>
      <c r="B128" s="23">
        <f>IFERROR(IF(ISBLANK(INDEX(Backlog[Requirement Name],MATCH($A128,Backlog[Requirement ID],0))),"",INDEX(Backlog[Requirement Name],MATCH($A128,Backlog[Requirement ID],0))),"")</f>
        <v/>
      </c>
      <c r="C128" s="23">
        <f>IFERROR(IF(ISBLANK(INDEX(Backlog[Stream],MATCH($A128,Backlog[Requirement ID],0))),"",INDEX(Backlog[Stream],MATCH($A128,Backlog[Requirement ID],0))),"")</f>
        <v/>
      </c>
      <c r="D128" s="23">
        <f>IFERROR(IF(ISBLANK(INDEX(SprintPlanning[Sprint],MATCH($A128,SprintPlanning[Requirement ID],0))),"",INDEX(SprintPlanning[Sprint],MATCH($A128,SprintPlanning[Requirement ID],0))),"")</f>
        <v/>
      </c>
      <c r="E128" s="23">
        <f>IFERROR(IF(ISBLANK(INDEX(Backlog[Status],MATCH($A128,Backlog[Requirement ID],0))),"",INDEX(Backlog[Status],MATCH($A128,Backlog[Requirement ID],0))),"")</f>
        <v/>
      </c>
      <c r="F128" s="23">
        <f>IFERROR(IF(ISBLANK(INDEX(Backlog[Priority],MATCH($A128,Backlog[Requirement ID],0))),"",INDEX(Backlog[Priority],MATCH($A128,Backlog[Requirement ID],0))),"")</f>
        <v/>
      </c>
      <c r="G128" s="21" t="inlineStr">
        <is>
          <t>Release 18</t>
        </is>
      </c>
      <c r="H128" s="23">
        <f>IFERROR(IF(ISBLANK(INDEX(Backlog[HLE],MATCH($A128,Backlog[Requirement ID],0))),"",INDEX(Backlog[HLE],MATCH($A128,Backlog[Requirement ID],0))),"")</f>
        <v/>
      </c>
      <c r="I128" s="53" t="n"/>
      <c r="J128" s="57" t="n"/>
    </row>
    <row r="129" ht="15" customHeight="1">
      <c r="A129" s="21" t="inlineStr">
        <is>
          <t>NEW-0049</t>
        </is>
      </c>
      <c r="B129" s="23">
        <f>IFERROR(IF(ISBLANK(INDEX(Backlog[Requirement Name],MATCH($A129,Backlog[Requirement ID],0))),"",INDEX(Backlog[Requirement Name],MATCH($A129,Backlog[Requirement ID],0))),"")</f>
        <v/>
      </c>
      <c r="C129" s="23">
        <f>IFERROR(IF(ISBLANK(INDEX(Backlog[Stream],MATCH($A129,Backlog[Requirement ID],0))),"",INDEX(Backlog[Stream],MATCH($A129,Backlog[Requirement ID],0))),"")</f>
        <v/>
      </c>
      <c r="D129" s="23">
        <f>IFERROR(IF(ISBLANK(INDEX(SprintPlanning[Sprint],MATCH($A129,SprintPlanning[Requirement ID],0))),"",INDEX(SprintPlanning[Sprint],MATCH($A129,SprintPlanning[Requirement ID],0))),"")</f>
        <v/>
      </c>
      <c r="E129" s="23">
        <f>IFERROR(IF(ISBLANK(INDEX(Backlog[Status],MATCH($A129,Backlog[Requirement ID],0))),"",INDEX(Backlog[Status],MATCH($A129,Backlog[Requirement ID],0))),"")</f>
        <v/>
      </c>
      <c r="F129" s="23">
        <f>IFERROR(IF(ISBLANK(INDEX(Backlog[Priority],MATCH($A129,Backlog[Requirement ID],0))),"",INDEX(Backlog[Priority],MATCH($A129,Backlog[Requirement ID],0))),"")</f>
        <v/>
      </c>
      <c r="G129" s="21" t="inlineStr">
        <is>
          <t>Release 18</t>
        </is>
      </c>
      <c r="H129" s="23">
        <f>IFERROR(IF(ISBLANK(INDEX(Backlog[HLE],MATCH($A129,Backlog[Requirement ID],0))),"",INDEX(Backlog[HLE],MATCH($A129,Backlog[Requirement ID],0))),"")</f>
        <v/>
      </c>
      <c r="I129" s="53" t="n"/>
      <c r="J129" s="57" t="n"/>
    </row>
    <row r="130" ht="15" customHeight="1">
      <c r="A130" s="21" t="inlineStr">
        <is>
          <t>NEW-0050</t>
        </is>
      </c>
      <c r="B130" s="23">
        <f>IFERROR(IF(ISBLANK(INDEX(Backlog[Requirement Name],MATCH($A130,Backlog[Requirement ID],0))),"",INDEX(Backlog[Requirement Name],MATCH($A130,Backlog[Requirement ID],0))),"")</f>
        <v/>
      </c>
      <c r="C130" s="23">
        <f>IFERROR(IF(ISBLANK(INDEX(Backlog[Stream],MATCH($A130,Backlog[Requirement ID],0))),"",INDEX(Backlog[Stream],MATCH($A130,Backlog[Requirement ID],0))),"")</f>
        <v/>
      </c>
      <c r="D130" s="23">
        <f>IFERROR(IF(ISBLANK(INDEX(SprintPlanning[Sprint],MATCH($A130,SprintPlanning[Requirement ID],0))),"",INDEX(SprintPlanning[Sprint],MATCH($A130,SprintPlanning[Requirement ID],0))),"")</f>
        <v/>
      </c>
      <c r="E130" s="23">
        <f>IFERROR(IF(ISBLANK(INDEX(Backlog[Status],MATCH($A130,Backlog[Requirement ID],0))),"",INDEX(Backlog[Status],MATCH($A130,Backlog[Requirement ID],0))),"")</f>
        <v/>
      </c>
      <c r="F130" s="23">
        <f>IFERROR(IF(ISBLANK(INDEX(Backlog[Priority],MATCH($A130,Backlog[Requirement ID],0))),"",INDEX(Backlog[Priority],MATCH($A130,Backlog[Requirement ID],0))),"")</f>
        <v/>
      </c>
      <c r="G130" s="21" t="inlineStr">
        <is>
          <t>Release 18</t>
        </is>
      </c>
      <c r="H130" s="23">
        <f>IFERROR(IF(ISBLANK(INDEX(Backlog[HLE],MATCH($A130,Backlog[Requirement ID],0))),"",INDEX(Backlog[HLE],MATCH($A130,Backlog[Requirement ID],0))),"")</f>
        <v/>
      </c>
      <c r="I130" s="53" t="n"/>
      <c r="J130" s="57" t="n"/>
    </row>
    <row r="131" ht="15" customHeight="1">
      <c r="A131" s="21" t="inlineStr">
        <is>
          <t>NEW-0051</t>
        </is>
      </c>
      <c r="B131" s="23">
        <f>IFERROR(IF(ISBLANK(INDEX(Backlog[Requirement Name],MATCH($A131,Backlog[Requirement ID],0))),"",INDEX(Backlog[Requirement Name],MATCH($A131,Backlog[Requirement ID],0))),"")</f>
        <v/>
      </c>
      <c r="C131" s="23">
        <f>IFERROR(IF(ISBLANK(INDEX(Backlog[Stream],MATCH($A131,Backlog[Requirement ID],0))),"",INDEX(Backlog[Stream],MATCH($A131,Backlog[Requirement ID],0))),"")</f>
        <v/>
      </c>
      <c r="D131" s="23">
        <f>IFERROR(IF(ISBLANK(INDEX(SprintPlanning[Sprint],MATCH($A131,SprintPlanning[Requirement ID],0))),"",INDEX(SprintPlanning[Sprint],MATCH($A131,SprintPlanning[Requirement ID],0))),"")</f>
        <v/>
      </c>
      <c r="E131" s="23">
        <f>IFERROR(IF(ISBLANK(INDEX(Backlog[Status],MATCH($A131,Backlog[Requirement ID],0))),"",INDEX(Backlog[Status],MATCH($A131,Backlog[Requirement ID],0))),"")</f>
        <v/>
      </c>
      <c r="F131" s="23">
        <f>IFERROR(IF(ISBLANK(INDEX(Backlog[Priority],MATCH($A131,Backlog[Requirement ID],0))),"",INDEX(Backlog[Priority],MATCH($A131,Backlog[Requirement ID],0))),"")</f>
        <v/>
      </c>
      <c r="G131" s="21" t="inlineStr">
        <is>
          <t>Release 18</t>
        </is>
      </c>
      <c r="H131" s="23">
        <f>IFERROR(IF(ISBLANK(INDEX(Backlog[HLE],MATCH($A131,Backlog[Requirement ID],0))),"",INDEX(Backlog[HLE],MATCH($A131,Backlog[Requirement ID],0))),"")</f>
        <v/>
      </c>
      <c r="I131" s="53" t="n"/>
      <c r="J131" s="57" t="n"/>
    </row>
    <row r="132" ht="15" customHeight="1">
      <c r="A132" s="21" t="inlineStr">
        <is>
          <t>NEW-0053</t>
        </is>
      </c>
      <c r="B132" s="23">
        <f>IFERROR(IF(ISBLANK(INDEX(Backlog[Requirement Name],MATCH($A132,Backlog[Requirement ID],0))),"",INDEX(Backlog[Requirement Name],MATCH($A132,Backlog[Requirement ID],0))),"")</f>
        <v/>
      </c>
      <c r="C132" s="23">
        <f>IFERROR(IF(ISBLANK(INDEX(Backlog[Stream],MATCH($A132,Backlog[Requirement ID],0))),"",INDEX(Backlog[Stream],MATCH($A132,Backlog[Requirement ID],0))),"")</f>
        <v/>
      </c>
      <c r="D132" s="23">
        <f>IFERROR(IF(ISBLANK(INDEX(SprintPlanning[Sprint],MATCH($A132,SprintPlanning[Requirement ID],0))),"",INDEX(SprintPlanning[Sprint],MATCH($A132,SprintPlanning[Requirement ID],0))),"")</f>
        <v/>
      </c>
      <c r="E132" s="23">
        <f>IFERROR(IF(ISBLANK(INDEX(Backlog[Status],MATCH($A132,Backlog[Requirement ID],0))),"",INDEX(Backlog[Status],MATCH($A132,Backlog[Requirement ID],0))),"")</f>
        <v/>
      </c>
      <c r="F132" s="23">
        <f>IFERROR(IF(ISBLANK(INDEX(Backlog[Priority],MATCH($A132,Backlog[Requirement ID],0))),"",INDEX(Backlog[Priority],MATCH($A132,Backlog[Requirement ID],0))),"")</f>
        <v/>
      </c>
      <c r="G132" s="21" t="inlineStr">
        <is>
          <t>Release 18</t>
        </is>
      </c>
      <c r="H132" s="23">
        <f>IFERROR(IF(ISBLANK(INDEX(Backlog[HLE],MATCH($A132,Backlog[Requirement ID],0))),"",INDEX(Backlog[HLE],MATCH($A132,Backlog[Requirement ID],0))),"")</f>
        <v/>
      </c>
      <c r="I132" s="53" t="n"/>
      <c r="J132" s="57" t="n"/>
    </row>
    <row r="133" ht="15" customHeight="1">
      <c r="A133" s="21" t="inlineStr">
        <is>
          <t>NEW-0055</t>
        </is>
      </c>
      <c r="B133" s="23">
        <f>IFERROR(IF(ISBLANK(INDEX(Backlog[Requirement Name],MATCH($A133,Backlog[Requirement ID],0))),"",INDEX(Backlog[Requirement Name],MATCH($A133,Backlog[Requirement ID],0))),"")</f>
        <v/>
      </c>
      <c r="C133" s="23">
        <f>IFERROR(IF(ISBLANK(INDEX(Backlog[Stream],MATCH($A133,Backlog[Requirement ID],0))),"",INDEX(Backlog[Stream],MATCH($A133,Backlog[Requirement ID],0))),"")</f>
        <v/>
      </c>
      <c r="D133" s="23">
        <f>IFERROR(IF(ISBLANK(INDEX(SprintPlanning[Sprint],MATCH($A133,SprintPlanning[Requirement ID],0))),"",INDEX(SprintPlanning[Sprint],MATCH($A133,SprintPlanning[Requirement ID],0))),"")</f>
        <v/>
      </c>
      <c r="E133" s="23">
        <f>IFERROR(IF(ISBLANK(INDEX(Backlog[Status],MATCH($A133,Backlog[Requirement ID],0))),"",INDEX(Backlog[Status],MATCH($A133,Backlog[Requirement ID],0))),"")</f>
        <v/>
      </c>
      <c r="F133" s="23">
        <f>IFERROR(IF(ISBLANK(INDEX(Backlog[Priority],MATCH($A133,Backlog[Requirement ID],0))),"",INDEX(Backlog[Priority],MATCH($A133,Backlog[Requirement ID],0))),"")</f>
        <v/>
      </c>
      <c r="G133" s="21" t="inlineStr">
        <is>
          <t>Release 18</t>
        </is>
      </c>
      <c r="H133" s="23">
        <f>IFERROR(IF(ISBLANK(INDEX(Backlog[HLE],MATCH($A133,Backlog[Requirement ID],0))),"",INDEX(Backlog[HLE],MATCH($A133,Backlog[Requirement ID],0))),"")</f>
        <v/>
      </c>
      <c r="I133" s="53" t="n"/>
      <c r="J133" s="57" t="n"/>
    </row>
    <row r="134" ht="15" customHeight="1">
      <c r="A134" s="21" t="inlineStr">
        <is>
          <t>NEW-0359</t>
        </is>
      </c>
      <c r="B134" s="23">
        <f>IFERROR(IF(ISBLANK(INDEX(Backlog[Requirement Name],MATCH($A134,Backlog[Requirement ID],0))),"",INDEX(Backlog[Requirement Name],MATCH($A134,Backlog[Requirement ID],0))),"")</f>
        <v/>
      </c>
      <c r="C134" s="23">
        <f>IFERROR(IF(ISBLANK(INDEX(Backlog[Stream],MATCH($A134,Backlog[Requirement ID],0))),"",INDEX(Backlog[Stream],MATCH($A134,Backlog[Requirement ID],0))),"")</f>
        <v/>
      </c>
      <c r="D134" s="23">
        <f>IFERROR(IF(ISBLANK(INDEX(SprintPlanning[Sprint],MATCH($A134,SprintPlanning[Requirement ID],0))),"",INDEX(SprintPlanning[Sprint],MATCH($A134,SprintPlanning[Requirement ID],0))),"")</f>
        <v/>
      </c>
      <c r="E134" s="23" t="inlineStr">
        <is>
          <t>DONE</t>
        </is>
      </c>
      <c r="F134" s="23">
        <f>IFERROR(IF(ISBLANK(INDEX(Backlog[Priority],MATCH($A134,Backlog[Requirement ID],0))),"",INDEX(Backlog[Priority],MATCH($A134,Backlog[Requirement ID],0))),"")</f>
        <v/>
      </c>
      <c r="G134" s="21" t="inlineStr">
        <is>
          <t>Release 18</t>
        </is>
      </c>
      <c r="H134" s="23">
        <f>IFERROR(IF(ISBLANK(INDEX(Backlog[HLE],MATCH($A134,Backlog[Requirement ID],0))),"",INDEX(Backlog[HLE],MATCH($A134,Backlog[Requirement ID],0))),"")</f>
        <v/>
      </c>
      <c r="I134" s="53" t="n"/>
      <c r="J134" s="57" t="n"/>
    </row>
    <row r="135" ht="15" customHeight="1">
      <c r="A135" s="21" t="inlineStr">
        <is>
          <t>NEW-0389</t>
        </is>
      </c>
      <c r="B135" s="23">
        <f>IFERROR(IF(ISBLANK(INDEX(Backlog[Requirement Name],MATCH($A135,Backlog[Requirement ID],0))),"",INDEX(Backlog[Requirement Name],MATCH($A135,Backlog[Requirement ID],0))),"")</f>
        <v/>
      </c>
      <c r="C135" s="23">
        <f>IFERROR(IF(ISBLANK(INDEX(Backlog[Stream],MATCH($A135,Backlog[Requirement ID],0))),"",INDEX(Backlog[Stream],MATCH($A135,Backlog[Requirement ID],0))),"")</f>
        <v/>
      </c>
      <c r="D135" s="23">
        <f>IFERROR(IF(ISBLANK(INDEX(SprintPlanning[Sprint],MATCH($A135,SprintPlanning[Requirement ID],0))),"",INDEX(SprintPlanning[Sprint],MATCH($A135,SprintPlanning[Requirement ID],0))),"")</f>
        <v/>
      </c>
      <c r="E135" s="23">
        <f>IFERROR(IF(ISBLANK(INDEX(Backlog[Status],MATCH($A135,Backlog[Requirement ID],0))),"",INDEX(Backlog[Status],MATCH($A135,Backlog[Requirement ID],0))),"")</f>
        <v/>
      </c>
      <c r="F135" s="23">
        <f>IFERROR(IF(ISBLANK(INDEX(Backlog[Priority],MATCH($A135,Backlog[Requirement ID],0))),"",INDEX(Backlog[Priority],MATCH($A135,Backlog[Requirement ID],0))),"")</f>
        <v/>
      </c>
      <c r="G135" s="21" t="n"/>
      <c r="H135" s="23">
        <f>IFERROR(IF(ISBLANK(INDEX(Backlog[HLE],MATCH($A135,Backlog[Requirement ID],0))),"",INDEX(Backlog[HLE],MATCH($A135,Backlog[Requirement ID],0))),"")</f>
        <v/>
      </c>
      <c r="I135" s="53" t="n"/>
      <c r="J135" s="57" t="n"/>
    </row>
    <row r="136" ht="15" customHeight="1">
      <c r="A136" s="21" t="inlineStr">
        <is>
          <t>NEW-0392</t>
        </is>
      </c>
      <c r="B136" s="23">
        <f>IFERROR(IF(ISBLANK(INDEX(Backlog[Requirement Name],MATCH($A136,Backlog[Requirement ID],0))),"",INDEX(Backlog[Requirement Name],MATCH($A136,Backlog[Requirement ID],0))),"")</f>
        <v/>
      </c>
      <c r="C136" s="23">
        <f>IFERROR(IF(ISBLANK(INDEX(Backlog[Stream],MATCH($A136,Backlog[Requirement ID],0))),"",INDEX(Backlog[Stream],MATCH($A136,Backlog[Requirement ID],0))),"")</f>
        <v/>
      </c>
      <c r="D136" s="23">
        <f>IFERROR(IF(ISBLANK(INDEX(SprintPlanning[Sprint],MATCH($A136,SprintPlanning[Requirement ID],0))),"",INDEX(SprintPlanning[Sprint],MATCH($A136,SprintPlanning[Requirement ID],0))),"")</f>
        <v/>
      </c>
      <c r="E136" s="23">
        <f>IFERROR(IF(ISBLANK(INDEX(Backlog[Status],MATCH($A136,Backlog[Requirement ID],0))),"",INDEX(Backlog[Status],MATCH($A136,Backlog[Requirement ID],0))),"")</f>
        <v/>
      </c>
      <c r="F136" s="23">
        <f>IFERROR(IF(ISBLANK(INDEX(Backlog[Priority],MATCH($A136,Backlog[Requirement ID],0))),"",INDEX(Backlog[Priority],MATCH($A136,Backlog[Requirement ID],0))),"")</f>
        <v/>
      </c>
      <c r="G136" s="21" t="n"/>
      <c r="H136" s="23">
        <f>IFERROR(IF(ISBLANK(INDEX(Backlog[HLE],MATCH($A136,Backlog[Requirement ID],0))),"",INDEX(Backlog[HLE],MATCH($A136,Backlog[Requirement ID],0))),"")</f>
        <v/>
      </c>
      <c r="I136" s="53" t="n"/>
      <c r="J136" s="57" t="n"/>
    </row>
    <row r="137" ht="15" customHeight="1">
      <c r="A137" s="21" t="inlineStr">
        <is>
          <t>NEW-0057</t>
        </is>
      </c>
      <c r="B137" s="23">
        <f>IFERROR(IF(ISBLANK(INDEX(Backlog[Requirement Name],MATCH($A137,Backlog[Requirement ID],0))),"",INDEX(Backlog[Requirement Name],MATCH($A137,Backlog[Requirement ID],0))),"")</f>
        <v/>
      </c>
      <c r="C137" s="23">
        <f>IFERROR(IF(ISBLANK(INDEX(Backlog[Stream],MATCH($A137,Backlog[Requirement ID],0))),"",INDEX(Backlog[Stream],MATCH($A137,Backlog[Requirement ID],0))),"")</f>
        <v/>
      </c>
      <c r="D137" s="23">
        <f>IFERROR(IF(ISBLANK(INDEX(SprintPlanning[Sprint],MATCH($A137,SprintPlanning[Requirement ID],0))),"",INDEX(SprintPlanning[Sprint],MATCH($A137,SprintPlanning[Requirement ID],0))),"")</f>
        <v/>
      </c>
      <c r="E137" s="23">
        <f>IFERROR(IF(ISBLANK(INDEX(Backlog[Status],MATCH($A137,Backlog[Requirement ID],0))),"",INDEX(Backlog[Status],MATCH($A137,Backlog[Requirement ID],0))),"")</f>
        <v/>
      </c>
      <c r="F137" s="23">
        <f>IFERROR(IF(ISBLANK(INDEX(Backlog[Priority],MATCH($A137,Backlog[Requirement ID],0))),"",INDEX(Backlog[Priority],MATCH($A137,Backlog[Requirement ID],0))),"")</f>
        <v/>
      </c>
      <c r="G137" s="21" t="inlineStr">
        <is>
          <t>Release 19</t>
        </is>
      </c>
      <c r="H137" s="23">
        <f>IFERROR(IF(ISBLANK(INDEX(Backlog[HLE],MATCH($A137,Backlog[Requirement ID],0))),"",INDEX(Backlog[HLE],MATCH($A137,Backlog[Requirement ID],0))),"")</f>
        <v/>
      </c>
      <c r="I137" s="53" t="n"/>
      <c r="J137" s="57" t="n"/>
    </row>
    <row r="138" ht="15" customHeight="1">
      <c r="A138" s="21" t="inlineStr">
        <is>
          <t>NEW-0058</t>
        </is>
      </c>
      <c r="B138" s="23">
        <f>IFERROR(IF(ISBLANK(INDEX(Backlog[Requirement Name],MATCH($A138,Backlog[Requirement ID],0))),"",INDEX(Backlog[Requirement Name],MATCH($A138,Backlog[Requirement ID],0))),"")</f>
        <v/>
      </c>
      <c r="C138" s="23">
        <f>IFERROR(IF(ISBLANK(INDEX(Backlog[Stream],MATCH($A138,Backlog[Requirement ID],0))),"",INDEX(Backlog[Stream],MATCH($A138,Backlog[Requirement ID],0))),"")</f>
        <v/>
      </c>
      <c r="D138" s="23">
        <f>IFERROR(IF(ISBLANK(INDEX(SprintPlanning[Sprint],MATCH($A138,SprintPlanning[Requirement ID],0))),"",INDEX(SprintPlanning[Sprint],MATCH($A138,SprintPlanning[Requirement ID],0))),"")</f>
        <v/>
      </c>
      <c r="E138" s="23">
        <f>IFERROR(IF(ISBLANK(INDEX(Backlog[Status],MATCH($A138,Backlog[Requirement ID],0))),"",INDEX(Backlog[Status],MATCH($A138,Backlog[Requirement ID],0))),"")</f>
        <v/>
      </c>
      <c r="F138" s="23">
        <f>IFERROR(IF(ISBLANK(INDEX(Backlog[Priority],MATCH($A138,Backlog[Requirement ID],0))),"",INDEX(Backlog[Priority],MATCH($A138,Backlog[Requirement ID],0))),"")</f>
        <v/>
      </c>
      <c r="G138" s="21" t="inlineStr">
        <is>
          <t>Release 19</t>
        </is>
      </c>
      <c r="H138" s="23">
        <f>IFERROR(IF(ISBLANK(INDEX(Backlog[HLE],MATCH($A138,Backlog[Requirement ID],0))),"",INDEX(Backlog[HLE],MATCH($A138,Backlog[Requirement ID],0))),"")</f>
        <v/>
      </c>
      <c r="I138" s="53" t="n"/>
      <c r="J138" s="57" t="n"/>
    </row>
    <row r="139" ht="15" customHeight="1">
      <c r="A139" s="21" t="inlineStr">
        <is>
          <t>NEW-0060</t>
        </is>
      </c>
      <c r="B139" s="23">
        <f>IFERROR(IF(ISBLANK(INDEX(Backlog[Requirement Name],MATCH($A139,Backlog[Requirement ID],0))),"",INDEX(Backlog[Requirement Name],MATCH($A139,Backlog[Requirement ID],0))),"")</f>
        <v/>
      </c>
      <c r="C139" s="23">
        <f>IFERROR(IF(ISBLANK(INDEX(Backlog[Stream],MATCH($A139,Backlog[Requirement ID],0))),"",INDEX(Backlog[Stream],MATCH($A139,Backlog[Requirement ID],0))),"")</f>
        <v/>
      </c>
      <c r="D139" s="23">
        <f>IFERROR(IF(ISBLANK(INDEX(SprintPlanning[Sprint],MATCH($A139,SprintPlanning[Requirement ID],0))),"",INDEX(SprintPlanning[Sprint],MATCH($A139,SprintPlanning[Requirement ID],0))),"")</f>
        <v/>
      </c>
      <c r="E139" s="23">
        <f>IFERROR(IF(ISBLANK(INDEX(Backlog[Status],MATCH($A139,Backlog[Requirement ID],0))),"",INDEX(Backlog[Status],MATCH($A139,Backlog[Requirement ID],0))),"")</f>
        <v/>
      </c>
      <c r="F139" s="23">
        <f>IFERROR(IF(ISBLANK(INDEX(Backlog[Priority],MATCH($A139,Backlog[Requirement ID],0))),"",INDEX(Backlog[Priority],MATCH($A139,Backlog[Requirement ID],0))),"")</f>
        <v/>
      </c>
      <c r="G139" s="21" t="inlineStr">
        <is>
          <t>Release 19</t>
        </is>
      </c>
      <c r="H139" s="23">
        <f>IFERROR(IF(ISBLANK(INDEX(Backlog[HLE],MATCH($A139,Backlog[Requirement ID],0))),"",INDEX(Backlog[HLE],MATCH($A139,Backlog[Requirement ID],0))),"")</f>
        <v/>
      </c>
      <c r="I139" s="53" t="n"/>
      <c r="J139" s="57" t="n"/>
    </row>
    <row r="140" ht="15" customHeight="1">
      <c r="A140" s="21" t="inlineStr">
        <is>
          <t>NEW-0061</t>
        </is>
      </c>
      <c r="B140" s="23">
        <f>IFERROR(IF(ISBLANK(INDEX(Backlog[Requirement Name],MATCH($A140,Backlog[Requirement ID],0))),"",INDEX(Backlog[Requirement Name],MATCH($A140,Backlog[Requirement ID],0))),"")</f>
        <v/>
      </c>
      <c r="C140" s="23">
        <f>IFERROR(IF(ISBLANK(INDEX(Backlog[Stream],MATCH($A140,Backlog[Requirement ID],0))),"",INDEX(Backlog[Stream],MATCH($A140,Backlog[Requirement ID],0))),"")</f>
        <v/>
      </c>
      <c r="D140" s="23">
        <f>IFERROR(IF(ISBLANK(INDEX(SprintPlanning[Sprint],MATCH($A140,SprintPlanning[Requirement ID],0))),"",INDEX(SprintPlanning[Sprint],MATCH($A140,SprintPlanning[Requirement ID],0))),"")</f>
        <v/>
      </c>
      <c r="E140" s="23">
        <f>IFERROR(IF(ISBLANK(INDEX(Backlog[Status],MATCH($A140,Backlog[Requirement ID],0))),"",INDEX(Backlog[Status],MATCH($A140,Backlog[Requirement ID],0))),"")</f>
        <v/>
      </c>
      <c r="F140" s="23">
        <f>IFERROR(IF(ISBLANK(INDEX(Backlog[Priority],MATCH($A140,Backlog[Requirement ID],0))),"",INDEX(Backlog[Priority],MATCH($A140,Backlog[Requirement ID],0))),"")</f>
        <v/>
      </c>
      <c r="G140" s="21" t="inlineStr">
        <is>
          <t>Release 19</t>
        </is>
      </c>
      <c r="H140" s="23">
        <f>IFERROR(IF(ISBLANK(INDEX(Backlog[HLE],MATCH($A140,Backlog[Requirement ID],0))),"",INDEX(Backlog[HLE],MATCH($A140,Backlog[Requirement ID],0))),"")</f>
        <v/>
      </c>
      <c r="I140" s="53" t="n"/>
      <c r="J140" s="57" t="n"/>
    </row>
    <row r="141" ht="15" customHeight="1">
      <c r="A141" s="21" t="inlineStr">
        <is>
          <t>NEW-0063</t>
        </is>
      </c>
      <c r="B141" s="23">
        <f>IFERROR(IF(ISBLANK(INDEX(Backlog[Requirement Name],MATCH($A141,Backlog[Requirement ID],0))),"",INDEX(Backlog[Requirement Name],MATCH($A141,Backlog[Requirement ID],0))),"")</f>
        <v/>
      </c>
      <c r="C141" s="23">
        <f>IFERROR(IF(ISBLANK(INDEX(Backlog[Stream],MATCH($A141,Backlog[Requirement ID],0))),"",INDEX(Backlog[Stream],MATCH($A141,Backlog[Requirement ID],0))),"")</f>
        <v/>
      </c>
      <c r="D141" s="23">
        <f>IFERROR(IF(ISBLANK(INDEX(SprintPlanning[Sprint],MATCH($A141,SprintPlanning[Requirement ID],0))),"",INDEX(SprintPlanning[Sprint],MATCH($A141,SprintPlanning[Requirement ID],0))),"")</f>
        <v/>
      </c>
      <c r="E141" s="23">
        <f>IFERROR(IF(ISBLANK(INDEX(Backlog[Status],MATCH($A141,Backlog[Requirement ID],0))),"",INDEX(Backlog[Status],MATCH($A141,Backlog[Requirement ID],0))),"")</f>
        <v/>
      </c>
      <c r="F141" s="23">
        <f>IFERROR(IF(ISBLANK(INDEX(Backlog[Priority],MATCH($A141,Backlog[Requirement ID],0))),"",INDEX(Backlog[Priority],MATCH($A141,Backlog[Requirement ID],0))),"")</f>
        <v/>
      </c>
      <c r="G141" s="21" t="inlineStr">
        <is>
          <t>Release 15</t>
        </is>
      </c>
      <c r="H141" s="23">
        <f>IFERROR(IF(ISBLANK(INDEX(Backlog[HLE],MATCH($A141,Backlog[Requirement ID],0))),"",INDEX(Backlog[HLE],MATCH($A141,Backlog[Requirement ID],0))),"")</f>
        <v/>
      </c>
      <c r="I141" s="53" t="n"/>
      <c r="J141" s="57" t="n"/>
    </row>
    <row r="142" ht="15" customHeight="1">
      <c r="A142" s="21" t="inlineStr">
        <is>
          <t>NEW-0064</t>
        </is>
      </c>
      <c r="B142" s="23">
        <f>IFERROR(IF(ISBLANK(INDEX(Backlog[Requirement Name],MATCH($A142,Backlog[Requirement ID],0))),"",INDEX(Backlog[Requirement Name],MATCH($A142,Backlog[Requirement ID],0))),"")</f>
        <v/>
      </c>
      <c r="C142" s="23">
        <f>IFERROR(IF(ISBLANK(INDEX(Backlog[Stream],MATCH($A142,Backlog[Requirement ID],0))),"",INDEX(Backlog[Stream],MATCH($A142,Backlog[Requirement ID],0))),"")</f>
        <v/>
      </c>
      <c r="D142" s="23">
        <f>IFERROR(IF(ISBLANK(INDEX(SprintPlanning[Sprint],MATCH($A142,SprintPlanning[Requirement ID],0))),"",INDEX(SprintPlanning[Sprint],MATCH($A142,SprintPlanning[Requirement ID],0))),"")</f>
        <v/>
      </c>
      <c r="E142" s="23">
        <f>IFERROR(IF(ISBLANK(INDEX(Backlog[Status],MATCH($A142,Backlog[Requirement ID],0))),"",INDEX(Backlog[Status],MATCH($A142,Backlog[Requirement ID],0))),"")</f>
        <v/>
      </c>
      <c r="F142" s="23">
        <f>IFERROR(IF(ISBLANK(INDEX(Backlog[Priority],MATCH($A142,Backlog[Requirement ID],0))),"",INDEX(Backlog[Priority],MATCH($A142,Backlog[Requirement ID],0))),"")</f>
        <v/>
      </c>
      <c r="G142" s="21" t="n"/>
      <c r="H142" s="23">
        <f>IFERROR(IF(ISBLANK(INDEX(Backlog[HLE],MATCH($A142,Backlog[Requirement ID],0))),"",INDEX(Backlog[HLE],MATCH($A142,Backlog[Requirement ID],0))),"")</f>
        <v/>
      </c>
      <c r="I142" s="53" t="n"/>
      <c r="J142" s="57" t="n"/>
    </row>
    <row r="143" ht="15" customHeight="1">
      <c r="A143" s="21" t="inlineStr">
        <is>
          <t>NEW-0065</t>
        </is>
      </c>
      <c r="B143" s="23">
        <f>IFERROR(IF(ISBLANK(INDEX(Backlog[Requirement Name],MATCH($A143,Backlog[Requirement ID],0))),"",INDEX(Backlog[Requirement Name],MATCH($A143,Backlog[Requirement ID],0))),"")</f>
        <v/>
      </c>
      <c r="C143" s="23">
        <f>IFERROR(IF(ISBLANK(INDEX(Backlog[Stream],MATCH($A143,Backlog[Requirement ID],0))),"",INDEX(Backlog[Stream],MATCH($A143,Backlog[Requirement ID],0))),"")</f>
        <v/>
      </c>
      <c r="D143" s="23">
        <f>IFERROR(IF(ISBLANK(INDEX(SprintPlanning[Sprint],MATCH($A143,SprintPlanning[Requirement ID],0))),"",INDEX(SprintPlanning[Sprint],MATCH($A143,SprintPlanning[Requirement ID],0))),"")</f>
        <v/>
      </c>
      <c r="E143" s="23">
        <f>IFERROR(IF(ISBLANK(INDEX(Backlog[Status],MATCH($A143,Backlog[Requirement ID],0))),"",INDEX(Backlog[Status],MATCH($A143,Backlog[Requirement ID],0))),"")</f>
        <v/>
      </c>
      <c r="F143" s="23">
        <f>IFERROR(IF(ISBLANK(INDEX(Backlog[Priority],MATCH($A143,Backlog[Requirement ID],0))),"",INDEX(Backlog[Priority],MATCH($A143,Backlog[Requirement ID],0))),"")</f>
        <v/>
      </c>
      <c r="G143" s="21" t="n"/>
      <c r="H143" s="23">
        <f>IFERROR(IF(ISBLANK(INDEX(Backlog[HLE],MATCH($A143,Backlog[Requirement ID],0))),"",INDEX(Backlog[HLE],MATCH($A143,Backlog[Requirement ID],0))),"")</f>
        <v/>
      </c>
      <c r="I143" s="53" t="n"/>
      <c r="J143" s="57" t="n"/>
    </row>
    <row r="144" ht="15" customHeight="1">
      <c r="A144" s="21" t="inlineStr">
        <is>
          <t>NEW-0066</t>
        </is>
      </c>
      <c r="B144" s="23">
        <f>IFERROR(IF(ISBLANK(INDEX(Backlog[Requirement Name],MATCH($A144,Backlog[Requirement ID],0))),"",INDEX(Backlog[Requirement Name],MATCH($A144,Backlog[Requirement ID],0))),"")</f>
        <v/>
      </c>
      <c r="C144" s="23">
        <f>IFERROR(IF(ISBLANK(INDEX(Backlog[Stream],MATCH($A144,Backlog[Requirement ID],0))),"",INDEX(Backlog[Stream],MATCH($A144,Backlog[Requirement ID],0))),"")</f>
        <v/>
      </c>
      <c r="D144" s="23">
        <f>IFERROR(IF(ISBLANK(INDEX(SprintPlanning[Sprint],MATCH($A144,SprintPlanning[Requirement ID],0))),"",INDEX(SprintPlanning[Sprint],MATCH($A144,SprintPlanning[Requirement ID],0))),"")</f>
        <v/>
      </c>
      <c r="E144" s="23">
        <f>IFERROR(IF(ISBLANK(INDEX(Backlog[Status],MATCH($A144,Backlog[Requirement ID],0))),"",INDEX(Backlog[Status],MATCH($A144,Backlog[Requirement ID],0))),"")</f>
        <v/>
      </c>
      <c r="F144" s="23">
        <f>IFERROR(IF(ISBLANK(INDEX(Backlog[Priority],MATCH($A144,Backlog[Requirement ID],0))),"",INDEX(Backlog[Priority],MATCH($A144,Backlog[Requirement ID],0))),"")</f>
        <v/>
      </c>
      <c r="G144" s="21" t="n"/>
      <c r="H144" s="23">
        <f>IFERROR(IF(ISBLANK(INDEX(Backlog[HLE],MATCH($A144,Backlog[Requirement ID],0))),"",INDEX(Backlog[HLE],MATCH($A144,Backlog[Requirement ID],0))),"")</f>
        <v/>
      </c>
      <c r="I144" s="53" t="n"/>
      <c r="J144" s="57" t="n"/>
    </row>
    <row r="145" ht="15" customHeight="1">
      <c r="A145" s="21" t="inlineStr">
        <is>
          <t>NEW-0067</t>
        </is>
      </c>
      <c r="B145" s="23">
        <f>IFERROR(IF(ISBLANK(INDEX(Backlog[Requirement Name],MATCH($A145,Backlog[Requirement ID],0))),"",INDEX(Backlog[Requirement Name],MATCH($A145,Backlog[Requirement ID],0))),"")</f>
        <v/>
      </c>
      <c r="C145" s="23">
        <f>IFERROR(IF(ISBLANK(INDEX(Backlog[Stream],MATCH($A145,Backlog[Requirement ID],0))),"",INDEX(Backlog[Stream],MATCH($A145,Backlog[Requirement ID],0))),"")</f>
        <v/>
      </c>
      <c r="D145" s="23">
        <f>IFERROR(IF(ISBLANK(INDEX(SprintPlanning[Sprint],MATCH($A145,SprintPlanning[Requirement ID],0))),"",INDEX(SprintPlanning[Sprint],MATCH($A145,SprintPlanning[Requirement ID],0))),"")</f>
        <v/>
      </c>
      <c r="E145" s="23">
        <f>IFERROR(IF(ISBLANK(INDEX(Backlog[Status],MATCH($A145,Backlog[Requirement ID],0))),"",INDEX(Backlog[Status],MATCH($A145,Backlog[Requirement ID],0))),"")</f>
        <v/>
      </c>
      <c r="F145" s="23">
        <f>IFERROR(IF(ISBLANK(INDEX(Backlog[Priority],MATCH($A145,Backlog[Requirement ID],0))),"",INDEX(Backlog[Priority],MATCH($A145,Backlog[Requirement ID],0))),"")</f>
        <v/>
      </c>
      <c r="G145" s="21" t="n"/>
      <c r="H145" s="23">
        <f>IFERROR(IF(ISBLANK(INDEX(Backlog[HLE],MATCH($A145,Backlog[Requirement ID],0))),"",INDEX(Backlog[HLE],MATCH($A145,Backlog[Requirement ID],0))),"")</f>
        <v/>
      </c>
      <c r="I145" s="53" t="n"/>
      <c r="J145" s="57" t="n"/>
    </row>
    <row r="146" ht="15" customHeight="1">
      <c r="A146" s="21" t="inlineStr">
        <is>
          <t>NEW-0068</t>
        </is>
      </c>
      <c r="B146" s="23">
        <f>IFERROR(IF(ISBLANK(INDEX(Backlog[Requirement Name],MATCH($A146,Backlog[Requirement ID],0))),"",INDEX(Backlog[Requirement Name],MATCH($A146,Backlog[Requirement ID],0))),"")</f>
        <v/>
      </c>
      <c r="C146" s="23">
        <f>IFERROR(IF(ISBLANK(INDEX(Backlog[Stream],MATCH($A146,Backlog[Requirement ID],0))),"",INDEX(Backlog[Stream],MATCH($A146,Backlog[Requirement ID],0))),"")</f>
        <v/>
      </c>
      <c r="D146" s="23">
        <f>IFERROR(IF(ISBLANK(INDEX(SprintPlanning[Sprint],MATCH($A146,SprintPlanning[Requirement ID],0))),"",INDEX(SprintPlanning[Sprint],MATCH($A146,SprintPlanning[Requirement ID],0))),"")</f>
        <v/>
      </c>
      <c r="E146" s="23">
        <f>IFERROR(IF(ISBLANK(INDEX(Backlog[Status],MATCH($A146,Backlog[Requirement ID],0))),"",INDEX(Backlog[Status],MATCH($A146,Backlog[Requirement ID],0))),"")</f>
        <v/>
      </c>
      <c r="F146" s="23">
        <f>IFERROR(IF(ISBLANK(INDEX(Backlog[Priority],MATCH($A146,Backlog[Requirement ID],0))),"",INDEX(Backlog[Priority],MATCH($A146,Backlog[Requirement ID],0))),"")</f>
        <v/>
      </c>
      <c r="G146" s="21" t="n"/>
      <c r="H146" s="23">
        <f>IFERROR(IF(ISBLANK(INDEX(Backlog[HLE],MATCH($A146,Backlog[Requirement ID],0))),"",INDEX(Backlog[HLE],MATCH($A146,Backlog[Requirement ID],0))),"")</f>
        <v/>
      </c>
      <c r="I146" s="53" t="n"/>
      <c r="J146" s="57" t="n"/>
    </row>
    <row r="147" ht="15" customHeight="1">
      <c r="A147" s="21" t="inlineStr">
        <is>
          <t>NEW-0071</t>
        </is>
      </c>
      <c r="B147" s="23">
        <f>IFERROR(IF(ISBLANK(INDEX(Backlog[Requirement Name],MATCH($A147,Backlog[Requirement ID],0))),"",INDEX(Backlog[Requirement Name],MATCH($A147,Backlog[Requirement ID],0))),"")</f>
        <v/>
      </c>
      <c r="C147" s="23">
        <f>IFERROR(IF(ISBLANK(INDEX(Backlog[Stream],MATCH($A147,Backlog[Requirement ID],0))),"",INDEX(Backlog[Stream],MATCH($A147,Backlog[Requirement ID],0))),"")</f>
        <v/>
      </c>
      <c r="D147" s="23">
        <f>IFERROR(IF(ISBLANK(INDEX(SprintPlanning[Sprint],MATCH($A147,SprintPlanning[Requirement ID],0))),"",INDEX(SprintPlanning[Sprint],MATCH($A147,SprintPlanning[Requirement ID],0))),"")</f>
        <v/>
      </c>
      <c r="E147" s="23">
        <f>IFERROR(IF(ISBLANK(INDEX(Backlog[Status],MATCH($A147,Backlog[Requirement ID],0))),"",INDEX(Backlog[Status],MATCH($A147,Backlog[Requirement ID],0))),"")</f>
        <v/>
      </c>
      <c r="F147" s="23">
        <f>IFERROR(IF(ISBLANK(INDEX(Backlog[Priority],MATCH($A147,Backlog[Requirement ID],0))),"",INDEX(Backlog[Priority],MATCH($A147,Backlog[Requirement ID],0))),"")</f>
        <v/>
      </c>
      <c r="G147" s="21" t="inlineStr">
        <is>
          <t>Release 19</t>
        </is>
      </c>
      <c r="H147" s="23">
        <f>IFERROR(IF(ISBLANK(INDEX(Backlog[HLE],MATCH($A147,Backlog[Requirement ID],0))),"",INDEX(Backlog[HLE],MATCH($A147,Backlog[Requirement ID],0))),"")</f>
        <v/>
      </c>
      <c r="I147" s="53" t="n"/>
      <c r="J147" s="57" t="n"/>
    </row>
    <row r="148" ht="15" customHeight="1">
      <c r="A148" s="21" t="inlineStr">
        <is>
          <t>NEW-0275</t>
        </is>
      </c>
      <c r="B148" s="23">
        <f>IFERROR(IF(ISBLANK(INDEX(Backlog[Requirement Name],MATCH($A148,Backlog[Requirement ID],0))),"",INDEX(Backlog[Requirement Name],MATCH($A148,Backlog[Requirement ID],0))),"")</f>
        <v/>
      </c>
      <c r="C148" s="23">
        <f>IFERROR(IF(ISBLANK(INDEX(Backlog[Stream],MATCH($A148,Backlog[Requirement ID],0))),"",INDEX(Backlog[Stream],MATCH($A148,Backlog[Requirement ID],0))),"")</f>
        <v/>
      </c>
      <c r="D148" s="23">
        <f>IFERROR(IF(ISBLANK(INDEX(SprintPlanning[Sprint],MATCH($A148,SprintPlanning[Requirement ID],0))),"",INDEX(SprintPlanning[Sprint],MATCH($A148,SprintPlanning[Requirement ID],0))),"")</f>
        <v/>
      </c>
      <c r="E148" s="23">
        <f>IFERROR(IF(ISBLANK(INDEX(Backlog[Status],MATCH($A148,Backlog[Requirement ID],0))),"",INDEX(Backlog[Status],MATCH($A148,Backlog[Requirement ID],0))),"")</f>
        <v/>
      </c>
      <c r="F148" s="23">
        <f>IFERROR(IF(ISBLANK(INDEX(Backlog[Priority],MATCH($A148,Backlog[Requirement ID],0))),"",INDEX(Backlog[Priority],MATCH($A148,Backlog[Requirement ID],0))),"")</f>
        <v/>
      </c>
      <c r="G148" s="21" t="inlineStr">
        <is>
          <t>Release 19</t>
        </is>
      </c>
      <c r="H148" s="23">
        <f>IFERROR(IF(ISBLANK(INDEX(Backlog[HLE],MATCH($A148,Backlog[Requirement ID],0))),"",INDEX(Backlog[HLE],MATCH($A148,Backlog[Requirement ID],0))),"")</f>
        <v/>
      </c>
      <c r="I148" s="53" t="n"/>
      <c r="J148" s="57" t="n"/>
    </row>
    <row r="149" ht="15" customHeight="1">
      <c r="A149" s="21" t="inlineStr">
        <is>
          <t>NEW-0290</t>
        </is>
      </c>
      <c r="B149" s="23">
        <f>IFERROR(IF(ISBLANK(INDEX(Backlog[Requirement Name],MATCH($A149,Backlog[Requirement ID],0))),"",INDEX(Backlog[Requirement Name],MATCH($A149,Backlog[Requirement ID],0))),"")</f>
        <v/>
      </c>
      <c r="C149" s="23">
        <f>IFERROR(IF(ISBLANK(INDEX(Backlog[Stream],MATCH($A149,Backlog[Requirement ID],0))),"",INDEX(Backlog[Stream],MATCH($A149,Backlog[Requirement ID],0))),"")</f>
        <v/>
      </c>
      <c r="D149" s="23">
        <f>IFERROR(IF(ISBLANK(INDEX(SprintPlanning[Sprint],MATCH($A149,SprintPlanning[Requirement ID],0))),"",INDEX(SprintPlanning[Sprint],MATCH($A149,SprintPlanning[Requirement ID],0))),"")</f>
        <v/>
      </c>
      <c r="E149" s="23">
        <f>IFERROR(IF(ISBLANK(INDEX(Backlog[Status],MATCH($A149,Backlog[Requirement ID],0))),"",INDEX(Backlog[Status],MATCH($A149,Backlog[Requirement ID],0))),"")</f>
        <v/>
      </c>
      <c r="F149" s="23">
        <f>IFERROR(IF(ISBLANK(INDEX(Backlog[Priority],MATCH($A149,Backlog[Requirement ID],0))),"",INDEX(Backlog[Priority],MATCH($A149,Backlog[Requirement ID],0))),"")</f>
        <v/>
      </c>
      <c r="G149" s="21" t="n"/>
      <c r="H149" s="23">
        <f>IFERROR(IF(ISBLANK(INDEX(Backlog[HLE],MATCH($A149,Backlog[Requirement ID],0))),"",INDEX(Backlog[HLE],MATCH($A149,Backlog[Requirement ID],0))),"")</f>
        <v/>
      </c>
      <c r="I149" s="53" t="n"/>
      <c r="J149" s="57" t="n"/>
    </row>
    <row r="150" ht="15" customHeight="1">
      <c r="A150" s="21" t="inlineStr">
        <is>
          <t>NEW-0368</t>
        </is>
      </c>
      <c r="B150" s="23">
        <f>IFERROR(IF(ISBLANK(INDEX(Backlog[Requirement Name],MATCH($A150,Backlog[Requirement ID],0))),"",INDEX(Backlog[Requirement Name],MATCH($A150,Backlog[Requirement ID],0))),"")</f>
        <v/>
      </c>
      <c r="C150" s="23">
        <f>IFERROR(IF(ISBLANK(INDEX(Backlog[Stream],MATCH($A150,Backlog[Requirement ID],0))),"",INDEX(Backlog[Stream],MATCH($A150,Backlog[Requirement ID],0))),"")</f>
        <v/>
      </c>
      <c r="D150" s="23">
        <f>IFERROR(IF(ISBLANK(INDEX(SprintPlanning[Sprint],MATCH($A150,SprintPlanning[Requirement ID],0))),"",INDEX(SprintPlanning[Sprint],MATCH($A150,SprintPlanning[Requirement ID],0))),"")</f>
        <v/>
      </c>
      <c r="E150" s="23">
        <f>IFERROR(IF(ISBLANK(INDEX(Backlog[Status],MATCH($A150,Backlog[Requirement ID],0))),"",INDEX(Backlog[Status],MATCH($A150,Backlog[Requirement ID],0))),"")</f>
        <v/>
      </c>
      <c r="F150" s="23">
        <f>IFERROR(IF(ISBLANK(INDEX(Backlog[Priority],MATCH($A150,Backlog[Requirement ID],0))),"",INDEX(Backlog[Priority],MATCH($A150,Backlog[Requirement ID],0))),"")</f>
        <v/>
      </c>
      <c r="G150" s="21" t="inlineStr">
        <is>
          <t>Release 19</t>
        </is>
      </c>
      <c r="H150" s="23">
        <f>IFERROR(IF(ISBLANK(INDEX(Backlog[HLE],MATCH($A150,Backlog[Requirement ID],0))),"",INDEX(Backlog[HLE],MATCH($A150,Backlog[Requirement ID],0))),"")</f>
        <v/>
      </c>
      <c r="I150" s="53" t="n"/>
      <c r="J150" s="57" t="n"/>
    </row>
    <row r="151" ht="15" customHeight="1">
      <c r="A151" s="21" t="inlineStr">
        <is>
          <t>NEW-0072</t>
        </is>
      </c>
      <c r="B151" s="23">
        <f>IFERROR(IF(ISBLANK(INDEX(Backlog[Requirement Name],MATCH($A151,Backlog[Requirement ID],0))),"",INDEX(Backlog[Requirement Name],MATCH($A151,Backlog[Requirement ID],0))),"")</f>
        <v/>
      </c>
      <c r="C151" s="23">
        <f>IFERROR(IF(ISBLANK(INDEX(Backlog[Stream],MATCH($A151,Backlog[Requirement ID],0))),"",INDEX(Backlog[Stream],MATCH($A151,Backlog[Requirement ID],0))),"")</f>
        <v/>
      </c>
      <c r="D151" s="23">
        <f>IFERROR(IF(ISBLANK(INDEX(SprintPlanning[Sprint],MATCH($A151,SprintPlanning[Requirement ID],0))),"",INDEX(SprintPlanning[Sprint],MATCH($A151,SprintPlanning[Requirement ID],0))),"")</f>
        <v/>
      </c>
      <c r="E151" s="23">
        <f>IFERROR(IF(ISBLANK(INDEX(Backlog[Status],MATCH($A151,Backlog[Requirement ID],0))),"",INDEX(Backlog[Status],MATCH($A151,Backlog[Requirement ID],0))),"")</f>
        <v/>
      </c>
      <c r="F151" s="23">
        <f>IFERROR(IF(ISBLANK(INDEX(Backlog[Priority],MATCH($A151,Backlog[Requirement ID],0))),"",INDEX(Backlog[Priority],MATCH($A151,Backlog[Requirement ID],0))),"")</f>
        <v/>
      </c>
      <c r="G151" s="21" t="n"/>
      <c r="H151" s="23">
        <f>IFERROR(IF(ISBLANK(INDEX(Backlog[HLE],MATCH($A151,Backlog[Requirement ID],0))),"",INDEX(Backlog[HLE],MATCH($A151,Backlog[Requirement ID],0))),"")</f>
        <v/>
      </c>
      <c r="I151" s="53" t="n"/>
      <c r="J151" s="57" t="n"/>
    </row>
    <row r="152" ht="15" customHeight="1">
      <c r="A152" s="21" t="inlineStr">
        <is>
          <t>NEW-0073</t>
        </is>
      </c>
      <c r="B152" s="23">
        <f>IFERROR(IF(ISBLANK(INDEX(Backlog[Requirement Name],MATCH($A152,Backlog[Requirement ID],0))),"",INDEX(Backlog[Requirement Name],MATCH($A152,Backlog[Requirement ID],0))),"")</f>
        <v/>
      </c>
      <c r="C152" s="23">
        <f>IFERROR(IF(ISBLANK(INDEX(Backlog[Stream],MATCH($A152,Backlog[Requirement ID],0))),"",INDEX(Backlog[Stream],MATCH($A152,Backlog[Requirement ID],0))),"")</f>
        <v/>
      </c>
      <c r="D152" s="23">
        <f>IFERROR(IF(ISBLANK(INDEX(SprintPlanning[Sprint],MATCH($A152,SprintPlanning[Requirement ID],0))),"",INDEX(SprintPlanning[Sprint],MATCH($A152,SprintPlanning[Requirement ID],0))),"")</f>
        <v/>
      </c>
      <c r="E152" s="23">
        <f>IFERROR(IF(ISBLANK(INDEX(Backlog[Status],MATCH($A152,Backlog[Requirement ID],0))),"",INDEX(Backlog[Status],MATCH($A152,Backlog[Requirement ID],0))),"")</f>
        <v/>
      </c>
      <c r="F152" s="23">
        <f>IFERROR(IF(ISBLANK(INDEX(Backlog[Priority],MATCH($A152,Backlog[Requirement ID],0))),"",INDEX(Backlog[Priority],MATCH($A152,Backlog[Requirement ID],0))),"")</f>
        <v/>
      </c>
      <c r="G152" s="21" t="n"/>
      <c r="H152" s="23">
        <f>IFERROR(IF(ISBLANK(INDEX(Backlog[HLE],MATCH($A152,Backlog[Requirement ID],0))),"",INDEX(Backlog[HLE],MATCH($A152,Backlog[Requirement ID],0))),"")</f>
        <v/>
      </c>
      <c r="I152" s="53" t="n"/>
      <c r="J152" s="57" t="n"/>
    </row>
    <row r="153" ht="15" customHeight="1">
      <c r="A153" s="21" t="inlineStr">
        <is>
          <t>NEW-0074</t>
        </is>
      </c>
      <c r="B153" s="23">
        <f>IFERROR(IF(ISBLANK(INDEX(Backlog[Requirement Name],MATCH($A153,Backlog[Requirement ID],0))),"",INDEX(Backlog[Requirement Name],MATCH($A153,Backlog[Requirement ID],0))),"")</f>
        <v/>
      </c>
      <c r="C153" s="23">
        <f>IFERROR(IF(ISBLANK(INDEX(Backlog[Stream],MATCH($A153,Backlog[Requirement ID],0))),"",INDEX(Backlog[Stream],MATCH($A153,Backlog[Requirement ID],0))),"")</f>
        <v/>
      </c>
      <c r="D153" s="23">
        <f>IFERROR(IF(ISBLANK(INDEX(SprintPlanning[Sprint],MATCH($A153,SprintPlanning[Requirement ID],0))),"",INDEX(SprintPlanning[Sprint],MATCH($A153,SprintPlanning[Requirement ID],0))),"")</f>
        <v/>
      </c>
      <c r="E153" s="23">
        <f>IFERROR(IF(ISBLANK(INDEX(Backlog[Status],MATCH($A153,Backlog[Requirement ID],0))),"",INDEX(Backlog[Status],MATCH($A153,Backlog[Requirement ID],0))),"")</f>
        <v/>
      </c>
      <c r="F153" s="23">
        <f>IFERROR(IF(ISBLANK(INDEX(Backlog[Priority],MATCH($A153,Backlog[Requirement ID],0))),"",INDEX(Backlog[Priority],MATCH($A153,Backlog[Requirement ID],0))),"")</f>
        <v/>
      </c>
      <c r="G153" s="21" t="n"/>
      <c r="H153" s="23">
        <f>IFERROR(IF(ISBLANK(INDEX(Backlog[HLE],MATCH($A153,Backlog[Requirement ID],0))),"",INDEX(Backlog[HLE],MATCH($A153,Backlog[Requirement ID],0))),"")</f>
        <v/>
      </c>
      <c r="I153" s="53" t="n"/>
      <c r="J153" s="57" t="n"/>
    </row>
    <row r="154" ht="15" customHeight="1">
      <c r="A154" s="21" t="inlineStr">
        <is>
          <t>NEW-0075</t>
        </is>
      </c>
      <c r="B154" s="23">
        <f>IFERROR(IF(ISBLANK(INDEX(Backlog[Requirement Name],MATCH($A154,Backlog[Requirement ID],0))),"",INDEX(Backlog[Requirement Name],MATCH($A154,Backlog[Requirement ID],0))),"")</f>
        <v/>
      </c>
      <c r="C154" s="23">
        <f>IFERROR(IF(ISBLANK(INDEX(Backlog[Stream],MATCH($A154,Backlog[Requirement ID],0))),"",INDEX(Backlog[Stream],MATCH($A154,Backlog[Requirement ID],0))),"")</f>
        <v/>
      </c>
      <c r="D154" s="23">
        <f>IFERROR(IF(ISBLANK(INDEX(SprintPlanning[Sprint],MATCH($A154,SprintPlanning[Requirement ID],0))),"",INDEX(SprintPlanning[Sprint],MATCH($A154,SprintPlanning[Requirement ID],0))),"")</f>
        <v/>
      </c>
      <c r="E154" s="23">
        <f>IFERROR(IF(ISBLANK(INDEX(Backlog[Status],MATCH($A154,Backlog[Requirement ID],0))),"",INDEX(Backlog[Status],MATCH($A154,Backlog[Requirement ID],0))),"")</f>
        <v/>
      </c>
      <c r="F154" s="23">
        <f>IFERROR(IF(ISBLANK(INDEX(Backlog[Priority],MATCH($A154,Backlog[Requirement ID],0))),"",INDEX(Backlog[Priority],MATCH($A154,Backlog[Requirement ID],0))),"")</f>
        <v/>
      </c>
      <c r="G154" s="21" t="n"/>
      <c r="H154" s="23">
        <f>IFERROR(IF(ISBLANK(INDEX(Backlog[HLE],MATCH($A154,Backlog[Requirement ID],0))),"",INDEX(Backlog[HLE],MATCH($A154,Backlog[Requirement ID],0))),"")</f>
        <v/>
      </c>
      <c r="I154" s="53" t="n"/>
      <c r="J154" s="57" t="n"/>
    </row>
    <row r="155" ht="15" customHeight="1">
      <c r="A155" s="21" t="inlineStr">
        <is>
          <t>NEW-0076</t>
        </is>
      </c>
      <c r="B155" s="23">
        <f>IFERROR(IF(ISBLANK(INDEX(Backlog[Requirement Name],MATCH($A155,Backlog[Requirement ID],0))),"",INDEX(Backlog[Requirement Name],MATCH($A155,Backlog[Requirement ID],0))),"")</f>
        <v/>
      </c>
      <c r="C155" s="23">
        <f>IFERROR(IF(ISBLANK(INDEX(Backlog[Stream],MATCH($A155,Backlog[Requirement ID],0))),"",INDEX(Backlog[Stream],MATCH($A155,Backlog[Requirement ID],0))),"")</f>
        <v/>
      </c>
      <c r="D155" s="23">
        <f>IFERROR(IF(ISBLANK(INDEX(SprintPlanning[Sprint],MATCH($A155,SprintPlanning[Requirement ID],0))),"",INDEX(SprintPlanning[Sprint],MATCH($A155,SprintPlanning[Requirement ID],0))),"")</f>
        <v/>
      </c>
      <c r="E155" s="23">
        <f>IFERROR(IF(ISBLANK(INDEX(Backlog[Status],MATCH($A155,Backlog[Requirement ID],0))),"",INDEX(Backlog[Status],MATCH($A155,Backlog[Requirement ID],0))),"")</f>
        <v/>
      </c>
      <c r="F155" s="23">
        <f>IFERROR(IF(ISBLANK(INDEX(Backlog[Priority],MATCH($A155,Backlog[Requirement ID],0))),"",INDEX(Backlog[Priority],MATCH($A155,Backlog[Requirement ID],0))),"")</f>
        <v/>
      </c>
      <c r="G155" s="21" t="n"/>
      <c r="H155" s="23">
        <f>IFERROR(IF(ISBLANK(INDEX(Backlog[HLE],MATCH($A155,Backlog[Requirement ID],0))),"",INDEX(Backlog[HLE],MATCH($A155,Backlog[Requirement ID],0))),"")</f>
        <v/>
      </c>
      <c r="I155" s="53" t="n"/>
      <c r="J155" s="57" t="n"/>
    </row>
    <row r="156" ht="15" customHeight="1">
      <c r="A156" s="21" t="inlineStr">
        <is>
          <t>NEW-0077</t>
        </is>
      </c>
      <c r="B156" s="23">
        <f>IFERROR(IF(ISBLANK(INDEX(Backlog[Requirement Name],MATCH($A156,Backlog[Requirement ID],0))),"",INDEX(Backlog[Requirement Name],MATCH($A156,Backlog[Requirement ID],0))),"")</f>
        <v/>
      </c>
      <c r="C156" s="23">
        <f>IFERROR(IF(ISBLANK(INDEX(Backlog[Stream],MATCH($A156,Backlog[Requirement ID],0))),"",INDEX(Backlog[Stream],MATCH($A156,Backlog[Requirement ID],0))),"")</f>
        <v/>
      </c>
      <c r="D156" s="23">
        <f>IFERROR(IF(ISBLANK(INDEX(SprintPlanning[Sprint],MATCH($A156,SprintPlanning[Requirement ID],0))),"",INDEX(SprintPlanning[Sprint],MATCH($A156,SprintPlanning[Requirement ID],0))),"")</f>
        <v/>
      </c>
      <c r="E156" s="23">
        <f>IFERROR(IF(ISBLANK(INDEX(Backlog[Status],MATCH($A156,Backlog[Requirement ID],0))),"",INDEX(Backlog[Status],MATCH($A156,Backlog[Requirement ID],0))),"")</f>
        <v/>
      </c>
      <c r="F156" s="23">
        <f>IFERROR(IF(ISBLANK(INDEX(Backlog[Priority],MATCH($A156,Backlog[Requirement ID],0))),"",INDEX(Backlog[Priority],MATCH($A156,Backlog[Requirement ID],0))),"")</f>
        <v/>
      </c>
      <c r="G156" s="21" t="n"/>
      <c r="H156" s="23">
        <f>IFERROR(IF(ISBLANK(INDEX(Backlog[HLE],MATCH($A156,Backlog[Requirement ID],0))),"",INDEX(Backlog[HLE],MATCH($A156,Backlog[Requirement ID],0))),"")</f>
        <v/>
      </c>
      <c r="I156" s="53" t="n"/>
      <c r="J156" s="57" t="n"/>
    </row>
    <row r="157" ht="15" customHeight="1">
      <c r="A157" s="21" t="inlineStr">
        <is>
          <t>NEW-0078</t>
        </is>
      </c>
      <c r="B157" s="23">
        <f>IFERROR(IF(ISBLANK(INDEX(Backlog[Requirement Name],MATCH($A157,Backlog[Requirement ID],0))),"",INDEX(Backlog[Requirement Name],MATCH($A157,Backlog[Requirement ID],0))),"")</f>
        <v/>
      </c>
      <c r="C157" s="23">
        <f>IFERROR(IF(ISBLANK(INDEX(Backlog[Stream],MATCH($A157,Backlog[Requirement ID],0))),"",INDEX(Backlog[Stream],MATCH($A157,Backlog[Requirement ID],0))),"")</f>
        <v/>
      </c>
      <c r="D157" s="23">
        <f>IFERROR(IF(ISBLANK(INDEX(SprintPlanning[Sprint],MATCH($A157,SprintPlanning[Requirement ID],0))),"",INDEX(SprintPlanning[Sprint],MATCH($A157,SprintPlanning[Requirement ID],0))),"")</f>
        <v/>
      </c>
      <c r="E157" s="23">
        <f>IFERROR(IF(ISBLANK(INDEX(Backlog[Status],MATCH($A157,Backlog[Requirement ID],0))),"",INDEX(Backlog[Status],MATCH($A157,Backlog[Requirement ID],0))),"")</f>
        <v/>
      </c>
      <c r="F157" s="23">
        <f>IFERROR(IF(ISBLANK(INDEX(Backlog[Priority],MATCH($A157,Backlog[Requirement ID],0))),"",INDEX(Backlog[Priority],MATCH($A157,Backlog[Requirement ID],0))),"")</f>
        <v/>
      </c>
      <c r="G157" s="21" t="n"/>
      <c r="H157" s="23">
        <f>IFERROR(IF(ISBLANK(INDEX(Backlog[HLE],MATCH($A157,Backlog[Requirement ID],0))),"",INDEX(Backlog[HLE],MATCH($A157,Backlog[Requirement ID],0))),"")</f>
        <v/>
      </c>
      <c r="I157" s="53" t="n"/>
      <c r="J157" s="57" t="n"/>
    </row>
    <row r="158" ht="15" customHeight="1">
      <c r="A158" s="21" t="inlineStr">
        <is>
          <t>NEW-0288</t>
        </is>
      </c>
      <c r="B158" s="23">
        <f>IFERROR(IF(ISBLANK(INDEX(Backlog[Requirement Name],MATCH($A158,Backlog[Requirement ID],0))),"",INDEX(Backlog[Requirement Name],MATCH($A158,Backlog[Requirement ID],0))),"")</f>
        <v/>
      </c>
      <c r="C158" s="23">
        <f>IFERROR(IF(ISBLANK(INDEX(Backlog[Stream],MATCH($A158,Backlog[Requirement ID],0))),"",INDEX(Backlog[Stream],MATCH($A158,Backlog[Requirement ID],0))),"")</f>
        <v/>
      </c>
      <c r="D158" s="23">
        <f>IFERROR(IF(ISBLANK(INDEX(SprintPlanning[Sprint],MATCH($A158,SprintPlanning[Requirement ID],0))),"",INDEX(SprintPlanning[Sprint],MATCH($A158,SprintPlanning[Requirement ID],0))),"")</f>
        <v/>
      </c>
      <c r="E158" s="23">
        <f>IFERROR(IF(ISBLANK(INDEX(Backlog[Status],MATCH($A158,Backlog[Requirement ID],0))),"",INDEX(Backlog[Status],MATCH($A158,Backlog[Requirement ID],0))),"")</f>
        <v/>
      </c>
      <c r="F158" s="23">
        <f>IFERROR(IF(ISBLANK(INDEX(Backlog[Priority],MATCH($A158,Backlog[Requirement ID],0))),"",INDEX(Backlog[Priority],MATCH($A158,Backlog[Requirement ID],0))),"")</f>
        <v/>
      </c>
      <c r="G158" s="21" t="n"/>
      <c r="H158" s="23">
        <f>IFERROR(IF(ISBLANK(INDEX(Backlog[HLE],MATCH($A158,Backlog[Requirement ID],0))),"",INDEX(Backlog[HLE],MATCH($A158,Backlog[Requirement ID],0))),"")</f>
        <v/>
      </c>
      <c r="I158" s="53" t="n"/>
      <c r="J158" s="57" t="n"/>
    </row>
    <row r="159" ht="15" customHeight="1">
      <c r="A159" s="21" t="inlineStr">
        <is>
          <t>NEW-0080</t>
        </is>
      </c>
      <c r="B159" s="23">
        <f>IFERROR(IF(ISBLANK(INDEX(Backlog[Requirement Name],MATCH($A159,Backlog[Requirement ID],0))),"",INDEX(Backlog[Requirement Name],MATCH($A159,Backlog[Requirement ID],0))),"")</f>
        <v/>
      </c>
      <c r="C159" s="23">
        <f>IFERROR(IF(ISBLANK(INDEX(Backlog[Stream],MATCH($A159,Backlog[Requirement ID],0))),"",INDEX(Backlog[Stream],MATCH($A159,Backlog[Requirement ID],0))),"")</f>
        <v/>
      </c>
      <c r="D159" s="23">
        <f>IFERROR(IF(ISBLANK(INDEX(SprintPlanning[Sprint],MATCH($A159,SprintPlanning[Requirement ID],0))),"",INDEX(SprintPlanning[Sprint],MATCH($A159,SprintPlanning[Requirement ID],0))),"")</f>
        <v/>
      </c>
      <c r="E159" s="23">
        <f>IFERROR(IF(ISBLANK(INDEX(Backlog[Status],MATCH($A159,Backlog[Requirement ID],0))),"",INDEX(Backlog[Status],MATCH($A159,Backlog[Requirement ID],0))),"")</f>
        <v/>
      </c>
      <c r="F159" s="23">
        <f>IFERROR(IF(ISBLANK(INDEX(Backlog[Priority],MATCH($A159,Backlog[Requirement ID],0))),"",INDEX(Backlog[Priority],MATCH($A159,Backlog[Requirement ID],0))),"")</f>
        <v/>
      </c>
      <c r="G159" s="21" t="n"/>
      <c r="H159" s="23">
        <f>IFERROR(IF(ISBLANK(INDEX(Backlog[HLE],MATCH($A159,Backlog[Requirement ID],0))),"",INDEX(Backlog[HLE],MATCH($A159,Backlog[Requirement ID],0))),"")</f>
        <v/>
      </c>
      <c r="I159" s="53" t="n"/>
      <c r="J159" s="57" t="n"/>
    </row>
    <row r="160" ht="15" customHeight="1">
      <c r="A160" s="21" t="inlineStr">
        <is>
          <t>NEW-0084</t>
        </is>
      </c>
      <c r="B160" s="23">
        <f>IFERROR(IF(ISBLANK(INDEX(Backlog[Requirement Name],MATCH($A160,Backlog[Requirement ID],0))),"",INDEX(Backlog[Requirement Name],MATCH($A160,Backlog[Requirement ID],0))),"")</f>
        <v/>
      </c>
      <c r="C160" s="23">
        <f>IFERROR(IF(ISBLANK(INDEX(Backlog[Stream],MATCH($A160,Backlog[Requirement ID],0))),"",INDEX(Backlog[Stream],MATCH($A160,Backlog[Requirement ID],0))),"")</f>
        <v/>
      </c>
      <c r="D160" s="23">
        <f>IFERROR(IF(ISBLANK(INDEX(SprintPlanning[Sprint],MATCH($A160,SprintPlanning[Requirement ID],0))),"",INDEX(SprintPlanning[Sprint],MATCH($A160,SprintPlanning[Requirement ID],0))),"")</f>
        <v/>
      </c>
      <c r="E160" s="23">
        <f>IFERROR(IF(ISBLANK(INDEX(Backlog[Status],MATCH($A160,Backlog[Requirement ID],0))),"",INDEX(Backlog[Status],MATCH($A160,Backlog[Requirement ID],0))),"")</f>
        <v/>
      </c>
      <c r="F160" s="23">
        <f>IFERROR(IF(ISBLANK(INDEX(Backlog[Priority],MATCH($A160,Backlog[Requirement ID],0))),"",INDEX(Backlog[Priority],MATCH($A160,Backlog[Requirement ID],0))),"")</f>
        <v/>
      </c>
      <c r="G160" s="21" t="n"/>
      <c r="H160" s="23">
        <f>IFERROR(IF(ISBLANK(INDEX(Backlog[HLE],MATCH($A160,Backlog[Requirement ID],0))),"",INDEX(Backlog[HLE],MATCH($A160,Backlog[Requirement ID],0))),"")</f>
        <v/>
      </c>
      <c r="I160" s="53" t="n"/>
      <c r="J160" s="57" t="n"/>
    </row>
    <row r="161" ht="15" customHeight="1">
      <c r="A161" s="21" t="inlineStr">
        <is>
          <t>NEW-0085</t>
        </is>
      </c>
      <c r="B161" s="23">
        <f>IFERROR(IF(ISBLANK(INDEX(Backlog[Requirement Name],MATCH($A161,Backlog[Requirement ID],0))),"",INDEX(Backlog[Requirement Name],MATCH($A161,Backlog[Requirement ID],0))),"")</f>
        <v/>
      </c>
      <c r="C161" s="23">
        <f>IFERROR(IF(ISBLANK(INDEX(Backlog[Stream],MATCH($A161,Backlog[Requirement ID],0))),"",INDEX(Backlog[Stream],MATCH($A161,Backlog[Requirement ID],0))),"")</f>
        <v/>
      </c>
      <c r="D161" s="23">
        <f>IFERROR(IF(ISBLANK(INDEX(SprintPlanning[Sprint],MATCH($A161,SprintPlanning[Requirement ID],0))),"",INDEX(SprintPlanning[Sprint],MATCH($A161,SprintPlanning[Requirement ID],0))),"")</f>
        <v/>
      </c>
      <c r="E161" s="23">
        <f>IFERROR(IF(ISBLANK(INDEX(Backlog[Status],MATCH($A161,Backlog[Requirement ID],0))),"",INDEX(Backlog[Status],MATCH($A161,Backlog[Requirement ID],0))),"")</f>
        <v/>
      </c>
      <c r="F161" s="23">
        <f>IFERROR(IF(ISBLANK(INDEX(Backlog[Priority],MATCH($A161,Backlog[Requirement ID],0))),"",INDEX(Backlog[Priority],MATCH($A161,Backlog[Requirement ID],0))),"")</f>
        <v/>
      </c>
      <c r="G161" s="21" t="n"/>
      <c r="H161" s="23">
        <f>IFERROR(IF(ISBLANK(INDEX(Backlog[HLE],MATCH($A161,Backlog[Requirement ID],0))),"",INDEX(Backlog[HLE],MATCH($A161,Backlog[Requirement ID],0))),"")</f>
        <v/>
      </c>
      <c r="I161" s="53" t="n"/>
      <c r="J161" s="57" t="n"/>
    </row>
    <row r="162" ht="15" customHeight="1">
      <c r="A162" s="21" t="inlineStr">
        <is>
          <t>NEW-0086</t>
        </is>
      </c>
      <c r="B162" s="23">
        <f>IFERROR(IF(ISBLANK(INDEX(Backlog[Requirement Name],MATCH($A162,Backlog[Requirement ID],0))),"",INDEX(Backlog[Requirement Name],MATCH($A162,Backlog[Requirement ID],0))),"")</f>
        <v/>
      </c>
      <c r="C162" s="23">
        <f>IFERROR(IF(ISBLANK(INDEX(Backlog[Stream],MATCH($A162,Backlog[Requirement ID],0))),"",INDEX(Backlog[Stream],MATCH($A162,Backlog[Requirement ID],0))),"")</f>
        <v/>
      </c>
      <c r="D162" s="23">
        <f>IFERROR(IF(ISBLANK(INDEX(SprintPlanning[Sprint],MATCH($A162,SprintPlanning[Requirement ID],0))),"",INDEX(SprintPlanning[Sprint],MATCH($A162,SprintPlanning[Requirement ID],0))),"")</f>
        <v/>
      </c>
      <c r="E162" s="23">
        <f>IFERROR(IF(ISBLANK(INDEX(Backlog[Status],MATCH($A162,Backlog[Requirement ID],0))),"",INDEX(Backlog[Status],MATCH($A162,Backlog[Requirement ID],0))),"")</f>
        <v/>
      </c>
      <c r="F162" s="23">
        <f>IFERROR(IF(ISBLANK(INDEX(Backlog[Priority],MATCH($A162,Backlog[Requirement ID],0))),"",INDEX(Backlog[Priority],MATCH($A162,Backlog[Requirement ID],0))),"")</f>
        <v/>
      </c>
      <c r="G162" s="21" t="n"/>
      <c r="H162" s="23">
        <f>IFERROR(IF(ISBLANK(INDEX(Backlog[HLE],MATCH($A162,Backlog[Requirement ID],0))),"",INDEX(Backlog[HLE],MATCH($A162,Backlog[Requirement ID],0))),"")</f>
        <v/>
      </c>
      <c r="I162" s="53" t="n"/>
      <c r="J162" s="57" t="n"/>
    </row>
    <row r="163" ht="15" customHeight="1">
      <c r="A163" s="21" t="inlineStr">
        <is>
          <t>NEW-0087</t>
        </is>
      </c>
      <c r="B163" s="23">
        <f>IFERROR(IF(ISBLANK(INDEX(Backlog[Requirement Name],MATCH($A163,Backlog[Requirement ID],0))),"",INDEX(Backlog[Requirement Name],MATCH($A163,Backlog[Requirement ID],0))),"")</f>
        <v/>
      </c>
      <c r="C163" s="23">
        <f>IFERROR(IF(ISBLANK(INDEX(Backlog[Stream],MATCH($A163,Backlog[Requirement ID],0))),"",INDEX(Backlog[Stream],MATCH($A163,Backlog[Requirement ID],0))),"")</f>
        <v/>
      </c>
      <c r="D163" s="23">
        <f>IFERROR(IF(ISBLANK(INDEX(SprintPlanning[Sprint],MATCH($A163,SprintPlanning[Requirement ID],0))),"",INDEX(SprintPlanning[Sprint],MATCH($A163,SprintPlanning[Requirement ID],0))),"")</f>
        <v/>
      </c>
      <c r="E163" s="23">
        <f>IFERROR(IF(ISBLANK(INDEX(Backlog[Status],MATCH($A163,Backlog[Requirement ID],0))),"",INDEX(Backlog[Status],MATCH($A163,Backlog[Requirement ID],0))),"")</f>
        <v/>
      </c>
      <c r="F163" s="23">
        <f>IFERROR(IF(ISBLANK(INDEX(Backlog[Priority],MATCH($A163,Backlog[Requirement ID],0))),"",INDEX(Backlog[Priority],MATCH($A163,Backlog[Requirement ID],0))),"")</f>
        <v/>
      </c>
      <c r="G163" s="21" t="n"/>
      <c r="H163" s="23">
        <f>IFERROR(IF(ISBLANK(INDEX(Backlog[HLE],MATCH($A163,Backlog[Requirement ID],0))),"",INDEX(Backlog[HLE],MATCH($A163,Backlog[Requirement ID],0))),"")</f>
        <v/>
      </c>
      <c r="I163" s="53" t="n"/>
      <c r="J163" s="57" t="n"/>
    </row>
    <row r="164" ht="15" customHeight="1">
      <c r="A164" s="21" t="inlineStr">
        <is>
          <t>NEW-0001</t>
        </is>
      </c>
      <c r="B164" s="23">
        <f>IFERROR(IF(ISBLANK(INDEX(Backlog[Requirement Name],MATCH($A164,Backlog[Requirement ID],0))),"",INDEX(Backlog[Requirement Name],MATCH($A164,Backlog[Requirement ID],0))),"")</f>
        <v/>
      </c>
      <c r="C164" s="23">
        <f>IFERROR(IF(ISBLANK(INDEX(Backlog[Stream],MATCH($A164,Backlog[Requirement ID],0))),"",INDEX(Backlog[Stream],MATCH($A164,Backlog[Requirement ID],0))),"")</f>
        <v/>
      </c>
      <c r="D164" s="23">
        <f>IFERROR(IF(ISBLANK(INDEX(SprintPlanning[Sprint],MATCH($A164,SprintPlanning[Requirement ID],0))),"",INDEX(SprintPlanning[Sprint],MATCH($A164,SprintPlanning[Requirement ID],0))),"")</f>
        <v/>
      </c>
      <c r="E164" s="23">
        <f>IFERROR(IF(ISBLANK(INDEX(Backlog[Status],MATCH($A164,Backlog[Requirement ID],0))),"",INDEX(Backlog[Status],MATCH($A164,Backlog[Requirement ID],0))),"")</f>
        <v/>
      </c>
      <c r="F164" s="23">
        <f>IFERROR(IF(ISBLANK(INDEX(Backlog[Priority],MATCH($A164,Backlog[Requirement ID],0))),"",INDEX(Backlog[Priority],MATCH($A164,Backlog[Requirement ID],0))),"")</f>
        <v/>
      </c>
      <c r="G164" s="21" t="n"/>
      <c r="H164" s="23">
        <f>IFERROR(IF(ISBLANK(INDEX(Backlog[HLE],MATCH($A164,Backlog[Requirement ID],0))),"",INDEX(Backlog[HLE],MATCH($A164,Backlog[Requirement ID],0))),"")</f>
        <v/>
      </c>
      <c r="I164" s="53" t="n"/>
      <c r="J164" s="57" t="n"/>
    </row>
    <row r="165" ht="15" customHeight="1">
      <c r="A165" s="21" t="inlineStr">
        <is>
          <t>NEW-0003</t>
        </is>
      </c>
      <c r="B165" s="23">
        <f>IFERROR(IF(ISBLANK(INDEX(Backlog[Requirement Name],MATCH($A165,Backlog[Requirement ID],0))),"",INDEX(Backlog[Requirement Name],MATCH($A165,Backlog[Requirement ID],0))),"")</f>
        <v/>
      </c>
      <c r="C165" s="23">
        <f>IFERROR(IF(ISBLANK(INDEX(Backlog[Stream],MATCH($A165,Backlog[Requirement ID],0))),"",INDEX(Backlog[Stream],MATCH($A165,Backlog[Requirement ID],0))),"")</f>
        <v/>
      </c>
      <c r="D165" s="23">
        <f>IFERROR(IF(ISBLANK(INDEX(SprintPlanning[Sprint],MATCH($A165,SprintPlanning[Requirement ID],0))),"",INDEX(SprintPlanning[Sprint],MATCH($A165,SprintPlanning[Requirement ID],0))),"")</f>
        <v/>
      </c>
      <c r="E165" s="23">
        <f>IFERROR(IF(ISBLANK(INDEX(Backlog[Status],MATCH($A165,Backlog[Requirement ID],0))),"",INDEX(Backlog[Status],MATCH($A165,Backlog[Requirement ID],0))),"")</f>
        <v/>
      </c>
      <c r="F165" s="23">
        <f>IFERROR(IF(ISBLANK(INDEX(Backlog[Priority],MATCH($A165,Backlog[Requirement ID],0))),"",INDEX(Backlog[Priority],MATCH($A165,Backlog[Requirement ID],0))),"")</f>
        <v/>
      </c>
      <c r="G165" s="21" t="n"/>
      <c r="H165" s="23">
        <f>IFERROR(IF(ISBLANK(INDEX(Backlog[HLE],MATCH($A165,Backlog[Requirement ID],0))),"",INDEX(Backlog[HLE],MATCH($A165,Backlog[Requirement ID],0))),"")</f>
        <v/>
      </c>
      <c r="I165" s="53" t="n"/>
      <c r="J165" s="57" t="n"/>
    </row>
    <row r="166" ht="15" customHeight="1">
      <c r="A166" s="21" t="inlineStr">
        <is>
          <t>NEW-0029</t>
        </is>
      </c>
      <c r="B166" s="23">
        <f>IFERROR(IF(ISBLANK(INDEX(Backlog[Requirement Name],MATCH($A166,Backlog[Requirement ID],0))),"",INDEX(Backlog[Requirement Name],MATCH($A166,Backlog[Requirement ID],0))),"")</f>
        <v/>
      </c>
      <c r="C166" s="23">
        <f>IFERROR(IF(ISBLANK(INDEX(Backlog[Stream],MATCH($A166,Backlog[Requirement ID],0))),"",INDEX(Backlog[Stream],MATCH($A166,Backlog[Requirement ID],0))),"")</f>
        <v/>
      </c>
      <c r="D166" s="23">
        <f>IFERROR(IF(ISBLANK(INDEX(SprintPlanning[Sprint],MATCH($A166,SprintPlanning[Requirement ID],0))),"",INDEX(SprintPlanning[Sprint],MATCH($A166,SprintPlanning[Requirement ID],0))),"")</f>
        <v/>
      </c>
      <c r="E166" s="23">
        <f>IFERROR(IF(ISBLANK(INDEX(Backlog[Status],MATCH($A166,Backlog[Requirement ID],0))),"",INDEX(Backlog[Status],MATCH($A166,Backlog[Requirement ID],0))),"")</f>
        <v/>
      </c>
      <c r="F166" s="23">
        <f>IFERROR(IF(ISBLANK(INDEX(Backlog[Priority],MATCH($A166,Backlog[Requirement ID],0))),"",INDEX(Backlog[Priority],MATCH($A166,Backlog[Requirement ID],0))),"")</f>
        <v/>
      </c>
      <c r="G166" s="21" t="n"/>
      <c r="H166" s="23">
        <f>IFERROR(IF(ISBLANK(INDEX(Backlog[HLE],MATCH($A166,Backlog[Requirement ID],0))),"",INDEX(Backlog[HLE],MATCH($A166,Backlog[Requirement ID],0))),"")</f>
        <v/>
      </c>
      <c r="I166" s="53" t="n"/>
      <c r="J166" s="57" t="n"/>
    </row>
    <row r="167" ht="15" customHeight="1">
      <c r="A167" s="21" t="inlineStr">
        <is>
          <t>NEW-0030</t>
        </is>
      </c>
      <c r="B167" s="23">
        <f>IFERROR(IF(ISBLANK(INDEX(Backlog[Requirement Name],MATCH($A167,Backlog[Requirement ID],0))),"",INDEX(Backlog[Requirement Name],MATCH($A167,Backlog[Requirement ID],0))),"")</f>
        <v/>
      </c>
      <c r="C167" s="23">
        <f>IFERROR(IF(ISBLANK(INDEX(Backlog[Stream],MATCH($A167,Backlog[Requirement ID],0))),"",INDEX(Backlog[Stream],MATCH($A167,Backlog[Requirement ID],0))),"")</f>
        <v/>
      </c>
      <c r="D167" s="23">
        <f>IFERROR(IF(ISBLANK(INDEX(SprintPlanning[Sprint],MATCH($A167,SprintPlanning[Requirement ID],0))),"",INDEX(SprintPlanning[Sprint],MATCH($A167,SprintPlanning[Requirement ID],0))),"")</f>
        <v/>
      </c>
      <c r="E167" s="23">
        <f>IFERROR(IF(ISBLANK(INDEX(Backlog[Status],MATCH($A167,Backlog[Requirement ID],0))),"",INDEX(Backlog[Status],MATCH($A167,Backlog[Requirement ID],0))),"")</f>
        <v/>
      </c>
      <c r="F167" s="23">
        <f>IFERROR(IF(ISBLANK(INDEX(Backlog[Priority],MATCH($A167,Backlog[Requirement ID],0))),"",INDEX(Backlog[Priority],MATCH($A167,Backlog[Requirement ID],0))),"")</f>
        <v/>
      </c>
      <c r="G167" s="21" t="n"/>
      <c r="H167" s="23">
        <f>IFERROR(IF(ISBLANK(INDEX(Backlog[HLE],MATCH($A167,Backlog[Requirement ID],0))),"",INDEX(Backlog[HLE],MATCH($A167,Backlog[Requirement ID],0))),"")</f>
        <v/>
      </c>
      <c r="I167" s="53" t="n"/>
      <c r="J167" s="57" t="n"/>
    </row>
    <row r="168" ht="15" customHeight="1">
      <c r="A168" s="21" t="inlineStr">
        <is>
          <t>NEW-0032</t>
        </is>
      </c>
      <c r="B168" s="23">
        <f>IFERROR(IF(ISBLANK(INDEX(Backlog[Requirement Name],MATCH($A168,Backlog[Requirement ID],0))),"",INDEX(Backlog[Requirement Name],MATCH($A168,Backlog[Requirement ID],0))),"")</f>
        <v/>
      </c>
      <c r="C168" s="23">
        <f>IFERROR(IF(ISBLANK(INDEX(Backlog[Stream],MATCH($A168,Backlog[Requirement ID],0))),"",INDEX(Backlog[Stream],MATCH($A168,Backlog[Requirement ID],0))),"")</f>
        <v/>
      </c>
      <c r="D168" s="23">
        <f>IFERROR(IF(ISBLANK(INDEX(SprintPlanning[Sprint],MATCH($A168,SprintPlanning[Requirement ID],0))),"",INDEX(SprintPlanning[Sprint],MATCH($A168,SprintPlanning[Requirement ID],0))),"")</f>
        <v/>
      </c>
      <c r="E168" s="23">
        <f>IFERROR(IF(ISBLANK(INDEX(Backlog[Status],MATCH($A168,Backlog[Requirement ID],0))),"",INDEX(Backlog[Status],MATCH($A168,Backlog[Requirement ID],0))),"")</f>
        <v/>
      </c>
      <c r="F168" s="23">
        <f>IFERROR(IF(ISBLANK(INDEX(Backlog[Priority],MATCH($A168,Backlog[Requirement ID],0))),"",INDEX(Backlog[Priority],MATCH($A168,Backlog[Requirement ID],0))),"")</f>
        <v/>
      </c>
      <c r="G168" s="21" t="n"/>
      <c r="H168" s="23">
        <f>IFERROR(IF(ISBLANK(INDEX(Backlog[HLE],MATCH($A168,Backlog[Requirement ID],0))),"",INDEX(Backlog[HLE],MATCH($A168,Backlog[Requirement ID],0))),"")</f>
        <v/>
      </c>
      <c r="I168" s="53" t="n"/>
      <c r="J168" s="57" t="n"/>
    </row>
    <row r="169" ht="15" customHeight="1">
      <c r="A169" t="inlineStr">
        <is>
          <t>NEW-0416</t>
        </is>
      </c>
      <c r="B169">
        <f>IFERROR(IF(ISBLANK(INDEX(Backlog[Requirement Name],MATCH($A169,Backlog[Requirement ID],0))),"",INDEX(Backlog[Requirement Name],MATCH($A169,Backlog[Requirement ID],0))),"")</f>
        <v/>
      </c>
      <c r="C169">
        <f>IFERROR(IF(ISBLANK(INDEX(Backlog[Stream],MATCH($A169,Backlog[Requirement ID],0))),"",INDEX(Backlog[Stream],MATCH($A169,Backlog[Requirement ID],0))),"")</f>
        <v/>
      </c>
      <c r="D169">
        <f>IFERROR(IF(ISBLANK(INDEX(SprintPlanning[Sprint],MATCH($A169,SprintPlanning[Requirement ID],0))),"",INDEX(SprintPlanning[Sprint],MATCH($A169,SprintPlanning[Requirement ID],0))),"")</f>
        <v/>
      </c>
      <c r="E169">
        <f>IFERROR(IF(ISBLANK(INDEX(Backlog[Status],MATCH($A169,Backlog[Requirement ID],0))),"",INDEX(Backlog[Status],MATCH($A169,Backlog[Requirement ID],0))),"")</f>
        <v/>
      </c>
      <c r="F169">
        <f>IFERROR(IF(ISBLANK(INDEX(Backlog[Priority],MATCH($A169,Backlog[Requirement ID],0))),"",INDEX(Backlog[Priority],MATCH($A169,Backlog[Requirement ID],0))),"")</f>
        <v/>
      </c>
      <c r="G169" t="inlineStr">
        <is>
          <t>Release 18</t>
        </is>
      </c>
      <c r="H169">
        <f>IFERROR(IF(ISBLANK(INDEX(Backlog[HLE],MATCH($A169,Backlog[Requirement ID],0))),"",INDEX(Backlog[HLE],MATCH($A169,Backlog[Requirement ID],0))),"")</f>
        <v/>
      </c>
      <c r="I169" s="53" t="n"/>
      <c r="J169" s="57" t="n"/>
    </row>
    <row r="170" ht="15" customHeight="1">
      <c r="A170" t="inlineStr">
        <is>
          <t>NEW-0417</t>
        </is>
      </c>
      <c r="B170">
        <f>IFERROR(IF(ISBLANK(INDEX(Backlog[Requirement Name],MATCH($A170,Backlog[Requirement ID],0))),"",INDEX(Backlog[Requirement Name],MATCH($A170,Backlog[Requirement ID],0))),"")</f>
        <v/>
      </c>
      <c r="C170">
        <f>IFERROR(IF(ISBLANK(INDEX(Backlog[Stream],MATCH($A170,Backlog[Requirement ID],0))),"",INDEX(Backlog[Stream],MATCH($A170,Backlog[Requirement ID],0))),"")</f>
        <v/>
      </c>
      <c r="D170">
        <f>IFERROR(IF(ISBLANK(INDEX(SprintPlanning[Sprint],MATCH($A170,SprintPlanning[Requirement ID],0))),"",INDEX(SprintPlanning[Sprint],MATCH($A170,SprintPlanning[Requirement ID],0))),"")</f>
        <v/>
      </c>
      <c r="E170">
        <f>IFERROR(IF(ISBLANK(INDEX(Backlog[Status],MATCH($A170,Backlog[Requirement ID],0))),"",INDEX(Backlog[Status],MATCH($A170,Backlog[Requirement ID],0))),"")</f>
        <v/>
      </c>
      <c r="F170">
        <f>IFERROR(IF(ISBLANK(INDEX(Backlog[Priority],MATCH($A170,Backlog[Requirement ID],0))),"",INDEX(Backlog[Priority],MATCH($A170,Backlog[Requirement ID],0))),"")</f>
        <v/>
      </c>
      <c r="G170" t="inlineStr">
        <is>
          <t>Release 18</t>
        </is>
      </c>
      <c r="H170">
        <f>IFERROR(IF(ISBLANK(INDEX(Backlog[HLE],MATCH($A170,Backlog[Requirement ID],0))),"",INDEX(Backlog[HLE],MATCH($A170,Backlog[Requirement ID],0))),"")</f>
        <v/>
      </c>
      <c r="I170" s="53" t="n"/>
      <c r="J170" s="57" t="n"/>
    </row>
    <row r="171" ht="15" customHeight="1">
      <c r="A171" t="inlineStr">
        <is>
          <t>NEW-0418</t>
        </is>
      </c>
      <c r="B171">
        <f>IFERROR(IF(ISBLANK(INDEX(Backlog[Requirement Name],MATCH($A171,Backlog[Requirement ID],0))),"",INDEX(Backlog[Requirement Name],MATCH($A171,Backlog[Requirement ID],0))),"")</f>
        <v/>
      </c>
      <c r="C171">
        <f>IFERROR(IF(ISBLANK(INDEX(Backlog[Stream],MATCH($A171,Backlog[Requirement ID],0))),"",INDEX(Backlog[Stream],MATCH($A171,Backlog[Requirement ID],0))),"")</f>
        <v/>
      </c>
      <c r="D171">
        <f>IFERROR(IF(ISBLANK(INDEX(SprintPlanning[Sprint],MATCH($A171,SprintPlanning[Requirement ID],0))),"",INDEX(SprintPlanning[Sprint],MATCH($A171,SprintPlanning[Requirement ID],0))),"")</f>
        <v/>
      </c>
      <c r="E171">
        <f>IFERROR(IF(ISBLANK(INDEX(Backlog[Status],MATCH($A171,Backlog[Requirement ID],0))),"",INDEX(Backlog[Status],MATCH($A171,Backlog[Requirement ID],0))),"")</f>
        <v/>
      </c>
      <c r="F171">
        <f>IFERROR(IF(ISBLANK(INDEX(Backlog[Priority],MATCH($A171,Backlog[Requirement ID],0))),"",INDEX(Backlog[Priority],MATCH($A171,Backlog[Requirement ID],0))),"")</f>
        <v/>
      </c>
      <c r="G171" t="inlineStr">
        <is>
          <t>Release 16</t>
        </is>
      </c>
      <c r="H171">
        <f>IFERROR(IF(ISBLANK(INDEX(Backlog[HLE],MATCH($A171,Backlog[Requirement ID],0))),"",INDEX(Backlog[HLE],MATCH($A171,Backlog[Requirement ID],0))),"")</f>
        <v/>
      </c>
      <c r="I171" s="53" t="n"/>
      <c r="J171" s="57" t="n"/>
    </row>
    <row r="172" ht="15" customHeight="1">
      <c r="A172" t="inlineStr">
        <is>
          <t>NEW-0419</t>
        </is>
      </c>
      <c r="B172">
        <f>IFERROR(IF(ISBLANK(INDEX(Backlog[Requirement Name],MATCH($A172,Backlog[Requirement ID],0))),"",INDEX(Backlog[Requirement Name],MATCH($A172,Backlog[Requirement ID],0))),"")</f>
        <v/>
      </c>
      <c r="C172">
        <f>IFERROR(IF(ISBLANK(INDEX(Backlog[Stream],MATCH($A172,Backlog[Requirement ID],0))),"",INDEX(Backlog[Stream],MATCH($A172,Backlog[Requirement ID],0))),"")</f>
        <v/>
      </c>
      <c r="D172">
        <f>IFERROR(IF(ISBLANK(INDEX(SprintPlanning[Sprint],MATCH($A172,SprintPlanning[Requirement ID],0))),"",INDEX(SprintPlanning[Sprint],MATCH($A172,SprintPlanning[Requirement ID],0))),"")</f>
        <v/>
      </c>
      <c r="E172">
        <f>IFERROR(IF(ISBLANK(INDEX(Backlog[Status],MATCH($A172,Backlog[Requirement ID],0))),"",INDEX(Backlog[Status],MATCH($A172,Backlog[Requirement ID],0))),"")</f>
        <v/>
      </c>
      <c r="F172">
        <f>IFERROR(IF(ISBLANK(INDEX(Backlog[Priority],MATCH($A172,Backlog[Requirement ID],0))),"",INDEX(Backlog[Priority],MATCH($A172,Backlog[Requirement ID],0))),"")</f>
        <v/>
      </c>
      <c r="G172" t="inlineStr">
        <is>
          <t>Release 15</t>
        </is>
      </c>
      <c r="H172">
        <f>IFERROR(IF(ISBLANK(INDEX(Backlog[HLE],MATCH($A172,Backlog[Requirement ID],0))),"",INDEX(Backlog[HLE],MATCH($A172,Backlog[Requirement ID],0))),"")</f>
        <v/>
      </c>
      <c r="I172" s="53" t="n"/>
      <c r="J172" s="57" t="n"/>
    </row>
    <row r="173" ht="15" customHeight="1">
      <c r="A173" t="inlineStr">
        <is>
          <t>NEW-0420</t>
        </is>
      </c>
      <c r="B173">
        <f>IFERROR(IF(ISBLANK(INDEX(Backlog[Requirement Name],MATCH($A173,Backlog[Requirement ID],0))),"",INDEX(Backlog[Requirement Name],MATCH($A173,Backlog[Requirement ID],0))),"")</f>
        <v/>
      </c>
      <c r="C173">
        <f>IFERROR(IF(ISBLANK(INDEX(Backlog[Stream],MATCH($A173,Backlog[Requirement ID],0))),"",INDEX(Backlog[Stream],MATCH($A173,Backlog[Requirement ID],0))),"")</f>
        <v/>
      </c>
      <c r="D173">
        <f>IFERROR(IF(ISBLANK(INDEX(SprintPlanning[Sprint],MATCH($A173,SprintPlanning[Requirement ID],0))),"",INDEX(SprintPlanning[Sprint],MATCH($A173,SprintPlanning[Requirement ID],0))),"")</f>
        <v/>
      </c>
      <c r="E173">
        <f>IFERROR(IF(ISBLANK(INDEX(Backlog[Status],MATCH($A173,Backlog[Requirement ID],0))),"",INDEX(Backlog[Status],MATCH($A173,Backlog[Requirement ID],0))),"")</f>
        <v/>
      </c>
      <c r="F173">
        <f>IFERROR(IF(ISBLANK(INDEX(Backlog[Priority],MATCH($A173,Backlog[Requirement ID],0))),"",INDEX(Backlog[Priority],MATCH($A173,Backlog[Requirement ID],0))),"")</f>
        <v/>
      </c>
      <c r="G173" t="inlineStr">
        <is>
          <t>Release 15</t>
        </is>
      </c>
      <c r="H173">
        <f>IFERROR(IF(ISBLANK(INDEX(Backlog[HLE],MATCH($A173,Backlog[Requirement ID],0))),"",INDEX(Backlog[HLE],MATCH($A173,Backlog[Requirement ID],0))),"")</f>
        <v/>
      </c>
      <c r="I173" s="53" t="n"/>
      <c r="J173" s="57" t="n"/>
    </row>
    <row r="174" ht="15" customHeight="1">
      <c r="A174" t="inlineStr">
        <is>
          <t>NEW-0421</t>
        </is>
      </c>
      <c r="B174">
        <f>IFERROR(IF(ISBLANK(INDEX(Backlog[Requirement Name],MATCH($A174,Backlog[Requirement ID],0))),"",INDEX(Backlog[Requirement Name],MATCH($A174,Backlog[Requirement ID],0))),"")</f>
        <v/>
      </c>
      <c r="C174">
        <f>IFERROR(IF(ISBLANK(INDEX(Backlog[Stream],MATCH($A174,Backlog[Requirement ID],0))),"",INDEX(Backlog[Stream],MATCH($A174,Backlog[Requirement ID],0))),"")</f>
        <v/>
      </c>
      <c r="D174">
        <f>IFERROR(IF(ISBLANK(INDEX(SprintPlanning[Sprint],MATCH($A174,SprintPlanning[Requirement ID],0))),"",INDEX(SprintPlanning[Sprint],MATCH($A174,SprintPlanning[Requirement ID],0))),"")</f>
        <v/>
      </c>
      <c r="E174">
        <f>IFERROR(IF(ISBLANK(INDEX(Backlog[Status],MATCH($A174,Backlog[Requirement ID],0))),"",INDEX(Backlog[Status],MATCH($A174,Backlog[Requirement ID],0))),"")</f>
        <v/>
      </c>
      <c r="F174">
        <f>IFERROR(IF(ISBLANK(INDEX(Backlog[Priority],MATCH($A174,Backlog[Requirement ID],0))),"",INDEX(Backlog[Priority],MATCH($A174,Backlog[Requirement ID],0))),"")</f>
        <v/>
      </c>
      <c r="G174" t="inlineStr">
        <is>
          <t>Release 15</t>
        </is>
      </c>
      <c r="H174">
        <f>IFERROR(IF(ISBLANK(INDEX(Backlog[HLE],MATCH($A174,Backlog[Requirement ID],0))),"",INDEX(Backlog[HLE],MATCH($A174,Backlog[Requirement ID],0))),"")</f>
        <v/>
      </c>
      <c r="I174" s="53" t="n"/>
      <c r="J174" s="57" t="n"/>
    </row>
    <row r="175" ht="15" customHeight="1">
      <c r="A175" t="inlineStr">
        <is>
          <t>NEW-0422</t>
        </is>
      </c>
      <c r="B175">
        <f>IFERROR(IF(ISBLANK(INDEX(Backlog[Requirement Name],MATCH($A175,Backlog[Requirement ID],0))),"",INDEX(Backlog[Requirement Name],MATCH($A175,Backlog[Requirement ID],0))),"")</f>
        <v/>
      </c>
      <c r="C175">
        <f>IFERROR(IF(ISBLANK(INDEX(Backlog[Stream],MATCH($A175,Backlog[Requirement ID],0))),"",INDEX(Backlog[Stream],MATCH($A175,Backlog[Requirement ID],0))),"")</f>
        <v/>
      </c>
      <c r="D175">
        <f>IFERROR(IF(ISBLANK(INDEX(SprintPlanning[Sprint],MATCH($A175,SprintPlanning[Requirement ID],0))),"",INDEX(SprintPlanning[Sprint],MATCH($A175,SprintPlanning[Requirement ID],0))),"")</f>
        <v/>
      </c>
      <c r="E175">
        <f>IFERROR(IF(ISBLANK(INDEX(Backlog[Status],MATCH($A175,Backlog[Requirement ID],0))),"",INDEX(Backlog[Status],MATCH($A175,Backlog[Requirement ID],0))),"")</f>
        <v/>
      </c>
      <c r="F175">
        <f>IFERROR(IF(ISBLANK(INDEX(Backlog[Priority],MATCH($A175,Backlog[Requirement ID],0))),"",INDEX(Backlog[Priority],MATCH($A175,Backlog[Requirement ID],0))),"")</f>
        <v/>
      </c>
      <c r="G175" t="inlineStr">
        <is>
          <t>Release 15</t>
        </is>
      </c>
      <c r="H175">
        <f>IFERROR(IF(ISBLANK(INDEX(Backlog[HLE],MATCH($A175,Backlog[Requirement ID],0))),"",INDEX(Backlog[HLE],MATCH($A175,Backlog[Requirement ID],0))),"")</f>
        <v/>
      </c>
      <c r="I175" s="53" t="n"/>
      <c r="J175" s="57" t="n"/>
    </row>
    <row r="176" ht="15" customHeight="1">
      <c r="A176" t="inlineStr">
        <is>
          <t>NEW-0423</t>
        </is>
      </c>
      <c r="B176">
        <f>IFERROR(IF(ISBLANK(INDEX(Backlog[Requirement Name],MATCH($A176,Backlog[Requirement ID],0))),"",INDEX(Backlog[Requirement Name],MATCH($A176,Backlog[Requirement ID],0))),"")</f>
        <v/>
      </c>
      <c r="C176">
        <f>IFERROR(IF(ISBLANK(INDEX(Backlog[Stream],MATCH($A176,Backlog[Requirement ID],0))),"",INDEX(Backlog[Stream],MATCH($A176,Backlog[Requirement ID],0))),"")</f>
        <v/>
      </c>
      <c r="D176">
        <f>IFERROR(IF(ISBLANK(INDEX(SprintPlanning[Sprint],MATCH($A176,SprintPlanning[Requirement ID],0))),"",INDEX(SprintPlanning[Sprint],MATCH($A176,SprintPlanning[Requirement ID],0))),"")</f>
        <v/>
      </c>
      <c r="E176">
        <f>IFERROR(IF(ISBLANK(INDEX(Backlog[Status],MATCH($A176,Backlog[Requirement ID],0))),"",INDEX(Backlog[Status],MATCH($A176,Backlog[Requirement ID],0))),"")</f>
        <v/>
      </c>
      <c r="F176">
        <f>IFERROR(IF(ISBLANK(INDEX(Backlog[Priority],MATCH($A176,Backlog[Requirement ID],0))),"",INDEX(Backlog[Priority],MATCH($A176,Backlog[Requirement ID],0))),"")</f>
        <v/>
      </c>
      <c r="G176" t="inlineStr">
        <is>
          <t>Release 9</t>
        </is>
      </c>
      <c r="H176">
        <f>IFERROR(IF(ISBLANK(INDEX(Backlog[HLE],MATCH($A176,Backlog[Requirement ID],0))),"",INDEX(Backlog[HLE],MATCH($A176,Backlog[Requirement ID],0))),"")</f>
        <v/>
      </c>
      <c r="I176" s="53" t="n"/>
      <c r="J176" s="57" t="n"/>
    </row>
    <row r="177" ht="15" customHeight="1">
      <c r="A177" t="inlineStr">
        <is>
          <t>NEW-0408</t>
        </is>
      </c>
      <c r="B177">
        <f>IFERROR(IF(ISBLANK(INDEX(Backlog[Requirement Name],MATCH($A177,Backlog[Requirement ID],0))),"",INDEX(Backlog[Requirement Name],MATCH($A177,Backlog[Requirement ID],0))),"")</f>
        <v/>
      </c>
      <c r="C177">
        <f>IFERROR(IF(ISBLANK(INDEX(Backlog[Stream],MATCH($A177,Backlog[Requirement ID],0))),"",INDEX(Backlog[Stream],MATCH($A177,Backlog[Requirement ID],0))),"")</f>
        <v/>
      </c>
      <c r="D177">
        <f>IFERROR(IF(ISBLANK(INDEX(SprintPlanning[Sprint],MATCH($A177,SprintPlanning[Requirement ID],0))),"",INDEX(SprintPlanning[Sprint],MATCH($A177,SprintPlanning[Requirement ID],0))),"")</f>
        <v/>
      </c>
      <c r="E177">
        <f>IFERROR(IF(ISBLANK(INDEX(Backlog[Status],MATCH($A177,Backlog[Requirement ID],0))),"",INDEX(Backlog[Status],MATCH($A177,Backlog[Requirement ID],0))),"")</f>
        <v/>
      </c>
      <c r="F177">
        <f>IFERROR(IF(ISBLANK(INDEX(Backlog[Priority],MATCH($A177,Backlog[Requirement ID],0))),"",INDEX(Backlog[Priority],MATCH($A177,Backlog[Requirement ID],0))),"")</f>
        <v/>
      </c>
      <c r="H177">
        <f>IFERROR(IF(ISBLANK(INDEX(Backlog[HLE],MATCH($A177,Backlog[Requirement ID],0))),"",INDEX(Backlog[HLE],MATCH($A177,Backlog[Requirement ID],0))),"")</f>
        <v/>
      </c>
      <c r="I177" s="53" t="n"/>
      <c r="J177" s="57" t="n"/>
    </row>
    <row r="178" ht="15" customHeight="1">
      <c r="A178" t="inlineStr">
        <is>
          <t>NEW-0409</t>
        </is>
      </c>
      <c r="B178">
        <f>IFERROR(IF(ISBLANK(INDEX(Backlog[Requirement Name],MATCH($A178,Backlog[Requirement ID],0))),"",INDEX(Backlog[Requirement Name],MATCH($A178,Backlog[Requirement ID],0))),"")</f>
        <v/>
      </c>
      <c r="C178">
        <f>IFERROR(IF(ISBLANK(INDEX(Backlog[Stream],MATCH($A178,Backlog[Requirement ID],0))),"",INDEX(Backlog[Stream],MATCH($A178,Backlog[Requirement ID],0))),"")</f>
        <v/>
      </c>
      <c r="D178">
        <f>IFERROR(IF(ISBLANK(INDEX(SprintPlanning[Sprint],MATCH($A178,SprintPlanning[Requirement ID],0))),"",INDEX(SprintPlanning[Sprint],MATCH($A178,SprintPlanning[Requirement ID],0))),"")</f>
        <v/>
      </c>
      <c r="E178">
        <f>IFERROR(IF(ISBLANK(INDEX(Backlog[Status],MATCH($A178,Backlog[Requirement ID],0))),"",INDEX(Backlog[Status],MATCH($A178,Backlog[Requirement ID],0))),"")</f>
        <v/>
      </c>
      <c r="F178">
        <f>IFERROR(IF(ISBLANK(INDEX(Backlog[Priority],MATCH($A178,Backlog[Requirement ID],0))),"",INDEX(Backlog[Priority],MATCH($A178,Backlog[Requirement ID],0))),"")</f>
        <v/>
      </c>
      <c r="H178">
        <f>IFERROR(IF(ISBLANK(INDEX(Backlog[HLE],MATCH($A178,Backlog[Requirement ID],0))),"",INDEX(Backlog[HLE],MATCH($A178,Backlog[Requirement ID],0))),"")</f>
        <v/>
      </c>
      <c r="I178" s="53" t="n"/>
      <c r="J178" s="57" t="n"/>
    </row>
    <row r="179" ht="15" customHeight="1">
      <c r="A179" t="inlineStr">
        <is>
          <t>NEW-0410</t>
        </is>
      </c>
      <c r="B179">
        <f>IFERROR(IF(ISBLANK(INDEX(Backlog[Requirement Name],MATCH($A179,Backlog[Requirement ID],0))),"",INDEX(Backlog[Requirement Name],MATCH($A179,Backlog[Requirement ID],0))),"")</f>
        <v/>
      </c>
      <c r="C179">
        <f>IFERROR(IF(ISBLANK(INDEX(Backlog[Stream],MATCH($A179,Backlog[Requirement ID],0))),"",INDEX(Backlog[Stream],MATCH($A179,Backlog[Requirement ID],0))),"")</f>
        <v/>
      </c>
      <c r="D179">
        <f>IFERROR(IF(ISBLANK(INDEX(SprintPlanning[Sprint],MATCH($A179,SprintPlanning[Requirement ID],0))),"",INDEX(SprintPlanning[Sprint],MATCH($A179,SprintPlanning[Requirement ID],0))),"")</f>
        <v/>
      </c>
      <c r="E179">
        <f>IFERROR(IF(ISBLANK(INDEX(Backlog[Status],MATCH($A179,Backlog[Requirement ID],0))),"",INDEX(Backlog[Status],MATCH($A179,Backlog[Requirement ID],0))),"")</f>
        <v/>
      </c>
      <c r="F179">
        <f>IFERROR(IF(ISBLANK(INDEX(Backlog[Priority],MATCH($A179,Backlog[Requirement ID],0))),"",INDEX(Backlog[Priority],MATCH($A179,Backlog[Requirement ID],0))),"")</f>
        <v/>
      </c>
      <c r="H179">
        <f>IFERROR(IF(ISBLANK(INDEX(Backlog[HLE],MATCH($A179,Backlog[Requirement ID],0))),"",INDEX(Backlog[HLE],MATCH($A179,Backlog[Requirement ID],0))),"")</f>
        <v/>
      </c>
      <c r="I179" s="53" t="n"/>
      <c r="J179" s="57" t="n"/>
    </row>
    <row r="180" ht="15" customHeight="1">
      <c r="A180" t="inlineStr">
        <is>
          <t>NEW-0411</t>
        </is>
      </c>
      <c r="B180">
        <f>IFERROR(IF(ISBLANK(INDEX(Backlog[Requirement Name],MATCH($A180,Backlog[Requirement ID],0))),"",INDEX(Backlog[Requirement Name],MATCH($A180,Backlog[Requirement ID],0))),"")</f>
        <v/>
      </c>
      <c r="C180">
        <f>IFERROR(IF(ISBLANK(INDEX(Backlog[Stream],MATCH($A180,Backlog[Requirement ID],0))),"",INDEX(Backlog[Stream],MATCH($A180,Backlog[Requirement ID],0))),"")</f>
        <v/>
      </c>
      <c r="D180">
        <f>IFERROR(IF(ISBLANK(INDEX(SprintPlanning[Sprint],MATCH($A180,SprintPlanning[Requirement ID],0))),"",INDEX(SprintPlanning[Sprint],MATCH($A180,SprintPlanning[Requirement ID],0))),"")</f>
        <v/>
      </c>
      <c r="E180">
        <f>IFERROR(IF(ISBLANK(INDEX(Backlog[Status],MATCH($A180,Backlog[Requirement ID],0))),"",INDEX(Backlog[Status],MATCH($A180,Backlog[Requirement ID],0))),"")</f>
        <v/>
      </c>
      <c r="F180">
        <f>IFERROR(IF(ISBLANK(INDEX(Backlog[Priority],MATCH($A180,Backlog[Requirement ID],0))),"",INDEX(Backlog[Priority],MATCH($A180,Backlog[Requirement ID],0))),"")</f>
        <v/>
      </c>
      <c r="H180">
        <f>IFERROR(IF(ISBLANK(INDEX(Backlog[HLE],MATCH($A180,Backlog[Requirement ID],0))),"",INDEX(Backlog[HLE],MATCH($A180,Backlog[Requirement ID],0))),"")</f>
        <v/>
      </c>
      <c r="I180" s="53" t="n"/>
      <c r="J180" s="57" t="n"/>
    </row>
    <row r="181" ht="15" customHeight="1">
      <c r="A181" t="inlineStr">
        <is>
          <t>NEW-0412</t>
        </is>
      </c>
      <c r="B181">
        <f>IFERROR(IF(ISBLANK(INDEX(Backlog[Requirement Name],MATCH($A181,Backlog[Requirement ID],0))),"",INDEX(Backlog[Requirement Name],MATCH($A181,Backlog[Requirement ID],0))),"")</f>
        <v/>
      </c>
      <c r="C181">
        <f>IFERROR(IF(ISBLANK(INDEX(Backlog[Stream],MATCH($A181,Backlog[Requirement ID],0))),"",INDEX(Backlog[Stream],MATCH($A181,Backlog[Requirement ID],0))),"")</f>
        <v/>
      </c>
      <c r="D181">
        <f>IFERROR(IF(ISBLANK(INDEX(SprintPlanning[Sprint],MATCH($A181,SprintPlanning[Requirement ID],0))),"",INDEX(SprintPlanning[Sprint],MATCH($A181,SprintPlanning[Requirement ID],0))),"")</f>
        <v/>
      </c>
      <c r="E181">
        <f>IFERROR(IF(ISBLANK(INDEX(Backlog[Status],MATCH($A181,Backlog[Requirement ID],0))),"",INDEX(Backlog[Status],MATCH($A181,Backlog[Requirement ID],0))),"")</f>
        <v/>
      </c>
      <c r="F181">
        <f>IFERROR(IF(ISBLANK(INDEX(Backlog[Priority],MATCH($A181,Backlog[Requirement ID],0))),"",INDEX(Backlog[Priority],MATCH($A181,Backlog[Requirement ID],0))),"")</f>
        <v/>
      </c>
      <c r="H181">
        <f>IFERROR(IF(ISBLANK(INDEX(Backlog[HLE],MATCH($A181,Backlog[Requirement ID],0))),"",INDEX(Backlog[HLE],MATCH($A181,Backlog[Requirement ID],0))),"")</f>
        <v/>
      </c>
      <c r="I181" s="53" t="n"/>
      <c r="J181" s="57" t="n"/>
    </row>
    <row r="182" ht="15" customHeight="1">
      <c r="A182" t="inlineStr">
        <is>
          <t>NEW-0424</t>
        </is>
      </c>
      <c r="B182">
        <f>IFERROR(IF(ISBLANK(INDEX(Backlog[Requirement Name],MATCH($A182,Backlog[Requirement ID],0))),"",INDEX(Backlog[Requirement Name],MATCH($A182,Backlog[Requirement ID],0))),"")</f>
        <v/>
      </c>
      <c r="C182">
        <f>IFERROR(IF(ISBLANK(INDEX(Backlog[Stream],MATCH($A182,Backlog[Requirement ID],0))),"",INDEX(Backlog[Stream],MATCH($A182,Backlog[Requirement ID],0))),"")</f>
        <v/>
      </c>
      <c r="D182">
        <f>IFERROR(IF(ISBLANK(INDEX(SprintPlanning[Sprint],MATCH($A182,SprintPlanning[Requirement ID],0))),"",INDEX(SprintPlanning[Sprint],MATCH($A182,SprintPlanning[Requirement ID],0))),"")</f>
        <v/>
      </c>
      <c r="E182">
        <f>IFERROR(IF(ISBLANK(INDEX(Backlog[Status],MATCH($A182,Backlog[Requirement ID],0))),"",INDEX(Backlog[Status],MATCH($A182,Backlog[Requirement ID],0))),"")</f>
        <v/>
      </c>
      <c r="F182">
        <f>IFERROR(IF(ISBLANK(INDEX(Backlog[Priority],MATCH($A182,Backlog[Requirement ID],0))),"",INDEX(Backlog[Priority],MATCH($A182,Backlog[Requirement ID],0))),"")</f>
        <v/>
      </c>
      <c r="H182">
        <f>IFERROR(IF(ISBLANK(INDEX(Backlog[HLE],MATCH($A182,Backlog[Requirement ID],0))),"",INDEX(Backlog[HLE],MATCH($A182,Backlog[Requirement ID],0))),"")</f>
        <v/>
      </c>
      <c r="I182" s="53" t="n"/>
      <c r="J182" s="57" t="n"/>
    </row>
    <row r="183" ht="15" customHeight="1">
      <c r="A183" t="inlineStr">
        <is>
          <t>NEW-0425</t>
        </is>
      </c>
      <c r="B183">
        <f>IFERROR(IF(ISBLANK(INDEX(Backlog[Requirement Name],MATCH($A183,Backlog[Requirement ID],0))),"",INDEX(Backlog[Requirement Name],MATCH($A183,Backlog[Requirement ID],0))),"")</f>
        <v/>
      </c>
      <c r="C183">
        <f>IFERROR(IF(ISBLANK(INDEX(Backlog[Stream],MATCH($A183,Backlog[Requirement ID],0))),"",INDEX(Backlog[Stream],MATCH($A183,Backlog[Requirement ID],0))),"")</f>
        <v/>
      </c>
      <c r="D183">
        <f>IFERROR(IF(ISBLANK(INDEX(SprintPlanning[Sprint],MATCH($A183,SprintPlanning[Requirement ID],0))),"",INDEX(SprintPlanning[Sprint],MATCH($A183,SprintPlanning[Requirement ID],0))),"")</f>
        <v/>
      </c>
      <c r="E183">
        <f>IFERROR(IF(ISBLANK(INDEX(Backlog[Status],MATCH($A183,Backlog[Requirement ID],0))),"",INDEX(Backlog[Status],MATCH($A183,Backlog[Requirement ID],0))),"")</f>
        <v/>
      </c>
      <c r="F183">
        <f>IFERROR(IF(ISBLANK(INDEX(Backlog[Priority],MATCH($A183,Backlog[Requirement ID],0))),"",INDEX(Backlog[Priority],MATCH($A183,Backlog[Requirement ID],0))),"")</f>
        <v/>
      </c>
      <c r="H183">
        <f>IFERROR(IF(ISBLANK(INDEX(Backlog[HLE],MATCH($A183,Backlog[Requirement ID],0))),"",INDEX(Backlog[HLE],MATCH($A183,Backlog[Requirement ID],0))),"")</f>
        <v/>
      </c>
      <c r="I183" s="53" t="n"/>
      <c r="J183" s="57" t="n"/>
    </row>
    <row r="184" ht="15" customHeight="1">
      <c r="A184" t="inlineStr">
        <is>
          <t>NEW-0426</t>
        </is>
      </c>
      <c r="B184">
        <f>IFERROR(IF(ISBLANK(INDEX(Backlog[Requirement Name],MATCH($A184,Backlog[Requirement ID],0))),"",INDEX(Backlog[Requirement Name],MATCH($A184,Backlog[Requirement ID],0))),"")</f>
        <v/>
      </c>
      <c r="C184">
        <f>IFERROR(IF(ISBLANK(INDEX(Backlog[Stream],MATCH($A184,Backlog[Requirement ID],0))),"",INDEX(Backlog[Stream],MATCH($A184,Backlog[Requirement ID],0))),"")</f>
        <v/>
      </c>
      <c r="D184">
        <f>IFERROR(IF(ISBLANK(INDEX(SprintPlanning[Sprint],MATCH($A184,SprintPlanning[Requirement ID],0))),"",INDEX(SprintPlanning[Sprint],MATCH($A184,SprintPlanning[Requirement ID],0))),"")</f>
        <v/>
      </c>
      <c r="E184">
        <f>IFERROR(IF(ISBLANK(INDEX(Backlog[Status],MATCH($A184,Backlog[Requirement ID],0))),"",INDEX(Backlog[Status],MATCH($A184,Backlog[Requirement ID],0))),"")</f>
        <v/>
      </c>
      <c r="F184">
        <f>IFERROR(IF(ISBLANK(INDEX(Backlog[Priority],MATCH($A184,Backlog[Requirement ID],0))),"",INDEX(Backlog[Priority],MATCH($A184,Backlog[Requirement ID],0))),"")</f>
        <v/>
      </c>
      <c r="H184">
        <f>IFERROR(IF(ISBLANK(INDEX(Backlog[HLE],MATCH($A184,Backlog[Requirement ID],0))),"",INDEX(Backlog[HLE],MATCH($A184,Backlog[Requirement ID],0))),"")</f>
        <v/>
      </c>
      <c r="I184" s="53" t="n"/>
      <c r="J184" s="57" t="n"/>
    </row>
    <row r="185" ht="15" customHeight="1">
      <c r="A185" t="inlineStr">
        <is>
          <t>NEW-0427</t>
        </is>
      </c>
      <c r="B185">
        <f>IFERROR(IF(ISBLANK(INDEX(Backlog[Requirement Name],MATCH($A185,Backlog[Requirement ID],0))),"",INDEX(Backlog[Requirement Name],MATCH($A185,Backlog[Requirement ID],0))),"")</f>
        <v/>
      </c>
      <c r="C185">
        <f>IFERROR(IF(ISBLANK(INDEX(Backlog[Stream],MATCH($A185,Backlog[Requirement ID],0))),"",INDEX(Backlog[Stream],MATCH($A185,Backlog[Requirement ID],0))),"")</f>
        <v/>
      </c>
      <c r="D185">
        <f>IFERROR(IF(ISBLANK(INDEX(SprintPlanning[Sprint],MATCH($A185,SprintPlanning[Requirement ID],0))),"",INDEX(SprintPlanning[Sprint],MATCH($A185,SprintPlanning[Requirement ID],0))),"")</f>
        <v/>
      </c>
      <c r="E185">
        <f>IFERROR(IF(ISBLANK(INDEX(Backlog[Status],MATCH($A185,Backlog[Requirement ID],0))),"",INDEX(Backlog[Status],MATCH($A185,Backlog[Requirement ID],0))),"")</f>
        <v/>
      </c>
      <c r="F185">
        <f>IFERROR(IF(ISBLANK(INDEX(Backlog[Priority],MATCH($A185,Backlog[Requirement ID],0))),"",INDEX(Backlog[Priority],MATCH($A185,Backlog[Requirement ID],0))),"")</f>
        <v/>
      </c>
      <c r="H185">
        <f>IFERROR(IF(ISBLANK(INDEX(Backlog[HLE],MATCH($A185,Backlog[Requirement ID],0))),"",INDEX(Backlog[HLE],MATCH($A185,Backlog[Requirement ID],0))),"")</f>
        <v/>
      </c>
    </row>
    <row r="186" ht="15" customHeight="1">
      <c r="A186" t="inlineStr">
        <is>
          <t>NEW-0428</t>
        </is>
      </c>
      <c r="B186">
        <f>IFERROR(IF(ISBLANK(INDEX(Backlog[Requirement Name],MATCH($A186,Backlog[Requirement ID],0))),"",INDEX(Backlog[Requirement Name],MATCH($A186,Backlog[Requirement ID],0))),"")</f>
        <v/>
      </c>
      <c r="C186">
        <f>IFERROR(IF(ISBLANK(INDEX(Backlog[Stream],MATCH($A186,Backlog[Requirement ID],0))),"",INDEX(Backlog[Stream],MATCH($A186,Backlog[Requirement ID],0))),"")</f>
        <v/>
      </c>
      <c r="D186">
        <f>IFERROR(IF(ISBLANK(INDEX(SprintPlanning[Sprint],MATCH($A186,SprintPlanning[Requirement ID],0))),"",INDEX(SprintPlanning[Sprint],MATCH($A186,SprintPlanning[Requirement ID],0))),"")</f>
        <v/>
      </c>
      <c r="E186">
        <f>IFERROR(IF(ISBLANK(INDEX(Backlog[Status],MATCH($A186,Backlog[Requirement ID],0))),"",INDEX(Backlog[Status],MATCH($A186,Backlog[Requirement ID],0))),"")</f>
        <v/>
      </c>
      <c r="F186">
        <f>IFERROR(IF(ISBLANK(INDEX(Backlog[Priority],MATCH($A186,Backlog[Requirement ID],0))),"",INDEX(Backlog[Priority],MATCH($A186,Backlog[Requirement ID],0))),"")</f>
        <v/>
      </c>
      <c r="H186">
        <f>IFERROR(IF(ISBLANK(INDEX(Backlog[HLE],MATCH($A186,Backlog[Requirement ID],0))),"",INDEX(Backlog[HLE],MATCH($A186,Backlog[Requirement ID],0))),"")</f>
        <v/>
      </c>
    </row>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sheetData>
  <mergeCells count="1">
    <mergeCell ref="J1:P1"/>
  </mergeCells>
  <conditionalFormatting sqref="A2:H1000">
    <cfRule type="expression" priority="2" dxfId="7">
      <formula>$C2="US"</formula>
    </cfRule>
    <cfRule type="expression" priority="3" dxfId="6">
      <formula>$C2="MyMSC"</formula>
    </cfRule>
    <cfRule type="expression" priority="4" dxfId="4">
      <formula>$C2="Rollout"</formula>
    </cfRule>
    <cfRule type="expression" priority="5" dxfId="4">
      <formula>$C2="MVP Rollout"</formula>
    </cfRule>
    <cfRule type="expression" priority="6" dxfId="2">
      <formula>$C2="Backlog"</formula>
    </cfRule>
    <cfRule type="expression" priority="7" dxfId="2">
      <formula>$C2="Growth"</formula>
    </cfRule>
    <cfRule type="expression" priority="8" dxfId="1">
      <formula>$C2="Tech Enhancements"</formula>
    </cfRule>
    <cfRule type="expression" priority="9" dxfId="0">
      <formula>LEFT($C2,2)="PI"</formula>
    </cfRule>
  </conditionalFormatting>
  <dataValidations count="2">
    <dataValidation sqref="O3:O100" showDropDown="0" showInputMessage="0" showErrorMessage="0" allowBlank="1" type="list">
      <formula1>"To Plan,Planned,In Progress,Completed"</formula1>
      <formula2>0</formula2>
    </dataValidation>
    <dataValidation sqref="G2:G500" showDropDown="0" showInputMessage="0" showErrorMessage="0" allowBlank="1" type="list">
      <formula1>ReleaseList</formula1>
      <formula2>0</formula2>
    </dataValidation>
  </dataValidations>
  <pageMargins left="0.75" right="0.75" top="1" bottom="1" header="0.511811023622047" footer="0.511811023622047"/>
  <pageSetup orientation="portrait" paperSize="9" horizontalDpi="300" verticalDpi="300"/>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R2"/>
  <sheetViews>
    <sheetView zoomScaleNormal="100" workbookViewId="0">
      <pane ySplit="1" topLeftCell="A2" activePane="bottomLeft" state="frozen"/>
      <selection pane="bottomLeft" activeCell="F37" sqref="F37"/>
    </sheetView>
  </sheetViews>
  <sheetFormatPr baseColWidth="10" defaultColWidth="8.6640625" defaultRowHeight="15"/>
  <cols>
    <col width="16" customWidth="1" min="1" max="1"/>
    <col width="38" customWidth="1" min="2" max="2"/>
    <col width="12" customWidth="1" min="3" max="4"/>
    <col width="14" customWidth="1" min="5" max="5"/>
    <col width="10" customWidth="1" min="6" max="6"/>
    <col width="14" customWidth="1" min="7" max="7"/>
    <col width="30" customWidth="1" min="8" max="8"/>
    <col width="12" customWidth="1" min="9" max="9"/>
    <col width="14" customWidth="1" min="10" max="10"/>
    <col width="12" customWidth="1" min="11" max="11"/>
    <col width="8" customWidth="1" min="12" max="12"/>
  </cols>
  <sheetData>
    <row r="1" ht="30" customHeight="1">
      <c r="A1" s="19" t="inlineStr">
        <is>
          <t>Requirement ID</t>
        </is>
      </c>
      <c r="B1" s="19" t="inlineStr">
        <is>
          <t>Requirement Name</t>
        </is>
      </c>
      <c r="C1" s="19" t="inlineStr">
        <is>
          <t>Type</t>
        </is>
      </c>
      <c r="D1" s="19" t="inlineStr">
        <is>
          <t>Stream</t>
        </is>
      </c>
      <c r="E1" s="19" t="inlineStr">
        <is>
          <t>Stream Owner</t>
        </is>
      </c>
      <c r="F1" s="19" t="inlineStr">
        <is>
          <t>Status</t>
        </is>
      </c>
      <c r="G1" s="19" t="inlineStr">
        <is>
          <t>Jira Key</t>
        </is>
      </c>
      <c r="H1" s="19" t="inlineStr">
        <is>
          <t>Jira Link</t>
        </is>
      </c>
      <c r="I1" s="19" t="inlineStr">
        <is>
          <t>Priority</t>
        </is>
      </c>
      <c r="J1" s="19" t="inlineStr">
        <is>
          <t>Sprint</t>
        </is>
      </c>
      <c r="K1" s="19" t="inlineStr">
        <is>
          <t>Release</t>
        </is>
      </c>
      <c r="L1" s="19" t="inlineStr">
        <is>
          <t>HLE</t>
        </is>
      </c>
      <c r="M1" s="59" t="n"/>
      <c r="N1" s="59" t="n"/>
      <c r="O1" s="59" t="n"/>
      <c r="P1" s="59" t="n"/>
      <c r="Q1" s="59" t="n"/>
      <c r="R1" s="59" t="n"/>
    </row>
    <row r="2" ht="15" customHeight="1">
      <c r="A2" s="23" t="n"/>
      <c r="B2" s="23" t="n"/>
      <c r="C2" s="23" t="n"/>
      <c r="D2" s="23" t="n"/>
      <c r="E2" s="23" t="n"/>
      <c r="F2" s="23" t="n"/>
      <c r="G2" s="23" t="n"/>
      <c r="H2" s="23" t="n"/>
      <c r="I2" s="23" t="n"/>
      <c r="J2" s="23" t="n"/>
      <c r="K2" s="23" t="n"/>
      <c r="L2" s="23" t="n"/>
      <c r="M2" s="23" t="n"/>
      <c r="N2" s="23" t="n"/>
      <c r="O2" s="23" t="n"/>
      <c r="P2" s="23" t="n"/>
      <c r="Q2" s="23" t="n"/>
      <c r="R2" s="23" t="n"/>
    </row>
    <row r="3" ht="15" customHeight="1"/>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6" ht="15" customHeight="1"/>
    <row r="987"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sheetData>
  <conditionalFormatting sqref="A2:R1000">
    <cfRule type="expression" priority="2" dxfId="7">
      <formula>$D2="US"</formula>
    </cfRule>
    <cfRule type="expression" priority="3" dxfId="6">
      <formula>$D2="MyMSC"</formula>
    </cfRule>
    <cfRule type="expression" priority="4" dxfId="4">
      <formula>$D2="Rollout"</formula>
    </cfRule>
    <cfRule type="expression" priority="5" dxfId="4">
      <formula>$D2="MVP Rollout"</formula>
    </cfRule>
    <cfRule type="expression" priority="6" dxfId="2">
      <formula>$D2="Backlog"</formula>
    </cfRule>
    <cfRule type="expression" priority="7" dxfId="2">
      <formula>$D2="Growth"</formula>
    </cfRule>
    <cfRule type="expression" priority="8" dxfId="1">
      <formula>$D2="Tech Enhancements"</formula>
    </cfRule>
    <cfRule type="expression" priority="9" dxfId="0">
      <formula>LEFT($D2,2)="PI"</formula>
    </cfRule>
  </conditionalFormatting>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R2"/>
  <sheetViews>
    <sheetView zoomScaleNormal="100" workbookViewId="0">
      <pane ySplit="1" topLeftCell="A2" activePane="bottomLeft" state="frozen"/>
      <selection pane="bottomLeft" activeCell="A1" sqref="A1"/>
    </sheetView>
  </sheetViews>
  <sheetFormatPr baseColWidth="10" defaultColWidth="8.6640625" defaultRowHeight="15"/>
  <cols>
    <col width="16" customWidth="1" min="1" max="1"/>
    <col width="38" customWidth="1" min="2" max="2"/>
    <col width="12" customWidth="1" min="3" max="4"/>
    <col width="14" customWidth="1" min="5" max="5"/>
    <col width="10" customWidth="1" min="6" max="6"/>
    <col width="14" customWidth="1" min="7" max="7"/>
    <col width="30" customWidth="1" min="8" max="8"/>
    <col width="12" customWidth="1" min="9" max="9"/>
    <col width="14" customWidth="1" min="10" max="10"/>
    <col width="12" customWidth="1" min="11" max="11"/>
    <col width="8" customWidth="1" min="12" max="12"/>
  </cols>
  <sheetData>
    <row r="1" ht="30" customHeight="1">
      <c r="A1" s="19" t="inlineStr">
        <is>
          <t>Requirement ID</t>
        </is>
      </c>
      <c r="B1" s="19" t="inlineStr">
        <is>
          <t>Requirement Name</t>
        </is>
      </c>
      <c r="C1" s="19" t="inlineStr">
        <is>
          <t>Type</t>
        </is>
      </c>
      <c r="D1" s="19" t="inlineStr">
        <is>
          <t>Stream</t>
        </is>
      </c>
      <c r="E1" s="19" t="inlineStr">
        <is>
          <t>Stream Owner</t>
        </is>
      </c>
      <c r="F1" s="19" t="inlineStr">
        <is>
          <t>Status</t>
        </is>
      </c>
      <c r="G1" s="19" t="inlineStr">
        <is>
          <t>Jira Key</t>
        </is>
      </c>
      <c r="H1" s="19" t="inlineStr">
        <is>
          <t>Jira Link</t>
        </is>
      </c>
      <c r="I1" s="19" t="inlineStr">
        <is>
          <t>Priority</t>
        </is>
      </c>
      <c r="J1" s="19" t="inlineStr">
        <is>
          <t>Sprint</t>
        </is>
      </c>
      <c r="K1" s="19" t="inlineStr">
        <is>
          <t>Release</t>
        </is>
      </c>
      <c r="L1" s="19" t="inlineStr">
        <is>
          <t>HLE</t>
        </is>
      </c>
      <c r="M1" s="59" t="n"/>
      <c r="N1" s="59" t="n"/>
      <c r="O1" s="59" t="n"/>
      <c r="P1" s="59" t="n"/>
      <c r="Q1" s="59" t="n"/>
      <c r="R1" s="59" t="n"/>
    </row>
    <row r="2" ht="15" customHeight="1">
      <c r="A2" s="23" t="n"/>
      <c r="B2" s="23" t="n"/>
      <c r="C2" s="23" t="n"/>
      <c r="D2" s="23" t="n"/>
      <c r="E2" s="23" t="n"/>
      <c r="F2" s="23" t="n"/>
      <c r="G2" s="23" t="n"/>
      <c r="H2" s="23" t="n"/>
      <c r="I2" s="23" t="n"/>
      <c r="J2" s="23" t="n"/>
      <c r="K2" s="23" t="n"/>
      <c r="L2" s="23" t="n"/>
      <c r="M2" s="23" t="n"/>
      <c r="N2" s="23" t="n"/>
      <c r="O2" s="23" t="n"/>
      <c r="P2" s="23" t="n"/>
      <c r="Q2" s="23" t="n"/>
      <c r="R2" s="23" t="n"/>
    </row>
    <row r="3" ht="15" customHeight="1"/>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6" ht="15" customHeight="1"/>
    <row r="987"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sheetData>
  <conditionalFormatting sqref="A2:R1000">
    <cfRule type="expression" priority="2" dxfId="7">
      <formula>$D2="US"</formula>
    </cfRule>
    <cfRule type="expression" priority="3" dxfId="6">
      <formula>$D2="MyMSC"</formula>
    </cfRule>
    <cfRule type="expression" priority="4" dxfId="4">
      <formula>$D2="Rollout"</formula>
    </cfRule>
    <cfRule type="expression" priority="5" dxfId="4">
      <formula>$D2="MVP Rollout"</formula>
    </cfRule>
    <cfRule type="expression" priority="6" dxfId="2">
      <formula>$D2="Backlog"</formula>
    </cfRule>
    <cfRule type="expression" priority="7" dxfId="2">
      <formula>$D2="Growth"</formula>
    </cfRule>
    <cfRule type="expression" priority="8" dxfId="1">
      <formula>$D2="Tech Enhancements"</formula>
    </cfRule>
    <cfRule type="expression" priority="9" dxfId="0">
      <formula>LEFT($D2,2)="PI"</formula>
    </cfRule>
  </conditionalFormatting>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R2"/>
  <sheetViews>
    <sheetView tabSelected="1" topLeftCell="C1" zoomScaleNormal="100" workbookViewId="0">
      <pane ySplit="1" topLeftCell="A2" activePane="bottomLeft" state="frozen"/>
      <selection pane="bottomLeft" activeCell="Q1" sqref="Q1"/>
    </sheetView>
  </sheetViews>
  <sheetFormatPr baseColWidth="10" defaultColWidth="8.6640625" defaultRowHeight="15"/>
  <cols>
    <col width="16" customWidth="1" min="1" max="1"/>
    <col width="38" customWidth="1" min="2" max="2"/>
    <col width="12" customWidth="1" min="3" max="4"/>
    <col width="14" customWidth="1" min="5" max="5"/>
    <col width="10" customWidth="1" min="6" max="6"/>
    <col width="14" customWidth="1" min="7" max="7"/>
    <col width="30" customWidth="1" min="8" max="8"/>
    <col width="12" customWidth="1" min="9" max="9"/>
    <col width="14" customWidth="1" min="10" max="10"/>
    <col width="12" customWidth="1" min="11" max="11"/>
    <col width="8" customWidth="1" min="12" max="12"/>
  </cols>
  <sheetData>
    <row r="1" ht="30" customHeight="1">
      <c r="A1" s="19" t="inlineStr">
        <is>
          <t>Requirement ID</t>
        </is>
      </c>
      <c r="B1" s="19" t="inlineStr">
        <is>
          <t>Requirement Name</t>
        </is>
      </c>
      <c r="C1" s="19" t="inlineStr">
        <is>
          <t>Type</t>
        </is>
      </c>
      <c r="D1" s="19" t="inlineStr">
        <is>
          <t>Stream</t>
        </is>
      </c>
      <c r="E1" s="19" t="inlineStr">
        <is>
          <t>Stream Owner</t>
        </is>
      </c>
      <c r="F1" s="19" t="inlineStr">
        <is>
          <t>Status</t>
        </is>
      </c>
      <c r="G1" s="19" t="inlineStr">
        <is>
          <t>Jira Key</t>
        </is>
      </c>
      <c r="H1" s="19" t="inlineStr">
        <is>
          <t>Jira Link</t>
        </is>
      </c>
      <c r="I1" s="19" t="inlineStr">
        <is>
          <t>Priority</t>
        </is>
      </c>
      <c r="J1" s="19" t="inlineStr">
        <is>
          <t>Sprint</t>
        </is>
      </c>
      <c r="K1" s="19" t="inlineStr">
        <is>
          <t>Release</t>
        </is>
      </c>
      <c r="L1" s="19" t="inlineStr">
        <is>
          <t>HLE</t>
        </is>
      </c>
      <c r="M1" s="59" t="n"/>
      <c r="N1" s="59" t="n"/>
      <c r="O1" s="59" t="n"/>
      <c r="P1" s="59" t="n"/>
      <c r="Q1" s="59" t="n"/>
      <c r="R1" s="59" t="n"/>
    </row>
    <row r="2" ht="15" customHeight="1">
      <c r="A2" s="23" t="n"/>
      <c r="B2" s="23" t="n"/>
      <c r="C2" s="23" t="n"/>
      <c r="D2" s="23" t="n"/>
      <c r="E2" s="23" t="n"/>
      <c r="F2" s="23" t="n"/>
      <c r="G2" s="23" t="n"/>
      <c r="H2" s="23" t="n"/>
      <c r="I2" s="23" t="n"/>
      <c r="J2" s="23" t="n"/>
      <c r="K2" s="23" t="n"/>
      <c r="L2" s="23" t="n"/>
      <c r="M2" s="23" t="n"/>
      <c r="N2" s="23" t="n"/>
      <c r="O2" s="23" t="n"/>
      <c r="P2" s="23" t="n"/>
      <c r="Q2" s="23" t="n"/>
      <c r="R2" s="23" t="n"/>
    </row>
    <row r="3" ht="15" customHeight="1"/>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6" ht="15" customHeight="1"/>
    <row r="987"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sheetData>
  <conditionalFormatting sqref="A2:R1000">
    <cfRule type="expression" priority="2" dxfId="7">
      <formula>$D2="US"</formula>
    </cfRule>
    <cfRule type="expression" priority="3" dxfId="6">
      <formula>$D2="MyMSC"</formula>
    </cfRule>
    <cfRule type="expression" priority="4" dxfId="4">
      <formula>$D2="Rollout"</formula>
    </cfRule>
    <cfRule type="expression" priority="5" dxfId="4">
      <formula>$D2="MVP Rollout"</formula>
    </cfRule>
    <cfRule type="expression" priority="6" dxfId="2">
      <formula>$D2="Backlog"</formula>
    </cfRule>
    <cfRule type="expression" priority="7" dxfId="2">
      <formula>$D2="Growth"</formula>
    </cfRule>
    <cfRule type="expression" priority="8" dxfId="1">
      <formula>$D2="Tech Enhancements"</formula>
    </cfRule>
    <cfRule type="expression" priority="9" dxfId="0">
      <formula>LEFT($D2,2)="PI"</formula>
    </cfRule>
  </conditionalFormatting>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R2"/>
  <sheetViews>
    <sheetView zoomScaleNormal="100" workbookViewId="0">
      <pane ySplit="1" topLeftCell="A2" activePane="bottomLeft" state="frozen"/>
      <selection pane="bottomLeft" activeCell="A1" sqref="A1"/>
    </sheetView>
  </sheetViews>
  <sheetFormatPr baseColWidth="10" defaultColWidth="8.6640625" defaultRowHeight="15"/>
  <cols>
    <col width="16" customWidth="1" min="1" max="1"/>
    <col width="38" customWidth="1" min="2" max="2"/>
    <col width="12" customWidth="1" min="3" max="4"/>
    <col width="14" customWidth="1" min="5" max="5"/>
    <col width="10" customWidth="1" min="6" max="6"/>
    <col width="14" customWidth="1" min="7" max="7"/>
    <col width="30" customWidth="1" min="8" max="8"/>
    <col width="12" customWidth="1" min="9" max="9"/>
    <col width="14" customWidth="1" min="10" max="10"/>
    <col width="12" customWidth="1" min="11" max="11"/>
    <col width="8" customWidth="1" min="12" max="12"/>
  </cols>
  <sheetData>
    <row r="1" ht="30" customHeight="1">
      <c r="A1" s="19" t="inlineStr">
        <is>
          <t>Requirement ID</t>
        </is>
      </c>
      <c r="B1" s="19" t="inlineStr">
        <is>
          <t>Requirement Name</t>
        </is>
      </c>
      <c r="C1" s="19" t="inlineStr">
        <is>
          <t>Type</t>
        </is>
      </c>
      <c r="D1" s="19" t="inlineStr">
        <is>
          <t>Stream</t>
        </is>
      </c>
      <c r="E1" s="19" t="inlineStr">
        <is>
          <t>Stream Owner</t>
        </is>
      </c>
      <c r="F1" s="19" t="inlineStr">
        <is>
          <t>Status</t>
        </is>
      </c>
      <c r="G1" s="19" t="inlineStr">
        <is>
          <t>Jira Key</t>
        </is>
      </c>
      <c r="H1" s="19" t="inlineStr">
        <is>
          <t>Jira Link</t>
        </is>
      </c>
      <c r="I1" s="19" t="inlineStr">
        <is>
          <t>Priority</t>
        </is>
      </c>
      <c r="J1" s="19" t="inlineStr">
        <is>
          <t>Sprint</t>
        </is>
      </c>
      <c r="K1" s="19" t="inlineStr">
        <is>
          <t>Release</t>
        </is>
      </c>
      <c r="L1" s="19" t="inlineStr">
        <is>
          <t>HLE</t>
        </is>
      </c>
      <c r="M1" s="59" t="n"/>
      <c r="N1" s="59" t="n"/>
      <c r="O1" s="59" t="n"/>
      <c r="P1" s="59" t="n"/>
      <c r="Q1" s="59" t="n"/>
      <c r="R1" s="59" t="n"/>
    </row>
    <row r="2" ht="15" customHeight="1">
      <c r="A2" s="23" t="n"/>
      <c r="B2" s="23" t="n"/>
      <c r="C2" s="23" t="n"/>
      <c r="D2" s="23" t="n"/>
      <c r="E2" s="23" t="n"/>
      <c r="F2" s="23" t="n"/>
      <c r="G2" s="23" t="n"/>
      <c r="H2" s="23" t="n"/>
      <c r="I2" s="23" t="n"/>
      <c r="J2" s="23" t="n"/>
      <c r="K2" s="23" t="n"/>
      <c r="L2" s="23" t="n"/>
      <c r="M2" s="23" t="n"/>
      <c r="N2" s="23" t="n"/>
      <c r="O2" s="23" t="n"/>
      <c r="P2" s="23" t="n"/>
      <c r="Q2" s="23" t="n"/>
      <c r="R2" s="23" t="n"/>
    </row>
    <row r="3" ht="15" customHeight="1"/>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6" ht="15" customHeight="1"/>
    <row r="987"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sheetData>
  <conditionalFormatting sqref="A2:R1000">
    <cfRule type="expression" priority="2" dxfId="7">
      <formula>$D2="US"</formula>
    </cfRule>
    <cfRule type="expression" priority="3" dxfId="6">
      <formula>$D2="MyMSC"</formula>
    </cfRule>
    <cfRule type="expression" priority="4" dxfId="4">
      <formula>$D2="Rollout"</formula>
    </cfRule>
    <cfRule type="expression" priority="5" dxfId="4">
      <formula>$D2="MVP Rollout"</formula>
    </cfRule>
    <cfRule type="expression" priority="6" dxfId="2">
      <formula>$D2="Backlog"</formula>
    </cfRule>
    <cfRule type="expression" priority="7" dxfId="2">
      <formula>$D2="Growth"</formula>
    </cfRule>
    <cfRule type="expression" priority="8" dxfId="1">
      <formula>$D2="Tech Enhancements"</formula>
    </cfRule>
    <cfRule type="expression" priority="9" dxfId="0">
      <formula>LEFT($D2,2)="PI"</formula>
    </cfRule>
  </conditionalFormatting>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M33"/>
  <sheetViews>
    <sheetView zoomScaleNormal="100" workbookViewId="0">
      <selection activeCell="A1" sqref="A1"/>
    </sheetView>
  </sheetViews>
  <sheetFormatPr baseColWidth="10" defaultColWidth="8.6640625" defaultRowHeight="15"/>
  <sheetData>
    <row r="1" ht="15" customHeight="1">
      <c r="A1" t="inlineStr">
        <is>
          <t>Type</t>
        </is>
      </c>
      <c r="B1" t="inlineStr">
        <is>
          <t>Stream</t>
        </is>
      </c>
      <c r="C1" t="inlineStr">
        <is>
          <t>Status</t>
        </is>
      </c>
      <c r="D1" t="inlineStr">
        <is>
          <t>Priority</t>
        </is>
      </c>
      <c r="E1" t="inlineStr">
        <is>
          <t>Sprint</t>
        </is>
      </c>
      <c r="F1" t="inlineStr">
        <is>
          <t>RAML Required</t>
        </is>
      </c>
      <c r="G1" t="inlineStr">
        <is>
          <t>Release</t>
        </is>
      </c>
      <c r="H1" t="inlineStr">
        <is>
          <t>Assignee</t>
        </is>
      </c>
      <c r="I1" t="inlineStr">
        <is>
          <t>Stream Owner</t>
        </is>
      </c>
      <c r="K1" t="inlineStr">
        <is>
          <t>Sprint-&gt;Quarter (2026)</t>
        </is>
      </c>
      <c r="L1" t="inlineStr">
        <is>
          <t>Quarter Tab</t>
        </is>
      </c>
      <c r="M1" t="inlineStr">
        <is>
          <t>Date Range</t>
        </is>
      </c>
    </row>
    <row r="2" ht="15" customHeight="1">
      <c r="A2" t="inlineStr">
        <is>
          <t>Config</t>
        </is>
      </c>
      <c r="B2" t="inlineStr">
        <is>
          <t>US</t>
        </is>
      </c>
      <c r="C2" t="inlineStr">
        <is>
          <t>NEW</t>
        </is>
      </c>
      <c r="D2" t="inlineStr">
        <is>
          <t>Critical</t>
        </is>
      </c>
      <c r="E2" t="inlineStr">
        <is>
          <t>To Plan</t>
        </is>
      </c>
      <c r="F2" t="inlineStr">
        <is>
          <t>Yes</t>
        </is>
      </c>
      <c r="G2" t="inlineStr">
        <is>
          <t>Release 5</t>
        </is>
      </c>
      <c r="H2" t="inlineStr">
        <is>
          <t>Clare</t>
        </is>
      </c>
      <c r="I2" t="inlineStr">
        <is>
          <t>ALL</t>
        </is>
      </c>
      <c r="K2" t="inlineStr">
        <is>
          <t>Sprint 1</t>
        </is>
      </c>
      <c r="L2" t="inlineStr">
        <is>
          <t>Q1 Backlog Report 2026</t>
        </is>
      </c>
      <c r="M2" t="inlineStr">
        <is>
          <t>Jan 19 - Feb 6</t>
        </is>
      </c>
    </row>
    <row r="3" ht="15" customHeight="1">
      <c r="A3" t="inlineStr">
        <is>
          <t>CR</t>
        </is>
      </c>
      <c r="B3" t="inlineStr">
        <is>
          <t>MyMSC</t>
        </is>
      </c>
      <c r="C3" t="inlineStr">
        <is>
          <t>IN PROGRESS</t>
        </is>
      </c>
      <c r="D3" t="inlineStr">
        <is>
          <t>High</t>
        </is>
      </c>
      <c r="E3" t="inlineStr">
        <is>
          <t>Sprint 1</t>
        </is>
      </c>
      <c r="F3" t="inlineStr">
        <is>
          <t>No</t>
        </is>
      </c>
      <c r="G3" t="inlineStr">
        <is>
          <t>Release 5A</t>
        </is>
      </c>
      <c r="H3" t="inlineStr">
        <is>
          <t>Luke</t>
        </is>
      </c>
      <c r="I3" t="inlineStr">
        <is>
          <t>DTS</t>
        </is>
      </c>
      <c r="K3" t="inlineStr">
        <is>
          <t>Sprint 2</t>
        </is>
      </c>
      <c r="L3" t="inlineStr">
        <is>
          <t>Q1 Backlog Report 2026</t>
        </is>
      </c>
      <c r="M3" t="inlineStr">
        <is>
          <t>Feb 9 - Feb 27</t>
        </is>
      </c>
    </row>
    <row r="4" ht="15" customHeight="1">
      <c r="A4" t="inlineStr">
        <is>
          <t>New</t>
        </is>
      </c>
      <c r="B4" t="inlineStr">
        <is>
          <t>Growth</t>
        </is>
      </c>
      <c r="C4" t="inlineStr">
        <is>
          <t>DONE</t>
        </is>
      </c>
      <c r="D4" t="inlineStr">
        <is>
          <t>Medium</t>
        </is>
      </c>
      <c r="E4" t="inlineStr">
        <is>
          <t>Sprint 2</t>
        </is>
      </c>
      <c r="F4" t="inlineStr">
        <is>
          <t>TBC</t>
        </is>
      </c>
      <c r="G4" t="inlineStr">
        <is>
          <t>Release 5B</t>
        </is>
      </c>
      <c r="H4" t="inlineStr">
        <is>
          <t>Bipin</t>
        </is>
      </c>
      <c r="I4" t="inlineStr">
        <is>
          <t>MA</t>
        </is>
      </c>
      <c r="K4" t="inlineStr">
        <is>
          <t>Sprint 3</t>
        </is>
      </c>
      <c r="L4" t="inlineStr">
        <is>
          <t>Q1 Backlog Report 2026</t>
        </is>
      </c>
      <c r="M4" t="inlineStr">
        <is>
          <t>Mar 2 - Mar 20</t>
        </is>
      </c>
    </row>
    <row r="5" ht="15" customHeight="1">
      <c r="A5" t="inlineStr">
        <is>
          <t>TBC</t>
        </is>
      </c>
      <c r="B5" t="inlineStr">
        <is>
          <t>MVP Rollout</t>
        </is>
      </c>
      <c r="C5" t="inlineStr">
        <is>
          <t>ON HOLD</t>
        </is>
      </c>
      <c r="D5" t="inlineStr">
        <is>
          <t>Low</t>
        </is>
      </c>
      <c r="E5" t="inlineStr">
        <is>
          <t>Sprint 3</t>
        </is>
      </c>
      <c r="G5" t="inlineStr">
        <is>
          <t>Release 5B (Hotfix)</t>
        </is>
      </c>
      <c r="H5" t="inlineStr">
        <is>
          <t>Remo</t>
        </is>
      </c>
      <c r="I5" t="inlineStr">
        <is>
          <t>B2CW</t>
        </is>
      </c>
      <c r="K5" t="inlineStr">
        <is>
          <t>Sprint 4</t>
        </is>
      </c>
      <c r="L5" t="inlineStr">
        <is>
          <t>Q1 Backlog Report 2026</t>
        </is>
      </c>
      <c r="M5" t="inlineStr">
        <is>
          <t>Mar 23 - Apr 10</t>
        </is>
      </c>
    </row>
    <row r="6" ht="15" customHeight="1">
      <c r="A6" t="inlineStr">
        <is>
          <t>Bug</t>
        </is>
      </c>
      <c r="B6" t="inlineStr">
        <is>
          <t>Cross</t>
        </is>
      </c>
      <c r="C6" t="inlineStr">
        <is>
          <t>NA</t>
        </is>
      </c>
      <c r="E6" t="inlineStr">
        <is>
          <t>Sprint 4</t>
        </is>
      </c>
      <c r="G6" t="inlineStr">
        <is>
          <t>Release 5C</t>
        </is>
      </c>
      <c r="I6" t="inlineStr">
        <is>
          <t>S&amp;S</t>
        </is>
      </c>
      <c r="K6" t="inlineStr">
        <is>
          <t>Sprint 5</t>
        </is>
      </c>
      <c r="L6" t="inlineStr">
        <is>
          <t>Q2 Backlog Report 2026</t>
        </is>
      </c>
      <c r="M6" t="inlineStr">
        <is>
          <t>Apr 13 - May 8</t>
        </is>
      </c>
    </row>
    <row r="7" ht="15" customHeight="1">
      <c r="A7" t="inlineStr">
        <is>
          <t>Tech Task</t>
        </is>
      </c>
      <c r="B7" t="inlineStr">
        <is>
          <t>PI11</t>
        </is>
      </c>
      <c r="E7" t="inlineStr">
        <is>
          <t>Sprint 5</t>
        </is>
      </c>
      <c r="G7" t="inlineStr">
        <is>
          <t>Release 6</t>
        </is>
      </c>
      <c r="I7" t="inlineStr">
        <is>
          <t>EPAM B2C</t>
        </is>
      </c>
      <c r="K7" t="inlineStr">
        <is>
          <t>Sprint 6</t>
        </is>
      </c>
      <c r="L7" t="inlineStr">
        <is>
          <t>Q2 Backlog Report 2026</t>
        </is>
      </c>
      <c r="M7" t="inlineStr">
        <is>
          <t>May 11 - May 29</t>
        </is>
      </c>
    </row>
    <row r="8" ht="15" customHeight="1">
      <c r="A8" t="inlineStr">
        <is>
          <t>Tech Story</t>
        </is>
      </c>
      <c r="B8" t="inlineStr">
        <is>
          <t>Backlog</t>
        </is>
      </c>
      <c r="E8" t="inlineStr">
        <is>
          <t>Sprint 6</t>
        </is>
      </c>
      <c r="G8" t="inlineStr">
        <is>
          <t>Release 7</t>
        </is>
      </c>
      <c r="I8" t="inlineStr">
        <is>
          <t>CHUB</t>
        </is>
      </c>
      <c r="K8" t="inlineStr">
        <is>
          <t>Sprint 7</t>
        </is>
      </c>
      <c r="L8" t="inlineStr">
        <is>
          <t>Q2 Backlog Report 2026</t>
        </is>
      </c>
      <c r="M8" t="inlineStr">
        <is>
          <t>Jun 1 - Jun 19</t>
        </is>
      </c>
    </row>
    <row r="9" ht="15" customHeight="1">
      <c r="B9" t="inlineStr">
        <is>
          <t>Tech Enhancements</t>
        </is>
      </c>
      <c r="E9" t="inlineStr">
        <is>
          <t>Sprint 7</t>
        </is>
      </c>
      <c r="G9" t="inlineStr">
        <is>
          <t>Release 7A (Hotfix)</t>
        </is>
      </c>
      <c r="I9" t="inlineStr">
        <is>
          <t>CRMASIS</t>
        </is>
      </c>
      <c r="K9" t="inlineStr">
        <is>
          <t>Sprint 8</t>
        </is>
      </c>
      <c r="L9" t="inlineStr">
        <is>
          <t>Q2 Backlog Report 2026</t>
        </is>
      </c>
      <c r="M9" t="inlineStr">
        <is>
          <t>Jun 22 - Jul 10</t>
        </is>
      </c>
    </row>
    <row r="10" ht="15" customHeight="1">
      <c r="B10" t="inlineStr">
        <is>
          <t>PP</t>
        </is>
      </c>
      <c r="E10" t="inlineStr">
        <is>
          <t>Sprint 8</t>
        </is>
      </c>
      <c r="G10" t="inlineStr">
        <is>
          <t>Release 7B (Hotfix)</t>
        </is>
      </c>
      <c r="I10" t="inlineStr">
        <is>
          <t>M4M</t>
        </is>
      </c>
      <c r="K10" t="inlineStr">
        <is>
          <t>Sprint 9</t>
        </is>
      </c>
      <c r="L10" t="inlineStr">
        <is>
          <t>Q3 Backlog Report 2026</t>
        </is>
      </c>
      <c r="M10" t="inlineStr">
        <is>
          <t>Jul 13 - Jul 31</t>
        </is>
      </c>
    </row>
    <row r="11" ht="15" customHeight="1">
      <c r="B11" t="inlineStr">
        <is>
          <t>HR</t>
        </is>
      </c>
      <c r="E11" t="inlineStr">
        <is>
          <t>Sprint 9</t>
        </is>
      </c>
      <c r="G11" t="inlineStr">
        <is>
          <t>Release 8</t>
        </is>
      </c>
      <c r="K11" t="inlineStr">
        <is>
          <t>Sprint 10</t>
        </is>
      </c>
      <c r="L11" t="inlineStr">
        <is>
          <t>Q3 Backlog Report 2026</t>
        </is>
      </c>
      <c r="M11" t="inlineStr">
        <is>
          <t>Aug 3 - Aug 21</t>
        </is>
      </c>
    </row>
    <row r="12" ht="15" customHeight="1">
      <c r="B12" t="inlineStr">
        <is>
          <t>PI9</t>
        </is>
      </c>
      <c r="E12" t="inlineStr">
        <is>
          <t>Sprint 10</t>
        </is>
      </c>
      <c r="G12" t="inlineStr">
        <is>
          <t>Release 9</t>
        </is>
      </c>
      <c r="K12" t="inlineStr">
        <is>
          <t>Sprint 11</t>
        </is>
      </c>
      <c r="L12" t="inlineStr">
        <is>
          <t>Q3 Backlog Report 2026</t>
        </is>
      </c>
      <c r="M12" t="inlineStr">
        <is>
          <t>Aug 24 - Sep 11</t>
        </is>
      </c>
    </row>
    <row r="13" ht="15" customHeight="1">
      <c r="B13" t="inlineStr">
        <is>
          <t>PI10</t>
        </is>
      </c>
      <c r="E13" t="inlineStr">
        <is>
          <t>Sprint 11</t>
        </is>
      </c>
      <c r="G13" t="inlineStr">
        <is>
          <t>Release 10</t>
        </is>
      </c>
      <c r="K13" t="inlineStr">
        <is>
          <t>Sprint 12</t>
        </is>
      </c>
      <c r="L13" t="inlineStr">
        <is>
          <t>Q3 Backlog Report 2026</t>
        </is>
      </c>
      <c r="M13" t="inlineStr">
        <is>
          <t>Sep 14 - Oct 2</t>
        </is>
      </c>
    </row>
    <row r="14" ht="15" customHeight="1">
      <c r="B14" t="inlineStr">
        <is>
          <t>M4M</t>
        </is>
      </c>
      <c r="E14" t="inlineStr">
        <is>
          <t>Sprint 12</t>
        </is>
      </c>
      <c r="G14" t="inlineStr">
        <is>
          <t>Release 10A</t>
        </is>
      </c>
      <c r="K14" t="inlineStr">
        <is>
          <t>Sprint 13</t>
        </is>
      </c>
      <c r="L14" t="inlineStr">
        <is>
          <t>Q4 Backlog Report 2026</t>
        </is>
      </c>
      <c r="M14" t="inlineStr">
        <is>
          <t>Oct 5 - Oct 23</t>
        </is>
      </c>
    </row>
    <row r="15" ht="15" customHeight="1">
      <c r="E15" t="inlineStr">
        <is>
          <t>Sprint 13</t>
        </is>
      </c>
      <c r="G15" t="inlineStr">
        <is>
          <t>Release 10B (Hotfix)</t>
        </is>
      </c>
      <c r="K15" t="inlineStr">
        <is>
          <t>Sprint 14</t>
        </is>
      </c>
      <c r="L15" t="inlineStr">
        <is>
          <t>Q4 Backlog Report 2026</t>
        </is>
      </c>
      <c r="M15" t="inlineStr">
        <is>
          <t>Oct 26 - Nov 13</t>
        </is>
      </c>
    </row>
    <row r="16" ht="15" customHeight="1">
      <c r="E16" t="inlineStr">
        <is>
          <t>Sprint 14</t>
        </is>
      </c>
      <c r="G16" t="inlineStr">
        <is>
          <t>Release 10C (Hotfix)</t>
        </is>
      </c>
      <c r="K16" t="inlineStr">
        <is>
          <t>Sprint 15</t>
        </is>
      </c>
      <c r="L16" t="inlineStr">
        <is>
          <t>Q4 Backlog Report 2026</t>
        </is>
      </c>
      <c r="M16" t="inlineStr">
        <is>
          <t>Nov 16 - Dec 4</t>
        </is>
      </c>
    </row>
    <row r="17" ht="15" customHeight="1">
      <c r="E17" t="inlineStr">
        <is>
          <t>Sprint 15</t>
        </is>
      </c>
      <c r="G17" t="inlineStr">
        <is>
          <t>Release 11</t>
        </is>
      </c>
      <c r="K17" t="inlineStr">
        <is>
          <t>Sprint 16</t>
        </is>
      </c>
      <c r="L17" t="inlineStr">
        <is>
          <t>Q4 Backlog Report 2026</t>
        </is>
      </c>
      <c r="M17" t="inlineStr">
        <is>
          <t>Dec 7 - Dec 24</t>
        </is>
      </c>
    </row>
    <row r="18" ht="15" customHeight="1">
      <c r="E18" t="inlineStr">
        <is>
          <t>Sprint 16</t>
        </is>
      </c>
      <c r="G18" t="inlineStr">
        <is>
          <t>Release 11A</t>
        </is>
      </c>
    </row>
    <row r="19" ht="15" customHeight="1">
      <c r="G19" t="inlineStr">
        <is>
          <t>Release 12</t>
        </is>
      </c>
    </row>
    <row r="20" ht="15" customHeight="1">
      <c r="G20" t="inlineStr">
        <is>
          <t>Release 13</t>
        </is>
      </c>
    </row>
    <row r="21" ht="15" customHeight="1">
      <c r="G21" t="inlineStr">
        <is>
          <t>Release 13A (Hotfix)</t>
        </is>
      </c>
    </row>
    <row r="22" ht="15" customHeight="1">
      <c r="G22" t="inlineStr">
        <is>
          <t>Release 13B (Hotfix)</t>
        </is>
      </c>
    </row>
    <row r="23" ht="15" customHeight="1">
      <c r="G23" t="inlineStr">
        <is>
          <t>Release 13C (Hotfix)</t>
        </is>
      </c>
    </row>
    <row r="24" ht="15" customHeight="1">
      <c r="G24" t="inlineStr">
        <is>
          <t>Release 14</t>
        </is>
      </c>
    </row>
    <row r="25" ht="15" customHeight="1">
      <c r="G25" t="inlineStr">
        <is>
          <t>Release 14A</t>
        </is>
      </c>
    </row>
    <row r="26" ht="15" customHeight="1">
      <c r="G26" t="inlineStr">
        <is>
          <t>Release 15</t>
        </is>
      </c>
    </row>
    <row r="27" ht="15" customHeight="1">
      <c r="G27" t="inlineStr">
        <is>
          <t>Release 15A</t>
        </is>
      </c>
    </row>
    <row r="28" ht="15" customHeight="1">
      <c r="G28" t="inlineStr">
        <is>
          <t>Release 15B</t>
        </is>
      </c>
    </row>
    <row r="29" ht="15" customHeight="1">
      <c r="G29" t="inlineStr">
        <is>
          <t>Release 15C</t>
        </is>
      </c>
    </row>
    <row r="30" ht="15" customHeight="1">
      <c r="G30" t="inlineStr">
        <is>
          <t>Release 16</t>
        </is>
      </c>
    </row>
    <row r="31" ht="15" customHeight="1">
      <c r="G31" t="inlineStr">
        <is>
          <t>Release 17</t>
        </is>
      </c>
    </row>
    <row r="32" ht="15" customHeight="1">
      <c r="G32" t="inlineStr">
        <is>
          <t>Release 18</t>
        </is>
      </c>
    </row>
    <row r="33" ht="15" customHeight="1">
      <c r="G33" t="inlineStr">
        <is>
          <t>Release 19</t>
        </is>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en-GB</dc:language>
  <dcterms:created xsi:type="dcterms:W3CDTF">2026-07-24T14:08:15Z</dcterms:created>
  <dcterms:modified xsi:type="dcterms:W3CDTF">2026-08-06T14:51:43Z</dcterms:modified>
  <cp:lastModifiedBy>Sarah Ann Suda (sarahann.suda@bbscommunity.it)</cp:lastModifiedBy>
  <cp:revision>0</cp:revision>
</cp:coreProperties>
</file>